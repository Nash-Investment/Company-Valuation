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A99E875-A549-4D0E-8CC1-FC4C4CA3E3B4}" xr6:coauthVersionLast="47" xr6:coauthVersionMax="47" xr10:uidLastSave="{00000000-0000-0000-0000-000000000000}"/>
  <bookViews>
    <workbookView xWindow="-108" yWindow="-108" windowWidth="23256" windowHeight="12456" tabRatio="751" activeTab="8" xr2:uid="{00000000-000D-0000-FFFF-FFFF00000000}"/>
  </bookViews>
  <sheets>
    <sheet name="FS" sheetId="1" r:id="rId1"/>
    <sheet name="Common Size" sheetId="2" r:id="rId2"/>
    <sheet name="Ratios" sheetId="3" r:id="rId3"/>
    <sheet name="Adjustment" sheetId="4" r:id="rId4"/>
    <sheet name="EV" sheetId="5" r:id="rId5"/>
    <sheet name="Comparable Analysis" sheetId="7" r:id="rId6"/>
    <sheet name="Assumptions" sheetId="8" r:id="rId7"/>
    <sheet name="WACC" sheetId="11" r:id="rId8"/>
    <sheet name="DCF" sheetId="12" r:id="rId9"/>
  </sheets>
  <externalReferences>
    <externalReference r:id="rId10"/>
  </externalReferences>
  <definedNames>
    <definedName name="days365" localSheetId="5">'[1]Ratio Analysis'!$D$1</definedName>
    <definedName name="days365">#REF!</definedName>
    <definedName name="Share_Price">EV!$E$2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1" l="1"/>
  <c r="O133" i="8"/>
  <c r="L133" i="8"/>
  <c r="L134" i="8" s="1"/>
  <c r="L132" i="8"/>
  <c r="L136" i="8" s="1"/>
  <c r="K132" i="8"/>
  <c r="K136" i="8" s="1"/>
  <c r="O29" i="8"/>
  <c r="O30" i="8"/>
  <c r="O28" i="8"/>
  <c r="O32" i="8" s="1"/>
  <c r="L24" i="8"/>
  <c r="L29" i="8" s="1"/>
  <c r="M24" i="8"/>
  <c r="M29" i="8" s="1"/>
  <c r="N24" i="8"/>
  <c r="N29" i="8" s="1"/>
  <c r="N28" i="8" s="1"/>
  <c r="N32" i="8" s="1"/>
  <c r="O24" i="8"/>
  <c r="L31" i="12"/>
  <c r="M31" i="12"/>
  <c r="N31" i="12"/>
  <c r="O31" i="12"/>
  <c r="K31" i="12"/>
  <c r="C30" i="12"/>
  <c r="L128" i="8"/>
  <c r="M128" i="8"/>
  <c r="M133" i="8" s="1"/>
  <c r="N128" i="8"/>
  <c r="N133" i="8" s="1"/>
  <c r="N132" i="8" s="1"/>
  <c r="N136" i="8" s="1"/>
  <c r="O128" i="8"/>
  <c r="K128" i="8"/>
  <c r="K133" i="8" s="1"/>
  <c r="K134" i="8" s="1"/>
  <c r="C18" i="12"/>
  <c r="M132" i="8" l="1"/>
  <c r="M136" i="8" s="1"/>
  <c r="M134" i="8"/>
  <c r="M28" i="8"/>
  <c r="M32" i="8" s="1"/>
  <c r="M30" i="8"/>
  <c r="L28" i="8"/>
  <c r="L32" i="8" s="1"/>
  <c r="L30" i="8"/>
  <c r="O134" i="8"/>
  <c r="O132" i="8"/>
  <c r="O136" i="8" s="1"/>
  <c r="N134" i="8"/>
  <c r="N30" i="8"/>
  <c r="M6" i="11"/>
  <c r="D23" i="11"/>
  <c r="E23" i="11"/>
  <c r="F23" i="11"/>
  <c r="G23" i="11"/>
  <c r="H23" i="11"/>
  <c r="I23" i="11"/>
  <c r="J23" i="11"/>
  <c r="C23" i="11"/>
  <c r="J34" i="11"/>
  <c r="J35" i="11"/>
  <c r="J36" i="11"/>
  <c r="J27" i="11"/>
  <c r="L3" i="11"/>
  <c r="L4" i="11" s="1"/>
  <c r="L5" i="11" s="1"/>
  <c r="L6" i="11" s="1"/>
  <c r="L7" i="11" s="1"/>
  <c r="L8" i="11" s="1"/>
  <c r="L9" i="11" s="1"/>
  <c r="L10" i="11" s="1"/>
  <c r="L11" i="11" s="1"/>
  <c r="L12" i="11" s="1"/>
  <c r="L13" i="11" s="1"/>
  <c r="L14" i="11" s="1"/>
  <c r="D3" i="11"/>
  <c r="D6" i="11" l="1"/>
  <c r="D7" i="11" s="1"/>
  <c r="D9" i="11" s="1"/>
  <c r="O154" i="8"/>
  <c r="N154" i="8"/>
  <c r="M154" i="8"/>
  <c r="L154" i="8"/>
  <c r="K154" i="8"/>
  <c r="D154" i="8"/>
  <c r="D152" i="8"/>
  <c r="K150" i="8"/>
  <c r="L150" i="8" s="1"/>
  <c r="M150" i="8" s="1"/>
  <c r="N150" i="8" s="1"/>
  <c r="O150" i="8" s="1"/>
  <c r="J150" i="8"/>
  <c r="J126" i="8"/>
  <c r="I126" i="8"/>
  <c r="H126" i="8"/>
  <c r="H14" i="12" s="1"/>
  <c r="G126" i="8"/>
  <c r="G14" i="12" s="1"/>
  <c r="F126" i="8"/>
  <c r="E126" i="8"/>
  <c r="D126" i="8"/>
  <c r="D14" i="12" s="1"/>
  <c r="C126" i="8"/>
  <c r="G109" i="8"/>
  <c r="F109" i="8"/>
  <c r="E109" i="8"/>
  <c r="J91" i="8"/>
  <c r="J10" i="12" s="1"/>
  <c r="I91" i="8"/>
  <c r="I10" i="12" s="1"/>
  <c r="H91" i="8"/>
  <c r="H10" i="12" s="1"/>
  <c r="G91" i="8"/>
  <c r="G10" i="12" s="1"/>
  <c r="F91" i="8"/>
  <c r="F10" i="12" s="1"/>
  <c r="E91" i="8"/>
  <c r="E10" i="12" s="1"/>
  <c r="D91" i="8"/>
  <c r="D10" i="12" s="1"/>
  <c r="C91" i="8"/>
  <c r="C10" i="12" s="1"/>
  <c r="J74" i="8"/>
  <c r="J9" i="12" s="1"/>
  <c r="I74" i="8"/>
  <c r="I9" i="12" s="1"/>
  <c r="H74" i="8"/>
  <c r="H9" i="12" s="1"/>
  <c r="G74" i="8"/>
  <c r="G9" i="12" s="1"/>
  <c r="F74" i="8"/>
  <c r="F9" i="12" s="1"/>
  <c r="E74" i="8"/>
  <c r="E9" i="12" s="1"/>
  <c r="D74" i="8"/>
  <c r="D9" i="12" s="1"/>
  <c r="C74" i="8"/>
  <c r="C9" i="12" s="1"/>
  <c r="B74" i="8"/>
  <c r="J57" i="8"/>
  <c r="J8" i="12" s="1"/>
  <c r="I57" i="8"/>
  <c r="I8" i="12" s="1"/>
  <c r="H57" i="8"/>
  <c r="H8" i="12" s="1"/>
  <c r="G57" i="8"/>
  <c r="G8" i="12" s="1"/>
  <c r="F57" i="8"/>
  <c r="F8" i="12" s="1"/>
  <c r="E57" i="8"/>
  <c r="E8" i="12" s="1"/>
  <c r="D57" i="8"/>
  <c r="D8" i="12" s="1"/>
  <c r="C57" i="8"/>
  <c r="C8" i="12" s="1"/>
  <c r="J39" i="8"/>
  <c r="J7" i="12" s="1"/>
  <c r="I39" i="8"/>
  <c r="I7" i="12" s="1"/>
  <c r="H39" i="8"/>
  <c r="H7" i="12" s="1"/>
  <c r="G39" i="8"/>
  <c r="G7" i="12" s="1"/>
  <c r="F39" i="8"/>
  <c r="F7" i="12" s="1"/>
  <c r="E39" i="8"/>
  <c r="E7" i="12" s="1"/>
  <c r="D39" i="8"/>
  <c r="D7" i="12" s="1"/>
  <c r="C39" i="8"/>
  <c r="C7" i="12" s="1"/>
  <c r="K24" i="8"/>
  <c r="K29" i="8" s="1"/>
  <c r="J22" i="8"/>
  <c r="J5" i="12" s="1"/>
  <c r="I22" i="8"/>
  <c r="I5" i="12" s="1"/>
  <c r="H22" i="8"/>
  <c r="H5" i="12" s="1"/>
  <c r="G22" i="8"/>
  <c r="G5" i="12" s="1"/>
  <c r="F22" i="8"/>
  <c r="F5" i="12" s="1"/>
  <c r="D22" i="8"/>
  <c r="D5" i="12" s="1"/>
  <c r="C22" i="8"/>
  <c r="C5" i="12" s="1"/>
  <c r="J9" i="8"/>
  <c r="J4" i="12" s="1"/>
  <c r="J6" i="12" s="1"/>
  <c r="I9" i="8"/>
  <c r="I4" i="12" s="1"/>
  <c r="H9" i="8"/>
  <c r="G9" i="8"/>
  <c r="G4" i="12" s="1"/>
  <c r="F9" i="8"/>
  <c r="E9" i="8"/>
  <c r="D9" i="8"/>
  <c r="C9" i="8"/>
  <c r="C4" i="12" s="1"/>
  <c r="C6" i="12" s="1"/>
  <c r="B9" i="8"/>
  <c r="H58" i="7"/>
  <c r="H50" i="7" s="1"/>
  <c r="N56" i="7"/>
  <c r="N55" i="7"/>
  <c r="N60" i="7" s="1"/>
  <c r="N50" i="7" s="1"/>
  <c r="H51" i="7"/>
  <c r="C50" i="7"/>
  <c r="C51" i="7" s="1"/>
  <c r="N49" i="7"/>
  <c r="C45" i="7"/>
  <c r="H43" i="7"/>
  <c r="N42" i="7"/>
  <c r="H25" i="7"/>
  <c r="H20" i="7"/>
  <c r="D20" i="7"/>
  <c r="J10" i="7"/>
  <c r="I10" i="7"/>
  <c r="H10" i="7"/>
  <c r="G10" i="7"/>
  <c r="E10" i="7"/>
  <c r="I9" i="7"/>
  <c r="H9" i="7"/>
  <c r="G9" i="7"/>
  <c r="D9" i="7"/>
  <c r="I8" i="7"/>
  <c r="H8" i="7"/>
  <c r="H13" i="7" s="1"/>
  <c r="G8" i="7"/>
  <c r="E8" i="7"/>
  <c r="I30" i="5"/>
  <c r="H30" i="5"/>
  <c r="G30" i="5"/>
  <c r="F30" i="5"/>
  <c r="D25" i="5"/>
  <c r="J24" i="5"/>
  <c r="C39" i="12" s="1"/>
  <c r="I24" i="5"/>
  <c r="H24" i="5"/>
  <c r="G24" i="5"/>
  <c r="F24" i="5"/>
  <c r="E24" i="5"/>
  <c r="D24" i="5"/>
  <c r="C24" i="5"/>
  <c r="J22" i="5"/>
  <c r="I22" i="5"/>
  <c r="H22" i="5"/>
  <c r="G22" i="5"/>
  <c r="F22" i="5"/>
  <c r="E22" i="5"/>
  <c r="D22" i="5"/>
  <c r="D23" i="5" s="1"/>
  <c r="D24" i="11" s="1"/>
  <c r="D25" i="11" s="1"/>
  <c r="C22" i="5"/>
  <c r="B22" i="5"/>
  <c r="J21" i="5"/>
  <c r="I21" i="5"/>
  <c r="H21" i="5"/>
  <c r="H23" i="5" s="1"/>
  <c r="G21" i="5"/>
  <c r="F21" i="5"/>
  <c r="E21" i="5"/>
  <c r="D21" i="5"/>
  <c r="C21" i="5"/>
  <c r="B21" i="5"/>
  <c r="J20" i="5"/>
  <c r="J23" i="5" s="1"/>
  <c r="I20" i="5"/>
  <c r="I23" i="5" s="1"/>
  <c r="H20" i="5"/>
  <c r="G20" i="5"/>
  <c r="F20" i="5"/>
  <c r="F23" i="5" s="1"/>
  <c r="F24" i="11" s="1"/>
  <c r="F25" i="11" s="1"/>
  <c r="E20" i="5"/>
  <c r="D20" i="5"/>
  <c r="C20" i="5"/>
  <c r="C23" i="5" s="1"/>
  <c r="B20" i="5"/>
  <c r="J19" i="5"/>
  <c r="J30" i="5" s="1"/>
  <c r="I19" i="5"/>
  <c r="H19" i="5"/>
  <c r="G19" i="5"/>
  <c r="F19" i="5"/>
  <c r="E19" i="5"/>
  <c r="E30" i="5" s="1"/>
  <c r="D19" i="5"/>
  <c r="D30" i="5" s="1"/>
  <c r="C19" i="5"/>
  <c r="C30" i="5" s="1"/>
  <c r="B7" i="5"/>
  <c r="E4" i="5"/>
  <c r="E3" i="5"/>
  <c r="C42" i="12" s="1"/>
  <c r="E2" i="5"/>
  <c r="C44" i="12" s="1"/>
  <c r="H26" i="4"/>
  <c r="H3" i="4" s="1"/>
  <c r="H4" i="4" s="1"/>
  <c r="H6" i="4" s="1"/>
  <c r="H8" i="4" s="1"/>
  <c r="H10" i="4" s="1"/>
  <c r="G26" i="4"/>
  <c r="E26" i="4"/>
  <c r="D26" i="4"/>
  <c r="C26" i="4"/>
  <c r="C3" i="4" s="1"/>
  <c r="F23" i="4"/>
  <c r="J22" i="4"/>
  <c r="J26" i="4" s="1"/>
  <c r="J3" i="4" s="1"/>
  <c r="J4" i="4" s="1"/>
  <c r="J6" i="4" s="1"/>
  <c r="J8" i="4" s="1"/>
  <c r="J10" i="4" s="1"/>
  <c r="I22" i="4"/>
  <c r="I26" i="4" s="1"/>
  <c r="I3" i="4" s="1"/>
  <c r="H22" i="4"/>
  <c r="G22" i="4"/>
  <c r="F22" i="4"/>
  <c r="E22" i="4"/>
  <c r="J9" i="4"/>
  <c r="I9" i="4"/>
  <c r="H9" i="4"/>
  <c r="G9" i="4"/>
  <c r="F9" i="4"/>
  <c r="E9" i="4"/>
  <c r="D9" i="4"/>
  <c r="C9" i="4"/>
  <c r="J7" i="4"/>
  <c r="I7" i="4"/>
  <c r="H7" i="4"/>
  <c r="G7" i="4"/>
  <c r="F7" i="4"/>
  <c r="E7" i="4"/>
  <c r="D7" i="4"/>
  <c r="C7" i="4"/>
  <c r="J5" i="4"/>
  <c r="J109" i="8" s="1"/>
  <c r="H5" i="4"/>
  <c r="H109" i="8" s="1"/>
  <c r="G5" i="4"/>
  <c r="F5" i="4"/>
  <c r="E5" i="4"/>
  <c r="D5" i="4"/>
  <c r="D109" i="8" s="1"/>
  <c r="C5" i="4"/>
  <c r="C109" i="8" s="1"/>
  <c r="G3" i="4"/>
  <c r="G4" i="4" s="1"/>
  <c r="G6" i="4" s="1"/>
  <c r="G8" i="4" s="1"/>
  <c r="G10" i="4" s="1"/>
  <c r="D3" i="4"/>
  <c r="D4" i="4" s="1"/>
  <c r="D6" i="4" s="1"/>
  <c r="D8" i="4" s="1"/>
  <c r="D10" i="4" s="1"/>
  <c r="J2" i="4"/>
  <c r="I2" i="4"/>
  <c r="H2" i="4"/>
  <c r="G2" i="4"/>
  <c r="F2" i="4"/>
  <c r="E2" i="4"/>
  <c r="D2" i="4"/>
  <c r="C2" i="4"/>
  <c r="C4" i="4" s="1"/>
  <c r="C6" i="4" s="1"/>
  <c r="C8" i="4" s="1"/>
  <c r="C10" i="4" s="1"/>
  <c r="B2" i="4"/>
  <c r="E1" i="4"/>
  <c r="F1" i="4" s="1"/>
  <c r="G1" i="4" s="1"/>
  <c r="H1" i="4" s="1"/>
  <c r="I1" i="4" s="1"/>
  <c r="J1" i="4" s="1"/>
  <c r="D1" i="4"/>
  <c r="J54" i="3"/>
  <c r="I54" i="3"/>
  <c r="H54" i="3"/>
  <c r="G54" i="3"/>
  <c r="F54" i="3"/>
  <c r="E54" i="3"/>
  <c r="D54" i="3"/>
  <c r="C54" i="3"/>
  <c r="J53" i="3"/>
  <c r="I53" i="3"/>
  <c r="H53" i="3"/>
  <c r="G53" i="3"/>
  <c r="F53" i="3"/>
  <c r="E53" i="3"/>
  <c r="D53" i="3"/>
  <c r="C53" i="3"/>
  <c r="J52" i="3"/>
  <c r="J51" i="3"/>
  <c r="I51" i="3"/>
  <c r="J50" i="3"/>
  <c r="I50" i="3"/>
  <c r="J41" i="3"/>
  <c r="J42" i="3" s="1"/>
  <c r="J40" i="3"/>
  <c r="J37" i="3"/>
  <c r="J34" i="3"/>
  <c r="I34" i="3"/>
  <c r="F34" i="3"/>
  <c r="J33" i="3"/>
  <c r="J32" i="3"/>
  <c r="I32" i="3"/>
  <c r="J26" i="3"/>
  <c r="I26" i="3"/>
  <c r="H26" i="3"/>
  <c r="J25" i="3"/>
  <c r="J154" i="8" s="1"/>
  <c r="I25" i="3"/>
  <c r="I154" i="8" s="1"/>
  <c r="H25" i="3"/>
  <c r="H154" i="8" s="1"/>
  <c r="G25" i="3"/>
  <c r="F25" i="3"/>
  <c r="F26" i="3" s="1"/>
  <c r="D25" i="3"/>
  <c r="D26" i="3" s="1"/>
  <c r="C25" i="3"/>
  <c r="J24" i="3"/>
  <c r="H24" i="3"/>
  <c r="C24" i="3"/>
  <c r="J23" i="3"/>
  <c r="I23" i="3"/>
  <c r="H23" i="3"/>
  <c r="H150" i="8" s="1"/>
  <c r="G23" i="3"/>
  <c r="D23" i="3"/>
  <c r="C23" i="3"/>
  <c r="C150" i="8" s="1"/>
  <c r="J22" i="3"/>
  <c r="J28" i="3" s="1"/>
  <c r="I22" i="3"/>
  <c r="D22" i="3"/>
  <c r="J21" i="3"/>
  <c r="J152" i="8" s="1"/>
  <c r="K152" i="8" s="1"/>
  <c r="L152" i="8" s="1"/>
  <c r="M152" i="8" s="1"/>
  <c r="N152" i="8" s="1"/>
  <c r="O152" i="8" s="1"/>
  <c r="I21" i="3"/>
  <c r="I152" i="8" s="1"/>
  <c r="H21" i="3"/>
  <c r="H152" i="8" s="1"/>
  <c r="G21" i="3"/>
  <c r="G152" i="8" s="1"/>
  <c r="F21" i="3"/>
  <c r="F152" i="8" s="1"/>
  <c r="E21" i="3"/>
  <c r="E152" i="8" s="1"/>
  <c r="D21" i="3"/>
  <c r="C21" i="3"/>
  <c r="C22" i="3" s="1"/>
  <c r="J17" i="3"/>
  <c r="H17" i="3"/>
  <c r="D17" i="3"/>
  <c r="C17" i="3"/>
  <c r="J16" i="3"/>
  <c r="J15" i="3"/>
  <c r="H15" i="3"/>
  <c r="C15" i="3"/>
  <c r="J11" i="3"/>
  <c r="D11" i="3"/>
  <c r="J10" i="3"/>
  <c r="J9" i="3"/>
  <c r="J8" i="3"/>
  <c r="J7" i="3"/>
  <c r="I7" i="3"/>
  <c r="J6" i="3"/>
  <c r="I6" i="3"/>
  <c r="C6" i="3"/>
  <c r="J5" i="3"/>
  <c r="I5" i="3"/>
  <c r="H14" i="7" s="1"/>
  <c r="H5" i="3"/>
  <c r="D5" i="3"/>
  <c r="C5" i="3"/>
  <c r="J3" i="3"/>
  <c r="I3" i="3"/>
  <c r="H3" i="3"/>
  <c r="G3" i="3"/>
  <c r="F3" i="3"/>
  <c r="E3" i="3"/>
  <c r="D3" i="3"/>
  <c r="C3" i="3"/>
  <c r="J61" i="2"/>
  <c r="J63" i="2" s="1"/>
  <c r="J60" i="2"/>
  <c r="J59" i="2"/>
  <c r="H59" i="2"/>
  <c r="J58" i="2"/>
  <c r="G58" i="2"/>
  <c r="J57" i="2"/>
  <c r="G57" i="2"/>
  <c r="J56" i="2"/>
  <c r="J55" i="2"/>
  <c r="J54" i="2"/>
  <c r="J53" i="2"/>
  <c r="J52" i="2"/>
  <c r="G52" i="2"/>
  <c r="J51" i="2"/>
  <c r="G51" i="2"/>
  <c r="J50" i="2"/>
  <c r="G50" i="2"/>
  <c r="J49" i="2"/>
  <c r="G49" i="2"/>
  <c r="J48" i="2"/>
  <c r="J47" i="2"/>
  <c r="H47" i="2"/>
  <c r="J46" i="2"/>
  <c r="G46" i="2"/>
  <c r="J45" i="2"/>
  <c r="J44" i="2"/>
  <c r="H44" i="2"/>
  <c r="G44" i="2"/>
  <c r="J43" i="2"/>
  <c r="J42" i="2"/>
  <c r="G42" i="2"/>
  <c r="J41" i="2"/>
  <c r="G41" i="2"/>
  <c r="J40" i="2"/>
  <c r="J39" i="2"/>
  <c r="H39" i="2"/>
  <c r="J38" i="2"/>
  <c r="J37" i="2"/>
  <c r="J36" i="2"/>
  <c r="G36" i="2"/>
  <c r="J35" i="2"/>
  <c r="H35" i="2"/>
  <c r="J34" i="2"/>
  <c r="H34" i="2"/>
  <c r="G34" i="2"/>
  <c r="J33" i="2"/>
  <c r="G33" i="2"/>
  <c r="J32" i="2"/>
  <c r="J31" i="2"/>
  <c r="J30" i="2"/>
  <c r="J29" i="2"/>
  <c r="H29" i="2"/>
  <c r="J28" i="2"/>
  <c r="G28" i="2"/>
  <c r="J27" i="2"/>
  <c r="H27" i="2"/>
  <c r="J26" i="2"/>
  <c r="G26" i="2"/>
  <c r="J25" i="2"/>
  <c r="G25" i="2"/>
  <c r="J24" i="2"/>
  <c r="J23" i="2"/>
  <c r="J22" i="2"/>
  <c r="J16" i="2"/>
  <c r="I16" i="2"/>
  <c r="J15" i="2"/>
  <c r="I15" i="2"/>
  <c r="H15" i="2"/>
  <c r="G15" i="2"/>
  <c r="F15" i="2"/>
  <c r="E15" i="2"/>
  <c r="D15" i="2"/>
  <c r="C15" i="2"/>
  <c r="J14" i="2"/>
  <c r="I14" i="2"/>
  <c r="J13" i="2"/>
  <c r="I13" i="2"/>
  <c r="H13" i="2"/>
  <c r="G13" i="2"/>
  <c r="F13" i="2"/>
  <c r="E13" i="2"/>
  <c r="D13" i="2"/>
  <c r="C13" i="2"/>
  <c r="J12" i="2"/>
  <c r="I12" i="2"/>
  <c r="H12" i="2"/>
  <c r="G12" i="2"/>
  <c r="F12" i="2"/>
  <c r="E12" i="2"/>
  <c r="D12" i="2"/>
  <c r="C12" i="2"/>
  <c r="J11" i="2"/>
  <c r="I11" i="2"/>
  <c r="C11" i="2"/>
  <c r="J10" i="2"/>
  <c r="I10" i="2"/>
  <c r="H10" i="2"/>
  <c r="G10" i="2"/>
  <c r="F10" i="2"/>
  <c r="E10" i="2"/>
  <c r="D10" i="2"/>
  <c r="C10" i="2"/>
  <c r="J9" i="2"/>
  <c r="I9" i="2"/>
  <c r="H9" i="2"/>
  <c r="G9" i="2"/>
  <c r="F9" i="2"/>
  <c r="E9" i="2"/>
  <c r="D9" i="2"/>
  <c r="C9" i="2"/>
  <c r="J8" i="2"/>
  <c r="I8" i="2"/>
  <c r="H8" i="2"/>
  <c r="G8" i="2"/>
  <c r="F8" i="2"/>
  <c r="E8" i="2"/>
  <c r="D8" i="2"/>
  <c r="C8" i="2"/>
  <c r="J7" i="2"/>
  <c r="I7" i="2"/>
  <c r="H7" i="2"/>
  <c r="G7" i="2"/>
  <c r="F7" i="2"/>
  <c r="E7" i="2"/>
  <c r="D7" i="2"/>
  <c r="C7" i="2"/>
  <c r="J6" i="2"/>
  <c r="I6" i="2"/>
  <c r="H6" i="2"/>
  <c r="G6" i="2"/>
  <c r="F6" i="2"/>
  <c r="E6" i="2"/>
  <c r="D6" i="2"/>
  <c r="C6" i="2"/>
  <c r="J5" i="2"/>
  <c r="I5" i="2"/>
  <c r="H5" i="2"/>
  <c r="G5" i="2"/>
  <c r="F5" i="2"/>
  <c r="E5" i="2"/>
  <c r="D5" i="2"/>
  <c r="C5" i="2"/>
  <c r="J4" i="2"/>
  <c r="I4" i="2"/>
  <c r="D4" i="2"/>
  <c r="C4" i="2"/>
  <c r="J3" i="2"/>
  <c r="I3" i="2"/>
  <c r="H3" i="2"/>
  <c r="G3" i="2"/>
  <c r="D3" i="2"/>
  <c r="C3" i="2"/>
  <c r="J2" i="2"/>
  <c r="I2" i="2"/>
  <c r="H2" i="2"/>
  <c r="G2" i="2"/>
  <c r="F2" i="2"/>
  <c r="E2" i="2"/>
  <c r="D2" i="2"/>
  <c r="C2" i="2"/>
  <c r="I62" i="1"/>
  <c r="F62" i="1"/>
  <c r="C62" i="1"/>
  <c r="C33" i="3" s="1"/>
  <c r="I61" i="1"/>
  <c r="I17" i="3" s="1"/>
  <c r="H61" i="1"/>
  <c r="H16" i="3" s="1"/>
  <c r="G61" i="1"/>
  <c r="G17" i="3" s="1"/>
  <c r="F61" i="1"/>
  <c r="F17" i="3" s="1"/>
  <c r="E61" i="1"/>
  <c r="D61" i="1"/>
  <c r="C61" i="1"/>
  <c r="I52" i="1"/>
  <c r="H52" i="1"/>
  <c r="H34" i="3" s="1"/>
  <c r="G52" i="1"/>
  <c r="F52" i="1"/>
  <c r="E52" i="1"/>
  <c r="D52" i="1"/>
  <c r="D34" i="3" s="1"/>
  <c r="C52" i="1"/>
  <c r="I46" i="1"/>
  <c r="H46" i="1"/>
  <c r="G46" i="1"/>
  <c r="F46" i="1"/>
  <c r="E46" i="1"/>
  <c r="D46" i="1"/>
  <c r="C46" i="1"/>
  <c r="G39" i="1"/>
  <c r="G35" i="2" s="1"/>
  <c r="F39" i="1"/>
  <c r="I37" i="1"/>
  <c r="H37" i="1"/>
  <c r="G37" i="1"/>
  <c r="F37" i="1"/>
  <c r="E37" i="1"/>
  <c r="E39" i="1" s="1"/>
  <c r="D37" i="1"/>
  <c r="D15" i="3" s="1"/>
  <c r="C37" i="1"/>
  <c r="C16" i="3" s="1"/>
  <c r="I29" i="1"/>
  <c r="H29" i="1"/>
  <c r="H39" i="1" s="1"/>
  <c r="G29" i="1"/>
  <c r="F29" i="1"/>
  <c r="E29" i="1"/>
  <c r="D29" i="1"/>
  <c r="D39" i="1" s="1"/>
  <c r="C29" i="1"/>
  <c r="C39" i="1" s="1"/>
  <c r="D15" i="1"/>
  <c r="D17" i="1" s="1"/>
  <c r="C15" i="1"/>
  <c r="C17" i="1" s="1"/>
  <c r="G12" i="1"/>
  <c r="G11" i="3" s="1"/>
  <c r="D12" i="1"/>
  <c r="D32" i="3" s="1"/>
  <c r="C12" i="1"/>
  <c r="C32" i="3" s="1"/>
  <c r="H5" i="1"/>
  <c r="H4" i="2" s="1"/>
  <c r="G5" i="1"/>
  <c r="F5" i="1"/>
  <c r="E5" i="1"/>
  <c r="D5" i="1"/>
  <c r="C5" i="1"/>
  <c r="F4" i="1"/>
  <c r="E4" i="1"/>
  <c r="D34" i="11" l="1"/>
  <c r="D59" i="2"/>
  <c r="D43" i="2"/>
  <c r="D35" i="2"/>
  <c r="D27" i="2"/>
  <c r="D53" i="2"/>
  <c r="D37" i="2"/>
  <c r="D29" i="2"/>
  <c r="D54" i="2"/>
  <c r="D46" i="2"/>
  <c r="D38" i="2"/>
  <c r="D30" i="2"/>
  <c r="D56" i="2"/>
  <c r="D44" i="2"/>
  <c r="D39" i="2"/>
  <c r="D24" i="2"/>
  <c r="D49" i="2"/>
  <c r="D34" i="2"/>
  <c r="D58" i="2"/>
  <c r="D52" i="2"/>
  <c r="D47" i="2"/>
  <c r="D32" i="2"/>
  <c r="D22" i="2"/>
  <c r="D50" i="2"/>
  <c r="D36" i="2"/>
  <c r="D41" i="2"/>
  <c r="D26" i="2"/>
  <c r="D57" i="2"/>
  <c r="D42" i="2"/>
  <c r="D25" i="2"/>
  <c r="D33" i="2"/>
  <c r="D23" i="2"/>
  <c r="D48" i="2"/>
  <c r="D31" i="2"/>
  <c r="D60" i="2"/>
  <c r="D55" i="2"/>
  <c r="D40" i="2"/>
  <c r="E45" i="2"/>
  <c r="K17" i="3"/>
  <c r="C34" i="11"/>
  <c r="C58" i="2"/>
  <c r="C50" i="2"/>
  <c r="C42" i="2"/>
  <c r="C34" i="2"/>
  <c r="C26" i="2"/>
  <c r="C52" i="2"/>
  <c r="C44" i="2"/>
  <c r="C53" i="2"/>
  <c r="C37" i="2"/>
  <c r="C29" i="2"/>
  <c r="C51" i="2"/>
  <c r="C41" i="2"/>
  <c r="C9" i="3"/>
  <c r="C56" i="2"/>
  <c r="C54" i="2"/>
  <c r="C39" i="2"/>
  <c r="C24" i="2"/>
  <c r="C46" i="2"/>
  <c r="C59" i="2"/>
  <c r="C49" i="2"/>
  <c r="C27" i="2"/>
  <c r="C40" i="2"/>
  <c r="C43" i="2"/>
  <c r="C33" i="2"/>
  <c r="C48" i="2"/>
  <c r="C47" i="2"/>
  <c r="C32" i="2"/>
  <c r="C30" i="2"/>
  <c r="C22" i="2"/>
  <c r="C55" i="2"/>
  <c r="C23" i="2"/>
  <c r="C57" i="2"/>
  <c r="C35" i="2"/>
  <c r="C25" i="2"/>
  <c r="C38" i="2"/>
  <c r="C31" i="2"/>
  <c r="I4" i="4"/>
  <c r="E34" i="11"/>
  <c r="E52" i="2"/>
  <c r="E44" i="2"/>
  <c r="E54" i="2"/>
  <c r="E46" i="2"/>
  <c r="E38" i="2"/>
  <c r="E30" i="2"/>
  <c r="E55" i="2"/>
  <c r="E47" i="2"/>
  <c r="E39" i="2"/>
  <c r="E31" i="2"/>
  <c r="E49" i="2"/>
  <c r="E34" i="2"/>
  <c r="E59" i="2"/>
  <c r="E37" i="2"/>
  <c r="E32" i="2"/>
  <c r="E27" i="2"/>
  <c r="E22" i="2"/>
  <c r="E57" i="2"/>
  <c r="E42" i="2"/>
  <c r="E25" i="2"/>
  <c r="E58" i="2"/>
  <c r="E51" i="2"/>
  <c r="E29" i="2"/>
  <c r="E40" i="2"/>
  <c r="E35" i="2"/>
  <c r="E41" i="2"/>
  <c r="E26" i="2"/>
  <c r="E50" i="2"/>
  <c r="E33" i="2"/>
  <c r="E23" i="2"/>
  <c r="E53" i="2"/>
  <c r="E48" i="2"/>
  <c r="E43" i="2"/>
  <c r="E56" i="2"/>
  <c r="E24" i="2"/>
  <c r="K5" i="3"/>
  <c r="C52" i="3"/>
  <c r="C50" i="3"/>
  <c r="C51" i="3" s="1"/>
  <c r="C8" i="3"/>
  <c r="C20" i="1"/>
  <c r="C16" i="2"/>
  <c r="C10" i="3"/>
  <c r="C7" i="3"/>
  <c r="D7" i="3"/>
  <c r="D50" i="3"/>
  <c r="D51" i="3" s="1"/>
  <c r="D20" i="1"/>
  <c r="D16" i="2"/>
  <c r="D10" i="3"/>
  <c r="D52" i="3"/>
  <c r="D8" i="3"/>
  <c r="I61" i="2"/>
  <c r="I24" i="11"/>
  <c r="I25" i="11" s="1"/>
  <c r="I25" i="5"/>
  <c r="H22" i="7"/>
  <c r="F22" i="7"/>
  <c r="H24" i="11"/>
  <c r="H25" i="11" s="1"/>
  <c r="H25" i="5"/>
  <c r="C35" i="11"/>
  <c r="C45" i="2"/>
  <c r="H144" i="8"/>
  <c r="H16" i="12"/>
  <c r="H12" i="12"/>
  <c r="F154" i="8"/>
  <c r="C11" i="3"/>
  <c r="H34" i="11"/>
  <c r="H54" i="2"/>
  <c r="H46" i="2"/>
  <c r="H38" i="2"/>
  <c r="H30" i="2"/>
  <c r="H56" i="2"/>
  <c r="H48" i="2"/>
  <c r="H40" i="2"/>
  <c r="H32" i="2"/>
  <c r="H24" i="2"/>
  <c r="H57" i="2"/>
  <c r="H49" i="2"/>
  <c r="H41" i="2"/>
  <c r="H33" i="2"/>
  <c r="H25" i="2"/>
  <c r="I16" i="3"/>
  <c r="I15" i="3"/>
  <c r="F51" i="2"/>
  <c r="H31" i="2"/>
  <c r="H51" i="2"/>
  <c r="J16" i="12"/>
  <c r="J12" i="12"/>
  <c r="I39" i="1"/>
  <c r="I51" i="2" s="1"/>
  <c r="F35" i="11"/>
  <c r="F45" i="2"/>
  <c r="G62" i="1"/>
  <c r="G34" i="3"/>
  <c r="D11" i="2"/>
  <c r="H26" i="2"/>
  <c r="D28" i="2"/>
  <c r="H36" i="2"/>
  <c r="G38" i="2"/>
  <c r="G43" i="2"/>
  <c r="H53" i="2"/>
  <c r="H58" i="2"/>
  <c r="D150" i="8"/>
  <c r="D151" i="8" s="1"/>
  <c r="D24" i="3"/>
  <c r="I13" i="7"/>
  <c r="E5" i="3"/>
  <c r="E12" i="1"/>
  <c r="I33" i="3"/>
  <c r="G14" i="7" s="1"/>
  <c r="C14" i="2"/>
  <c r="D14" i="2"/>
  <c r="I5" i="4"/>
  <c r="I109" i="8" s="1"/>
  <c r="I144" i="8" s="1"/>
  <c r="C40" i="12"/>
  <c r="J24" i="11"/>
  <c r="J25" i="11" s="1"/>
  <c r="J25" i="5"/>
  <c r="E8" i="5" s="1"/>
  <c r="F141" i="8"/>
  <c r="F4" i="12"/>
  <c r="F6" i="12" s="1"/>
  <c r="F11" i="12" s="1"/>
  <c r="G144" i="8"/>
  <c r="G16" i="12"/>
  <c r="G12" i="12"/>
  <c r="G6" i="12"/>
  <c r="G11" i="12" s="1"/>
  <c r="E22" i="8"/>
  <c r="E5" i="12" s="1"/>
  <c r="E3" i="4"/>
  <c r="E25" i="3"/>
  <c r="E23" i="3"/>
  <c r="C36" i="2"/>
  <c r="I64" i="1"/>
  <c r="H23" i="2"/>
  <c r="H43" i="2"/>
  <c r="H55" i="2"/>
  <c r="G60" i="2"/>
  <c r="D16" i="3"/>
  <c r="K16" i="3" s="1"/>
  <c r="G150" i="8"/>
  <c r="G24" i="3"/>
  <c r="E4" i="4"/>
  <c r="E6" i="4" s="1"/>
  <c r="E8" i="4" s="1"/>
  <c r="E10" i="4" s="1"/>
  <c r="D144" i="8"/>
  <c r="D16" i="12"/>
  <c r="D12" i="12"/>
  <c r="H23" i="7"/>
  <c r="F23" i="7"/>
  <c r="F8" i="7"/>
  <c r="J8" i="7"/>
  <c r="C152" i="8"/>
  <c r="D51" i="2"/>
  <c r="D62" i="1"/>
  <c r="F144" i="8"/>
  <c r="F16" i="12"/>
  <c r="F12" i="12"/>
  <c r="D35" i="11"/>
  <c r="C64" i="1"/>
  <c r="G5" i="3"/>
  <c r="G4" i="2"/>
  <c r="E35" i="11"/>
  <c r="C24" i="11"/>
  <c r="C25" i="11" s="1"/>
  <c r="C25" i="5"/>
  <c r="G35" i="11"/>
  <c r="G45" i="2"/>
  <c r="F23" i="3"/>
  <c r="F3" i="2"/>
  <c r="C28" i="2"/>
  <c r="H35" i="11"/>
  <c r="C36" i="11"/>
  <c r="C61" i="2"/>
  <c r="H28" i="2"/>
  <c r="G30" i="2"/>
  <c r="H45" i="2"/>
  <c r="H50" i="2"/>
  <c r="H60" i="2"/>
  <c r="K21" i="3"/>
  <c r="H39" i="5"/>
  <c r="E38" i="5"/>
  <c r="I39" i="5"/>
  <c r="E39" i="5"/>
  <c r="I38" i="5"/>
  <c r="I37" i="5"/>
  <c r="J14" i="7" s="1"/>
  <c r="G13" i="7"/>
  <c r="E17" i="3"/>
  <c r="E60" i="2"/>
  <c r="F5" i="3"/>
  <c r="F12" i="1"/>
  <c r="F4" i="2"/>
  <c r="E62" i="1"/>
  <c r="G32" i="3"/>
  <c r="G9" i="3"/>
  <c r="G6" i="3"/>
  <c r="G11" i="2"/>
  <c r="G15" i="1"/>
  <c r="E36" i="2"/>
  <c r="E16" i="3"/>
  <c r="E15" i="3"/>
  <c r="K15" i="3" s="1"/>
  <c r="F34" i="11"/>
  <c r="F59" i="2"/>
  <c r="F58" i="2"/>
  <c r="F57" i="2"/>
  <c r="F56" i="2"/>
  <c r="F55" i="2"/>
  <c r="F54" i="2"/>
  <c r="F53" i="2"/>
  <c r="F52" i="2"/>
  <c r="F50" i="2"/>
  <c r="F49" i="2"/>
  <c r="F48" i="2"/>
  <c r="F47" i="2"/>
  <c r="F46" i="2"/>
  <c r="F44" i="2"/>
  <c r="F43" i="2"/>
  <c r="F42" i="2"/>
  <c r="F41" i="2"/>
  <c r="F40" i="2"/>
  <c r="F39" i="2"/>
  <c r="F38" i="2"/>
  <c r="F37" i="2"/>
  <c r="F35" i="2"/>
  <c r="F34" i="2"/>
  <c r="F33" i="2"/>
  <c r="F32" i="2"/>
  <c r="F31" i="2"/>
  <c r="F30" i="2"/>
  <c r="F29" i="2"/>
  <c r="F27" i="2"/>
  <c r="F26" i="2"/>
  <c r="F25" i="2"/>
  <c r="F24" i="2"/>
  <c r="F23" i="2"/>
  <c r="F22" i="2"/>
  <c r="C60" i="2"/>
  <c r="F36" i="11"/>
  <c r="F33" i="3"/>
  <c r="F61" i="2"/>
  <c r="F63" i="2" s="1"/>
  <c r="F64" i="1"/>
  <c r="E4" i="2"/>
  <c r="I150" i="8"/>
  <c r="I151" i="8" s="1"/>
  <c r="I24" i="3"/>
  <c r="I28" i="3" s="1"/>
  <c r="C154" i="8"/>
  <c r="C26" i="3"/>
  <c r="C28" i="3" s="1"/>
  <c r="H12" i="1"/>
  <c r="E28" i="2"/>
  <c r="F16" i="3"/>
  <c r="F36" i="2"/>
  <c r="F15" i="3"/>
  <c r="G34" i="11"/>
  <c r="G53" i="2"/>
  <c r="G37" i="2"/>
  <c r="G29" i="2"/>
  <c r="G55" i="2"/>
  <c r="G47" i="2"/>
  <c r="G39" i="2"/>
  <c r="G31" i="2"/>
  <c r="G23" i="2"/>
  <c r="G22" i="2"/>
  <c r="G56" i="2"/>
  <c r="G48" i="2"/>
  <c r="G40" i="2"/>
  <c r="G32" i="2"/>
  <c r="G24" i="2"/>
  <c r="H62" i="1"/>
  <c r="E3" i="2"/>
  <c r="H22" i="2"/>
  <c r="G27" i="2"/>
  <c r="H37" i="2"/>
  <c r="H42" i="2"/>
  <c r="H52" i="2"/>
  <c r="G54" i="2"/>
  <c r="G59" i="2"/>
  <c r="D6" i="3"/>
  <c r="D9" i="3"/>
  <c r="G22" i="3"/>
  <c r="E7" i="5"/>
  <c r="E9" i="5" s="1"/>
  <c r="G23" i="5"/>
  <c r="F25" i="5"/>
  <c r="E12" i="12"/>
  <c r="E16" i="12"/>
  <c r="J128" i="8"/>
  <c r="J14" i="12"/>
  <c r="H153" i="8"/>
  <c r="H4" i="12"/>
  <c r="H6" i="12" s="1"/>
  <c r="H11" i="12" s="1"/>
  <c r="H13" i="12" s="1"/>
  <c r="H15" i="12" s="1"/>
  <c r="F28" i="2"/>
  <c r="G15" i="3"/>
  <c r="I35" i="11"/>
  <c r="I10" i="3"/>
  <c r="I14" i="7" s="1"/>
  <c r="E22" i="3"/>
  <c r="C144" i="8"/>
  <c r="C12" i="12"/>
  <c r="C16" i="12"/>
  <c r="I6" i="12"/>
  <c r="I11" i="12" s="1"/>
  <c r="C34" i="3"/>
  <c r="D45" i="2"/>
  <c r="G16" i="3"/>
  <c r="F22" i="3"/>
  <c r="E23" i="5"/>
  <c r="N51" i="7"/>
  <c r="F10" i="7"/>
  <c r="E14" i="12"/>
  <c r="E34" i="3"/>
  <c r="F60" i="2"/>
  <c r="I11" i="3"/>
  <c r="H22" i="3"/>
  <c r="H28" i="3" s="1"/>
  <c r="G26" i="3"/>
  <c r="G154" i="8"/>
  <c r="I52" i="3"/>
  <c r="F26" i="4"/>
  <c r="F3" i="4" s="1"/>
  <c r="F4" i="4" s="1"/>
  <c r="D13" i="7"/>
  <c r="E9" i="7"/>
  <c r="D153" i="8"/>
  <c r="D4" i="12"/>
  <c r="D6" i="12" s="1"/>
  <c r="D11" i="12" s="1"/>
  <c r="D13" i="12" s="1"/>
  <c r="D15" i="12" s="1"/>
  <c r="F14" i="12"/>
  <c r="J11" i="12"/>
  <c r="J13" i="12" s="1"/>
  <c r="J15" i="12" s="1"/>
  <c r="D14" i="7"/>
  <c r="E30" i="7"/>
  <c r="C11" i="12"/>
  <c r="C13" i="12" s="1"/>
  <c r="K28" i="8"/>
  <c r="K32" i="8" s="1"/>
  <c r="K30" i="8"/>
  <c r="I128" i="8"/>
  <c r="I14" i="12"/>
  <c r="F25" i="7"/>
  <c r="E141" i="8"/>
  <c r="E145" i="8" s="1"/>
  <c r="E4" i="12"/>
  <c r="E6" i="12" s="1"/>
  <c r="E11" i="12" s="1"/>
  <c r="E13" i="12" s="1"/>
  <c r="E15" i="12" s="1"/>
  <c r="C128" i="8"/>
  <c r="C14" i="12"/>
  <c r="J77" i="8"/>
  <c r="I10" i="8"/>
  <c r="D59" i="8"/>
  <c r="J11" i="8"/>
  <c r="J24" i="8"/>
  <c r="I23" i="8"/>
  <c r="F59" i="8"/>
  <c r="J59" i="8"/>
  <c r="I75" i="8"/>
  <c r="E92" i="8"/>
  <c r="E76" i="8"/>
  <c r="G58" i="8"/>
  <c r="D40" i="8"/>
  <c r="J111" i="8"/>
  <c r="J153" i="8"/>
  <c r="E58" i="8"/>
  <c r="I58" i="8"/>
  <c r="F10" i="8"/>
  <c r="D24" i="8"/>
  <c r="H24" i="8"/>
  <c r="E41" i="8"/>
  <c r="I41" i="8"/>
  <c r="F93" i="8"/>
  <c r="E111" i="8"/>
  <c r="D141" i="8"/>
  <c r="D145" i="8" s="1"/>
  <c r="J141" i="8"/>
  <c r="K141" i="8" s="1"/>
  <c r="L141" i="8" s="1"/>
  <c r="M141" i="8" s="1"/>
  <c r="N141" i="8" s="1"/>
  <c r="O141" i="8" s="1"/>
  <c r="D41" i="8"/>
  <c r="J60" i="8"/>
  <c r="I76" i="8"/>
  <c r="H111" i="8"/>
  <c r="H141" i="8"/>
  <c r="H145" i="8" s="1"/>
  <c r="I24" i="8"/>
  <c r="F40" i="8"/>
  <c r="J40" i="8"/>
  <c r="H59" i="8"/>
  <c r="H58" i="8"/>
  <c r="C76" i="8"/>
  <c r="E75" i="8"/>
  <c r="F92" i="8"/>
  <c r="D127" i="8"/>
  <c r="D155" i="8"/>
  <c r="E10" i="8"/>
  <c r="H41" i="8"/>
  <c r="D111" i="8"/>
  <c r="J129" i="8"/>
  <c r="D76" i="8"/>
  <c r="D93" i="8"/>
  <c r="H93" i="8"/>
  <c r="H151" i="8"/>
  <c r="H155" i="8"/>
  <c r="C141" i="8"/>
  <c r="C145" i="8" s="1"/>
  <c r="C153" i="8"/>
  <c r="G141" i="8"/>
  <c r="G145" i="8" s="1"/>
  <c r="G10" i="8"/>
  <c r="G24" i="8"/>
  <c r="I59" i="8"/>
  <c r="C111" i="8"/>
  <c r="I127" i="8"/>
  <c r="H127" i="8"/>
  <c r="E127" i="8"/>
  <c r="J23" i="8"/>
  <c r="F41" i="8"/>
  <c r="J42" i="8"/>
  <c r="G76" i="8"/>
  <c r="G75" i="8"/>
  <c r="I93" i="8"/>
  <c r="I92" i="8"/>
  <c r="E93" i="8"/>
  <c r="G111" i="8"/>
  <c r="D128" i="8"/>
  <c r="G153" i="8"/>
  <c r="F155" i="8"/>
  <c r="J155" i="8"/>
  <c r="J151" i="8"/>
  <c r="J25" i="8"/>
  <c r="E23" i="8"/>
  <c r="E24" i="8"/>
  <c r="C41" i="8"/>
  <c r="G41" i="8"/>
  <c r="G40" i="8"/>
  <c r="J41" i="8"/>
  <c r="C59" i="8"/>
  <c r="G59" i="8"/>
  <c r="H75" i="8"/>
  <c r="J94" i="8"/>
  <c r="J93" i="8"/>
  <c r="J92" i="8"/>
  <c r="F153" i="8"/>
  <c r="F145" i="8"/>
  <c r="C155" i="8"/>
  <c r="C151" i="8"/>
  <c r="C24" i="8"/>
  <c r="G155" i="8"/>
  <c r="G151" i="8"/>
  <c r="G23" i="8"/>
  <c r="F24" i="8"/>
  <c r="H40" i="8"/>
  <c r="E59" i="8"/>
  <c r="D75" i="8"/>
  <c r="H76" i="8"/>
  <c r="G128" i="8"/>
  <c r="G127" i="8"/>
  <c r="I155" i="8"/>
  <c r="D58" i="8"/>
  <c r="C93" i="8"/>
  <c r="G93" i="8"/>
  <c r="J144" i="8"/>
  <c r="J112" i="8"/>
  <c r="F110" i="8"/>
  <c r="F111" i="8"/>
  <c r="E153" i="8"/>
  <c r="I153" i="8"/>
  <c r="F76" i="8"/>
  <c r="J76" i="8"/>
  <c r="G110" i="8"/>
  <c r="I141" i="8"/>
  <c r="I145" i="8" s="1"/>
  <c r="D10" i="8"/>
  <c r="H10" i="8"/>
  <c r="D23" i="8"/>
  <c r="H23" i="8"/>
  <c r="E40" i="8"/>
  <c r="I40" i="8"/>
  <c r="F58" i="8"/>
  <c r="J58" i="8"/>
  <c r="F75" i="8"/>
  <c r="J75" i="8"/>
  <c r="G92" i="8"/>
  <c r="D110" i="8"/>
  <c r="H110" i="8"/>
  <c r="F127" i="8"/>
  <c r="J127" i="8"/>
  <c r="E144" i="8"/>
  <c r="D92" i="8"/>
  <c r="H92" i="8"/>
  <c r="E110" i="8"/>
  <c r="H34" i="5"/>
  <c r="D34" i="5"/>
  <c r="H33" i="5"/>
  <c r="D33" i="5"/>
  <c r="H32" i="5"/>
  <c r="D32" i="5"/>
  <c r="F14" i="7"/>
  <c r="G34" i="5"/>
  <c r="C34" i="5"/>
  <c r="G33" i="5"/>
  <c r="C33" i="5"/>
  <c r="G32" i="5"/>
  <c r="C32" i="5"/>
  <c r="I33" i="5"/>
  <c r="J34" i="5"/>
  <c r="J33" i="5"/>
  <c r="L14" i="7" s="1"/>
  <c r="J32" i="5"/>
  <c r="F32" i="5"/>
  <c r="E34" i="5"/>
  <c r="E33" i="5"/>
  <c r="I32" i="5"/>
  <c r="K14" i="7" s="1"/>
  <c r="E32" i="5"/>
  <c r="J37" i="5"/>
  <c r="F38" i="5"/>
  <c r="J38" i="5"/>
  <c r="F39" i="5"/>
  <c r="J39" i="5"/>
  <c r="E14" i="7"/>
  <c r="C37" i="5"/>
  <c r="C38" i="5"/>
  <c r="G38" i="5"/>
  <c r="C39" i="5"/>
  <c r="G39" i="5"/>
  <c r="D37" i="5"/>
  <c r="D38" i="5"/>
  <c r="H38" i="5"/>
  <c r="D39" i="5"/>
  <c r="F6" i="4" l="1"/>
  <c r="F33" i="5"/>
  <c r="F28" i="3"/>
  <c r="J13" i="7"/>
  <c r="D19" i="7" s="1"/>
  <c r="D26" i="7" s="1"/>
  <c r="F150" i="8"/>
  <c r="F151" i="8" s="1"/>
  <c r="F24" i="3"/>
  <c r="F9" i="7"/>
  <c r="J9" i="7"/>
  <c r="H36" i="11"/>
  <c r="H64" i="1"/>
  <c r="H33" i="3"/>
  <c r="H61" i="2"/>
  <c r="H63" i="2" s="1"/>
  <c r="C15" i="12"/>
  <c r="L8" i="7"/>
  <c r="F13" i="7"/>
  <c r="K8" i="7"/>
  <c r="I12" i="12"/>
  <c r="I16" i="12"/>
  <c r="D28" i="3"/>
  <c r="E13" i="7"/>
  <c r="E150" i="8"/>
  <c r="E151" i="8" s="1"/>
  <c r="E156" i="8" s="1"/>
  <c r="E24" i="3"/>
  <c r="K24" i="3" s="1"/>
  <c r="K23" i="3"/>
  <c r="L14" i="8"/>
  <c r="K14" i="8"/>
  <c r="N14" i="8"/>
  <c r="M14" i="8"/>
  <c r="O14" i="8"/>
  <c r="I13" i="12"/>
  <c r="I15" i="12" s="1"/>
  <c r="G24" i="11"/>
  <c r="G25" i="11" s="1"/>
  <c r="J26" i="11" s="1"/>
  <c r="J28" i="11" s="1"/>
  <c r="J37" i="11" s="1"/>
  <c r="C29" i="12" s="1"/>
  <c r="G25" i="5"/>
  <c r="E36" i="11"/>
  <c r="E33" i="3"/>
  <c r="E64" i="1"/>
  <c r="E61" i="2"/>
  <c r="E63" i="2" s="1"/>
  <c r="E154" i="8"/>
  <c r="E155" i="8" s="1"/>
  <c r="E26" i="3"/>
  <c r="K26" i="3" s="1"/>
  <c r="I36" i="11"/>
  <c r="J110" i="8"/>
  <c r="K34" i="3"/>
  <c r="C63" i="2"/>
  <c r="F13" i="12"/>
  <c r="F15" i="12" s="1"/>
  <c r="G36" i="11"/>
  <c r="G61" i="2"/>
  <c r="G63" i="2" s="1"/>
  <c r="G33" i="3"/>
  <c r="G64" i="1"/>
  <c r="I110" i="8"/>
  <c r="I111" i="8"/>
  <c r="J113" i="8" s="1"/>
  <c r="L10" i="7"/>
  <c r="K10" i="7"/>
  <c r="H11" i="3"/>
  <c r="H32" i="3"/>
  <c r="H15" i="1"/>
  <c r="H11" i="2"/>
  <c r="H9" i="3"/>
  <c r="H6" i="3"/>
  <c r="K22" i="3"/>
  <c r="D36" i="11"/>
  <c r="D33" i="3"/>
  <c r="D61" i="2"/>
  <c r="D63" i="2" s="1"/>
  <c r="D64" i="1"/>
  <c r="E32" i="3"/>
  <c r="K32" i="3" s="1"/>
  <c r="E6" i="3"/>
  <c r="K6" i="3" s="1"/>
  <c r="E11" i="3"/>
  <c r="K11" i="3" s="1"/>
  <c r="E9" i="3"/>
  <c r="K9" i="3" s="1"/>
  <c r="E11" i="2"/>
  <c r="E15" i="1"/>
  <c r="G28" i="3"/>
  <c r="F11" i="3"/>
  <c r="F9" i="3"/>
  <c r="F6" i="3"/>
  <c r="F11" i="2"/>
  <c r="F15" i="1"/>
  <c r="F32" i="3"/>
  <c r="I34" i="11"/>
  <c r="I9" i="3"/>
  <c r="I8" i="3"/>
  <c r="I55" i="2"/>
  <c r="I47" i="2"/>
  <c r="I39" i="2"/>
  <c r="I31" i="2"/>
  <c r="I23" i="2"/>
  <c r="I22" i="2"/>
  <c r="I57" i="2"/>
  <c r="I49" i="2"/>
  <c r="I41" i="2"/>
  <c r="I33" i="2"/>
  <c r="I25" i="2"/>
  <c r="I58" i="2"/>
  <c r="I50" i="2"/>
  <c r="I42" i="2"/>
  <c r="I34" i="2"/>
  <c r="I26" i="2"/>
  <c r="I35" i="2"/>
  <c r="I32" i="2"/>
  <c r="I60" i="2"/>
  <c r="I45" i="2"/>
  <c r="I63" i="2" s="1"/>
  <c r="I30" i="2"/>
  <c r="I28" i="2"/>
  <c r="I43" i="2"/>
  <c r="I40" i="2"/>
  <c r="I44" i="2"/>
  <c r="I29" i="2"/>
  <c r="I56" i="2"/>
  <c r="I27" i="2"/>
  <c r="I24" i="2"/>
  <c r="I54" i="2"/>
  <c r="I53" i="2"/>
  <c r="I38" i="2"/>
  <c r="I59" i="2"/>
  <c r="I37" i="2"/>
  <c r="I48" i="2"/>
  <c r="I46" i="2"/>
  <c r="I52" i="2"/>
  <c r="F20" i="7"/>
  <c r="I6" i="4"/>
  <c r="F23" i="8"/>
  <c r="D19" i="12"/>
  <c r="E24" i="11"/>
  <c r="E25" i="11" s="1"/>
  <c r="E25" i="5"/>
  <c r="G14" i="2"/>
  <c r="G17" i="1"/>
  <c r="I36" i="2"/>
  <c r="G13" i="12"/>
  <c r="G15" i="12" s="1"/>
  <c r="K25" i="3"/>
  <c r="M32" i="12"/>
  <c r="K32" i="12"/>
  <c r="N32" i="12"/>
  <c r="O32" i="12"/>
  <c r="L32" i="12"/>
  <c r="J145" i="8"/>
  <c r="K142" i="8" s="1"/>
  <c r="J61" i="8"/>
  <c r="K59" i="8" s="1"/>
  <c r="H156" i="8"/>
  <c r="J156" i="8"/>
  <c r="D156" i="8"/>
  <c r="I156" i="8"/>
  <c r="J78" i="8"/>
  <c r="K76" i="8" s="1"/>
  <c r="J26" i="8"/>
  <c r="G156" i="8"/>
  <c r="F156" i="8"/>
  <c r="J142" i="8"/>
  <c r="J143" i="8" s="1"/>
  <c r="J17" i="12" s="1"/>
  <c r="G142" i="8"/>
  <c r="E142" i="8"/>
  <c r="E143" i="8" s="1"/>
  <c r="E17" i="12" s="1"/>
  <c r="J43" i="8"/>
  <c r="K41" i="8" s="1"/>
  <c r="C143" i="8"/>
  <c r="C17" i="12" s="1"/>
  <c r="D142" i="8"/>
  <c r="D143" i="8" s="1"/>
  <c r="D17" i="12" s="1"/>
  <c r="I142" i="8"/>
  <c r="I143" i="8" s="1"/>
  <c r="I17" i="12" s="1"/>
  <c r="G143" i="8"/>
  <c r="G17" i="12" s="1"/>
  <c r="H142" i="8"/>
  <c r="H143" i="8" s="1"/>
  <c r="H17" i="12" s="1"/>
  <c r="J95" i="8"/>
  <c r="F142" i="8"/>
  <c r="F143" i="8" s="1"/>
  <c r="F17" i="12" s="1"/>
  <c r="C156" i="8"/>
  <c r="D157" i="8" s="1"/>
  <c r="D18" i="12" s="1"/>
  <c r="N111" i="8" l="1"/>
  <c r="N116" i="8" s="1"/>
  <c r="M111" i="8"/>
  <c r="M116" i="8" s="1"/>
  <c r="H19" i="12"/>
  <c r="E28" i="3"/>
  <c r="K28" i="3" s="1"/>
  <c r="O15" i="8"/>
  <c r="O13" i="8"/>
  <c r="O17" i="8" s="1"/>
  <c r="M15" i="8"/>
  <c r="M13" i="8"/>
  <c r="M17" i="8" s="1"/>
  <c r="K46" i="8"/>
  <c r="L41" i="8"/>
  <c r="I157" i="8"/>
  <c r="I18" i="12" s="1"/>
  <c r="G52" i="3"/>
  <c r="G8" i="3"/>
  <c r="G7" i="3"/>
  <c r="G16" i="2"/>
  <c r="G10" i="3"/>
  <c r="G20" i="1"/>
  <c r="G50" i="3"/>
  <c r="G51" i="3" s="1"/>
  <c r="G37" i="5"/>
  <c r="H17" i="1"/>
  <c r="H14" i="2"/>
  <c r="H128" i="8"/>
  <c r="J130" i="8" s="1"/>
  <c r="N15" i="8"/>
  <c r="N13" i="8"/>
  <c r="N17" i="8" s="1"/>
  <c r="I19" i="12"/>
  <c r="K64" i="8"/>
  <c r="I8" i="4"/>
  <c r="I10" i="4" s="1"/>
  <c r="I34" i="5"/>
  <c r="F14" i="2"/>
  <c r="F17" i="1"/>
  <c r="F128" i="8"/>
  <c r="K15" i="8"/>
  <c r="K13" i="8"/>
  <c r="K17" i="8" s="1"/>
  <c r="L9" i="7"/>
  <c r="L13" i="7" s="1"/>
  <c r="F19" i="7" s="1"/>
  <c r="F21" i="7" s="1"/>
  <c r="F24" i="7" s="1"/>
  <c r="F26" i="7" s="1"/>
  <c r="K9" i="7"/>
  <c r="K13" i="7" s="1"/>
  <c r="H19" i="7" s="1"/>
  <c r="H21" i="7" s="1"/>
  <c r="H24" i="7" s="1"/>
  <c r="H26" i="7" s="1"/>
  <c r="E17" i="1"/>
  <c r="E14" i="2"/>
  <c r="E128" i="8"/>
  <c r="K33" i="3"/>
  <c r="L15" i="8"/>
  <c r="L13" i="8"/>
  <c r="L17" i="8" s="1"/>
  <c r="C19" i="12"/>
  <c r="L76" i="8"/>
  <c r="K81" i="8"/>
  <c r="F8" i="4"/>
  <c r="F10" i="4" s="1"/>
  <c r="F34" i="5"/>
  <c r="K111" i="8"/>
  <c r="K116" i="8" s="1"/>
  <c r="O111" i="8"/>
  <c r="O116" i="8" s="1"/>
  <c r="L111" i="8"/>
  <c r="L116" i="8" s="1"/>
  <c r="L59" i="8"/>
  <c r="J157" i="8"/>
  <c r="J18" i="12" s="1"/>
  <c r="J19" i="12" s="1"/>
  <c r="E157" i="8"/>
  <c r="E18" i="12" s="1"/>
  <c r="E19" i="12" s="1"/>
  <c r="G157" i="8"/>
  <c r="G18" i="12" s="1"/>
  <c r="G19" i="12" s="1"/>
  <c r="H157" i="8"/>
  <c r="H18" i="12" s="1"/>
  <c r="L93" i="8"/>
  <c r="O93" i="8"/>
  <c r="O98" i="8" s="1"/>
  <c r="K93" i="8"/>
  <c r="M93" i="8"/>
  <c r="N93" i="8"/>
  <c r="N98" i="8" s="1"/>
  <c r="F157" i="8"/>
  <c r="F18" i="12" s="1"/>
  <c r="F19" i="12" s="1"/>
  <c r="E28" i="7" l="1"/>
  <c r="E32" i="7" s="1"/>
  <c r="N97" i="8"/>
  <c r="N101" i="8" s="1"/>
  <c r="N99" i="8"/>
  <c r="M98" i="8"/>
  <c r="M59" i="8"/>
  <c r="M64" i="8" s="1"/>
  <c r="L64" i="8"/>
  <c r="K65" i="8"/>
  <c r="K63" i="8"/>
  <c r="K67" i="8" s="1"/>
  <c r="K98" i="8"/>
  <c r="O99" i="8"/>
  <c r="O97" i="8"/>
  <c r="O101" i="8" s="1"/>
  <c r="K82" i="8"/>
  <c r="K80" i="8"/>
  <c r="K84" i="8" s="1"/>
  <c r="K47" i="8"/>
  <c r="K45" i="8"/>
  <c r="K49" i="8" s="1"/>
  <c r="L98" i="8"/>
  <c r="O117" i="8"/>
  <c r="O115" i="8"/>
  <c r="O119" i="8" s="1"/>
  <c r="K117" i="8"/>
  <c r="K115" i="8"/>
  <c r="K119" i="8" s="1"/>
  <c r="L81" i="8"/>
  <c r="M76" i="8"/>
  <c r="E52" i="3"/>
  <c r="E50" i="3"/>
  <c r="E51" i="3" s="1"/>
  <c r="E10" i="3"/>
  <c r="E7" i="3"/>
  <c r="E20" i="1"/>
  <c r="E16" i="2"/>
  <c r="E8" i="3"/>
  <c r="K8" i="3" s="1"/>
  <c r="E37" i="5"/>
  <c r="J46" i="3"/>
  <c r="J45" i="3"/>
  <c r="J47" i="3" s="1"/>
  <c r="M117" i="8"/>
  <c r="M115" i="8"/>
  <c r="M119" i="8" s="1"/>
  <c r="H10" i="3"/>
  <c r="H7" i="3"/>
  <c r="H16" i="2"/>
  <c r="H8" i="3"/>
  <c r="H52" i="3"/>
  <c r="H50" i="3"/>
  <c r="H51" i="3" s="1"/>
  <c r="H37" i="5"/>
  <c r="L117" i="8"/>
  <c r="L115" i="8"/>
  <c r="L119" i="8" s="1"/>
  <c r="K9" i="8"/>
  <c r="L9" i="8"/>
  <c r="M9" i="8"/>
  <c r="L46" i="8"/>
  <c r="M41" i="8"/>
  <c r="F10" i="3"/>
  <c r="F52" i="3"/>
  <c r="F8" i="3"/>
  <c r="F7" i="3"/>
  <c r="F16" i="2"/>
  <c r="F50" i="3"/>
  <c r="F51" i="3" s="1"/>
  <c r="F20" i="1"/>
  <c r="F37" i="5"/>
  <c r="N115" i="8"/>
  <c r="N119" i="8" s="1"/>
  <c r="N117" i="8"/>
  <c r="N59" i="8"/>
  <c r="N64" i="8" s="1"/>
  <c r="L109" i="8" l="1"/>
  <c r="M65" i="8"/>
  <c r="M63" i="8"/>
  <c r="M67" i="8" s="1"/>
  <c r="M57" i="8" s="1"/>
  <c r="M8" i="12" s="1"/>
  <c r="L22" i="8"/>
  <c r="L153" i="8"/>
  <c r="L145" i="8"/>
  <c r="M142" i="8" s="1"/>
  <c r="L4" i="12"/>
  <c r="M22" i="8"/>
  <c r="M4" i="12"/>
  <c r="M145" i="8"/>
  <c r="N142" i="8" s="1"/>
  <c r="M153" i="8"/>
  <c r="K109" i="8"/>
  <c r="L65" i="8"/>
  <c r="L63" i="8"/>
  <c r="L67" i="8" s="1"/>
  <c r="L57" i="8" s="1"/>
  <c r="L8" i="12" s="1"/>
  <c r="N63" i="8"/>
  <c r="N67" i="8" s="1"/>
  <c r="N57" i="8" s="1"/>
  <c r="N8" i="12" s="1"/>
  <c r="N65" i="8"/>
  <c r="K7" i="3"/>
  <c r="L45" i="8"/>
  <c r="L49" i="8" s="1"/>
  <c r="L39" i="8" s="1"/>
  <c r="L7" i="12" s="1"/>
  <c r="L47" i="8"/>
  <c r="L99" i="8"/>
  <c r="L97" i="8"/>
  <c r="L101" i="8" s="1"/>
  <c r="L91" i="8" s="1"/>
  <c r="L10" i="12" s="1"/>
  <c r="K99" i="8"/>
  <c r="K97" i="8"/>
  <c r="K101" i="8" s="1"/>
  <c r="K91" i="8" s="1"/>
  <c r="K10" i="12" s="1"/>
  <c r="K4" i="12"/>
  <c r="K153" i="8"/>
  <c r="K22" i="8"/>
  <c r="K145" i="8"/>
  <c r="L142" i="8" s="1"/>
  <c r="K74" i="8"/>
  <c r="K9" i="12" s="1"/>
  <c r="M109" i="8"/>
  <c r="M97" i="8"/>
  <c r="M101" i="8" s="1"/>
  <c r="M91" i="8" s="1"/>
  <c r="M10" i="12" s="1"/>
  <c r="M99" i="8"/>
  <c r="N41" i="8"/>
  <c r="M46" i="8"/>
  <c r="K10" i="3"/>
  <c r="N9" i="8"/>
  <c r="N91" i="8"/>
  <c r="N10" i="12" s="1"/>
  <c r="N76" i="8"/>
  <c r="M81" i="8"/>
  <c r="K39" i="8"/>
  <c r="K7" i="12" s="1"/>
  <c r="K57" i="8"/>
  <c r="K8" i="12" s="1"/>
  <c r="L82" i="8"/>
  <c r="L80" i="8"/>
  <c r="L84" i="8" s="1"/>
  <c r="L74" i="8" s="1"/>
  <c r="L9" i="12" s="1"/>
  <c r="O59" i="8"/>
  <c r="O76" i="8" l="1"/>
  <c r="O81" i="8" s="1"/>
  <c r="N81" i="8"/>
  <c r="M16" i="12"/>
  <c r="M12" i="12"/>
  <c r="M144" i="8"/>
  <c r="M143" i="8" s="1"/>
  <c r="M17" i="12" s="1"/>
  <c r="N22" i="8"/>
  <c r="N4" i="12"/>
  <c r="O9" i="8"/>
  <c r="N153" i="8"/>
  <c r="N145" i="8"/>
  <c r="O142" i="8" s="1"/>
  <c r="L155" i="8"/>
  <c r="L151" i="8"/>
  <c r="L156" i="8" s="1"/>
  <c r="L5" i="12"/>
  <c r="L6" i="12" s="1"/>
  <c r="L11" i="12" s="1"/>
  <c r="K151" i="8"/>
  <c r="K155" i="8"/>
  <c r="K156" i="8" s="1"/>
  <c r="K157" i="8" s="1"/>
  <c r="K18" i="12" s="1"/>
  <c r="K5" i="12"/>
  <c r="K6" i="12" s="1"/>
  <c r="K11" i="12" s="1"/>
  <c r="K13" i="12" s="1"/>
  <c r="K14" i="12" s="1"/>
  <c r="K15" i="12" s="1"/>
  <c r="K19" i="12" s="1"/>
  <c r="K33" i="12" s="1"/>
  <c r="M82" i="8"/>
  <c r="M80" i="8"/>
  <c r="M84" i="8" s="1"/>
  <c r="M74" i="8" s="1"/>
  <c r="M9" i="12" s="1"/>
  <c r="O64" i="8"/>
  <c r="K144" i="8"/>
  <c r="K143" i="8" s="1"/>
  <c r="K17" i="12" s="1"/>
  <c r="K16" i="12"/>
  <c r="K12" i="12"/>
  <c r="M45" i="8"/>
  <c r="M49" i="8" s="1"/>
  <c r="M39" i="8" s="1"/>
  <c r="M7" i="12" s="1"/>
  <c r="M11" i="12" s="1"/>
  <c r="M13" i="12" s="1"/>
  <c r="M14" i="12" s="1"/>
  <c r="M15" i="12" s="1"/>
  <c r="M47" i="8"/>
  <c r="N46" i="8"/>
  <c r="O41" i="8"/>
  <c r="O46" i="8" s="1"/>
  <c r="N109" i="8"/>
  <c r="L144" i="8"/>
  <c r="L143" i="8" s="1"/>
  <c r="L17" i="12" s="1"/>
  <c r="L12" i="12"/>
  <c r="L16" i="12"/>
  <c r="M5" i="12"/>
  <c r="M6" i="12" s="1"/>
  <c r="M155" i="8"/>
  <c r="M151" i="8"/>
  <c r="M156" i="8" s="1"/>
  <c r="M19" i="12" l="1"/>
  <c r="M33" i="12" s="1"/>
  <c r="L13" i="12"/>
  <c r="L14" i="12" s="1"/>
  <c r="L15" i="12" s="1"/>
  <c r="L157" i="8"/>
  <c r="L18" i="12" s="1"/>
  <c r="N80" i="8"/>
  <c r="N84" i="8" s="1"/>
  <c r="N74" i="8" s="1"/>
  <c r="N9" i="12" s="1"/>
  <c r="N82" i="8"/>
  <c r="O4" i="12"/>
  <c r="O22" i="8"/>
  <c r="O91" i="8"/>
  <c r="O10" i="12" s="1"/>
  <c r="O109" i="8"/>
  <c r="O145" i="8"/>
  <c r="O153" i="8"/>
  <c r="N5" i="12"/>
  <c r="N6" i="12" s="1"/>
  <c r="N155" i="8"/>
  <c r="N151" i="8"/>
  <c r="N156" i="8" s="1"/>
  <c r="N157" i="8" s="1"/>
  <c r="N18" i="12" s="1"/>
  <c r="N12" i="12"/>
  <c r="N16" i="12"/>
  <c r="N144" i="8"/>
  <c r="N143" i="8" s="1"/>
  <c r="N17" i="12" s="1"/>
  <c r="O65" i="8"/>
  <c r="O63" i="8"/>
  <c r="O67" i="8" s="1"/>
  <c r="O57" i="8" s="1"/>
  <c r="O8" i="12" s="1"/>
  <c r="O47" i="8"/>
  <c r="O45" i="8"/>
  <c r="O49" i="8" s="1"/>
  <c r="O39" i="8" s="1"/>
  <c r="O7" i="12" s="1"/>
  <c r="M157" i="8"/>
  <c r="M18" i="12" s="1"/>
  <c r="N47" i="8"/>
  <c r="N45" i="8"/>
  <c r="N49" i="8" s="1"/>
  <c r="N39" i="8" s="1"/>
  <c r="N7" i="12" s="1"/>
  <c r="N11" i="12" s="1"/>
  <c r="N13" i="12" s="1"/>
  <c r="N14" i="12" s="1"/>
  <c r="N15" i="12" s="1"/>
  <c r="N19" i="12" s="1"/>
  <c r="N33" i="12" s="1"/>
  <c r="O82" i="8"/>
  <c r="O80" i="8"/>
  <c r="O84" i="8" s="1"/>
  <c r="O74" i="8" s="1"/>
  <c r="O9" i="12" s="1"/>
  <c r="O5" i="12" l="1"/>
  <c r="O6" i="12" s="1"/>
  <c r="O155" i="8"/>
  <c r="O151" i="8"/>
  <c r="O156" i="8" s="1"/>
  <c r="O157" i="8" s="1"/>
  <c r="O18" i="12" s="1"/>
  <c r="O144" i="8"/>
  <c r="O143" i="8" s="1"/>
  <c r="O17" i="12" s="1"/>
  <c r="O16" i="12"/>
  <c r="O12" i="12"/>
  <c r="O11" i="12"/>
  <c r="O13" i="12" s="1"/>
  <c r="O14" i="12" s="1"/>
  <c r="O15" i="12" s="1"/>
  <c r="O19" i="12" s="1"/>
  <c r="O34" i="12" s="1"/>
  <c r="C37" i="12" s="1"/>
  <c r="L19" i="12"/>
  <c r="L33" i="12" s="1"/>
  <c r="O33" i="12" l="1"/>
  <c r="C36" i="12" s="1"/>
  <c r="C38" i="12" s="1"/>
  <c r="C41" i="12" s="1"/>
  <c r="C43" i="12" s="1"/>
  <c r="C45" i="12" s="1"/>
</calcChain>
</file>

<file path=xl/sharedStrings.xml><?xml version="1.0" encoding="utf-8"?>
<sst xmlns="http://schemas.openxmlformats.org/spreadsheetml/2006/main" count="495" uniqueCount="298">
  <si>
    <t>UNILEVER GHANA PLC</t>
  </si>
  <si>
    <t>INCOME STATEMENT</t>
  </si>
  <si>
    <t>Revenue</t>
  </si>
  <si>
    <t>Cost of sales</t>
  </si>
  <si>
    <t>Legend</t>
  </si>
  <si>
    <t>Gross Profit/(Loss)(EBITDA)</t>
  </si>
  <si>
    <t>Blue indicates hard-coded numbers and inputs.</t>
  </si>
  <si>
    <t>Distribution expenses</t>
  </si>
  <si>
    <t>Black indicates formulas or text.</t>
  </si>
  <si>
    <t>Brand and Marketing investment</t>
  </si>
  <si>
    <t>Green indicates links from other worksheets.</t>
  </si>
  <si>
    <t>Administrative expenses</t>
  </si>
  <si>
    <t>Restructuring Cost</t>
  </si>
  <si>
    <t>Impairment release on trade&amp;other receivables</t>
  </si>
  <si>
    <t>Other income</t>
  </si>
  <si>
    <t>Operating Profit (EBIT)</t>
  </si>
  <si>
    <t xml:space="preserve"> </t>
  </si>
  <si>
    <t>Finance income</t>
  </si>
  <si>
    <t>Finance costs</t>
  </si>
  <si>
    <t>Profit/(Loss) before taxation(EBT)</t>
  </si>
  <si>
    <t>Income tax (expense)/credit</t>
  </si>
  <si>
    <t>Profit/(Loss) after tax for the year</t>
  </si>
  <si>
    <t>WASO</t>
  </si>
  <si>
    <t>REPORTED / ACTUAL EPS</t>
  </si>
  <si>
    <t>Balance Sheet</t>
  </si>
  <si>
    <t>PP&amp;E</t>
  </si>
  <si>
    <t>Lease-Right-of-Use assets</t>
  </si>
  <si>
    <t>Intangible assets</t>
  </si>
  <si>
    <t>Deferred tax asset</t>
  </si>
  <si>
    <t>Investment in subsidiaries</t>
  </si>
  <si>
    <t>Other Investment</t>
  </si>
  <si>
    <t>Non-current assets</t>
  </si>
  <si>
    <t>Current Assets</t>
  </si>
  <si>
    <t>Inventories</t>
  </si>
  <si>
    <t>Trade and other receivables</t>
  </si>
  <si>
    <t>Prepayments</t>
  </si>
  <si>
    <t>Related party receivables</t>
  </si>
  <si>
    <t>Current tax asset</t>
  </si>
  <si>
    <t>Cash and bank balances</t>
  </si>
  <si>
    <t>Total Current assets</t>
  </si>
  <si>
    <t>Total assets</t>
  </si>
  <si>
    <t>Equity</t>
  </si>
  <si>
    <t>Share Capital</t>
  </si>
  <si>
    <t>Capital surplus account</t>
  </si>
  <si>
    <t>Retained earnings</t>
  </si>
  <si>
    <t>Share deals account</t>
  </si>
  <si>
    <t>Total equity</t>
  </si>
  <si>
    <t>Non-current liabilities</t>
  </si>
  <si>
    <t>Employee benefit obligations</t>
  </si>
  <si>
    <t>Deferred tax liability</t>
  </si>
  <si>
    <t>Long term lease liability</t>
  </si>
  <si>
    <t>Total Non-current liabilities</t>
  </si>
  <si>
    <t>Current liabilities</t>
  </si>
  <si>
    <t>Bank overdraft</t>
  </si>
  <si>
    <t>Trade and other payables</t>
  </si>
  <si>
    <t>Related party payables</t>
  </si>
  <si>
    <t>Dividend payables</t>
  </si>
  <si>
    <t>Provisions</t>
  </si>
  <si>
    <t>Short term lease liability</t>
  </si>
  <si>
    <t>Current tax liability</t>
  </si>
  <si>
    <t>Total Current liabilities</t>
  </si>
  <si>
    <t>Total liabilities</t>
  </si>
  <si>
    <t>Total liabilities and equity</t>
  </si>
  <si>
    <t>DIVIDEND</t>
  </si>
  <si>
    <t xml:space="preserve"> STATEMENTS OF CASHFLOW</t>
  </si>
  <si>
    <t>Cash flow from operating activities</t>
  </si>
  <si>
    <t>Cash genrated from operations</t>
  </si>
  <si>
    <t>Interest paid</t>
  </si>
  <si>
    <t>Interest received</t>
  </si>
  <si>
    <t>Tax paid</t>
  </si>
  <si>
    <t>Net cash generated from operating activities</t>
  </si>
  <si>
    <t>Cash flow from investing activities</t>
  </si>
  <si>
    <t>Purchases of property, plant and equipment</t>
  </si>
  <si>
    <t>Proceeds from sale of property plant and equipment</t>
  </si>
  <si>
    <t>Proceeds of sale from tea business</t>
  </si>
  <si>
    <t>Net cash used in investing activites</t>
  </si>
  <si>
    <t xml:space="preserve">Cash flows used in financing activities </t>
  </si>
  <si>
    <t>Dividend paid</t>
  </si>
  <si>
    <t>Payment of lease liablity</t>
  </si>
  <si>
    <t xml:space="preserve"> Net cash used in financing activities</t>
  </si>
  <si>
    <t>Decrease in cash and cash equivalents</t>
  </si>
  <si>
    <t>Cash and cash equivalents at beginning of year</t>
  </si>
  <si>
    <t>Effect of movement in exchange rate on cash and bank</t>
  </si>
  <si>
    <t>Cash and cash equivalents at end of year</t>
  </si>
  <si>
    <t>Gross Profit/(Loss)</t>
  </si>
  <si>
    <t>Operating Profit</t>
  </si>
  <si>
    <t>Profit/(Loss) before taxation</t>
  </si>
  <si>
    <t>FINANCIAL RATIOS</t>
  </si>
  <si>
    <t xml:space="preserve">Days in a year </t>
  </si>
  <si>
    <t>Average</t>
  </si>
  <si>
    <t>PROFITABILITY</t>
  </si>
  <si>
    <t>Gross margins</t>
  </si>
  <si>
    <t>Operating Margins</t>
  </si>
  <si>
    <t>Net profit Margin</t>
  </si>
  <si>
    <t>Return on Assets</t>
  </si>
  <si>
    <t>Return on Assets (Operating profit)</t>
  </si>
  <si>
    <t>Return on Equity</t>
  </si>
  <si>
    <t>Return on Equity (Operating profit)</t>
  </si>
  <si>
    <t>LIQUIDITY</t>
  </si>
  <si>
    <t>Current ratio</t>
  </si>
  <si>
    <t>Quick Ratio</t>
  </si>
  <si>
    <t>Cash ratio</t>
  </si>
  <si>
    <t>EFFICIENCY</t>
  </si>
  <si>
    <t>Receivables turnover</t>
  </si>
  <si>
    <t>Receivables days</t>
  </si>
  <si>
    <t>Inventory turnover</t>
  </si>
  <si>
    <t>Inventory days</t>
  </si>
  <si>
    <t>Payables turnover</t>
  </si>
  <si>
    <t>Payables days</t>
  </si>
  <si>
    <t>Cash Conversion Cycle</t>
  </si>
  <si>
    <t>LEVERAGE</t>
  </si>
  <si>
    <t>Interest coverage ratio</t>
  </si>
  <si>
    <t>Total debt to equity</t>
  </si>
  <si>
    <t>Long term debt to equity</t>
  </si>
  <si>
    <t>REVENUE -5YR CAGR</t>
  </si>
  <si>
    <t>SALES VOLATILITY</t>
  </si>
  <si>
    <t>STANDARD DEVIATION</t>
  </si>
  <si>
    <t>MEAN</t>
  </si>
  <si>
    <t>CO-EFFICIENT OF VARIATION</t>
  </si>
  <si>
    <t>EARNINGS VOLATILIYY</t>
  </si>
  <si>
    <t>Investment Ratios</t>
  </si>
  <si>
    <t>Earning per Shares</t>
  </si>
  <si>
    <t>PRICE/EARNINGS</t>
  </si>
  <si>
    <t xml:space="preserve">Return on Equity </t>
  </si>
  <si>
    <t>Dividend yield</t>
  </si>
  <si>
    <t xml:space="preserve">Dividend per share </t>
  </si>
  <si>
    <t>Operating expense</t>
  </si>
  <si>
    <t>EBITDA</t>
  </si>
  <si>
    <t>Depriciation &amp; Amortization</t>
  </si>
  <si>
    <t>EBIT</t>
  </si>
  <si>
    <t>Net Interest expense</t>
  </si>
  <si>
    <t>EBT</t>
  </si>
  <si>
    <t>Tax</t>
  </si>
  <si>
    <t>NOPAT</t>
  </si>
  <si>
    <t>Adjustments:</t>
  </si>
  <si>
    <t>Depreciation</t>
  </si>
  <si>
    <t>Amortization</t>
  </si>
  <si>
    <t>Profit on PPE from ordinary course of business</t>
  </si>
  <si>
    <t>Write off of  PPE</t>
  </si>
  <si>
    <t>Equity Value Calculations</t>
  </si>
  <si>
    <t>Share Price@ 14/03/2025</t>
  </si>
  <si>
    <t>Shares Outstanding</t>
  </si>
  <si>
    <t>Market Cap</t>
  </si>
  <si>
    <t>Enterprise Value</t>
  </si>
  <si>
    <t>Net Debt</t>
  </si>
  <si>
    <t>Total Interest Bearing Debt</t>
  </si>
  <si>
    <t>Cash</t>
  </si>
  <si>
    <t>Valuation Multiples</t>
  </si>
  <si>
    <t>Enterprise Value Multiples</t>
  </si>
  <si>
    <t>EV/ Revenue</t>
  </si>
  <si>
    <t>EV/EBITDA</t>
  </si>
  <si>
    <t>EV/ EBIT</t>
  </si>
  <si>
    <t>Equity Value Multiples</t>
  </si>
  <si>
    <t>P/E</t>
  </si>
  <si>
    <t>P/B</t>
  </si>
  <si>
    <t>P/FCF</t>
  </si>
  <si>
    <t>COMPARABLES VALUATION</t>
  </si>
  <si>
    <t>COMPARABLE VALUATION</t>
  </si>
  <si>
    <t>All data in GHS thousands unless otherwise stated, as of 30-December-2024</t>
  </si>
  <si>
    <t>COMPANY</t>
  </si>
  <si>
    <t>PERFORMANCE</t>
  </si>
  <si>
    <t>VALUATION</t>
  </si>
  <si>
    <t>Company Name</t>
  </si>
  <si>
    <t>Ticker</t>
  </si>
  <si>
    <t>Share 
Price</t>
  </si>
  <si>
    <t>Enterprise
Value</t>
  </si>
  <si>
    <t>Total debt/
Equity</t>
  </si>
  <si>
    <t>Gross Margin</t>
  </si>
  <si>
    <t>ROE</t>
  </si>
  <si>
    <t>EV/Revenue</t>
  </si>
  <si>
    <t>Guinness Ghana</t>
  </si>
  <si>
    <t>GGBL</t>
  </si>
  <si>
    <t>Fanmilk</t>
  </si>
  <si>
    <t>FML</t>
  </si>
  <si>
    <t>Benso Oil Palm Plantation</t>
  </si>
  <si>
    <t>BOPP</t>
  </si>
  <si>
    <t>Industry Average</t>
  </si>
  <si>
    <t>Unilever</t>
  </si>
  <si>
    <t>UNIL</t>
  </si>
  <si>
    <t>Price Target</t>
  </si>
  <si>
    <t>EV/Sales</t>
  </si>
  <si>
    <t>Multiple</t>
  </si>
  <si>
    <t>EPS</t>
  </si>
  <si>
    <t>EV</t>
  </si>
  <si>
    <t>Debt</t>
  </si>
  <si>
    <t>Equity Value</t>
  </si>
  <si>
    <t>Share Outstanding</t>
  </si>
  <si>
    <t>Implied price</t>
  </si>
  <si>
    <t>Target Price</t>
  </si>
  <si>
    <t>Current Price</t>
  </si>
  <si>
    <t>Implied Upside</t>
  </si>
  <si>
    <t>Guiness</t>
  </si>
  <si>
    <t>Fan Milk</t>
  </si>
  <si>
    <t>Benso</t>
  </si>
  <si>
    <t xml:space="preserve">Net Debt </t>
  </si>
  <si>
    <t xml:space="preserve">Lease liabilities </t>
  </si>
  <si>
    <t>Lease Liability</t>
  </si>
  <si>
    <t>Borrowings</t>
  </si>
  <si>
    <t>Medium Term Loans</t>
  </si>
  <si>
    <t xml:space="preserve">Bank overdrafts </t>
  </si>
  <si>
    <t>EBITDA Calcutations</t>
  </si>
  <si>
    <t>Operating Expense</t>
  </si>
  <si>
    <t xml:space="preserve">EBITDA </t>
  </si>
  <si>
    <t>Depreciation ROU</t>
  </si>
  <si>
    <t>Changes in fair value of Biological assets</t>
  </si>
  <si>
    <t>Loss from sale of ppe</t>
  </si>
  <si>
    <t>Selected Case</t>
  </si>
  <si>
    <t>Best</t>
  </si>
  <si>
    <t>Base</t>
  </si>
  <si>
    <t>Worst</t>
  </si>
  <si>
    <t>y-o-y growth</t>
  </si>
  <si>
    <t>5 year CAGR</t>
  </si>
  <si>
    <t>COGS</t>
  </si>
  <si>
    <t>% of revenue</t>
  </si>
  <si>
    <t>5 year Average</t>
  </si>
  <si>
    <t>Distribution Expense</t>
  </si>
  <si>
    <t>Branding and Marketing</t>
  </si>
  <si>
    <t>Other Income</t>
  </si>
  <si>
    <t>3 year CAGR</t>
  </si>
  <si>
    <t>5 year Average of revenue %</t>
  </si>
  <si>
    <t>Depreciation &amp; Amortization</t>
  </si>
  <si>
    <t>% of ebt</t>
  </si>
  <si>
    <t>3 year Average of ebt %</t>
  </si>
  <si>
    <t>CAPEX SCHEDULE</t>
  </si>
  <si>
    <t>PPE Turnover</t>
  </si>
  <si>
    <t>Opening Balance PPE</t>
  </si>
  <si>
    <t xml:space="preserve">CAPEX </t>
  </si>
  <si>
    <t>D&amp;A</t>
  </si>
  <si>
    <t>Closing Balance PPE</t>
  </si>
  <si>
    <t xml:space="preserve">Operating Working Capitial Schedule </t>
  </si>
  <si>
    <t>Inventory Turnover</t>
  </si>
  <si>
    <t>Inventory</t>
  </si>
  <si>
    <t>Receivables Turnover</t>
  </si>
  <si>
    <t xml:space="preserve">Receivables </t>
  </si>
  <si>
    <t>Payables Turnover</t>
  </si>
  <si>
    <t>Payables</t>
  </si>
  <si>
    <t>OWC</t>
  </si>
  <si>
    <t>Change in OWC</t>
  </si>
  <si>
    <t>GHS '000</t>
  </si>
  <si>
    <t xml:space="preserve">Best Case </t>
  </si>
  <si>
    <t xml:space="preserve">Base case </t>
  </si>
  <si>
    <t>Worst Case</t>
  </si>
  <si>
    <t>Active Case</t>
  </si>
  <si>
    <t>Beta</t>
  </si>
  <si>
    <t>Expected Market Return</t>
  </si>
  <si>
    <t>Market Risk Premium</t>
  </si>
  <si>
    <t>Equity Risk Premium</t>
  </si>
  <si>
    <t>Country Risk Premium</t>
  </si>
  <si>
    <t xml:space="preserve">Cost of Equity </t>
  </si>
  <si>
    <t>5 year Bond Yield</t>
  </si>
  <si>
    <t>GSE Composite Index</t>
  </si>
  <si>
    <t>CRP</t>
  </si>
  <si>
    <t>Risk Free Rate (5 year US Bond Yield; Moody Rtaings: Aaa)</t>
  </si>
  <si>
    <t>Year</t>
  </si>
  <si>
    <t>Cost of Debt</t>
  </si>
  <si>
    <t xml:space="preserve">Finance Cost </t>
  </si>
  <si>
    <t>Interest Bearing Debt</t>
  </si>
  <si>
    <t>COD</t>
  </si>
  <si>
    <t>5 Year Average COD</t>
  </si>
  <si>
    <t>After Tax COD</t>
  </si>
  <si>
    <t>Marginal tax rate</t>
  </si>
  <si>
    <t>Weighted Average Cost of Capital</t>
  </si>
  <si>
    <t>Total Assets</t>
  </si>
  <si>
    <t>Proportion of Equity</t>
  </si>
  <si>
    <t>Proportion of Debt</t>
  </si>
  <si>
    <t xml:space="preserve"> WACC</t>
  </si>
  <si>
    <t>Re​=Rf​+β(Rm​−Rf​)+CRP</t>
  </si>
  <si>
    <t>Re​ = Expected return on the equity/asset</t>
  </si>
  <si>
    <t>Rf​ = Risk-free rate (typically from a mature market, e.g., U.S. Treasury bond yield)</t>
  </si>
  <si>
    <t>β (Beta) = A measure of the asset's systematic risk (volatility) relative to the market</t>
  </si>
  <si>
    <t>Rm​ = Expected return of the market portfolio (usually a mature market index)</t>
  </si>
  <si>
    <t>(Rm​−Rf​) = Market Risk Premium (MRP) of the mature market</t>
  </si>
  <si>
    <t>CRP = Country Risk Premium</t>
  </si>
  <si>
    <t xml:space="preserve">CAPM </t>
  </si>
  <si>
    <t>Discounted Cashflow Model</t>
  </si>
  <si>
    <t>Gross Profit</t>
  </si>
  <si>
    <t>Branding &amp; Marketing</t>
  </si>
  <si>
    <t>Administrative Expense</t>
  </si>
  <si>
    <t>Depreciation and Amortization</t>
  </si>
  <si>
    <t>Dep&amp;Amort</t>
  </si>
  <si>
    <t>Capex</t>
  </si>
  <si>
    <t>Changes OWC</t>
  </si>
  <si>
    <t>Unlevered Free Cashflow</t>
  </si>
  <si>
    <t>Eps</t>
  </si>
  <si>
    <t>WACC</t>
  </si>
  <si>
    <t>LT Growth rate</t>
  </si>
  <si>
    <t xml:space="preserve">Year count </t>
  </si>
  <si>
    <t>Discount Factor</t>
  </si>
  <si>
    <t>PV OF FCF</t>
  </si>
  <si>
    <t>Terminal Value</t>
  </si>
  <si>
    <t>Sum of PV of FCFs</t>
  </si>
  <si>
    <t>PV of Terminal Value</t>
  </si>
  <si>
    <t xml:space="preserve">Cash and Cash Equivalents </t>
  </si>
  <si>
    <t>Interest bearing debt</t>
  </si>
  <si>
    <t xml:space="preserve">Shares Outstanding </t>
  </si>
  <si>
    <t xml:space="preserve">Implied Share Price </t>
  </si>
  <si>
    <t xml:space="preserve">Current Share Price </t>
  </si>
  <si>
    <t>Potential Upside/ Downside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</si>
</sst>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-* #,##0.00_-;\-* #,##0.00_-;_-* &quot;-&quot;??_-;_-@_-"/>
    <numFmt numFmtId="165" formatCode="#,##0;\(#,##0\)"/>
    <numFmt numFmtId="166" formatCode="0_);\(0\)"/>
    <numFmt numFmtId="167" formatCode="#,##0.00;\(#,##0.00\)"/>
    <numFmt numFmtId="168" formatCode="0&quot;x&quot;"/>
    <numFmt numFmtId="169" formatCode="0.00&quot;x&quot;"/>
    <numFmt numFmtId="170" formatCode="0.00\x"/>
    <numFmt numFmtId="171" formatCode="#,##0.0_);\(#,##0.0\)"/>
    <numFmt numFmtId="172" formatCode="0.00_);\(0.00\)"/>
    <numFmt numFmtId="173" formatCode="0&quot;days&quot;"/>
    <numFmt numFmtId="174" formatCode="0.00000"/>
    <numFmt numFmtId="175" formatCode="#,##0.0000;\(#,##0.0000\)"/>
    <numFmt numFmtId="176" formatCode="_-* #,##0_-;\-* #,##0_-;_-* &quot;-&quot;??_-;_-@_-"/>
    <numFmt numFmtId="177" formatCode="[$-409]mmm\-yy;@"/>
    <numFmt numFmtId="178" formatCode="0.000"/>
  </numFmts>
  <fonts count="3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26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i/>
      <sz val="8"/>
      <color theme="0"/>
      <name val="Calibri"/>
      <charset val="134"/>
      <scheme val="minor"/>
    </font>
    <font>
      <sz val="11"/>
      <color rgb="FF0070C0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rgb="FF002060"/>
      <name val="Calibri"/>
      <charset val="134"/>
      <scheme val="minor"/>
    </font>
    <font>
      <sz val="11"/>
      <color theme="4" tint="-0.499984740745262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1"/>
      <name val="Calibri"/>
      <charset val="134"/>
      <scheme val="minor"/>
    </font>
    <font>
      <b/>
      <i/>
      <sz val="11"/>
      <color rgb="FF00B050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1"/>
      <color rgb="FF00B05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sz val="18"/>
      <color theme="0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303030"/>
      <name val="Calibri"/>
      <family val="2"/>
    </font>
    <font>
      <b/>
      <sz val="11"/>
      <color rgb="FF30303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7406D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749992370372631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n">
        <color theme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30" fillId="0" borderId="0" applyNumberFormat="0" applyFill="0" applyBorder="0" applyAlignment="0" applyProtection="0"/>
  </cellStyleXfs>
  <cellXfs count="224">
    <xf numFmtId="0" fontId="0" fillId="0" borderId="0" xfId="0"/>
    <xf numFmtId="165" fontId="0" fillId="0" borderId="0" xfId="0" applyNumberFormat="1"/>
    <xf numFmtId="0" fontId="5" fillId="0" borderId="0" xfId="0" applyFont="1" applyAlignment="1">
      <alignment horizontal="left" indent="1"/>
    </xf>
    <xf numFmtId="9" fontId="0" fillId="0" borderId="0" xfId="0" applyNumberFormat="1"/>
    <xf numFmtId="166" fontId="0" fillId="0" borderId="0" xfId="0" applyNumberFormat="1"/>
    <xf numFmtId="0" fontId="4" fillId="2" borderId="0" xfId="0" applyFont="1" applyFill="1"/>
    <xf numFmtId="168" fontId="0" fillId="0" borderId="0" xfId="0" applyNumberFormat="1"/>
    <xf numFmtId="0" fontId="6" fillId="6" borderId="0" xfId="0" applyFont="1" applyFill="1"/>
    <xf numFmtId="0" fontId="7" fillId="0" borderId="0" xfId="0" applyFont="1"/>
    <xf numFmtId="0" fontId="5" fillId="0" borderId="0" xfId="0" applyFont="1"/>
    <xf numFmtId="0" fontId="4" fillId="7" borderId="5" xfId="0" applyFont="1" applyFill="1" applyBorder="1"/>
    <xf numFmtId="0" fontId="4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 wrapText="1"/>
    </xf>
    <xf numFmtId="0" fontId="4" fillId="7" borderId="6" xfId="0" applyFont="1" applyFill="1" applyBorder="1" applyAlignment="1">
      <alignment horizontal="center" wrapText="1"/>
    </xf>
    <xf numFmtId="0" fontId="4" fillId="7" borderId="7" xfId="0" applyFont="1" applyFill="1" applyBorder="1" applyAlignment="1">
      <alignment horizontal="center" wrapText="1"/>
    </xf>
    <xf numFmtId="0" fontId="4" fillId="7" borderId="8" xfId="0" applyFont="1" applyFill="1" applyBorder="1"/>
    <xf numFmtId="0" fontId="4" fillId="7" borderId="9" xfId="0" applyFont="1" applyFill="1" applyBorder="1"/>
    <xf numFmtId="0" fontId="4" fillId="7" borderId="10" xfId="0" applyFont="1" applyFill="1" applyBorder="1"/>
    <xf numFmtId="0" fontId="4" fillId="7" borderId="11" xfId="0" applyFont="1" applyFill="1" applyBorder="1"/>
    <xf numFmtId="0" fontId="0" fillId="0" borderId="5" xfId="0" applyBorder="1"/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37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0" fontId="0" fillId="0" borderId="12" xfId="2" applyNumberFormat="1" applyFont="1" applyBorder="1" applyAlignment="1">
      <alignment horizontal="center"/>
    </xf>
    <xf numFmtId="2" fontId="10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11" fillId="0" borderId="5" xfId="0" applyFont="1" applyBorder="1"/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37" fontId="7" fillId="0" borderId="0" xfId="0" applyNumberFormat="1" applyFont="1" applyAlignment="1">
      <alignment horizontal="center"/>
    </xf>
    <xf numFmtId="170" fontId="7" fillId="0" borderId="0" xfId="0" applyNumberFormat="1" applyFont="1" applyAlignment="1">
      <alignment horizontal="center"/>
    </xf>
    <xf numFmtId="10" fontId="7" fillId="0" borderId="12" xfId="2" applyNumberFormat="1" applyFont="1" applyBorder="1" applyAlignment="1">
      <alignment horizontal="center"/>
    </xf>
    <xf numFmtId="0" fontId="12" fillId="0" borderId="8" xfId="0" applyFont="1" applyBorder="1"/>
    <xf numFmtId="0" fontId="13" fillId="0" borderId="9" xfId="0" applyFont="1" applyBorder="1" applyAlignment="1">
      <alignment horizontal="center"/>
    </xf>
    <xf numFmtId="39" fontId="13" fillId="0" borderId="9" xfId="0" applyNumberFormat="1" applyFont="1" applyBorder="1" applyAlignment="1">
      <alignment horizontal="center"/>
    </xf>
    <xf numFmtId="37" fontId="13" fillId="0" borderId="9" xfId="0" applyNumberFormat="1" applyFont="1" applyBorder="1" applyAlignment="1">
      <alignment horizontal="center"/>
    </xf>
    <xf numFmtId="170" fontId="13" fillId="0" borderId="9" xfId="0" applyNumberFormat="1" applyFont="1" applyBorder="1" applyAlignment="1">
      <alignment horizontal="center"/>
    </xf>
    <xf numFmtId="10" fontId="13" fillId="0" borderId="9" xfId="0" applyNumberFormat="1" applyFont="1" applyBorder="1" applyAlignment="1">
      <alignment horizontal="center"/>
    </xf>
    <xf numFmtId="0" fontId="14" fillId="7" borderId="13" xfId="0" applyFont="1" applyFill="1" applyBorder="1" applyAlignment="1">
      <alignment horizontal="centerContinuous"/>
    </xf>
    <xf numFmtId="0" fontId="14" fillId="7" borderId="14" xfId="0" applyFont="1" applyFill="1" applyBorder="1" applyAlignment="1">
      <alignment horizontal="centerContinuous"/>
    </xf>
    <xf numFmtId="0" fontId="14" fillId="7" borderId="15" xfId="0" applyFont="1" applyFill="1" applyBorder="1" applyAlignment="1">
      <alignment horizontal="centerContinuous"/>
    </xf>
    <xf numFmtId="0" fontId="0" fillId="0" borderId="13" xfId="0" applyBorder="1"/>
    <xf numFmtId="0" fontId="0" fillId="0" borderId="15" xfId="0" applyBorder="1"/>
    <xf numFmtId="0" fontId="7" fillId="0" borderId="5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2" fontId="0" fillId="0" borderId="16" xfId="0" applyNumberFormat="1" applyBorder="1"/>
    <xf numFmtId="170" fontId="0" fillId="0" borderId="16" xfId="0" applyNumberFormat="1" applyBorder="1"/>
    <xf numFmtId="0" fontId="0" fillId="0" borderId="16" xfId="0" applyBorder="1"/>
    <xf numFmtId="37" fontId="0" fillId="0" borderId="16" xfId="0" applyNumberFormat="1" applyBorder="1"/>
    <xf numFmtId="37" fontId="0" fillId="0" borderId="0" xfId="0" applyNumberFormat="1" applyAlignment="1">
      <alignment horizontal="right"/>
    </xf>
    <xf numFmtId="1" fontId="0" fillId="0" borderId="16" xfId="0" applyNumberFormat="1" applyBorder="1"/>
    <xf numFmtId="0" fontId="0" fillId="0" borderId="8" xfId="0" applyBorder="1"/>
    <xf numFmtId="2" fontId="7" fillId="0" borderId="17" xfId="0" applyNumberFormat="1" applyFont="1" applyBorder="1"/>
    <xf numFmtId="0" fontId="0" fillId="0" borderId="14" xfId="0" applyBorder="1"/>
    <xf numFmtId="0" fontId="15" fillId="0" borderId="14" xfId="0" applyFont="1" applyBorder="1" applyAlignment="1">
      <alignment horizontal="centerContinuous"/>
    </xf>
    <xf numFmtId="0" fontId="16" fillId="0" borderId="0" xfId="0" applyFont="1" applyAlignment="1">
      <alignment horizontal="centerContinuous"/>
    </xf>
    <xf numFmtId="0" fontId="17" fillId="0" borderId="0" xfId="0" applyFont="1" applyAlignment="1">
      <alignment horizontal="centerContinuous"/>
    </xf>
    <xf numFmtId="0" fontId="0" fillId="0" borderId="9" xfId="0" applyBorder="1"/>
    <xf numFmtId="0" fontId="0" fillId="0" borderId="17" xfId="0" applyBorder="1"/>
    <xf numFmtId="0" fontId="0" fillId="0" borderId="18" xfId="0" applyBorder="1"/>
    <xf numFmtId="3" fontId="0" fillId="0" borderId="0" xfId="0" applyNumberFormat="1"/>
    <xf numFmtId="3" fontId="0" fillId="0" borderId="18" xfId="0" applyNumberFormat="1" applyBorder="1"/>
    <xf numFmtId="0" fontId="4" fillId="7" borderId="7" xfId="0" applyFont="1" applyFill="1" applyBorder="1" applyAlignment="1">
      <alignment horizontal="centerContinuous" vertical="center"/>
    </xf>
    <xf numFmtId="0" fontId="4" fillId="7" borderId="0" xfId="0" applyFont="1" applyFill="1" applyAlignment="1">
      <alignment horizontal="centerContinuous" vertical="center"/>
    </xf>
    <xf numFmtId="0" fontId="4" fillId="7" borderId="16" xfId="0" applyFont="1" applyFill="1" applyBorder="1" applyAlignment="1">
      <alignment horizontal="centerContinuous" vertical="center"/>
    </xf>
    <xf numFmtId="0" fontId="4" fillId="7" borderId="11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7" borderId="17" xfId="0" applyFont="1" applyFill="1" applyBorder="1" applyAlignment="1">
      <alignment horizontal="center"/>
    </xf>
    <xf numFmtId="170" fontId="0" fillId="0" borderId="0" xfId="0" applyNumberFormat="1" applyAlignment="1">
      <alignment horizontal="right"/>
    </xf>
    <xf numFmtId="170" fontId="0" fillId="0" borderId="16" xfId="0" applyNumberFormat="1" applyBorder="1" applyAlignment="1">
      <alignment horizontal="right"/>
    </xf>
    <xf numFmtId="9" fontId="0" fillId="0" borderId="0" xfId="2" applyFont="1"/>
    <xf numFmtId="0" fontId="0" fillId="0" borderId="16" xfId="0" applyBorder="1" applyAlignment="1">
      <alignment horizontal="center"/>
    </xf>
    <xf numFmtId="10" fontId="7" fillId="0" borderId="0" xfId="0" applyNumberFormat="1" applyFont="1" applyAlignment="1">
      <alignment horizontal="center"/>
    </xf>
    <xf numFmtId="170" fontId="7" fillId="0" borderId="0" xfId="0" applyNumberFormat="1" applyFont="1" applyAlignment="1">
      <alignment horizontal="right"/>
    </xf>
    <xf numFmtId="170" fontId="7" fillId="0" borderId="16" xfId="0" applyNumberFormat="1" applyFont="1" applyBorder="1" applyAlignment="1">
      <alignment horizontal="right"/>
    </xf>
    <xf numFmtId="170" fontId="13" fillId="0" borderId="9" xfId="0" applyNumberFormat="1" applyFont="1" applyBorder="1"/>
    <xf numFmtId="170" fontId="13" fillId="0" borderId="17" xfId="0" applyNumberFormat="1" applyFont="1" applyBorder="1" applyAlignment="1">
      <alignment horizontal="center"/>
    </xf>
    <xf numFmtId="171" fontId="0" fillId="0" borderId="0" xfId="0" applyNumberFormat="1"/>
    <xf numFmtId="0" fontId="3" fillId="7" borderId="0" xfId="0" applyFont="1" applyFill="1"/>
    <xf numFmtId="0" fontId="7" fillId="10" borderId="0" xfId="0" applyFont="1" applyFill="1"/>
    <xf numFmtId="0" fontId="0" fillId="11" borderId="0" xfId="0" applyFill="1"/>
    <xf numFmtId="0" fontId="19" fillId="7" borderId="0" xfId="0" applyFont="1" applyFill="1"/>
    <xf numFmtId="0" fontId="10" fillId="0" borderId="0" xfId="0" applyFont="1"/>
    <xf numFmtId="0" fontId="20" fillId="0" borderId="0" xfId="0" applyFont="1"/>
    <xf numFmtId="0" fontId="7" fillId="0" borderId="18" xfId="0" applyFont="1" applyBorder="1"/>
    <xf numFmtId="0" fontId="7" fillId="0" borderId="20" xfId="0" applyFont="1" applyBorder="1"/>
    <xf numFmtId="0" fontId="19" fillId="11" borderId="0" xfId="0" applyFont="1" applyFill="1"/>
    <xf numFmtId="0" fontId="21" fillId="0" borderId="0" xfId="0" applyFont="1"/>
    <xf numFmtId="166" fontId="7" fillId="10" borderId="0" xfId="0" applyNumberFormat="1" applyFont="1" applyFill="1"/>
    <xf numFmtId="166" fontId="7" fillId="0" borderId="0" xfId="0" applyNumberFormat="1" applyFont="1"/>
    <xf numFmtId="166" fontId="20" fillId="0" borderId="0" xfId="0" applyNumberFormat="1" applyFont="1"/>
    <xf numFmtId="166" fontId="7" fillId="0" borderId="21" xfId="0" applyNumberFormat="1" applyFont="1" applyBorder="1"/>
    <xf numFmtId="166" fontId="7" fillId="0" borderId="18" xfId="0" applyNumberFormat="1" applyFont="1" applyBorder="1"/>
    <xf numFmtId="172" fontId="0" fillId="0" borderId="0" xfId="0" applyNumberFormat="1"/>
    <xf numFmtId="166" fontId="10" fillId="0" borderId="0" xfId="0" applyNumberFormat="1" applyFont="1"/>
    <xf numFmtId="166" fontId="0" fillId="0" borderId="18" xfId="0" applyNumberFormat="1" applyBorder="1"/>
    <xf numFmtId="0" fontId="0" fillId="12" borderId="0" xfId="0" applyFill="1"/>
    <xf numFmtId="0" fontId="19" fillId="12" borderId="0" xfId="0" applyFont="1" applyFill="1"/>
    <xf numFmtId="0" fontId="16" fillId="10" borderId="0" xfId="0" applyFont="1" applyFill="1"/>
    <xf numFmtId="2" fontId="0" fillId="0" borderId="0" xfId="0" applyNumberFormat="1"/>
    <xf numFmtId="173" fontId="5" fillId="0" borderId="0" xfId="0" applyNumberFormat="1" applyFont="1"/>
    <xf numFmtId="0" fontId="7" fillId="0" borderId="0" xfId="0" applyFont="1" applyAlignment="1">
      <alignment horizontal="left" indent="5"/>
    </xf>
    <xf numFmtId="174" fontId="0" fillId="0" borderId="0" xfId="0" applyNumberFormat="1"/>
    <xf numFmtId="0" fontId="7" fillId="0" borderId="0" xfId="0" applyFont="1" applyAlignment="1">
      <alignment horizontal="right"/>
    </xf>
    <xf numFmtId="0" fontId="0" fillId="10" borderId="0" xfId="0" applyFill="1"/>
    <xf numFmtId="0" fontId="7" fillId="10" borderId="0" xfId="0" applyFont="1" applyFill="1" applyAlignment="1">
      <alignment horizontal="right"/>
    </xf>
    <xf numFmtId="9" fontId="0" fillId="0" borderId="21" xfId="0" applyNumberFormat="1" applyBorder="1"/>
    <xf numFmtId="9" fontId="7" fillId="0" borderId="18" xfId="0" applyNumberFormat="1" applyFont="1" applyBorder="1"/>
    <xf numFmtId="165" fontId="22" fillId="0" borderId="0" xfId="0" applyNumberFormat="1" applyFont="1"/>
    <xf numFmtId="175" fontId="22" fillId="0" borderId="0" xfId="0" applyNumberFormat="1" applyFont="1"/>
    <xf numFmtId="0" fontId="7" fillId="0" borderId="21" xfId="0" applyFont="1" applyBorder="1"/>
    <xf numFmtId="9" fontId="0" fillId="0" borderId="18" xfId="0" applyNumberFormat="1" applyBorder="1"/>
    <xf numFmtId="9" fontId="7" fillId="0" borderId="0" xfId="2" applyFont="1" applyFill="1" applyBorder="1"/>
    <xf numFmtId="176" fontId="0" fillId="0" borderId="0" xfId="1" applyNumberFormat="1" applyFont="1"/>
    <xf numFmtId="175" fontId="7" fillId="0" borderId="0" xfId="0" applyNumberFormat="1" applyFont="1"/>
    <xf numFmtId="3" fontId="10" fillId="0" borderId="0" xfId="0" applyNumberFormat="1" applyFont="1"/>
    <xf numFmtId="0" fontId="22" fillId="0" borderId="18" xfId="0" applyFont="1" applyBorder="1"/>
    <xf numFmtId="0" fontId="23" fillId="7" borderId="0" xfId="0" applyFont="1" applyFill="1"/>
    <xf numFmtId="0" fontId="0" fillId="13" borderId="0" xfId="0" applyFill="1"/>
    <xf numFmtId="0" fontId="8" fillId="7" borderId="0" xfId="0" applyFont="1" applyFill="1"/>
    <xf numFmtId="0" fontId="7" fillId="13" borderId="0" xfId="0" applyFont="1" applyFill="1"/>
    <xf numFmtId="0" fontId="7" fillId="13" borderId="0" xfId="0" applyFont="1" applyFill="1" applyAlignment="1">
      <alignment horizontal="right"/>
    </xf>
    <xf numFmtId="165" fontId="10" fillId="0" borderId="0" xfId="0" applyNumberFormat="1" applyFont="1"/>
    <xf numFmtId="165" fontId="0" fillId="0" borderId="21" xfId="0" applyNumberFormat="1" applyBorder="1"/>
    <xf numFmtId="165" fontId="7" fillId="0" borderId="21" xfId="0" applyNumberFormat="1" applyFont="1" applyBorder="1"/>
    <xf numFmtId="165" fontId="7" fillId="0" borderId="18" xfId="0" applyNumberFormat="1" applyFont="1" applyBorder="1"/>
    <xf numFmtId="9" fontId="10" fillId="0" borderId="0" xfId="2" applyFont="1"/>
    <xf numFmtId="0" fontId="10" fillId="13" borderId="0" xfId="0" applyFont="1" applyFill="1"/>
    <xf numFmtId="165" fontId="22" fillId="0" borderId="18" xfId="0" applyNumberFormat="1" applyFont="1" applyBorder="1"/>
    <xf numFmtId="167" fontId="22" fillId="0" borderId="0" xfId="0" applyNumberFormat="1" applyFont="1"/>
    <xf numFmtId="37" fontId="10" fillId="0" borderId="0" xfId="0" applyNumberFormat="1" applyFont="1"/>
    <xf numFmtId="0" fontId="22" fillId="0" borderId="0" xfId="0" applyFont="1"/>
    <xf numFmtId="0" fontId="24" fillId="0" borderId="0" xfId="0" applyFont="1" applyAlignment="1">
      <alignment horizontal="left"/>
    </xf>
    <xf numFmtId="37" fontId="10" fillId="0" borderId="0" xfId="1" applyNumberFormat="1" applyFont="1"/>
    <xf numFmtId="9" fontId="10" fillId="0" borderId="0" xfId="0" applyNumberFormat="1" applyFont="1"/>
    <xf numFmtId="176" fontId="10" fillId="0" borderId="0" xfId="1" applyNumberFormat="1" applyFont="1"/>
    <xf numFmtId="0" fontId="26" fillId="15" borderId="0" xfId="0" applyFont="1" applyFill="1"/>
    <xf numFmtId="177" fontId="26" fillId="15" borderId="0" xfId="0" applyNumberFormat="1" applyFont="1" applyFill="1"/>
    <xf numFmtId="0" fontId="27" fillId="2" borderId="0" xfId="0" applyFont="1" applyFill="1"/>
    <xf numFmtId="0" fontId="28" fillId="2" borderId="0" xfId="0" applyFont="1" applyFill="1"/>
    <xf numFmtId="9" fontId="28" fillId="2" borderId="0" xfId="0" applyNumberFormat="1" applyFont="1" applyFill="1"/>
    <xf numFmtId="0" fontId="29" fillId="14" borderId="0" xfId="0" applyFont="1" applyFill="1"/>
    <xf numFmtId="9" fontId="29" fillId="14" borderId="0" xfId="0" applyNumberFormat="1" applyFont="1" applyFill="1"/>
    <xf numFmtId="0" fontId="26" fillId="0" borderId="0" xfId="0" applyFont="1"/>
    <xf numFmtId="0" fontId="32" fillId="15" borderId="0" xfId="0" applyFont="1" applyFill="1"/>
    <xf numFmtId="177" fontId="32" fillId="15" borderId="0" xfId="0" applyNumberFormat="1" applyFont="1" applyFill="1"/>
    <xf numFmtId="0" fontId="28" fillId="5" borderId="0" xfId="0" applyFont="1" applyFill="1"/>
    <xf numFmtId="0" fontId="2" fillId="0" borderId="0" xfId="0" applyFont="1"/>
    <xf numFmtId="0" fontId="30" fillId="0" borderId="0" xfId="4"/>
    <xf numFmtId="0" fontId="28" fillId="5" borderId="22" xfId="0" applyFont="1" applyFill="1" applyBorder="1"/>
    <xf numFmtId="0" fontId="27" fillId="5" borderId="21" xfId="0" applyFont="1" applyFill="1" applyBorder="1"/>
    <xf numFmtId="0" fontId="27" fillId="5" borderId="23" xfId="0" applyFont="1" applyFill="1" applyBorder="1"/>
    <xf numFmtId="0" fontId="2" fillId="0" borderId="7" xfId="0" applyFont="1" applyBorder="1"/>
    <xf numFmtId="9" fontId="0" fillId="0" borderId="6" xfId="0" applyNumberFormat="1" applyBorder="1"/>
    <xf numFmtId="0" fontId="0" fillId="0" borderId="6" xfId="0" applyBorder="1"/>
    <xf numFmtId="0" fontId="26" fillId="17" borderId="24" xfId="0" applyFont="1" applyFill="1" applyBorder="1"/>
    <xf numFmtId="0" fontId="26" fillId="17" borderId="25" xfId="0" applyFont="1" applyFill="1" applyBorder="1"/>
    <xf numFmtId="9" fontId="26" fillId="17" borderId="26" xfId="0" applyNumberFormat="1" applyFont="1" applyFill="1" applyBorder="1"/>
    <xf numFmtId="178" fontId="0" fillId="0" borderId="6" xfId="0" applyNumberFormat="1" applyBorder="1"/>
    <xf numFmtId="2" fontId="0" fillId="0" borderId="6" xfId="0" applyNumberFormat="1" applyBorder="1"/>
    <xf numFmtId="0" fontId="28" fillId="5" borderId="0" xfId="0" applyFont="1" applyFill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7" xfId="0" applyBorder="1"/>
    <xf numFmtId="0" fontId="0" fillId="0" borderId="24" xfId="0" applyBorder="1"/>
    <xf numFmtId="178" fontId="0" fillId="0" borderId="26" xfId="0" applyNumberFormat="1" applyBorder="1"/>
    <xf numFmtId="165" fontId="2" fillId="0" borderId="0" xfId="0" applyNumberFormat="1" applyFont="1"/>
    <xf numFmtId="0" fontId="31" fillId="0" borderId="0" xfId="0" applyFont="1" applyAlignment="1">
      <alignment horizontal="left" indent="1"/>
    </xf>
    <xf numFmtId="0" fontId="2" fillId="16" borderId="0" xfId="0" applyFont="1" applyFill="1"/>
    <xf numFmtId="9" fontId="2" fillId="16" borderId="0" xfId="0" applyNumberFormat="1" applyFont="1" applyFill="1"/>
    <xf numFmtId="0" fontId="2" fillId="1" borderId="0" xfId="0" applyFont="1" applyFill="1"/>
    <xf numFmtId="9" fontId="2" fillId="16" borderId="0" xfId="2" applyFont="1" applyFill="1"/>
    <xf numFmtId="9" fontId="2" fillId="1" borderId="0" xfId="0" applyNumberFormat="1" applyFont="1" applyFill="1"/>
    <xf numFmtId="9" fontId="2" fillId="14" borderId="0" xfId="0" applyNumberFormat="1" applyFont="1" applyFill="1"/>
    <xf numFmtId="9" fontId="2" fillId="0" borderId="0" xfId="0" applyNumberFormat="1" applyFont="1"/>
    <xf numFmtId="0" fontId="28" fillId="3" borderId="0" xfId="0" applyFont="1" applyFill="1"/>
    <xf numFmtId="0" fontId="2" fillId="3" borderId="0" xfId="0" applyFont="1" applyFill="1"/>
    <xf numFmtId="167" fontId="2" fillId="0" borderId="0" xfId="0" applyNumberFormat="1" applyFont="1"/>
    <xf numFmtId="0" fontId="2" fillId="4" borderId="0" xfId="0" applyFont="1" applyFill="1"/>
    <xf numFmtId="165" fontId="2" fillId="4" borderId="0" xfId="0" applyNumberFormat="1" applyFont="1" applyFill="1"/>
    <xf numFmtId="166" fontId="2" fillId="0" borderId="0" xfId="0" applyNumberFormat="1" applyFont="1"/>
    <xf numFmtId="168" fontId="2" fillId="0" borderId="0" xfId="0" applyNumberFormat="1" applyFont="1"/>
    <xf numFmtId="169" fontId="2" fillId="0" borderId="0" xfId="0" applyNumberFormat="1" applyFont="1"/>
    <xf numFmtId="1" fontId="2" fillId="0" borderId="0" xfId="0" applyNumberFormat="1" applyFont="1"/>
    <xf numFmtId="1" fontId="2" fillId="4" borderId="0" xfId="0" applyNumberFormat="1" applyFont="1" applyFill="1"/>
    <xf numFmtId="0" fontId="26" fillId="4" borderId="0" xfId="0" applyFont="1" applyFill="1"/>
    <xf numFmtId="9" fontId="26" fillId="4" borderId="0" xfId="0" applyNumberFormat="1" applyFont="1" applyFill="1"/>
    <xf numFmtId="165" fontId="33" fillId="0" borderId="0" xfId="0" applyNumberFormat="1" applyFont="1"/>
    <xf numFmtId="10" fontId="34" fillId="0" borderId="6" xfId="0" applyNumberFormat="1" applyFont="1" applyBorder="1"/>
    <xf numFmtId="9" fontId="34" fillId="0" borderId="6" xfId="0" applyNumberFormat="1" applyFont="1" applyBorder="1"/>
    <xf numFmtId="37" fontId="35" fillId="0" borderId="0" xfId="0" applyNumberFormat="1" applyFont="1"/>
    <xf numFmtId="0" fontId="36" fillId="0" borderId="21" xfId="0" applyFont="1" applyBorder="1"/>
    <xf numFmtId="37" fontId="37" fillId="0" borderId="0" xfId="0" applyNumberFormat="1" applyFont="1"/>
    <xf numFmtId="0" fontId="37" fillId="0" borderId="0" xfId="0" applyFont="1"/>
    <xf numFmtId="0" fontId="36" fillId="0" borderId="18" xfId="0" applyFont="1" applyBorder="1"/>
    <xf numFmtId="0" fontId="26" fillId="0" borderId="21" xfId="0" applyFont="1" applyBorder="1"/>
    <xf numFmtId="0" fontId="36" fillId="0" borderId="27" xfId="0" applyFont="1" applyBorder="1"/>
    <xf numFmtId="1" fontId="0" fillId="10" borderId="0" xfId="0" applyNumberFormat="1" applyFill="1"/>
    <xf numFmtId="1" fontId="26" fillId="10" borderId="21" xfId="0" applyNumberFormat="1" applyFont="1" applyFill="1" applyBorder="1"/>
    <xf numFmtId="1" fontId="26" fillId="10" borderId="27" xfId="0" applyNumberFormat="1" applyFont="1" applyFill="1" applyBorder="1"/>
    <xf numFmtId="1" fontId="0" fillId="14" borderId="0" xfId="0" applyNumberFormat="1" applyFill="1"/>
    <xf numFmtId="1" fontId="26" fillId="14" borderId="21" xfId="0" applyNumberFormat="1" applyFont="1" applyFill="1" applyBorder="1"/>
    <xf numFmtId="1" fontId="26" fillId="14" borderId="27" xfId="0" applyNumberFormat="1" applyFont="1" applyFill="1" applyBorder="1"/>
    <xf numFmtId="1" fontId="26" fillId="10" borderId="18" xfId="0" applyNumberFormat="1" applyFont="1" applyFill="1" applyBorder="1"/>
    <xf numFmtId="1" fontId="26" fillId="14" borderId="18" xfId="0" applyNumberFormat="1" applyFont="1" applyFill="1" applyBorder="1"/>
    <xf numFmtId="1" fontId="0" fillId="0" borderId="0" xfId="0" applyNumberFormat="1"/>
    <xf numFmtId="1" fontId="26" fillId="0" borderId="0" xfId="0" applyNumberFormat="1" applyFont="1"/>
    <xf numFmtId="9" fontId="26" fillId="0" borderId="0" xfId="0" applyNumberFormat="1" applyFont="1"/>
    <xf numFmtId="9" fontId="38" fillId="0" borderId="0" xfId="0" applyNumberFormat="1" applyFont="1"/>
    <xf numFmtId="0" fontId="1" fillId="0" borderId="0" xfId="0" applyFont="1"/>
    <xf numFmtId="10" fontId="17" fillId="0" borderId="9" xfId="0" applyNumberFormat="1" applyFont="1" applyBorder="1" applyAlignment="1">
      <alignment horizontal="center"/>
    </xf>
    <xf numFmtId="0" fontId="18" fillId="8" borderId="0" xfId="0" applyFont="1" applyFill="1" applyAlignment="1">
      <alignment horizontal="center"/>
    </xf>
    <xf numFmtId="0" fontId="18" fillId="9" borderId="0" xfId="0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9" fillId="7" borderId="19" xfId="0" applyFont="1" applyFill="1" applyBorder="1" applyAlignment="1">
      <alignment horizontal="center"/>
    </xf>
    <xf numFmtId="2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39" fontId="16" fillId="0" borderId="0" xfId="0" applyNumberFormat="1" applyFont="1" applyAlignment="1">
      <alignment horizontal="center"/>
    </xf>
    <xf numFmtId="0" fontId="27" fillId="5" borderId="0" xfId="0" applyFont="1" applyFill="1" applyAlignment="1">
      <alignment horizontal="center"/>
    </xf>
  </cellXfs>
  <cellStyles count="5">
    <cellStyle name="Comma" xfId="1" builtinId="3"/>
    <cellStyle name="Comma 2" xfId="3" xr:uid="{00000000-0005-0000-0000-000031000000}"/>
    <cellStyle name="Hyperlink" xfId="4" builtinId="8"/>
    <cellStyle name="Normal" xfId="0" builtinId="0"/>
    <cellStyle name="Percent" xfId="2" builtinId="5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6600"/>
      <color rgb="FF113053"/>
      <color rgb="FF82422E"/>
      <color rgb="FF1740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www.wps.cn/officeDocument/2023/relationships/customStorage" Target="customStorage/customStorage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zeikel/Documents/fc/Traning%20Materials/Excel%20Files/Copy%20of%20uni(1)_japheth(1).xlsx" TargetMode="External"/><Relationship Id="rId2" Type="http://schemas.openxmlformats.org/officeDocument/2006/relationships/externalLinkPath" Target="file:///C:\Users\Ezeikel\Documents\fc\Copy%20of%20uni(1)_japheth(1).xlsx" TargetMode="External"/><Relationship Id="rId1" Type="http://schemas.openxmlformats.org/officeDocument/2006/relationships/externalLinkPath" Target="/Users/Ezeikel/Documents/fc/Traning%20Materials/Excel%20Files/Copy%20of%20uni(1)_japheth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S"/>
      <sheetName val="common size"/>
      <sheetName val="Ratio Analysis"/>
      <sheetName val="ADJUSTMENTS"/>
      <sheetName val="RELATIVE VALUATION"/>
      <sheetName val="Comparable Analysis"/>
      <sheetName val="quart"/>
      <sheetName val="forecast &amp; asumptions"/>
      <sheetName val="WACC"/>
      <sheetName val="DCF"/>
    </sheetNames>
    <sheetDataSet>
      <sheetData sheetId="0"/>
      <sheetData sheetId="1">
        <row r="9">
          <cell r="H9">
            <v>5.137954351464899E-2</v>
          </cell>
        </row>
      </sheetData>
      <sheetData sheetId="2">
        <row r="1">
          <cell r="D1">
            <v>365</v>
          </cell>
        </row>
      </sheetData>
      <sheetData sheetId="3"/>
      <sheetData sheetId="4">
        <row r="5">
          <cell r="C5">
            <v>62500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lic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Calibri">
      <a:maj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pages.stern.nyu.edu/~adamodar/New_Home_Page/datafile/ctryprem.html" TargetMode="External"/><Relationship Id="rId2" Type="http://schemas.openxmlformats.org/officeDocument/2006/relationships/hyperlink" Target="https://afx.kwayisi.org/gse/" TargetMode="External"/><Relationship Id="rId1" Type="http://schemas.openxmlformats.org/officeDocument/2006/relationships/hyperlink" Target="https://fred.stlouisfed.org/series/DGS5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13053"/>
  </sheetPr>
  <dimension ref="A1:M99"/>
  <sheetViews>
    <sheetView showGridLines="0" zoomScale="120" zoomScaleNormal="120" workbookViewId="0">
      <pane xSplit="2" ySplit="2" topLeftCell="C34" activePane="bottomRight" state="frozen"/>
      <selection pane="topRight"/>
      <selection pane="bottomLeft"/>
      <selection pane="bottomRight" activeCell="C20" sqref="C20:J20"/>
    </sheetView>
  </sheetViews>
  <sheetFormatPr defaultColWidth="9" defaultRowHeight="14.4"/>
  <cols>
    <col min="1" max="1" width="2.6640625" customWidth="1"/>
    <col min="2" max="2" width="49.5546875" customWidth="1"/>
    <col min="3" max="3" width="10.33203125" customWidth="1"/>
    <col min="4" max="5" width="10.5546875" customWidth="1"/>
    <col min="6" max="6" width="10.33203125" customWidth="1"/>
    <col min="7" max="7" width="10.5546875" customWidth="1"/>
    <col min="8" max="8" width="10.6640625" customWidth="1"/>
    <col min="9" max="9" width="10.5546875" customWidth="1"/>
    <col min="10" max="10" width="10.6640625" customWidth="1"/>
  </cols>
  <sheetData>
    <row r="1" spans="1:13" s="118" customFormat="1" ht="23.4">
      <c r="A1" s="120" t="s">
        <v>0</v>
      </c>
    </row>
    <row r="2" spans="1:13" s="119" customFormat="1">
      <c r="A2" s="121" t="s">
        <v>1</v>
      </c>
      <c r="C2" s="122">
        <v>2017</v>
      </c>
      <c r="D2" s="122">
        <v>2018</v>
      </c>
      <c r="E2" s="122">
        <v>2019</v>
      </c>
      <c r="F2" s="122">
        <v>2020</v>
      </c>
      <c r="G2" s="122">
        <v>2021</v>
      </c>
      <c r="H2" s="122">
        <v>2022</v>
      </c>
      <c r="I2" s="122">
        <v>2023</v>
      </c>
      <c r="J2" s="122">
        <v>2024</v>
      </c>
    </row>
    <row r="3" spans="1:13">
      <c r="B3" t="s">
        <v>2</v>
      </c>
      <c r="C3" s="123">
        <v>575765</v>
      </c>
      <c r="D3" s="123">
        <v>632152</v>
      </c>
      <c r="E3" s="123">
        <v>333290</v>
      </c>
      <c r="F3" s="123">
        <v>456279</v>
      </c>
      <c r="G3" s="123">
        <v>526912</v>
      </c>
      <c r="H3" s="123">
        <v>631477</v>
      </c>
      <c r="I3" s="131">
        <v>908146</v>
      </c>
      <c r="J3" s="131">
        <v>930801</v>
      </c>
      <c r="M3" s="132"/>
    </row>
    <row r="4" spans="1:13">
      <c r="B4" t="s">
        <v>3</v>
      </c>
      <c r="C4" s="123">
        <v>-401712</v>
      </c>
      <c r="D4" s="123">
        <v>-440991</v>
      </c>
      <c r="E4" s="123">
        <f>348684*-1</f>
        <v>-348684</v>
      </c>
      <c r="F4" s="123">
        <f>380584*-1</f>
        <v>-380584</v>
      </c>
      <c r="G4" s="123">
        <v>-429866</v>
      </c>
      <c r="H4" s="123">
        <v>-475876</v>
      </c>
      <c r="I4" s="131">
        <v>-571369</v>
      </c>
      <c r="J4" s="131">
        <v>-582931</v>
      </c>
      <c r="L4" s="5" t="s">
        <v>4</v>
      </c>
      <c r="M4" s="8"/>
    </row>
    <row r="5" spans="1:13">
      <c r="A5" s="8"/>
      <c r="B5" s="8" t="s">
        <v>5</v>
      </c>
      <c r="C5" s="124">
        <f t="shared" ref="C5:H5" si="0">SUM(C3:C4)</f>
        <v>174053</v>
      </c>
      <c r="D5" s="124">
        <f t="shared" si="0"/>
        <v>191161</v>
      </c>
      <c r="E5" s="124">
        <f t="shared" si="0"/>
        <v>-15394</v>
      </c>
      <c r="F5" s="124">
        <f t="shared" si="0"/>
        <v>75695</v>
      </c>
      <c r="G5" s="124">
        <f t="shared" si="0"/>
        <v>97046</v>
      </c>
      <c r="H5" s="124">
        <f t="shared" si="0"/>
        <v>155601</v>
      </c>
      <c r="I5" s="124">
        <v>336777</v>
      </c>
      <c r="J5" s="124">
        <v>347870</v>
      </c>
      <c r="L5" s="132" t="s">
        <v>6</v>
      </c>
      <c r="M5" s="133"/>
    </row>
    <row r="6" spans="1:13">
      <c r="B6" t="s">
        <v>7</v>
      </c>
      <c r="C6" s="123">
        <v>-13156</v>
      </c>
      <c r="D6" s="123">
        <v>-17732</v>
      </c>
      <c r="E6" s="123">
        <v>-25775</v>
      </c>
      <c r="F6" s="123">
        <v>-17568</v>
      </c>
      <c r="G6" s="123">
        <v>-16723</v>
      </c>
      <c r="H6" s="123">
        <v>-14730</v>
      </c>
      <c r="I6" s="131">
        <v>-19599</v>
      </c>
      <c r="J6" s="131">
        <v>-20876</v>
      </c>
      <c r="L6" s="8" t="s">
        <v>8</v>
      </c>
    </row>
    <row r="7" spans="1:13">
      <c r="B7" t="s">
        <v>9</v>
      </c>
      <c r="C7" s="123">
        <v>-27537</v>
      </c>
      <c r="D7" s="123">
        <v>-39999</v>
      </c>
      <c r="E7" s="123">
        <v>-30096</v>
      </c>
      <c r="F7" s="123">
        <v>-31910</v>
      </c>
      <c r="G7" s="123">
        <v>-44612</v>
      </c>
      <c r="H7" s="123">
        <v>-40116</v>
      </c>
      <c r="I7" s="131">
        <v>-79627</v>
      </c>
      <c r="J7" s="131">
        <v>-87626</v>
      </c>
      <c r="L7" s="133" t="s">
        <v>10</v>
      </c>
    </row>
    <row r="8" spans="1:13">
      <c r="B8" t="s">
        <v>11</v>
      </c>
      <c r="C8" s="123">
        <v>-56113</v>
      </c>
      <c r="D8" s="123">
        <v>-67867</v>
      </c>
      <c r="E8" s="123">
        <v>-91051</v>
      </c>
      <c r="F8" s="123">
        <v>-72841</v>
      </c>
      <c r="G8" s="123">
        <v>-79564</v>
      </c>
      <c r="H8" s="123">
        <v>-70752</v>
      </c>
      <c r="I8" s="131">
        <v>-22500</v>
      </c>
      <c r="J8" s="131">
        <v>-135120</v>
      </c>
    </row>
    <row r="9" spans="1:13">
      <c r="B9" t="s">
        <v>12</v>
      </c>
      <c r="C9" s="123"/>
      <c r="D9" s="123"/>
      <c r="E9" s="123"/>
      <c r="F9" s="123"/>
      <c r="G9" s="123"/>
      <c r="H9" s="123">
        <v>-11627</v>
      </c>
      <c r="I9" s="131">
        <v>-3354</v>
      </c>
      <c r="J9" s="131">
        <v>-19774</v>
      </c>
    </row>
    <row r="10" spans="1:13">
      <c r="B10" t="s">
        <v>13</v>
      </c>
      <c r="C10" s="123"/>
      <c r="D10" s="123"/>
      <c r="E10" s="123"/>
      <c r="F10" s="123"/>
      <c r="G10" s="123"/>
      <c r="H10" s="123">
        <v>1612</v>
      </c>
      <c r="I10" s="131">
        <v>957</v>
      </c>
      <c r="J10" s="131">
        <v>-43</v>
      </c>
    </row>
    <row r="11" spans="1:13">
      <c r="B11" t="s">
        <v>14</v>
      </c>
      <c r="C11" s="123"/>
      <c r="D11" s="123"/>
      <c r="E11" s="123"/>
      <c r="F11" s="123"/>
      <c r="G11" s="123"/>
      <c r="H11" s="123">
        <v>12457</v>
      </c>
      <c r="I11" s="131">
        <v>11017</v>
      </c>
      <c r="J11" s="131">
        <v>11442</v>
      </c>
    </row>
    <row r="12" spans="1:13">
      <c r="B12" s="8" t="s">
        <v>15</v>
      </c>
      <c r="C12" s="125">
        <f t="shared" ref="C12:H12" si="1">SUM(C5:C11)</f>
        <v>77247</v>
      </c>
      <c r="D12" s="125">
        <f t="shared" si="1"/>
        <v>65563</v>
      </c>
      <c r="E12" s="125">
        <f t="shared" si="1"/>
        <v>-162316</v>
      </c>
      <c r="F12" s="125">
        <f t="shared" si="1"/>
        <v>-46624</v>
      </c>
      <c r="G12" s="125">
        <f t="shared" si="1"/>
        <v>-43853</v>
      </c>
      <c r="H12" s="125">
        <f t="shared" si="1"/>
        <v>32445</v>
      </c>
      <c r="I12" s="125">
        <v>223671</v>
      </c>
      <c r="J12" s="125">
        <v>95873</v>
      </c>
      <c r="M12" t="s">
        <v>16</v>
      </c>
    </row>
    <row r="13" spans="1:13">
      <c r="B13" t="s">
        <v>17</v>
      </c>
      <c r="C13" s="123">
        <v>160</v>
      </c>
      <c r="D13" s="123">
        <v>440</v>
      </c>
      <c r="E13" s="123">
        <v>571</v>
      </c>
      <c r="F13" s="123">
        <v>100</v>
      </c>
      <c r="G13" s="123">
        <v>574</v>
      </c>
      <c r="H13" s="123">
        <v>1088</v>
      </c>
      <c r="I13" s="131">
        <v>1549</v>
      </c>
      <c r="J13" s="131">
        <v>1739</v>
      </c>
    </row>
    <row r="14" spans="1:13">
      <c r="B14" t="s">
        <v>18</v>
      </c>
      <c r="C14" s="123">
        <v>-2004</v>
      </c>
      <c r="D14" s="123">
        <v>-3376</v>
      </c>
      <c r="E14" s="123">
        <v>-11603</v>
      </c>
      <c r="F14" s="123">
        <v>-5608</v>
      </c>
      <c r="G14" s="123">
        <v>-2922</v>
      </c>
      <c r="H14" s="123">
        <v>-18453</v>
      </c>
      <c r="I14" s="131">
        <v>-9999</v>
      </c>
      <c r="J14" s="131">
        <v>-5365</v>
      </c>
    </row>
    <row r="15" spans="1:13">
      <c r="B15" s="8" t="s">
        <v>19</v>
      </c>
      <c r="C15" s="125">
        <f t="shared" ref="C15:H15" si="2">SUM(C12:C14)</f>
        <v>75403</v>
      </c>
      <c r="D15" s="125">
        <f t="shared" si="2"/>
        <v>62627</v>
      </c>
      <c r="E15" s="125">
        <f t="shared" si="2"/>
        <v>-173348</v>
      </c>
      <c r="F15" s="125">
        <f t="shared" si="2"/>
        <v>-52132</v>
      </c>
      <c r="G15" s="125">
        <f t="shared" si="2"/>
        <v>-46201</v>
      </c>
      <c r="H15" s="125">
        <f t="shared" si="2"/>
        <v>15080</v>
      </c>
      <c r="I15" s="125">
        <v>215221</v>
      </c>
      <c r="J15" s="125">
        <v>92247</v>
      </c>
    </row>
    <row r="16" spans="1:13">
      <c r="B16" t="s">
        <v>20</v>
      </c>
      <c r="C16" s="123">
        <v>-17211</v>
      </c>
      <c r="D16" s="123">
        <v>-59497</v>
      </c>
      <c r="E16" s="123">
        <v>56331</v>
      </c>
      <c r="F16" s="123">
        <v>-22830</v>
      </c>
      <c r="G16" s="123">
        <v>-51</v>
      </c>
      <c r="H16" s="123">
        <v>0</v>
      </c>
      <c r="I16" s="134">
        <v>-36259</v>
      </c>
      <c r="J16" s="134">
        <v>-27341</v>
      </c>
    </row>
    <row r="17" spans="1:11">
      <c r="A17" s="60"/>
      <c r="B17" s="85" t="s">
        <v>21</v>
      </c>
      <c r="C17" s="126">
        <f t="shared" ref="C17:H17" si="3">SUM(C15,C16)</f>
        <v>58192</v>
      </c>
      <c r="D17" s="126">
        <f t="shared" si="3"/>
        <v>3130</v>
      </c>
      <c r="E17" s="126">
        <f t="shared" si="3"/>
        <v>-117017</v>
      </c>
      <c r="F17" s="126">
        <f t="shared" si="3"/>
        <v>-74962</v>
      </c>
      <c r="G17" s="126">
        <f t="shared" si="3"/>
        <v>-46252</v>
      </c>
      <c r="H17" s="126">
        <f t="shared" si="3"/>
        <v>15080</v>
      </c>
      <c r="I17" s="126">
        <v>178962</v>
      </c>
      <c r="J17" s="126">
        <v>64906</v>
      </c>
      <c r="K17" s="113"/>
    </row>
    <row r="18" spans="1:11">
      <c r="C18" s="83"/>
      <c r="D18" s="127"/>
      <c r="E18" s="83"/>
      <c r="F18" s="83"/>
      <c r="G18" s="83"/>
      <c r="H18" s="83"/>
      <c r="I18" s="135"/>
      <c r="J18" s="135"/>
    </row>
    <row r="19" spans="1:11">
      <c r="B19" s="8" t="s">
        <v>22</v>
      </c>
      <c r="C19" s="109">
        <v>62500000</v>
      </c>
      <c r="D19" s="109">
        <v>62500000</v>
      </c>
      <c r="E19" s="109">
        <v>62500000</v>
      </c>
      <c r="F19" s="109">
        <v>62500000</v>
      </c>
      <c r="G19" s="109">
        <v>62500000</v>
      </c>
      <c r="H19" s="109">
        <v>62500000</v>
      </c>
      <c r="I19" s="109">
        <v>62500000</v>
      </c>
      <c r="J19" s="109">
        <v>62500000</v>
      </c>
    </row>
    <row r="20" spans="1:11">
      <c r="B20" s="8" t="s">
        <v>23</v>
      </c>
      <c r="C20" s="110">
        <f>(C17*1000)/C19</f>
        <v>0.93107200000000001</v>
      </c>
      <c r="D20" s="110">
        <f>(D17*1000)/D19</f>
        <v>5.008E-2</v>
      </c>
      <c r="E20" s="110">
        <f>(E17*1000)/E19</f>
        <v>-1.8722719999999999</v>
      </c>
      <c r="F20" s="110">
        <f>(F17*1000)/F19</f>
        <v>-1.199392</v>
      </c>
      <c r="G20" s="110">
        <f>(G17*1000)/G19</f>
        <v>-0.74003200000000002</v>
      </c>
      <c r="H20" s="110">
        <v>0.24129999999999999</v>
      </c>
      <c r="I20" s="110">
        <v>2.86</v>
      </c>
      <c r="J20" s="110">
        <v>1.0385</v>
      </c>
    </row>
    <row r="21" spans="1:11">
      <c r="C21" s="83"/>
      <c r="D21" s="83"/>
      <c r="E21" s="83"/>
      <c r="F21" s="83"/>
      <c r="G21" s="83"/>
      <c r="H21" s="83"/>
      <c r="I21" s="83"/>
      <c r="J21" s="83"/>
    </row>
    <row r="22" spans="1:11" s="119" customFormat="1">
      <c r="A22" s="121" t="s">
        <v>24</v>
      </c>
      <c r="C22" s="128"/>
      <c r="D22" s="128"/>
      <c r="E22" s="128"/>
      <c r="F22" s="128"/>
      <c r="G22" s="128"/>
      <c r="H22" s="128"/>
      <c r="I22" s="128"/>
      <c r="J22" s="128"/>
    </row>
    <row r="23" spans="1:11">
      <c r="B23" t="s">
        <v>25</v>
      </c>
      <c r="C23" s="123">
        <v>113738</v>
      </c>
      <c r="D23" s="123">
        <v>144194</v>
      </c>
      <c r="E23" s="123">
        <v>138983</v>
      </c>
      <c r="F23" s="123">
        <v>135551</v>
      </c>
      <c r="G23" s="123">
        <v>131166</v>
      </c>
      <c r="H23" s="123">
        <v>133750</v>
      </c>
      <c r="I23" s="83">
        <v>122103</v>
      </c>
      <c r="J23" s="83">
        <v>131157</v>
      </c>
    </row>
    <row r="24" spans="1:11">
      <c r="B24" t="s">
        <v>26</v>
      </c>
      <c r="C24" s="123">
        <v>0</v>
      </c>
      <c r="D24" s="123">
        <v>0</v>
      </c>
      <c r="E24" s="123">
        <v>13422</v>
      </c>
      <c r="F24" s="123">
        <v>11468</v>
      </c>
      <c r="G24" s="123">
        <v>10255</v>
      </c>
      <c r="H24" s="123">
        <v>22761</v>
      </c>
      <c r="I24" s="83">
        <v>27692</v>
      </c>
      <c r="J24" s="83">
        <v>26765</v>
      </c>
    </row>
    <row r="25" spans="1:11">
      <c r="B25" t="s">
        <v>27</v>
      </c>
      <c r="C25" s="123">
        <v>7</v>
      </c>
      <c r="D25" s="123">
        <v>0</v>
      </c>
      <c r="E25" s="123">
        <v>0</v>
      </c>
      <c r="F25" s="123">
        <v>0</v>
      </c>
      <c r="G25" s="123">
        <v>0</v>
      </c>
      <c r="H25" s="123">
        <v>0</v>
      </c>
      <c r="I25" s="123">
        <v>0</v>
      </c>
      <c r="J25" s="123">
        <v>0</v>
      </c>
    </row>
    <row r="26" spans="1:11">
      <c r="B26" t="s">
        <v>28</v>
      </c>
      <c r="C26" s="123">
        <v>0</v>
      </c>
      <c r="D26" s="123">
        <v>0</v>
      </c>
      <c r="E26" s="123">
        <v>47447</v>
      </c>
      <c r="F26" s="123">
        <v>24539</v>
      </c>
      <c r="G26" s="83">
        <v>24481</v>
      </c>
      <c r="H26" s="123">
        <v>24159</v>
      </c>
      <c r="I26" s="83">
        <v>24310</v>
      </c>
      <c r="J26" s="83">
        <v>0</v>
      </c>
    </row>
    <row r="27" spans="1:11">
      <c r="B27" t="s">
        <v>29</v>
      </c>
      <c r="C27" s="123">
        <v>10</v>
      </c>
      <c r="D27" s="123">
        <v>10</v>
      </c>
      <c r="E27" s="123">
        <v>10</v>
      </c>
      <c r="F27" s="123">
        <v>10</v>
      </c>
      <c r="G27" s="83">
        <v>11</v>
      </c>
      <c r="H27" s="123">
        <v>0</v>
      </c>
      <c r="I27" s="123">
        <v>0</v>
      </c>
      <c r="J27" s="123">
        <v>0</v>
      </c>
    </row>
    <row r="28" spans="1:11">
      <c r="B28" t="s">
        <v>30</v>
      </c>
      <c r="C28" s="123">
        <v>0</v>
      </c>
      <c r="D28" s="123">
        <v>0</v>
      </c>
      <c r="E28" s="123">
        <v>0</v>
      </c>
      <c r="F28" s="123">
        <v>0</v>
      </c>
      <c r="G28" s="123">
        <v>0</v>
      </c>
      <c r="H28" s="123">
        <v>11</v>
      </c>
      <c r="I28" s="83">
        <v>11</v>
      </c>
      <c r="J28" s="83">
        <v>0</v>
      </c>
    </row>
    <row r="29" spans="1:11">
      <c r="B29" s="8" t="s">
        <v>31</v>
      </c>
      <c r="C29" s="109">
        <f t="shared" ref="C29:I29" si="4">SUM(C23:C28)</f>
        <v>113755</v>
      </c>
      <c r="D29" s="109">
        <f t="shared" si="4"/>
        <v>144204</v>
      </c>
      <c r="E29" s="109">
        <f t="shared" si="4"/>
        <v>199862</v>
      </c>
      <c r="F29" s="109">
        <f t="shared" si="4"/>
        <v>171568</v>
      </c>
      <c r="G29" s="109">
        <f t="shared" si="4"/>
        <v>165913</v>
      </c>
      <c r="H29" s="109">
        <f t="shared" si="4"/>
        <v>180681</v>
      </c>
      <c r="I29" s="132">
        <f t="shared" si="4"/>
        <v>174116</v>
      </c>
      <c r="J29" s="132">
        <v>157922</v>
      </c>
    </row>
    <row r="30" spans="1:11">
      <c r="B30" s="8" t="s">
        <v>32</v>
      </c>
      <c r="C30" s="123"/>
      <c r="D30" s="123"/>
      <c r="E30" s="123"/>
      <c r="F30" s="123"/>
      <c r="G30" s="83"/>
      <c r="H30" s="83"/>
      <c r="I30" s="83"/>
      <c r="J30" s="83"/>
    </row>
    <row r="31" spans="1:11">
      <c r="B31" t="s">
        <v>33</v>
      </c>
      <c r="C31" s="123">
        <v>53618</v>
      </c>
      <c r="D31" s="123">
        <v>53436</v>
      </c>
      <c r="E31" s="123">
        <v>115659</v>
      </c>
      <c r="F31" s="123">
        <v>97021</v>
      </c>
      <c r="G31" s="123">
        <v>91627</v>
      </c>
      <c r="H31" s="123">
        <v>128212</v>
      </c>
      <c r="I31" s="83">
        <v>101691</v>
      </c>
      <c r="J31" s="83">
        <v>128999</v>
      </c>
    </row>
    <row r="32" spans="1:11">
      <c r="B32" t="s">
        <v>34</v>
      </c>
      <c r="C32" s="123">
        <v>93937</v>
      </c>
      <c r="D32" s="123">
        <v>270261</v>
      </c>
      <c r="E32" s="123">
        <v>114316</v>
      </c>
      <c r="F32" s="123">
        <v>25639</v>
      </c>
      <c r="G32" s="123">
        <v>24539</v>
      </c>
      <c r="H32" s="123">
        <v>33747</v>
      </c>
      <c r="I32" s="83">
        <v>41799</v>
      </c>
      <c r="J32" s="83">
        <v>49175</v>
      </c>
    </row>
    <row r="33" spans="1:10">
      <c r="B33" t="s">
        <v>35</v>
      </c>
      <c r="C33" s="123">
        <v>28747</v>
      </c>
      <c r="D33" s="123">
        <v>22740</v>
      </c>
      <c r="E33" s="123">
        <v>1362</v>
      </c>
      <c r="F33" s="123">
        <v>652</v>
      </c>
      <c r="G33" s="123">
        <v>3633</v>
      </c>
      <c r="H33" s="123">
        <v>1368</v>
      </c>
      <c r="I33" s="83">
        <v>2362</v>
      </c>
      <c r="J33" s="83">
        <v>1702</v>
      </c>
    </row>
    <row r="34" spans="1:10">
      <c r="B34" t="s">
        <v>36</v>
      </c>
      <c r="C34" s="123">
        <v>125259</v>
      </c>
      <c r="D34" s="123">
        <v>227904</v>
      </c>
      <c r="E34" s="123">
        <v>35892</v>
      </c>
      <c r="F34" s="123">
        <v>22340</v>
      </c>
      <c r="G34" s="123">
        <v>56199</v>
      </c>
      <c r="H34" s="123">
        <v>9901</v>
      </c>
      <c r="I34" s="83">
        <v>8542</v>
      </c>
      <c r="J34" s="83">
        <v>9415</v>
      </c>
    </row>
    <row r="35" spans="1:10">
      <c r="B35" t="s">
        <v>37</v>
      </c>
      <c r="C35" s="123">
        <v>112</v>
      </c>
      <c r="D35" s="123">
        <v>0</v>
      </c>
      <c r="E35" s="123">
        <v>10231</v>
      </c>
      <c r="F35" s="123">
        <v>12554</v>
      </c>
      <c r="G35" s="123">
        <v>14267</v>
      </c>
      <c r="H35" s="123">
        <v>15341</v>
      </c>
      <c r="I35" s="83">
        <v>15752</v>
      </c>
      <c r="J35" s="83">
        <v>6636</v>
      </c>
    </row>
    <row r="36" spans="1:10">
      <c r="B36" t="s">
        <v>38</v>
      </c>
      <c r="C36" s="123">
        <v>53203</v>
      </c>
      <c r="D36" s="123">
        <v>7945</v>
      </c>
      <c r="E36" s="123">
        <v>11857</v>
      </c>
      <c r="F36" s="123">
        <v>5947</v>
      </c>
      <c r="G36" s="123">
        <v>26363</v>
      </c>
      <c r="H36" s="123">
        <v>42504</v>
      </c>
      <c r="I36" s="83">
        <v>108717</v>
      </c>
      <c r="J36" s="83">
        <v>97030</v>
      </c>
    </row>
    <row r="37" spans="1:10">
      <c r="B37" s="8" t="s">
        <v>39</v>
      </c>
      <c r="C37" s="109">
        <f t="shared" ref="C37:I37" si="5">SUM(C31:C36)</f>
        <v>354876</v>
      </c>
      <c r="D37" s="109">
        <f t="shared" si="5"/>
        <v>582286</v>
      </c>
      <c r="E37" s="109">
        <f t="shared" si="5"/>
        <v>289317</v>
      </c>
      <c r="F37" s="109">
        <f t="shared" si="5"/>
        <v>164153</v>
      </c>
      <c r="G37" s="109">
        <f t="shared" si="5"/>
        <v>216628</v>
      </c>
      <c r="H37" s="109">
        <f t="shared" si="5"/>
        <v>231073</v>
      </c>
      <c r="I37" s="132">
        <f t="shared" si="5"/>
        <v>278863</v>
      </c>
      <c r="J37" s="132">
        <v>292957</v>
      </c>
    </row>
    <row r="38" spans="1:10">
      <c r="B38" s="8"/>
      <c r="C38" s="109"/>
      <c r="D38" s="109"/>
      <c r="E38" s="109"/>
      <c r="F38" s="109"/>
      <c r="G38" s="83"/>
      <c r="H38" s="83"/>
      <c r="I38" s="83"/>
      <c r="J38" s="83"/>
    </row>
    <row r="39" spans="1:10">
      <c r="A39" s="60"/>
      <c r="B39" s="85" t="s">
        <v>40</v>
      </c>
      <c r="C39" s="129">
        <f t="shared" ref="C39:I39" si="6">SUM(C29,C37)</f>
        <v>468631</v>
      </c>
      <c r="D39" s="129">
        <f t="shared" si="6"/>
        <v>726490</v>
      </c>
      <c r="E39" s="129">
        <f t="shared" si="6"/>
        <v>489179</v>
      </c>
      <c r="F39" s="129">
        <f t="shared" si="6"/>
        <v>335721</v>
      </c>
      <c r="G39" s="129">
        <f t="shared" si="6"/>
        <v>382541</v>
      </c>
      <c r="H39" s="129">
        <f t="shared" si="6"/>
        <v>411754</v>
      </c>
      <c r="I39" s="117">
        <f t="shared" si="6"/>
        <v>452979</v>
      </c>
      <c r="J39" s="117">
        <v>450879</v>
      </c>
    </row>
    <row r="40" spans="1:10">
      <c r="C40" s="83"/>
      <c r="D40" s="83"/>
      <c r="E40" s="83"/>
      <c r="F40" s="83"/>
      <c r="G40" s="83"/>
      <c r="H40" s="83"/>
      <c r="I40" s="83"/>
      <c r="J40" s="83"/>
    </row>
    <row r="41" spans="1:10">
      <c r="B41" s="8" t="s">
        <v>41</v>
      </c>
      <c r="C41" s="123"/>
      <c r="D41" s="123"/>
      <c r="E41" s="123"/>
      <c r="F41" s="123"/>
      <c r="G41" s="83"/>
      <c r="H41" s="83"/>
      <c r="I41" s="83"/>
      <c r="J41" s="83"/>
    </row>
    <row r="42" spans="1:10">
      <c r="B42" t="s">
        <v>42</v>
      </c>
      <c r="C42" s="123">
        <v>1200</v>
      </c>
      <c r="D42" s="123">
        <v>1200</v>
      </c>
      <c r="E42" s="123">
        <v>1200</v>
      </c>
      <c r="F42" s="123">
        <v>1200</v>
      </c>
      <c r="G42" s="123">
        <v>1200</v>
      </c>
      <c r="H42" s="123">
        <v>1200</v>
      </c>
      <c r="I42" s="83">
        <v>1200</v>
      </c>
      <c r="J42" s="83">
        <v>1200</v>
      </c>
    </row>
    <row r="43" spans="1:10">
      <c r="B43" t="s">
        <v>43</v>
      </c>
      <c r="C43" s="123">
        <v>204</v>
      </c>
      <c r="D43" s="123">
        <v>204</v>
      </c>
      <c r="E43" s="123">
        <v>204</v>
      </c>
      <c r="F43" s="123">
        <v>204</v>
      </c>
      <c r="G43" s="123">
        <v>204</v>
      </c>
      <c r="H43" s="123">
        <v>204</v>
      </c>
      <c r="I43" s="83">
        <v>204</v>
      </c>
      <c r="J43" s="83">
        <v>204</v>
      </c>
    </row>
    <row r="44" spans="1:10">
      <c r="B44" t="s">
        <v>44</v>
      </c>
      <c r="C44" s="123">
        <v>119112</v>
      </c>
      <c r="D44" s="123">
        <v>293656</v>
      </c>
      <c r="E44" s="123">
        <v>83467</v>
      </c>
      <c r="F44" s="123">
        <v>33314</v>
      </c>
      <c r="G44" s="123">
        <v>35289</v>
      </c>
      <c r="H44" s="123">
        <v>51333</v>
      </c>
      <c r="I44" s="83">
        <v>229842</v>
      </c>
      <c r="J44" s="83">
        <v>231271</v>
      </c>
    </row>
    <row r="45" spans="1:10">
      <c r="B45" t="s">
        <v>45</v>
      </c>
      <c r="C45" s="123">
        <v>81</v>
      </c>
      <c r="D45" s="123">
        <v>81</v>
      </c>
      <c r="E45" s="123">
        <v>81</v>
      </c>
      <c r="F45" s="123">
        <v>81</v>
      </c>
      <c r="G45" s="123">
        <v>81</v>
      </c>
      <c r="H45" s="123">
        <v>81</v>
      </c>
      <c r="I45" s="83">
        <v>81</v>
      </c>
      <c r="J45" s="83">
        <v>81</v>
      </c>
    </row>
    <row r="46" spans="1:10">
      <c r="B46" s="8" t="s">
        <v>46</v>
      </c>
      <c r="C46" s="109">
        <f t="shared" ref="C46:I46" si="7">SUM(C42:C45)</f>
        <v>120597</v>
      </c>
      <c r="D46" s="109">
        <f t="shared" si="7"/>
        <v>295141</v>
      </c>
      <c r="E46" s="109">
        <f t="shared" si="7"/>
        <v>84952</v>
      </c>
      <c r="F46" s="109">
        <f t="shared" si="7"/>
        <v>34799</v>
      </c>
      <c r="G46" s="109">
        <f t="shared" si="7"/>
        <v>36774</v>
      </c>
      <c r="H46" s="109">
        <f t="shared" si="7"/>
        <v>52818</v>
      </c>
      <c r="I46" s="132">
        <f t="shared" si="7"/>
        <v>231327</v>
      </c>
      <c r="J46" s="132">
        <v>232756</v>
      </c>
    </row>
    <row r="47" spans="1:10">
      <c r="B47" s="8"/>
      <c r="C47" s="130"/>
      <c r="D47" s="130"/>
      <c r="E47" s="130"/>
      <c r="F47" s="130"/>
      <c r="G47" s="130"/>
      <c r="H47" s="83"/>
      <c r="I47" s="83"/>
      <c r="J47" s="83"/>
    </row>
    <row r="48" spans="1:10">
      <c r="B48" s="8" t="s">
        <v>47</v>
      </c>
      <c r="C48" s="123"/>
      <c r="D48" s="123"/>
      <c r="E48" s="123"/>
      <c r="F48" s="123"/>
      <c r="G48" s="83"/>
      <c r="H48" s="83"/>
      <c r="I48" s="83"/>
      <c r="J48" s="83"/>
    </row>
    <row r="49" spans="1:10">
      <c r="B49" t="s">
        <v>48</v>
      </c>
      <c r="C49" s="123">
        <v>4364</v>
      </c>
      <c r="D49" s="123">
        <v>4113</v>
      </c>
      <c r="E49" s="123">
        <v>3736</v>
      </c>
      <c r="F49" s="123">
        <v>3422</v>
      </c>
      <c r="G49" s="123">
        <v>4236</v>
      </c>
      <c r="H49" s="123">
        <v>6193</v>
      </c>
      <c r="I49" s="83">
        <v>6942</v>
      </c>
      <c r="J49" s="83">
        <v>5738</v>
      </c>
    </row>
    <row r="50" spans="1:10">
      <c r="B50" t="s">
        <v>49</v>
      </c>
      <c r="C50" s="123">
        <v>8644</v>
      </c>
      <c r="D50" s="123">
        <v>8842</v>
      </c>
      <c r="E50" s="123">
        <v>0</v>
      </c>
      <c r="F50" s="123">
        <v>0</v>
      </c>
      <c r="G50" s="123">
        <v>0</v>
      </c>
      <c r="H50" s="123">
        <v>0</v>
      </c>
      <c r="I50" s="123">
        <v>0</v>
      </c>
      <c r="J50" s="123">
        <v>1719</v>
      </c>
    </row>
    <row r="51" spans="1:10">
      <c r="B51" t="s">
        <v>50</v>
      </c>
      <c r="C51" s="123">
        <v>0</v>
      </c>
      <c r="D51" s="123">
        <v>0</v>
      </c>
      <c r="E51" s="123">
        <v>1116</v>
      </c>
      <c r="F51" s="123">
        <v>166</v>
      </c>
      <c r="G51" s="123">
        <v>0</v>
      </c>
      <c r="H51" s="123">
        <v>6978</v>
      </c>
      <c r="I51" s="83">
        <v>11241</v>
      </c>
      <c r="J51" s="83">
        <v>13218</v>
      </c>
    </row>
    <row r="52" spans="1:10">
      <c r="B52" s="8" t="s">
        <v>51</v>
      </c>
      <c r="C52" s="109">
        <f t="shared" ref="C52:I52" si="8">SUM(C49:C51)</f>
        <v>13008</v>
      </c>
      <c r="D52" s="109">
        <f t="shared" si="8"/>
        <v>12955</v>
      </c>
      <c r="E52" s="109">
        <f t="shared" si="8"/>
        <v>4852</v>
      </c>
      <c r="F52" s="109">
        <f t="shared" si="8"/>
        <v>3588</v>
      </c>
      <c r="G52" s="109">
        <f t="shared" si="8"/>
        <v>4236</v>
      </c>
      <c r="H52" s="109">
        <f t="shared" si="8"/>
        <v>13171</v>
      </c>
      <c r="I52" s="132">
        <f t="shared" si="8"/>
        <v>18183</v>
      </c>
      <c r="J52" s="132">
        <v>20675</v>
      </c>
    </row>
    <row r="53" spans="1:10">
      <c r="B53" s="8" t="s">
        <v>52</v>
      </c>
      <c r="C53" s="123"/>
      <c r="D53" s="123"/>
      <c r="E53" s="123"/>
      <c r="F53" s="123"/>
      <c r="G53" s="83"/>
      <c r="H53" s="83"/>
      <c r="I53" s="83"/>
      <c r="J53" s="83"/>
    </row>
    <row r="54" spans="1:10">
      <c r="B54" t="s">
        <v>53</v>
      </c>
      <c r="C54" s="123">
        <v>14</v>
      </c>
      <c r="D54" s="123">
        <v>73508</v>
      </c>
      <c r="E54" s="123">
        <v>65202</v>
      </c>
      <c r="F54" s="123">
        <v>6892</v>
      </c>
      <c r="G54" s="123">
        <v>52055</v>
      </c>
      <c r="H54" s="123">
        <v>99646</v>
      </c>
      <c r="I54" s="83">
        <v>0</v>
      </c>
      <c r="J54" s="83"/>
    </row>
    <row r="55" spans="1:10">
      <c r="B55" t="s">
        <v>54</v>
      </c>
      <c r="C55" s="123">
        <v>74009</v>
      </c>
      <c r="D55" s="123">
        <v>69836</v>
      </c>
      <c r="E55" s="123">
        <v>87115</v>
      </c>
      <c r="F55" s="123">
        <v>103026</v>
      </c>
      <c r="G55" s="123">
        <v>92140</v>
      </c>
      <c r="H55" s="123">
        <v>84594</v>
      </c>
      <c r="I55" s="83">
        <v>116922</v>
      </c>
      <c r="J55" s="83">
        <v>104265</v>
      </c>
    </row>
    <row r="56" spans="1:10">
      <c r="B56" t="s">
        <v>55</v>
      </c>
      <c r="C56" s="123">
        <v>154407</v>
      </c>
      <c r="D56" s="123">
        <v>231651</v>
      </c>
      <c r="E56" s="123">
        <v>210056</v>
      </c>
      <c r="F56" s="123">
        <v>149391</v>
      </c>
      <c r="G56" s="123">
        <v>166804</v>
      </c>
      <c r="H56" s="123">
        <v>127578</v>
      </c>
      <c r="I56" s="83">
        <v>47757</v>
      </c>
      <c r="J56" s="83">
        <v>64016</v>
      </c>
    </row>
    <row r="57" spans="1:10">
      <c r="B57" t="s">
        <v>56</v>
      </c>
      <c r="C57" s="123">
        <v>3044</v>
      </c>
      <c r="D57" s="123">
        <v>3044</v>
      </c>
      <c r="E57" s="123">
        <v>33828</v>
      </c>
      <c r="F57" s="123">
        <v>33828</v>
      </c>
      <c r="G57" s="123">
        <v>22417</v>
      </c>
      <c r="H57" s="123">
        <v>22417</v>
      </c>
      <c r="I57" s="83">
        <v>3177</v>
      </c>
      <c r="J57" s="83">
        <v>0</v>
      </c>
    </row>
    <row r="58" spans="1:10">
      <c r="B58" t="s">
        <v>57</v>
      </c>
      <c r="C58" s="123">
        <v>103552</v>
      </c>
      <c r="D58" s="123">
        <v>13743</v>
      </c>
      <c r="E58" s="123">
        <v>1378</v>
      </c>
      <c r="F58" s="123">
        <v>2852</v>
      </c>
      <c r="G58" s="123">
        <v>7939</v>
      </c>
      <c r="H58" s="123">
        <v>7980</v>
      </c>
      <c r="I58" s="83">
        <v>7948</v>
      </c>
      <c r="J58" s="83">
        <v>25255</v>
      </c>
    </row>
    <row r="59" spans="1:10">
      <c r="B59" t="s">
        <v>58</v>
      </c>
      <c r="C59" s="123">
        <v>0</v>
      </c>
      <c r="D59" s="123">
        <v>26612</v>
      </c>
      <c r="E59" s="123">
        <v>1796</v>
      </c>
      <c r="F59" s="123">
        <v>1345</v>
      </c>
      <c r="G59" s="123">
        <v>176</v>
      </c>
      <c r="H59" s="123">
        <v>3550</v>
      </c>
      <c r="I59" s="83">
        <v>5953</v>
      </c>
      <c r="J59" s="83">
        <v>3912</v>
      </c>
    </row>
    <row r="60" spans="1:10">
      <c r="B60" t="s">
        <v>59</v>
      </c>
      <c r="C60" s="123"/>
      <c r="D60" s="123"/>
      <c r="E60" s="123"/>
      <c r="F60" s="123"/>
      <c r="G60" s="123"/>
      <c r="H60" s="123"/>
      <c r="I60" s="83">
        <v>21712</v>
      </c>
      <c r="J60" s="83">
        <v>0</v>
      </c>
    </row>
    <row r="61" spans="1:10">
      <c r="B61" s="8" t="s">
        <v>60</v>
      </c>
      <c r="C61" s="109">
        <f t="shared" ref="C61:H61" si="9">SUM(C54:C59)</f>
        <v>335026</v>
      </c>
      <c r="D61" s="109">
        <f t="shared" si="9"/>
        <v>418394</v>
      </c>
      <c r="E61" s="109">
        <f t="shared" si="9"/>
        <v>399375</v>
      </c>
      <c r="F61" s="109">
        <f t="shared" si="9"/>
        <v>297334</v>
      </c>
      <c r="G61" s="109">
        <f t="shared" si="9"/>
        <v>341531</v>
      </c>
      <c r="H61" s="109">
        <f t="shared" si="9"/>
        <v>345765</v>
      </c>
      <c r="I61" s="132">
        <f>SUM(I54:I60)</f>
        <v>203469</v>
      </c>
      <c r="J61" s="132">
        <v>197448</v>
      </c>
    </row>
    <row r="62" spans="1:10">
      <c r="B62" s="8" t="s">
        <v>61</v>
      </c>
      <c r="C62" s="109">
        <f t="shared" ref="C62:I62" si="10">SUM(C52,C61)</f>
        <v>348034</v>
      </c>
      <c r="D62" s="109">
        <f t="shared" si="10"/>
        <v>431349</v>
      </c>
      <c r="E62" s="109">
        <f t="shared" si="10"/>
        <v>404227</v>
      </c>
      <c r="F62" s="109">
        <f t="shared" si="10"/>
        <v>300922</v>
      </c>
      <c r="G62" s="109">
        <f t="shared" si="10"/>
        <v>345767</v>
      </c>
      <c r="H62" s="109">
        <f t="shared" si="10"/>
        <v>358936</v>
      </c>
      <c r="I62" s="132">
        <f t="shared" si="10"/>
        <v>221652</v>
      </c>
      <c r="J62" s="132">
        <v>218123</v>
      </c>
    </row>
    <row r="63" spans="1:10">
      <c r="C63" s="123"/>
      <c r="D63" s="123"/>
      <c r="E63" s="123"/>
      <c r="F63" s="123"/>
      <c r="G63" s="83"/>
      <c r="H63" s="83"/>
      <c r="I63" s="83"/>
      <c r="J63" s="83"/>
    </row>
    <row r="64" spans="1:10">
      <c r="A64" s="60"/>
      <c r="B64" s="85" t="s">
        <v>62</v>
      </c>
      <c r="C64" s="129">
        <f t="shared" ref="C64:I64" si="11">SUM(C62+C46)</f>
        <v>468631</v>
      </c>
      <c r="D64" s="129">
        <f t="shared" si="11"/>
        <v>726490</v>
      </c>
      <c r="E64" s="129">
        <f t="shared" si="11"/>
        <v>489179</v>
      </c>
      <c r="F64" s="129">
        <f t="shared" si="11"/>
        <v>335721</v>
      </c>
      <c r="G64" s="129">
        <f t="shared" si="11"/>
        <v>382541</v>
      </c>
      <c r="H64" s="129">
        <f t="shared" si="11"/>
        <v>411754</v>
      </c>
      <c r="I64" s="117">
        <f t="shared" si="11"/>
        <v>452979</v>
      </c>
      <c r="J64" s="117">
        <v>450879</v>
      </c>
    </row>
    <row r="65" spans="1:10">
      <c r="C65" s="83"/>
      <c r="D65" s="83"/>
      <c r="E65" s="83"/>
      <c r="F65" s="83"/>
      <c r="G65" s="83"/>
      <c r="H65" s="83"/>
      <c r="I65" s="83"/>
      <c r="J65" s="83"/>
    </row>
    <row r="66" spans="1:10">
      <c r="C66" s="83"/>
      <c r="D66" s="83"/>
      <c r="E66" s="83"/>
      <c r="F66" s="83"/>
      <c r="G66" s="83"/>
      <c r="H66" s="83"/>
      <c r="I66" s="83"/>
      <c r="J66" s="83"/>
    </row>
    <row r="67" spans="1:10">
      <c r="C67" s="83"/>
      <c r="D67" s="83"/>
      <c r="E67" s="83"/>
      <c r="F67" s="83"/>
      <c r="G67" s="83"/>
      <c r="H67" s="83"/>
      <c r="I67" s="83"/>
      <c r="J67" s="83"/>
    </row>
    <row r="68" spans="1:10">
      <c r="C68" s="83"/>
      <c r="D68" s="83"/>
      <c r="E68" s="83"/>
      <c r="F68" s="83"/>
      <c r="G68" s="83"/>
      <c r="H68" s="83"/>
      <c r="I68" s="83"/>
      <c r="J68" s="83"/>
    </row>
    <row r="69" spans="1:10">
      <c r="C69" s="83"/>
      <c r="D69" s="83"/>
      <c r="E69" s="83"/>
      <c r="F69" s="83"/>
      <c r="G69" s="83"/>
      <c r="H69" s="83"/>
      <c r="I69" s="83"/>
      <c r="J69" s="83"/>
    </row>
    <row r="70" spans="1:10">
      <c r="C70" s="83"/>
      <c r="D70" s="83"/>
      <c r="E70" s="83"/>
      <c r="F70" s="83"/>
      <c r="G70" s="83"/>
      <c r="H70" s="83"/>
      <c r="I70" s="83"/>
      <c r="J70" s="83"/>
    </row>
    <row r="71" spans="1:10">
      <c r="B71" t="s">
        <v>63</v>
      </c>
      <c r="C71" s="136">
        <v>3125</v>
      </c>
      <c r="D71" s="136">
        <v>15625</v>
      </c>
      <c r="E71" s="136">
        <v>19216</v>
      </c>
      <c r="F71" s="136">
        <v>0</v>
      </c>
      <c r="G71" s="136">
        <v>11544</v>
      </c>
      <c r="H71" s="83"/>
      <c r="I71" s="83"/>
      <c r="J71" s="83"/>
    </row>
    <row r="72" spans="1:10">
      <c r="C72" s="83"/>
      <c r="D72" s="83"/>
      <c r="E72" s="83"/>
      <c r="F72" s="83"/>
      <c r="G72" s="83"/>
      <c r="H72" s="83"/>
      <c r="I72" s="83"/>
      <c r="J72" s="83"/>
    </row>
    <row r="73" spans="1:10" s="119" customFormat="1">
      <c r="A73" s="121" t="s">
        <v>64</v>
      </c>
      <c r="C73" s="128"/>
      <c r="D73" s="128"/>
      <c r="E73" s="128"/>
      <c r="F73" s="128"/>
      <c r="G73" s="128"/>
      <c r="H73" s="128"/>
      <c r="I73" s="128"/>
      <c r="J73" s="128"/>
    </row>
    <row r="74" spans="1:10">
      <c r="B74" s="8" t="s">
        <v>65</v>
      </c>
      <c r="C74" s="83"/>
      <c r="D74" s="83"/>
      <c r="E74" s="83"/>
      <c r="F74" s="83"/>
      <c r="G74" s="83"/>
      <c r="H74" s="83"/>
      <c r="I74" s="83"/>
      <c r="J74" s="83"/>
    </row>
    <row r="75" spans="1:10">
      <c r="B75" s="8"/>
      <c r="C75" s="83"/>
      <c r="D75" s="83"/>
      <c r="E75" s="83"/>
      <c r="F75" s="83"/>
      <c r="G75" s="83"/>
      <c r="H75" s="83"/>
      <c r="I75" s="83"/>
      <c r="J75" s="83"/>
    </row>
    <row r="76" spans="1:10">
      <c r="B76" t="s">
        <v>66</v>
      </c>
      <c r="C76" s="116">
        <v>90786</v>
      </c>
      <c r="D76" s="83">
        <v>-9928</v>
      </c>
      <c r="E76" s="83">
        <v>104131</v>
      </c>
      <c r="F76" s="83">
        <v>70752</v>
      </c>
      <c r="G76" s="83">
        <v>7494</v>
      </c>
      <c r="H76" s="83">
        <v>-43478</v>
      </c>
      <c r="I76" s="83">
        <v>225499</v>
      </c>
      <c r="J76" s="83">
        <v>106506</v>
      </c>
    </row>
    <row r="77" spans="1:10">
      <c r="B77" t="s">
        <v>67</v>
      </c>
      <c r="C77" s="116">
        <v>-2004</v>
      </c>
      <c r="D77" s="83">
        <v>-3376</v>
      </c>
      <c r="E77" s="83">
        <v>-11603</v>
      </c>
      <c r="F77" s="83">
        <v>-5608</v>
      </c>
      <c r="G77" s="83">
        <v>-2922</v>
      </c>
      <c r="H77" s="83">
        <v>-18453</v>
      </c>
      <c r="I77" s="83">
        <v>-9999</v>
      </c>
      <c r="J77" s="83">
        <v>-5365</v>
      </c>
    </row>
    <row r="78" spans="1:10">
      <c r="B78" t="s">
        <v>68</v>
      </c>
      <c r="C78" s="83">
        <v>160</v>
      </c>
      <c r="D78" s="83">
        <v>440</v>
      </c>
      <c r="E78" s="83">
        <v>571</v>
      </c>
      <c r="F78" s="83">
        <v>100</v>
      </c>
      <c r="G78" s="83">
        <v>341</v>
      </c>
      <c r="H78" s="83">
        <v>824</v>
      </c>
      <c r="I78" s="83">
        <v>1547</v>
      </c>
      <c r="J78" s="83">
        <v>1739</v>
      </c>
    </row>
    <row r="79" spans="1:10">
      <c r="B79" t="s">
        <v>69</v>
      </c>
      <c r="C79" s="83">
        <v>-15411</v>
      </c>
      <c r="D79" s="83">
        <v>-32356</v>
      </c>
      <c r="E79" s="83">
        <v>-36843</v>
      </c>
      <c r="F79" s="83">
        <v>-2323</v>
      </c>
      <c r="G79" s="83">
        <v>-2102</v>
      </c>
      <c r="H79" s="83">
        <v>-707</v>
      </c>
      <c r="I79" s="83">
        <v>-14955</v>
      </c>
      <c r="J79" s="83">
        <v>-50842</v>
      </c>
    </row>
    <row r="80" spans="1:10">
      <c r="A80" s="60"/>
      <c r="B80" s="85" t="s">
        <v>70</v>
      </c>
      <c r="C80" s="117">
        <v>73531</v>
      </c>
      <c r="D80" s="117">
        <v>-45220</v>
      </c>
      <c r="E80" s="117">
        <v>56256</v>
      </c>
      <c r="F80" s="117">
        <v>62921</v>
      </c>
      <c r="G80" s="117">
        <v>2811</v>
      </c>
      <c r="H80" s="117">
        <v>-61814</v>
      </c>
      <c r="I80" s="117">
        <v>202092</v>
      </c>
      <c r="J80" s="117">
        <v>52038</v>
      </c>
    </row>
    <row r="81" spans="1:10">
      <c r="C81" s="83"/>
      <c r="D81" s="83"/>
      <c r="E81" s="83"/>
      <c r="F81" s="83"/>
      <c r="G81" s="83"/>
      <c r="H81" s="83"/>
      <c r="I81" s="83"/>
      <c r="J81" s="83"/>
    </row>
    <row r="82" spans="1:10">
      <c r="B82" s="8" t="s">
        <v>71</v>
      </c>
      <c r="C82" s="83"/>
      <c r="D82" s="83"/>
      <c r="E82" s="83"/>
      <c r="F82" s="83"/>
      <c r="G82" s="83"/>
      <c r="H82" s="83"/>
      <c r="I82" s="83"/>
      <c r="J82" s="83"/>
    </row>
    <row r="83" spans="1:10">
      <c r="B83" s="8"/>
      <c r="C83" s="83"/>
      <c r="D83" s="83"/>
      <c r="E83" s="83"/>
      <c r="F83" s="83"/>
      <c r="G83" s="83"/>
      <c r="H83" s="83"/>
      <c r="I83" s="83"/>
      <c r="J83" s="83"/>
    </row>
    <row r="84" spans="1:10">
      <c r="B84" t="s">
        <v>72</v>
      </c>
      <c r="C84" s="83">
        <v>-21005</v>
      </c>
      <c r="D84" s="83">
        <v>-60914</v>
      </c>
      <c r="E84" s="116">
        <v>-23878</v>
      </c>
      <c r="F84" s="83">
        <v>-8883</v>
      </c>
      <c r="G84" s="83">
        <v>-17587</v>
      </c>
      <c r="H84" s="83">
        <v>-16035</v>
      </c>
      <c r="I84" s="83">
        <v>-22949</v>
      </c>
      <c r="J84" s="83">
        <v>-21195</v>
      </c>
    </row>
    <row r="85" spans="1:10">
      <c r="B85" t="s">
        <v>73</v>
      </c>
      <c r="C85" s="83">
        <v>0</v>
      </c>
      <c r="D85" s="83">
        <v>0</v>
      </c>
      <c r="E85" s="116">
        <v>0</v>
      </c>
      <c r="F85" s="83">
        <v>0</v>
      </c>
      <c r="G85" s="83">
        <v>50</v>
      </c>
      <c r="H85" s="83">
        <v>75</v>
      </c>
      <c r="I85" s="83">
        <v>320</v>
      </c>
      <c r="J85" s="83">
        <v>0</v>
      </c>
    </row>
    <row r="86" spans="1:10">
      <c r="B86" t="s">
        <v>74</v>
      </c>
      <c r="C86" s="83">
        <v>0</v>
      </c>
      <c r="D86" s="83">
        <v>0</v>
      </c>
      <c r="E86" s="116">
        <v>0</v>
      </c>
      <c r="F86" s="83">
        <v>0</v>
      </c>
      <c r="G86" s="83">
        <v>0</v>
      </c>
      <c r="H86" s="83">
        <v>39747</v>
      </c>
      <c r="I86" s="83">
        <v>0</v>
      </c>
      <c r="J86" s="83"/>
    </row>
    <row r="87" spans="1:10">
      <c r="A87" s="60"/>
      <c r="B87" s="85" t="s">
        <v>75</v>
      </c>
      <c r="C87" s="117">
        <v>-21005</v>
      </c>
      <c r="D87" s="117">
        <v>-60914</v>
      </c>
      <c r="E87" s="117">
        <v>-23878</v>
      </c>
      <c r="F87" s="117">
        <v>-8883</v>
      </c>
      <c r="G87" s="117">
        <v>-17537</v>
      </c>
      <c r="H87" s="117">
        <v>23787</v>
      </c>
      <c r="I87" s="117">
        <v>-22629</v>
      </c>
      <c r="J87" s="117">
        <v>-21195</v>
      </c>
    </row>
    <row r="88" spans="1:10">
      <c r="C88" s="83"/>
      <c r="D88" s="83"/>
      <c r="E88" s="83"/>
      <c r="F88" s="83"/>
      <c r="G88" s="83"/>
      <c r="H88" s="83"/>
      <c r="I88" s="83"/>
      <c r="J88" s="83"/>
    </row>
    <row r="89" spans="1:10">
      <c r="B89" s="8" t="s">
        <v>76</v>
      </c>
      <c r="C89" s="83"/>
      <c r="D89" s="83"/>
      <c r="E89" s="83"/>
      <c r="F89" s="83"/>
      <c r="G89" s="83"/>
      <c r="H89" s="83"/>
      <c r="I89" s="83"/>
      <c r="J89" s="83"/>
    </row>
    <row r="90" spans="1:10">
      <c r="B90" s="8"/>
      <c r="C90" s="83"/>
      <c r="D90" s="83"/>
      <c r="E90" s="83"/>
      <c r="F90" s="83"/>
      <c r="G90" s="83"/>
      <c r="H90" s="83"/>
      <c r="I90" s="83"/>
      <c r="J90" s="83"/>
    </row>
    <row r="91" spans="1:10">
      <c r="B91" t="s">
        <v>77</v>
      </c>
      <c r="C91" s="83">
        <v>-3125</v>
      </c>
      <c r="D91" s="116">
        <v>-15625</v>
      </c>
      <c r="E91" s="83">
        <v>-19216</v>
      </c>
      <c r="F91" s="83">
        <v>0</v>
      </c>
      <c r="G91" s="83">
        <v>-11544</v>
      </c>
      <c r="H91" s="83">
        <v>0</v>
      </c>
      <c r="I91" s="83">
        <v>-19240</v>
      </c>
      <c r="J91" s="83">
        <v>-28044</v>
      </c>
    </row>
    <row r="92" spans="1:10">
      <c r="B92" t="s">
        <v>78</v>
      </c>
      <c r="C92" s="83">
        <v>0</v>
      </c>
      <c r="D92" s="116">
        <v>0</v>
      </c>
      <c r="E92" s="83">
        <v>-1997</v>
      </c>
      <c r="F92" s="83">
        <v>-1401</v>
      </c>
      <c r="G92" s="83">
        <v>-1335</v>
      </c>
      <c r="H92" s="83">
        <v>-3735</v>
      </c>
      <c r="I92" s="83">
        <v>-235</v>
      </c>
      <c r="J92" s="83">
        <v>-12218</v>
      </c>
    </row>
    <row r="93" spans="1:10">
      <c r="A93" s="60"/>
      <c r="B93" s="85" t="s">
        <v>79</v>
      </c>
      <c r="C93" s="117">
        <v>-3125</v>
      </c>
      <c r="D93" s="117">
        <v>-15625</v>
      </c>
      <c r="E93" s="117">
        <v>-21213</v>
      </c>
      <c r="F93" s="117">
        <v>-1401</v>
      </c>
      <c r="G93" s="117">
        <v>-12879</v>
      </c>
      <c r="H93" s="117">
        <v>-3735</v>
      </c>
      <c r="I93" s="117">
        <v>-19475</v>
      </c>
      <c r="J93" s="117">
        <v>-40262</v>
      </c>
    </row>
    <row r="94" spans="1:10">
      <c r="C94" s="83"/>
      <c r="D94" s="83"/>
      <c r="E94" s="83"/>
      <c r="F94" s="83"/>
      <c r="G94" s="83"/>
      <c r="H94" s="83"/>
      <c r="I94" s="83"/>
      <c r="J94" s="83"/>
    </row>
    <row r="95" spans="1:10">
      <c r="B95" s="8" t="s">
        <v>80</v>
      </c>
      <c r="C95" s="83">
        <v>49401</v>
      </c>
      <c r="D95" s="83">
        <v>-121759</v>
      </c>
      <c r="E95" s="83">
        <v>11165</v>
      </c>
      <c r="F95" s="83">
        <v>52637</v>
      </c>
      <c r="G95" s="83">
        <v>-27605</v>
      </c>
      <c r="H95" s="83">
        <v>-41762</v>
      </c>
      <c r="I95" s="83">
        <v>159988</v>
      </c>
      <c r="J95" s="83">
        <v>-9419</v>
      </c>
    </row>
    <row r="96" spans="1:10">
      <c r="B96" t="s">
        <v>81</v>
      </c>
      <c r="C96" s="83">
        <v>3476</v>
      </c>
      <c r="D96" s="83">
        <v>53189</v>
      </c>
      <c r="E96" s="83">
        <v>-65563</v>
      </c>
      <c r="F96" s="83">
        <v>-53345</v>
      </c>
      <c r="G96" s="83">
        <v>-945</v>
      </c>
      <c r="H96" s="83">
        <v>-28010</v>
      </c>
      <c r="I96" s="83">
        <v>-59320</v>
      </c>
      <c r="J96" s="83">
        <v>106449</v>
      </c>
    </row>
    <row r="97" spans="1:10">
      <c r="B97" t="s">
        <v>82</v>
      </c>
      <c r="C97" s="83">
        <v>312</v>
      </c>
      <c r="D97" s="83">
        <v>3007</v>
      </c>
      <c r="E97" s="83">
        <v>1053</v>
      </c>
      <c r="F97" s="83">
        <v>-237</v>
      </c>
      <c r="G97" s="83">
        <v>540</v>
      </c>
      <c r="H97" s="83">
        <v>10450</v>
      </c>
      <c r="I97" s="83">
        <v>5781</v>
      </c>
      <c r="J97" s="83"/>
    </row>
    <row r="98" spans="1:10">
      <c r="C98" s="83"/>
      <c r="D98" s="83"/>
      <c r="E98" s="83"/>
      <c r="F98" s="83"/>
      <c r="G98" s="83"/>
      <c r="H98" s="83"/>
      <c r="I98" s="83"/>
      <c r="J98" s="83"/>
    </row>
    <row r="99" spans="1:10">
      <c r="A99" s="60"/>
      <c r="B99" s="85" t="s">
        <v>83</v>
      </c>
      <c r="C99" s="117">
        <v>53189</v>
      </c>
      <c r="D99" s="117">
        <v>65563</v>
      </c>
      <c r="E99" s="117">
        <v>-53345</v>
      </c>
      <c r="F99" s="117">
        <v>-945</v>
      </c>
      <c r="G99" s="117">
        <v>-28010</v>
      </c>
      <c r="H99" s="117">
        <v>-59320</v>
      </c>
      <c r="I99" s="117">
        <v>106449</v>
      </c>
      <c r="J99" s="117">
        <v>97030</v>
      </c>
    </row>
  </sheetData>
  <pageMargins left="0.7" right="0.7" top="0.75" bottom="0.75" header="0.3" footer="0.3"/>
  <pageSetup orientation="portrait"/>
  <ignoredErrors>
    <ignoredError sqref="G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8"/>
  <sheetViews>
    <sheetView workbookViewId="0">
      <selection activeCell="F11" sqref="F11"/>
    </sheetView>
  </sheetViews>
  <sheetFormatPr defaultColWidth="9" defaultRowHeight="14.4"/>
  <cols>
    <col min="1" max="1" width="2.5546875" customWidth="1"/>
    <col min="2" max="2" width="49.5546875" customWidth="1"/>
    <col min="3" max="3" width="10.33203125" customWidth="1"/>
    <col min="4" max="5" width="10.5546875" customWidth="1"/>
    <col min="6" max="6" width="10.33203125" customWidth="1"/>
    <col min="7" max="7" width="10.5546875" customWidth="1"/>
    <col min="8" max="8" width="10.6640625" customWidth="1"/>
    <col min="9" max="10" width="10.5546875" customWidth="1"/>
    <col min="11" max="11" width="21.88671875" customWidth="1"/>
  </cols>
  <sheetData>
    <row r="1" spans="1:12" s="105" customFormat="1">
      <c r="A1" s="80" t="s">
        <v>1</v>
      </c>
      <c r="C1" s="106">
        <v>2017</v>
      </c>
      <c r="D1" s="106">
        <v>2018</v>
      </c>
      <c r="E1" s="106">
        <v>2019</v>
      </c>
      <c r="F1" s="106">
        <v>2020</v>
      </c>
      <c r="G1" s="106">
        <v>2021</v>
      </c>
      <c r="H1" s="106">
        <v>2022</v>
      </c>
      <c r="I1" s="106">
        <v>2023</v>
      </c>
      <c r="J1" s="106">
        <v>2024</v>
      </c>
    </row>
    <row r="2" spans="1:12">
      <c r="B2" t="s">
        <v>2</v>
      </c>
      <c r="C2" s="3">
        <f>FS!C3/FS!C$3</f>
        <v>1</v>
      </c>
      <c r="D2" s="3">
        <f>FS!D3/FS!D$3</f>
        <v>1</v>
      </c>
      <c r="E2" s="3">
        <f>FS!E3/FS!E$3</f>
        <v>1</v>
      </c>
      <c r="F2" s="3">
        <f>FS!F3/FS!F$3</f>
        <v>1</v>
      </c>
      <c r="G2" s="3">
        <f>FS!G3/FS!G$3</f>
        <v>1</v>
      </c>
      <c r="H2" s="3">
        <f>FS!H3/FS!H$3</f>
        <v>1</v>
      </c>
      <c r="I2" s="3">
        <f>FS!I3/FS!I$3</f>
        <v>1</v>
      </c>
      <c r="J2" s="3">
        <f>FS!J3/FS!J$3</f>
        <v>1</v>
      </c>
    </row>
    <row r="3" spans="1:12">
      <c r="B3" t="s">
        <v>3</v>
      </c>
      <c r="C3" s="3">
        <f>FS!C4/FS!C$3</f>
        <v>-0.69770131911456934</v>
      </c>
      <c r="D3" s="3">
        <f>FS!D4/FS!D$3</f>
        <v>-0.69760279173363371</v>
      </c>
      <c r="E3" s="3">
        <f>FS!E4/FS!E$3</f>
        <v>-1.0461880044405774</v>
      </c>
      <c r="F3" s="3">
        <f>FS!F4/FS!F$3</f>
        <v>-0.83410369532676276</v>
      </c>
      <c r="G3" s="3">
        <f>FS!G4/FS!G$3</f>
        <v>-0.81582123770193127</v>
      </c>
      <c r="H3" s="3">
        <f>FS!H4/FS!H$3</f>
        <v>-0.75359197563806757</v>
      </c>
      <c r="I3" s="3">
        <f>FS!I4/FS!I$3</f>
        <v>-0.62915984874678743</v>
      </c>
      <c r="J3" s="3">
        <f>FS!J4/FS!J$3</f>
        <v>-0.62626812820355804</v>
      </c>
    </row>
    <row r="4" spans="1:12">
      <c r="A4" s="8"/>
      <c r="B4" s="8" t="s">
        <v>84</v>
      </c>
      <c r="C4" s="107">
        <f>FS!C5/FS!C$3</f>
        <v>0.30229868088543072</v>
      </c>
      <c r="D4" s="107">
        <f>FS!D5/FS!D$3</f>
        <v>0.30239720826636629</v>
      </c>
      <c r="E4" s="107">
        <f>FS!E5/FS!E$3</f>
        <v>-4.6188004440577274E-2</v>
      </c>
      <c r="F4" s="107">
        <f>FS!F5/FS!F$3</f>
        <v>0.16589630467323721</v>
      </c>
      <c r="G4" s="107">
        <f>FS!G5/FS!G$3</f>
        <v>0.18417876229806876</v>
      </c>
      <c r="H4" s="107">
        <f>FS!H5/FS!H$3</f>
        <v>0.24640802436193243</v>
      </c>
      <c r="I4" s="107">
        <f>FS!I5/FS!I$3</f>
        <v>0.37084015125321257</v>
      </c>
      <c r="J4" s="107">
        <f>FS!J5/FS!J$3</f>
        <v>0.37373187179644202</v>
      </c>
    </row>
    <row r="5" spans="1:12">
      <c r="B5" t="s">
        <v>7</v>
      </c>
      <c r="C5" s="3">
        <f>FS!C6/FS!C$3</f>
        <v>-2.2849600097261905E-2</v>
      </c>
      <c r="D5" s="3">
        <f>FS!D6/FS!D$3</f>
        <v>-2.8050215770890546E-2</v>
      </c>
      <c r="E5" s="3">
        <f>FS!E6/FS!E$3</f>
        <v>-7.7335053556962408E-2</v>
      </c>
      <c r="F5" s="3">
        <f>FS!F6/FS!F$3</f>
        <v>-3.8502758180849875E-2</v>
      </c>
      <c r="G5" s="3">
        <f>FS!G6/FS!G$3</f>
        <v>-3.1737747479655048E-2</v>
      </c>
      <c r="H5" s="3">
        <f>FS!H6/FS!H$3</f>
        <v>-2.3326265247982113E-2</v>
      </c>
      <c r="I5" s="3">
        <f>FS!I6/FS!I$3</f>
        <v>-2.1581331636102565E-2</v>
      </c>
      <c r="J5" s="3">
        <f>FS!J6/FS!J$3</f>
        <v>-2.2427994813069604E-2</v>
      </c>
    </row>
    <row r="6" spans="1:12">
      <c r="B6" t="s">
        <v>9</v>
      </c>
      <c r="C6" s="3">
        <f>FS!C7/FS!C$3</f>
        <v>-4.7826804338575633E-2</v>
      </c>
      <c r="D6" s="3">
        <f>FS!D7/FS!D$3</f>
        <v>-6.3274339083005351E-2</v>
      </c>
      <c r="E6" s="3">
        <f>FS!E7/FS!E$3</f>
        <v>-9.0299738966065593E-2</v>
      </c>
      <c r="F6" s="3">
        <f>FS!F7/FS!F$3</f>
        <v>-6.9935280825985852E-2</v>
      </c>
      <c r="G6" s="3">
        <f>FS!G7/FS!G$3</f>
        <v>-8.4666889347746868E-2</v>
      </c>
      <c r="H6" s="3">
        <f>FS!H7/FS!H$3</f>
        <v>-6.3527254357640894E-2</v>
      </c>
      <c r="I6" s="3">
        <f>FS!I7/FS!I$3</f>
        <v>-8.7680835460377513E-2</v>
      </c>
      <c r="J6" s="3">
        <f>FS!J7/FS!J$3</f>
        <v>-9.4140423140929158E-2</v>
      </c>
    </row>
    <row r="7" spans="1:12">
      <c r="B7" t="s">
        <v>11</v>
      </c>
      <c r="C7" s="3">
        <f>FS!C8/FS!C$3</f>
        <v>-9.7458164355249108E-2</v>
      </c>
      <c r="D7" s="3">
        <f>FS!D8/FS!D$3</f>
        <v>-0.10735867323048887</v>
      </c>
      <c r="E7" s="3">
        <f>FS!E8/FS!E$3</f>
        <v>-0.27318851450688592</v>
      </c>
      <c r="F7" s="3">
        <f>FS!F8/FS!F$3</f>
        <v>-0.15964135978206317</v>
      </c>
      <c r="G7" s="3">
        <f>FS!G8/FS!G$3</f>
        <v>-0.15100054658083323</v>
      </c>
      <c r="H7" s="3">
        <f>FS!H8/FS!H$3</f>
        <v>-0.11204208545996133</v>
      </c>
      <c r="I7" s="3">
        <f>FS!I8/FS!I$3</f>
        <v>-2.4775751916542053E-2</v>
      </c>
      <c r="J7" s="3">
        <f>FS!J8/FS!J$3</f>
        <v>-0.14516529311850762</v>
      </c>
    </row>
    <row r="8" spans="1:12">
      <c r="B8" t="s">
        <v>12</v>
      </c>
      <c r="C8" s="3">
        <f>FS!C9/FS!C$3</f>
        <v>0</v>
      </c>
      <c r="D8" s="3">
        <f>FS!D9/FS!D$3</f>
        <v>0</v>
      </c>
      <c r="E8" s="3">
        <f>FS!E9/FS!E$3</f>
        <v>0</v>
      </c>
      <c r="F8" s="3">
        <f>FS!F9/FS!F$3</f>
        <v>0</v>
      </c>
      <c r="G8" s="3">
        <f>FS!G9/FS!G$3</f>
        <v>0</v>
      </c>
      <c r="H8" s="3">
        <f>FS!H9/FS!H$3</f>
        <v>-1.841238873308133E-2</v>
      </c>
      <c r="I8" s="3">
        <f>FS!I9/FS!I$3</f>
        <v>-3.693238752359202E-3</v>
      </c>
      <c r="J8" s="3">
        <f>FS!J9/FS!J$3</f>
        <v>-2.1244068280975203E-2</v>
      </c>
    </row>
    <row r="9" spans="1:12">
      <c r="B9" t="s">
        <v>13</v>
      </c>
      <c r="C9" s="3">
        <f>FS!C10/FS!C$3</f>
        <v>0</v>
      </c>
      <c r="D9" s="3">
        <f>FS!D10/FS!D$3</f>
        <v>0</v>
      </c>
      <c r="E9" s="3">
        <f>FS!E10/FS!E$3</f>
        <v>0</v>
      </c>
      <c r="F9" s="3">
        <f>FS!F10/FS!F$3</f>
        <v>0</v>
      </c>
      <c r="G9" s="3">
        <f>FS!G10/FS!G$3</f>
        <v>0</v>
      </c>
      <c r="H9" s="3">
        <f>FS!H10/FS!H$3</f>
        <v>2.552745388984872E-3</v>
      </c>
      <c r="I9" s="3">
        <f>FS!I10/FS!I$3</f>
        <v>1.0537953148502554E-3</v>
      </c>
      <c r="J9" s="3">
        <f>FS!J10/FS!J$3</f>
        <v>-4.619677030858368E-5</v>
      </c>
    </row>
    <row r="10" spans="1:12">
      <c r="B10" t="s">
        <v>14</v>
      </c>
      <c r="C10" s="3">
        <f>FS!C11/FS!C$3</f>
        <v>0</v>
      </c>
      <c r="D10" s="3">
        <f>FS!D11/FS!D$3</f>
        <v>0</v>
      </c>
      <c r="E10" s="3">
        <f>FS!E11/FS!E$3</f>
        <v>0</v>
      </c>
      <c r="F10" s="3">
        <f>FS!F11/FS!F$3</f>
        <v>0</v>
      </c>
      <c r="G10" s="3">
        <f>FS!G11/FS!G$3</f>
        <v>0</v>
      </c>
      <c r="H10" s="3">
        <f>FS!H11/FS!H$3</f>
        <v>1.9726767562397364E-2</v>
      </c>
      <c r="I10" s="3">
        <f>FS!I11/FS!I$3</f>
        <v>1.2131309282868614E-2</v>
      </c>
      <c r="J10" s="3">
        <f>FS!J11/FS!J$3</f>
        <v>1.2292638276065453E-2</v>
      </c>
    </row>
    <row r="11" spans="1:12">
      <c r="A11" s="8"/>
      <c r="B11" s="8" t="s">
        <v>85</v>
      </c>
      <c r="C11" s="107">
        <f>FS!C12/FS!C$3</f>
        <v>0.13416411209434403</v>
      </c>
      <c r="D11" s="107">
        <f>FS!D12/FS!D$3</f>
        <v>0.10371398018198155</v>
      </c>
      <c r="E11" s="107">
        <f>FS!E12/FS!E$3</f>
        <v>-0.48701131147049115</v>
      </c>
      <c r="F11" s="107">
        <f>FS!F12/FS!F$3</f>
        <v>-0.10218309411566169</v>
      </c>
      <c r="G11" s="107">
        <f>FS!G12/FS!G$3</f>
        <v>-8.3226421110166399E-2</v>
      </c>
      <c r="H11" s="107">
        <f>FS!H12/FS!H$3</f>
        <v>5.137954351464899E-2</v>
      </c>
      <c r="I11" s="107">
        <f>FS!I12/FS!I$3</f>
        <v>0.24629409808555011</v>
      </c>
      <c r="J11" s="107">
        <f>FS!J12/FS!J$3</f>
        <v>0.10300053394871729</v>
      </c>
    </row>
    <row r="12" spans="1:12">
      <c r="B12" t="s">
        <v>17</v>
      </c>
      <c r="C12" s="3">
        <f>FS!C13/FS!C$3</f>
        <v>2.7789115350880999E-4</v>
      </c>
      <c r="D12" s="3">
        <f>FS!D13/FS!D$3</f>
        <v>6.9603513079132863E-4</v>
      </c>
      <c r="E12" s="3">
        <f>FS!E13/FS!E$3</f>
        <v>1.713222718953464E-3</v>
      </c>
      <c r="F12" s="3">
        <f>FS!F13/FS!F$3</f>
        <v>2.1916415175802525E-4</v>
      </c>
      <c r="G12" s="3">
        <f>FS!G13/FS!G$3</f>
        <v>1.0893659662334508E-3</v>
      </c>
      <c r="H12" s="3">
        <f>FS!H13/FS!H$3</f>
        <v>1.7229447786696903E-3</v>
      </c>
      <c r="I12" s="3">
        <f>FS!I13/FS!I$3</f>
        <v>1.7056728763877175E-3</v>
      </c>
      <c r="J12" s="3">
        <f>FS!J13/FS!J$3</f>
        <v>1.8682833387587679E-3</v>
      </c>
    </row>
    <row r="13" spans="1:12">
      <c r="B13" t="s">
        <v>18</v>
      </c>
      <c r="C13" s="3">
        <f>FS!C14/FS!C$3</f>
        <v>-3.4805866976978456E-3</v>
      </c>
      <c r="D13" s="3">
        <f>FS!D14/FS!D$3</f>
        <v>-5.3404877307989219E-3</v>
      </c>
      <c r="E13" s="3">
        <f>FS!E14/FS!E$3</f>
        <v>-3.4813525758348583E-2</v>
      </c>
      <c r="F13" s="3">
        <f>FS!F14/FS!F$3</f>
        <v>-1.2290725630590056E-2</v>
      </c>
      <c r="G13" s="3">
        <f>FS!G14/FS!G$3</f>
        <v>-5.5455180371674967E-3</v>
      </c>
      <c r="H13" s="3">
        <f>FS!H14/FS!H$3</f>
        <v>-2.9221966912492459E-2</v>
      </c>
      <c r="I13" s="3">
        <f>FS!I14/FS!I$3</f>
        <v>-1.1010344151711289E-2</v>
      </c>
      <c r="J13" s="3">
        <f>FS!J14/FS!J$3</f>
        <v>-5.763852853617476E-3</v>
      </c>
    </row>
    <row r="14" spans="1:12">
      <c r="A14" s="8"/>
      <c r="B14" s="8" t="s">
        <v>86</v>
      </c>
      <c r="C14" s="107">
        <f>FS!C15/FS!C$3</f>
        <v>0.130961416550155</v>
      </c>
      <c r="D14" s="107">
        <f>FS!D15/FS!D$3</f>
        <v>9.906952758197396E-2</v>
      </c>
      <c r="E14" s="107">
        <f>FS!E15/FS!E$3</f>
        <v>-0.5201116145098863</v>
      </c>
      <c r="F14" s="107">
        <f>FS!F15/FS!F$3</f>
        <v>-0.11425465559449371</v>
      </c>
      <c r="G14" s="107">
        <f>FS!G15/FS!G$3</f>
        <v>-8.7682573181100454E-2</v>
      </c>
      <c r="H14" s="107">
        <f>FS!H15/FS!H$3</f>
        <v>2.3880521380826223E-2</v>
      </c>
      <c r="I14" s="107">
        <f>FS!I15/FS!I$3</f>
        <v>0.23698942681022656</v>
      </c>
      <c r="J14" s="107">
        <f>FS!J15/FS!J$3</f>
        <v>9.9104964433858578E-2</v>
      </c>
    </row>
    <row r="15" spans="1:12">
      <c r="B15" t="s">
        <v>20</v>
      </c>
      <c r="C15" s="3">
        <f>FS!C16/FS!C$3</f>
        <v>-2.9892404019000809E-2</v>
      </c>
      <c r="D15" s="3">
        <f>FS!D16/FS!D$3</f>
        <v>-9.4118186765208361E-2</v>
      </c>
      <c r="E15" s="3">
        <f>FS!E16/FS!E$3</f>
        <v>0.16901497194635304</v>
      </c>
      <c r="F15" s="3">
        <f>FS!F16/FS!F$3</f>
        <v>-5.0035175846357166E-2</v>
      </c>
      <c r="G15" s="3">
        <f>FS!G16/FS!G$3</f>
        <v>-9.6790355884853637E-5</v>
      </c>
      <c r="H15" s="3">
        <f>FS!H16/FS!H$3</f>
        <v>0</v>
      </c>
      <c r="I15" s="3">
        <f>FS!I16/FS!I$3</f>
        <v>-3.9926399499639928E-2</v>
      </c>
      <c r="J15" s="3">
        <f>FS!J16/FS!J$3</f>
        <v>-2.9373625511790381E-2</v>
      </c>
    </row>
    <row r="16" spans="1:12">
      <c r="A16" s="60"/>
      <c r="B16" s="85" t="s">
        <v>21</v>
      </c>
      <c r="C16" s="108">
        <f>FS!C17/FS!C$3</f>
        <v>0.1010690125311542</v>
      </c>
      <c r="D16" s="108">
        <f>FS!D17/FS!D$3</f>
        <v>4.9513408167655877E-3</v>
      </c>
      <c r="E16" s="108">
        <f>FS!E17/FS!E$3</f>
        <v>-0.35109664256353323</v>
      </c>
      <c r="F16" s="108">
        <f>FS!F17/FS!F$3</f>
        <v>-0.16428983144085088</v>
      </c>
      <c r="G16" s="108">
        <f>FS!G17/FS!G$3</f>
        <v>-8.7779363536985303E-2</v>
      </c>
      <c r="H16" s="108">
        <f>FS!H17/FS!H$3</f>
        <v>2.3880521380826223E-2</v>
      </c>
      <c r="I16" s="108">
        <f>FS!I17/FS!I$3</f>
        <v>0.19706302731058661</v>
      </c>
      <c r="J16" s="108">
        <f>FS!J17/FS!J$3</f>
        <v>6.9731338922068203E-2</v>
      </c>
      <c r="K16" s="113"/>
      <c r="L16" s="113"/>
    </row>
    <row r="17" spans="1:11">
      <c r="D17" s="71"/>
      <c r="I17" s="3"/>
      <c r="J17" s="3"/>
      <c r="K17" s="3"/>
    </row>
    <row r="18" spans="1:11">
      <c r="B18" s="8" t="s">
        <v>22</v>
      </c>
      <c r="C18" s="109">
        <v>62500000</v>
      </c>
      <c r="D18" s="109">
        <v>62500000</v>
      </c>
      <c r="E18" s="109">
        <v>62500000</v>
      </c>
      <c r="F18" s="109">
        <v>62500000</v>
      </c>
      <c r="G18" s="109">
        <v>62500000</v>
      </c>
      <c r="H18" s="109">
        <v>62500000</v>
      </c>
      <c r="I18" s="109">
        <v>62500000</v>
      </c>
      <c r="J18" s="109">
        <v>62500000</v>
      </c>
      <c r="K18" s="114"/>
    </row>
    <row r="19" spans="1:11">
      <c r="B19" s="8" t="s">
        <v>23</v>
      </c>
      <c r="C19" s="110">
        <v>0.93107200000000001</v>
      </c>
      <c r="D19" s="110">
        <v>5.008E-2</v>
      </c>
      <c r="E19" s="110">
        <v>-1.8722719999999999</v>
      </c>
      <c r="F19" s="110">
        <v>-1.199392</v>
      </c>
      <c r="G19" s="110">
        <v>-0.74003200000000002</v>
      </c>
      <c r="H19" s="110">
        <v>0.24129999999999999</v>
      </c>
      <c r="I19" s="110">
        <v>2.86</v>
      </c>
      <c r="J19" s="110">
        <v>1.0385</v>
      </c>
      <c r="K19" s="115"/>
    </row>
    <row r="21" spans="1:11">
      <c r="A21" s="8" t="s">
        <v>24</v>
      </c>
    </row>
    <row r="22" spans="1:11">
      <c r="B22" t="s">
        <v>25</v>
      </c>
      <c r="C22" s="3">
        <f>FS!C23/FS!C$39</f>
        <v>0.24270268078722917</v>
      </c>
      <c r="D22" s="3">
        <f>FS!D23/FS!D$39</f>
        <v>0.19848036449228482</v>
      </c>
      <c r="E22" s="3">
        <f>FS!E23/FS!E$39</f>
        <v>0.2841148127781446</v>
      </c>
      <c r="F22" s="3">
        <f>FS!F23/FS!F$39</f>
        <v>0.40376086095299368</v>
      </c>
      <c r="G22" s="3">
        <f>FS!G23/FS!G$39</f>
        <v>0.34288089381268938</v>
      </c>
      <c r="H22" s="3">
        <f>FS!H23/FS!H$39</f>
        <v>0.32482987414815645</v>
      </c>
      <c r="I22" s="3">
        <f>FS!I23/FS!I$39</f>
        <v>0.26955554230990841</v>
      </c>
      <c r="J22" s="3">
        <f>FS!J23/FS!J$39</f>
        <v>0.29089179136752874</v>
      </c>
    </row>
    <row r="23" spans="1:11">
      <c r="B23" t="s">
        <v>26</v>
      </c>
      <c r="C23" s="3">
        <f>FS!C24/FS!C$39</f>
        <v>0</v>
      </c>
      <c r="D23" s="3">
        <f>FS!D24/FS!D$39</f>
        <v>0</v>
      </c>
      <c r="E23" s="3">
        <f>FS!E24/FS!E$39</f>
        <v>2.7437809063757847E-2</v>
      </c>
      <c r="F23" s="3">
        <f>FS!F24/FS!F$39</f>
        <v>3.4159316813663729E-2</v>
      </c>
      <c r="G23" s="3">
        <f>FS!G24/FS!G$39</f>
        <v>2.6807584023673281E-2</v>
      </c>
      <c r="H23" s="3">
        <f>FS!H24/FS!H$39</f>
        <v>5.5278151517653744E-2</v>
      </c>
      <c r="I23" s="3">
        <f>FS!I24/FS!I$39</f>
        <v>6.1133076809300212E-2</v>
      </c>
      <c r="J23" s="3">
        <f>FS!J24/FS!J$39</f>
        <v>5.9361824347552224E-2</v>
      </c>
    </row>
    <row r="24" spans="1:11">
      <c r="B24" t="s">
        <v>27</v>
      </c>
      <c r="C24" s="3">
        <f>FS!C25/FS!C$39</f>
        <v>1.4937125371560994E-5</v>
      </c>
      <c r="D24" s="3">
        <f>FS!D25/FS!D$39</f>
        <v>0</v>
      </c>
      <c r="E24" s="3">
        <f>FS!E25/FS!E$39</f>
        <v>0</v>
      </c>
      <c r="F24" s="3">
        <f>FS!F25/FS!F$39</f>
        <v>0</v>
      </c>
      <c r="G24" s="3">
        <f>FS!G25/FS!G$39</f>
        <v>0</v>
      </c>
      <c r="H24" s="3">
        <f>FS!H25/FS!H$39</f>
        <v>0</v>
      </c>
      <c r="I24" s="3">
        <f>FS!I25/FS!I$39</f>
        <v>0</v>
      </c>
      <c r="J24" s="3">
        <f>FS!J25/FS!J$39</f>
        <v>0</v>
      </c>
    </row>
    <row r="25" spans="1:11">
      <c r="B25" t="s">
        <v>28</v>
      </c>
      <c r="C25" s="3">
        <f>FS!C26/FS!C$39</f>
        <v>0</v>
      </c>
      <c r="D25" s="3">
        <f>FS!D26/FS!D$39</f>
        <v>0</v>
      </c>
      <c r="E25" s="3">
        <f>FS!E26/FS!E$39</f>
        <v>9.6993125215923001E-2</v>
      </c>
      <c r="F25" s="3">
        <f>FS!F26/FS!F$39</f>
        <v>7.3093431748386312E-2</v>
      </c>
      <c r="G25" s="3">
        <f>FS!G26/FS!G$39</f>
        <v>6.399575470341741E-2</v>
      </c>
      <c r="H25" s="3">
        <f>FS!H26/FS!H$39</f>
        <v>5.8673382650806065E-2</v>
      </c>
      <c r="I25" s="3">
        <f>FS!I26/FS!I$39</f>
        <v>5.3666947032864655E-2</v>
      </c>
      <c r="J25" s="3">
        <f>FS!J26/FS!J$39</f>
        <v>0</v>
      </c>
    </row>
    <row r="26" spans="1:11">
      <c r="B26" t="s">
        <v>29</v>
      </c>
      <c r="C26" s="3">
        <f>FS!C27/FS!C$39</f>
        <v>2.1338750530801419E-5</v>
      </c>
      <c r="D26" s="3">
        <f>FS!D27/FS!D$39</f>
        <v>1.3764814381478067E-5</v>
      </c>
      <c r="E26" s="3">
        <f>FS!E27/FS!E$39</f>
        <v>2.0442414739798723E-5</v>
      </c>
      <c r="F26" s="3">
        <f>FS!F27/FS!F$39</f>
        <v>2.9786638309786997E-5</v>
      </c>
      <c r="G26" s="3">
        <f>FS!G27/FS!G$39</f>
        <v>2.875508768994696E-5</v>
      </c>
      <c r="H26" s="3">
        <f>FS!H27/FS!H$39</f>
        <v>0</v>
      </c>
      <c r="I26" s="3">
        <f>FS!I27/FS!I$39</f>
        <v>0</v>
      </c>
      <c r="J26" s="3">
        <f>FS!J27/FS!J$39</f>
        <v>0</v>
      </c>
    </row>
    <row r="27" spans="1:11">
      <c r="B27" t="s">
        <v>30</v>
      </c>
      <c r="C27" s="3">
        <f>FS!C28/FS!C$39</f>
        <v>0</v>
      </c>
      <c r="D27" s="3">
        <f>FS!D28/FS!D$39</f>
        <v>0</v>
      </c>
      <c r="E27" s="3">
        <f>FS!E28/FS!E$39</f>
        <v>0</v>
      </c>
      <c r="F27" s="3">
        <f>FS!F28/FS!F$39</f>
        <v>0</v>
      </c>
      <c r="G27" s="3">
        <f>FS!G28/FS!G$39</f>
        <v>0</v>
      </c>
      <c r="H27" s="3">
        <f>FS!H28/FS!H$39</f>
        <v>2.6714980303773614E-5</v>
      </c>
      <c r="I27" s="3">
        <f>FS!I28/FS!I$39</f>
        <v>2.4283686440210254E-5</v>
      </c>
      <c r="J27" s="3">
        <f>FS!J28/FS!J$39</f>
        <v>0</v>
      </c>
    </row>
    <row r="28" spans="1:11">
      <c r="B28" s="111" t="s">
        <v>31</v>
      </c>
      <c r="C28" s="107">
        <f>FS!C29/FS!C$39</f>
        <v>0.24273895666313156</v>
      </c>
      <c r="D28" s="107">
        <f>FS!D29/FS!D$39</f>
        <v>0.19849412930666629</v>
      </c>
      <c r="E28" s="107">
        <f>FS!E29/FS!E$39</f>
        <v>0.40856618947256523</v>
      </c>
      <c r="F28" s="107">
        <f>FS!F29/FS!F$39</f>
        <v>0.51104339615335348</v>
      </c>
      <c r="G28" s="107">
        <f>FS!G29/FS!G$39</f>
        <v>0.43371298762747001</v>
      </c>
      <c r="H28" s="107">
        <f>FS!H29/FS!H$39</f>
        <v>0.43880812329691998</v>
      </c>
      <c r="I28" s="107">
        <f>FS!I29/FS!I$39</f>
        <v>0.38437984983851348</v>
      </c>
      <c r="J28" s="107">
        <f>FS!J29/FS!J$39</f>
        <v>0.35025361571508101</v>
      </c>
    </row>
    <row r="29" spans="1:11">
      <c r="B29" s="8" t="s">
        <v>32</v>
      </c>
      <c r="C29" s="3">
        <f>FS!C30/FS!C$39</f>
        <v>0</v>
      </c>
      <c r="D29" s="3">
        <f>FS!D30/FS!D$39</f>
        <v>0</v>
      </c>
      <c r="E29" s="3">
        <f>FS!E30/FS!E$39</f>
        <v>0</v>
      </c>
      <c r="F29" s="3">
        <f>FS!F30/FS!F$39</f>
        <v>0</v>
      </c>
      <c r="G29" s="3">
        <f>FS!G30/FS!G$39</f>
        <v>0</v>
      </c>
      <c r="H29" s="3">
        <f>FS!H30/FS!H$39</f>
        <v>0</v>
      </c>
      <c r="I29" s="3">
        <f>FS!I30/FS!I$39</f>
        <v>0</v>
      </c>
      <c r="J29" s="3">
        <f>FS!J30/FS!J$39</f>
        <v>0</v>
      </c>
    </row>
    <row r="30" spans="1:11">
      <c r="B30" t="s">
        <v>33</v>
      </c>
      <c r="C30" s="3">
        <f>FS!C31/FS!C$39</f>
        <v>0.11441411259605105</v>
      </c>
      <c r="D30" s="3">
        <f>FS!D31/FS!D$39</f>
        <v>7.3553662128866187E-2</v>
      </c>
      <c r="E30" s="3">
        <f>FS!E31/FS!E$39</f>
        <v>0.23643492463903806</v>
      </c>
      <c r="F30" s="3">
        <f>FS!F31/FS!F$39</f>
        <v>0.28899294354538441</v>
      </c>
      <c r="G30" s="3">
        <f>FS!G31/FS!G$39</f>
        <v>0.23952203816061546</v>
      </c>
      <c r="H30" s="3">
        <f>FS!H31/FS!H$39</f>
        <v>0.31138009588249294</v>
      </c>
      <c r="I30" s="3">
        <f>FS!I31/FS!I$39</f>
        <v>0.22449385070831099</v>
      </c>
      <c r="J30" s="3">
        <f>FS!J31/FS!J$39</f>
        <v>0.28610558486866766</v>
      </c>
    </row>
    <row r="31" spans="1:11">
      <c r="B31" t="s">
        <v>34</v>
      </c>
      <c r="C31" s="3">
        <f>FS!C32/FS!C$39</f>
        <v>0.20044982086118929</v>
      </c>
      <c r="D31" s="3">
        <f>FS!D32/FS!D$39</f>
        <v>0.37200924995526435</v>
      </c>
      <c r="E31" s="3">
        <f>FS!E32/FS!E$39</f>
        <v>0.2336895083394831</v>
      </c>
      <c r="F31" s="3">
        <f>FS!F32/FS!F$39</f>
        <v>7.6369961962462873E-2</v>
      </c>
      <c r="G31" s="3">
        <f>FS!G32/FS!G$39</f>
        <v>6.4147372438509861E-2</v>
      </c>
      <c r="H31" s="3">
        <f>FS!H32/FS!H$39</f>
        <v>8.1959130937404368E-2</v>
      </c>
      <c r="I31" s="3">
        <f>FS!I32/FS!I$39</f>
        <v>9.2275800864940763E-2</v>
      </c>
      <c r="J31" s="3">
        <f>FS!J32/FS!J$39</f>
        <v>0.10906473798957148</v>
      </c>
    </row>
    <row r="32" spans="1:11">
      <c r="B32" t="s">
        <v>35</v>
      </c>
      <c r="C32" s="3">
        <f>FS!C33/FS!C$39</f>
        <v>6.1342506150894843E-2</v>
      </c>
      <c r="D32" s="3">
        <f>FS!D33/FS!D$39</f>
        <v>3.1301187903481124E-2</v>
      </c>
      <c r="E32" s="3">
        <f>FS!E33/FS!E$39</f>
        <v>2.7842568875605864E-3</v>
      </c>
      <c r="F32" s="3">
        <f>FS!F33/FS!F$39</f>
        <v>1.942088817798112E-3</v>
      </c>
      <c r="G32" s="3">
        <f>FS!G33/FS!G$39</f>
        <v>9.4970212343252099E-3</v>
      </c>
      <c r="H32" s="3">
        <f>FS!H33/FS!H$39</f>
        <v>3.322372095960209E-3</v>
      </c>
      <c r="I32" s="3">
        <f>FS!I33/FS!I$39</f>
        <v>5.2143697610706015E-3</v>
      </c>
      <c r="J32" s="3">
        <f>FS!J33/FS!J$39</f>
        <v>3.77484868445858E-3</v>
      </c>
    </row>
    <row r="33" spans="2:10">
      <c r="B33" t="s">
        <v>36</v>
      </c>
      <c r="C33" s="3">
        <f>FS!C34/FS!C$39</f>
        <v>0.26728705527376551</v>
      </c>
      <c r="D33" s="3">
        <f>FS!D34/FS!D$39</f>
        <v>0.31370562567963772</v>
      </c>
      <c r="E33" s="3">
        <f>FS!E34/FS!E$39</f>
        <v>7.3371914984085573E-2</v>
      </c>
      <c r="F33" s="3">
        <f>FS!F34/FS!F$39</f>
        <v>6.6543349984064151E-2</v>
      </c>
      <c r="G33" s="3">
        <f>FS!G34/FS!G$39</f>
        <v>0.14690974300793902</v>
      </c>
      <c r="H33" s="3">
        <f>FS!H34/FS!H$39</f>
        <v>2.4045910907969321E-2</v>
      </c>
      <c r="I33" s="3">
        <f>FS!I34/FS!I$39</f>
        <v>1.8857386324752361E-2</v>
      </c>
      <c r="J33" s="3">
        <f>FS!J34/FS!J$39</f>
        <v>2.0881433821490911E-2</v>
      </c>
    </row>
    <row r="34" spans="2:10">
      <c r="B34" t="s">
        <v>37</v>
      </c>
      <c r="C34" s="3">
        <f>FS!C35/FS!C$39</f>
        <v>2.389940059449759E-4</v>
      </c>
      <c r="D34" s="3">
        <f>FS!D35/FS!D$39</f>
        <v>0</v>
      </c>
      <c r="E34" s="3">
        <f>FS!E35/FS!E$39</f>
        <v>2.0914634520288074E-2</v>
      </c>
      <c r="F34" s="3">
        <f>FS!F35/FS!F$39</f>
        <v>3.7394145734106592E-2</v>
      </c>
      <c r="G34" s="3">
        <f>FS!G35/FS!G$39</f>
        <v>3.7295348733861207E-2</v>
      </c>
      <c r="H34" s="3">
        <f>FS!H35/FS!H$39</f>
        <v>3.7257682985471906E-2</v>
      </c>
      <c r="I34" s="3">
        <f>FS!I35/FS!I$39</f>
        <v>3.4774238982381078E-2</v>
      </c>
      <c r="J34" s="3">
        <f>FS!J35/FS!J$39</f>
        <v>1.4717917667489503E-2</v>
      </c>
    </row>
    <row r="35" spans="2:10">
      <c r="B35" t="s">
        <v>38</v>
      </c>
      <c r="C35" s="3">
        <f>FS!C36/FS!C$39</f>
        <v>0.11352855444902279</v>
      </c>
      <c r="D35" s="3">
        <f>FS!D36/FS!D$39</f>
        <v>1.0936145026084323E-2</v>
      </c>
      <c r="E35" s="3">
        <f>FS!E36/FS!E$39</f>
        <v>2.4238571156979347E-2</v>
      </c>
      <c r="F35" s="3">
        <f>FS!F36/FS!F$39</f>
        <v>1.7714113802830327E-2</v>
      </c>
      <c r="G35" s="3">
        <f>FS!G36/FS!G$39</f>
        <v>6.891548879727924E-2</v>
      </c>
      <c r="H35" s="3">
        <f>FS!H36/FS!H$39</f>
        <v>0.10322668389378124</v>
      </c>
      <c r="I35" s="3">
        <f>FS!I36/FS!I$39</f>
        <v>0.24000450352003072</v>
      </c>
      <c r="J35" s="3">
        <f>FS!J36/FS!J$39</f>
        <v>0.21520186125324089</v>
      </c>
    </row>
    <row r="36" spans="2:10">
      <c r="B36" s="111" t="s">
        <v>39</v>
      </c>
      <c r="C36" s="107">
        <f>FS!C37/FS!C$39</f>
        <v>0.7572610433368685</v>
      </c>
      <c r="D36" s="107">
        <f>FS!D37/FS!D$39</f>
        <v>0.80150587069333368</v>
      </c>
      <c r="E36" s="107">
        <f>FS!E37/FS!E$39</f>
        <v>0.59143381052743471</v>
      </c>
      <c r="F36" s="107">
        <f>FS!F37/FS!F$39</f>
        <v>0.48895660384664646</v>
      </c>
      <c r="G36" s="107">
        <f>FS!G37/FS!G$39</f>
        <v>0.56628701237252999</v>
      </c>
      <c r="H36" s="107">
        <f>FS!H37/FS!H$39</f>
        <v>0.56119187670308002</v>
      </c>
      <c r="I36" s="107">
        <f>FS!I37/FS!I$39</f>
        <v>0.61562015016148652</v>
      </c>
      <c r="J36" s="107">
        <f>FS!J37/FS!J$39</f>
        <v>0.64974638428491904</v>
      </c>
    </row>
    <row r="37" spans="2:10">
      <c r="B37" s="8"/>
      <c r="C37" s="3">
        <f>FS!C38/FS!C$39</f>
        <v>0</v>
      </c>
      <c r="D37" s="3">
        <f>FS!D38/FS!D$39</f>
        <v>0</v>
      </c>
      <c r="E37" s="3">
        <f>FS!E38/FS!E$39</f>
        <v>0</v>
      </c>
      <c r="F37" s="3">
        <f>FS!F38/FS!F$39</f>
        <v>0</v>
      </c>
      <c r="G37" s="3">
        <f>FS!G38/FS!G$39</f>
        <v>0</v>
      </c>
      <c r="H37" s="3">
        <f>FS!H38/FS!H$39</f>
        <v>0</v>
      </c>
      <c r="I37" s="3">
        <f>FS!I38/FS!I$39</f>
        <v>0</v>
      </c>
      <c r="J37" s="3">
        <f>FS!J38/FS!J$39</f>
        <v>0</v>
      </c>
    </row>
    <row r="38" spans="2:10">
      <c r="B38" s="85" t="s">
        <v>40</v>
      </c>
      <c r="C38" s="112">
        <f>FS!C39/FS!C$39</f>
        <v>1</v>
      </c>
      <c r="D38" s="112">
        <f>FS!D39/FS!D$39</f>
        <v>1</v>
      </c>
      <c r="E38" s="112">
        <f>FS!E39/FS!E$39</f>
        <v>1</v>
      </c>
      <c r="F38" s="112">
        <f>FS!F39/FS!F$39</f>
        <v>1</v>
      </c>
      <c r="G38" s="112">
        <f>FS!G39/FS!G$39</f>
        <v>1</v>
      </c>
      <c r="H38" s="112">
        <f>FS!H39/FS!H$39</f>
        <v>1</v>
      </c>
      <c r="I38" s="112">
        <f>FS!I39/FS!I$39</f>
        <v>1</v>
      </c>
      <c r="J38" s="112">
        <f>FS!J39/FS!J$39</f>
        <v>1</v>
      </c>
    </row>
    <row r="39" spans="2:10">
      <c r="C39" s="3">
        <f>FS!C40/FS!C$39</f>
        <v>0</v>
      </c>
      <c r="D39" s="3">
        <f>FS!D40/FS!D$39</f>
        <v>0</v>
      </c>
      <c r="E39" s="3">
        <f>FS!E40/FS!E$39</f>
        <v>0</v>
      </c>
      <c r="F39" s="3">
        <f>FS!F40/FS!F$39</f>
        <v>0</v>
      </c>
      <c r="G39" s="3">
        <f>FS!G40/FS!G$39</f>
        <v>0</v>
      </c>
      <c r="H39" s="3">
        <f>FS!H40/FS!H$39</f>
        <v>0</v>
      </c>
      <c r="I39" s="3">
        <f>FS!I40/FS!I$39</f>
        <v>0</v>
      </c>
      <c r="J39" s="3">
        <f>FS!J40/FS!J$39</f>
        <v>0</v>
      </c>
    </row>
    <row r="40" spans="2:10">
      <c r="B40" s="8" t="s">
        <v>41</v>
      </c>
      <c r="C40" s="3">
        <f>FS!C41/FS!C$39</f>
        <v>0</v>
      </c>
      <c r="D40" s="3">
        <f>FS!D41/FS!D$39</f>
        <v>0</v>
      </c>
      <c r="E40" s="3">
        <f>FS!E41/FS!E$39</f>
        <v>0</v>
      </c>
      <c r="F40" s="3">
        <f>FS!F41/FS!F$39</f>
        <v>0</v>
      </c>
      <c r="G40" s="3">
        <f>FS!G41/FS!G$39</f>
        <v>0</v>
      </c>
      <c r="H40" s="3">
        <f>FS!H41/FS!H$39</f>
        <v>0</v>
      </c>
      <c r="I40" s="3">
        <f>FS!I41/FS!I$39</f>
        <v>0</v>
      </c>
      <c r="J40" s="3">
        <f>FS!J41/FS!J$39</f>
        <v>0</v>
      </c>
    </row>
    <row r="41" spans="2:10">
      <c r="B41" t="s">
        <v>42</v>
      </c>
      <c r="C41" s="3">
        <f>FS!C42/FS!C$39</f>
        <v>2.5606500636961701E-3</v>
      </c>
      <c r="D41" s="3">
        <f>FS!D42/FS!D$39</f>
        <v>1.651777725777368E-3</v>
      </c>
      <c r="E41" s="3">
        <f>FS!E42/FS!E$39</f>
        <v>2.4530897687758467E-3</v>
      </c>
      <c r="F41" s="3">
        <f>FS!F42/FS!F$39</f>
        <v>3.5743965971744393E-3</v>
      </c>
      <c r="G41" s="3">
        <f>FS!G42/FS!G$39</f>
        <v>3.1369186570851231E-3</v>
      </c>
      <c r="H41" s="3">
        <f>FS!H42/FS!H$39</f>
        <v>2.914361487684394E-3</v>
      </c>
      <c r="I41" s="3">
        <f>FS!I42/FS!I$39</f>
        <v>2.6491294298411185E-3</v>
      </c>
      <c r="J41" s="3">
        <f>FS!J42/FS!J$39</f>
        <v>2.6614679326382468E-3</v>
      </c>
    </row>
    <row r="42" spans="2:10">
      <c r="B42" t="s">
        <v>43</v>
      </c>
      <c r="C42" s="3">
        <f>FS!C43/FS!C$39</f>
        <v>4.3531051082834897E-4</v>
      </c>
      <c r="D42" s="3">
        <f>FS!D43/FS!D$39</f>
        <v>2.8080221338215252E-4</v>
      </c>
      <c r="E42" s="3">
        <f>FS!E43/FS!E$39</f>
        <v>4.1702526069189397E-4</v>
      </c>
      <c r="F42" s="3">
        <f>FS!F43/FS!F$39</f>
        <v>6.0764742151965469E-4</v>
      </c>
      <c r="G42" s="3">
        <f>FS!G43/FS!G$39</f>
        <v>5.3327617170447091E-4</v>
      </c>
      <c r="H42" s="3">
        <f>FS!H43/FS!H$39</f>
        <v>4.9544145290634698E-4</v>
      </c>
      <c r="I42" s="3">
        <f>FS!I43/FS!I$39</f>
        <v>4.5035200307299016E-4</v>
      </c>
      <c r="J42" s="3">
        <f>FS!J43/FS!J$39</f>
        <v>4.5244954854850193E-4</v>
      </c>
    </row>
    <row r="43" spans="2:10">
      <c r="B43" t="s">
        <v>44</v>
      </c>
      <c r="C43" s="3">
        <f>FS!C44/FS!C$39</f>
        <v>0.25417012532248184</v>
      </c>
      <c r="D43" s="3">
        <f>FS!D44/FS!D$39</f>
        <v>0.40421203320073229</v>
      </c>
      <c r="E43" s="3">
        <f>FS!E44/FS!E$39</f>
        <v>0.170626703108678</v>
      </c>
      <c r="F43" s="3">
        <f>FS!F44/FS!F$39</f>
        <v>9.9231206865224394E-2</v>
      </c>
      <c r="G43" s="3">
        <f>FS!G44/FS!G$39</f>
        <v>9.2248935408230745E-2</v>
      </c>
      <c r="H43" s="3">
        <f>FS!H44/FS!H$39</f>
        <v>0.12466909853941917</v>
      </c>
      <c r="I43" s="3">
        <f>FS!I44/FS!I$39</f>
        <v>0.50740100534461863</v>
      </c>
      <c r="J43" s="3">
        <f>FS!J44/FS!J$39</f>
        <v>0.51293362520764996</v>
      </c>
    </row>
    <row r="44" spans="2:10">
      <c r="B44" t="s">
        <v>45</v>
      </c>
      <c r="C44" s="3">
        <f>FS!C45/FS!C$39</f>
        <v>1.7284387929949151E-4</v>
      </c>
      <c r="D44" s="3">
        <f>FS!D45/FS!D$39</f>
        <v>1.1149499648997234E-4</v>
      </c>
      <c r="E44" s="3">
        <f>FS!E45/FS!E$39</f>
        <v>1.6558355939236966E-4</v>
      </c>
      <c r="F44" s="3">
        <f>FS!F45/FS!F$39</f>
        <v>2.4127177030927466E-4</v>
      </c>
      <c r="G44" s="3">
        <f>FS!G45/FS!G$39</f>
        <v>2.117420093532458E-4</v>
      </c>
      <c r="H44" s="3">
        <f>FS!H45/FS!H$39</f>
        <v>1.9671940041869661E-4</v>
      </c>
      <c r="I44" s="3">
        <f>FS!I45/FS!I$39</f>
        <v>1.7881623651427549E-4</v>
      </c>
      <c r="J44" s="3">
        <f>FS!J45/FS!J$39</f>
        <v>1.7964908545308164E-4</v>
      </c>
    </row>
    <row r="45" spans="2:10">
      <c r="B45" s="111" t="s">
        <v>46</v>
      </c>
      <c r="C45" s="107">
        <f>FS!C46/FS!C$39</f>
        <v>0.2573389297763059</v>
      </c>
      <c r="D45" s="107">
        <f>FS!D46/FS!D$39</f>
        <v>0.4062561081363818</v>
      </c>
      <c r="E45" s="107">
        <f>FS!E46/FS!E$39</f>
        <v>0.17366240169753813</v>
      </c>
      <c r="F45" s="107">
        <f>FS!F46/FS!F$39</f>
        <v>0.10365452265422777</v>
      </c>
      <c r="G45" s="107">
        <f>FS!G46/FS!G$39</f>
        <v>9.6130872246373594E-2</v>
      </c>
      <c r="H45" s="107">
        <f>FS!H46/FS!H$39</f>
        <v>0.1282756208804286</v>
      </c>
      <c r="I45" s="107">
        <f>FS!I46/FS!I$39</f>
        <v>0.51067930301404696</v>
      </c>
      <c r="J45" s="107">
        <f>FS!J46/FS!J$39</f>
        <v>0.51622719177428977</v>
      </c>
    </row>
    <row r="46" spans="2:10">
      <c r="B46" s="8"/>
      <c r="C46" s="3">
        <f>FS!C47/FS!C$39</f>
        <v>0</v>
      </c>
      <c r="D46" s="3">
        <f>FS!D47/FS!D$39</f>
        <v>0</v>
      </c>
      <c r="E46" s="3">
        <f>FS!E47/FS!E$39</f>
        <v>0</v>
      </c>
      <c r="F46" s="3">
        <f>FS!F47/FS!F$39</f>
        <v>0</v>
      </c>
      <c r="G46" s="3">
        <f>FS!G47/FS!G$39</f>
        <v>0</v>
      </c>
      <c r="H46" s="3">
        <f>FS!H47/FS!H$39</f>
        <v>0</v>
      </c>
      <c r="I46" s="3">
        <f>FS!I47/FS!I$39</f>
        <v>0</v>
      </c>
      <c r="J46" s="3">
        <f>FS!J47/FS!J$39</f>
        <v>0</v>
      </c>
    </row>
    <row r="47" spans="2:10">
      <c r="B47" s="8" t="s">
        <v>47</v>
      </c>
      <c r="C47" s="3">
        <f>FS!C48/FS!C$39</f>
        <v>0</v>
      </c>
      <c r="D47" s="3">
        <f>FS!D48/FS!D$39</f>
        <v>0</v>
      </c>
      <c r="E47" s="3">
        <f>FS!E48/FS!E$39</f>
        <v>0</v>
      </c>
      <c r="F47" s="3">
        <f>FS!F48/FS!F$39</f>
        <v>0</v>
      </c>
      <c r="G47" s="3">
        <f>FS!G48/FS!G$39</f>
        <v>0</v>
      </c>
      <c r="H47" s="3">
        <f>FS!H48/FS!H$39</f>
        <v>0</v>
      </c>
      <c r="I47" s="3">
        <f>FS!I48/FS!I$39</f>
        <v>0</v>
      </c>
      <c r="J47" s="3">
        <f>FS!J48/FS!J$39</f>
        <v>0</v>
      </c>
    </row>
    <row r="48" spans="2:10">
      <c r="B48" t="s">
        <v>48</v>
      </c>
      <c r="C48" s="3">
        <f>FS!C49/FS!C$39</f>
        <v>9.3122307316417397E-3</v>
      </c>
      <c r="D48" s="3">
        <f>FS!D49/FS!D$39</f>
        <v>5.6614681551019281E-3</v>
      </c>
      <c r="E48" s="3">
        <f>FS!E49/FS!E$39</f>
        <v>7.6372861467888034E-3</v>
      </c>
      <c r="F48" s="3">
        <f>FS!F49/FS!F$39</f>
        <v>1.019298762960911E-2</v>
      </c>
      <c r="G48" s="3">
        <f>FS!G49/FS!G$39</f>
        <v>1.1073322859510484E-2</v>
      </c>
      <c r="H48" s="3">
        <f>FS!H49/FS!H$39</f>
        <v>1.5040533911024544E-2</v>
      </c>
      <c r="I48" s="3">
        <f>FS!I49/FS!I$39</f>
        <v>1.5325213751630871E-2</v>
      </c>
      <c r="J48" s="3">
        <f>FS!J49/FS!J$39</f>
        <v>1.2726252497898549E-2</v>
      </c>
    </row>
    <row r="49" spans="1:10">
      <c r="B49" t="s">
        <v>49</v>
      </c>
      <c r="C49" s="3">
        <f>FS!C50/FS!C$39</f>
        <v>1.8445215958824746E-2</v>
      </c>
      <c r="D49" s="3">
        <f>FS!D50/FS!D$39</f>
        <v>1.2170848876102905E-2</v>
      </c>
      <c r="E49" s="3">
        <f>FS!E50/FS!E$39</f>
        <v>0</v>
      </c>
      <c r="F49" s="3">
        <f>FS!F50/FS!F$39</f>
        <v>0</v>
      </c>
      <c r="G49" s="3">
        <f>FS!G50/FS!G$39</f>
        <v>0</v>
      </c>
      <c r="H49" s="3">
        <f>FS!H50/FS!H$39</f>
        <v>0</v>
      </c>
      <c r="I49" s="3">
        <f>FS!I50/FS!I$39</f>
        <v>0</v>
      </c>
      <c r="J49" s="3">
        <f>FS!J50/FS!J$39</f>
        <v>3.8125528135042881E-3</v>
      </c>
    </row>
    <row r="50" spans="1:10">
      <c r="B50" t="s">
        <v>50</v>
      </c>
      <c r="C50" s="3">
        <f>FS!C51/FS!C$39</f>
        <v>0</v>
      </c>
      <c r="D50" s="3">
        <f>FS!D51/FS!D$39</f>
        <v>0</v>
      </c>
      <c r="E50" s="3">
        <f>FS!E51/FS!E$39</f>
        <v>2.2813734849615377E-3</v>
      </c>
      <c r="F50" s="3">
        <f>FS!F51/FS!F$39</f>
        <v>4.9445819594246411E-4</v>
      </c>
      <c r="G50" s="3">
        <f>FS!G51/FS!G$39</f>
        <v>0</v>
      </c>
      <c r="H50" s="3">
        <f>FS!H51/FS!H$39</f>
        <v>1.6947012050884752E-2</v>
      </c>
      <c r="I50" s="3">
        <f>FS!I51/FS!I$39</f>
        <v>2.4815719934036678E-2</v>
      </c>
      <c r="J50" s="3">
        <f>FS!J51/FS!J$39</f>
        <v>2.9316069278010285E-2</v>
      </c>
    </row>
    <row r="51" spans="1:10">
      <c r="B51" s="111" t="s">
        <v>51</v>
      </c>
      <c r="C51" s="107">
        <f>FS!C52/FS!C$39</f>
        <v>2.7757446690466488E-2</v>
      </c>
      <c r="D51" s="107">
        <f>FS!D52/FS!D$39</f>
        <v>1.7832317031204834E-2</v>
      </c>
      <c r="E51" s="107">
        <f>FS!E52/FS!E$39</f>
        <v>9.9186596317503411E-3</v>
      </c>
      <c r="F51" s="107">
        <f>FS!F52/FS!F$39</f>
        <v>1.0687445825551574E-2</v>
      </c>
      <c r="G51" s="107">
        <f>FS!G52/FS!G$39</f>
        <v>1.1073322859510484E-2</v>
      </c>
      <c r="H51" s="107">
        <f>FS!H52/FS!H$39</f>
        <v>3.1987545961909294E-2</v>
      </c>
      <c r="I51" s="107">
        <f>FS!I52/FS!I$39</f>
        <v>4.0140933685667547E-2</v>
      </c>
      <c r="J51" s="107">
        <f>FS!J52/FS!J$39</f>
        <v>4.5854874589413126E-2</v>
      </c>
    </row>
    <row r="52" spans="1:10">
      <c r="B52" s="8" t="s">
        <v>52</v>
      </c>
      <c r="C52" s="3">
        <f>FS!C53/FS!C$39</f>
        <v>0</v>
      </c>
      <c r="D52" s="3">
        <f>FS!D53/FS!D$39</f>
        <v>0</v>
      </c>
      <c r="E52" s="3">
        <f>FS!E53/FS!E$39</f>
        <v>0</v>
      </c>
      <c r="F52" s="3">
        <f>FS!F53/FS!F$39</f>
        <v>0</v>
      </c>
      <c r="G52" s="3">
        <f>FS!G53/FS!G$39</f>
        <v>0</v>
      </c>
      <c r="H52" s="3">
        <f>FS!H53/FS!H$39</f>
        <v>0</v>
      </c>
      <c r="I52" s="3">
        <f>FS!I53/FS!I$39</f>
        <v>0</v>
      </c>
      <c r="J52" s="3">
        <f>FS!J53/FS!J$39</f>
        <v>0</v>
      </c>
    </row>
    <row r="53" spans="1:10">
      <c r="B53" t="s">
        <v>53</v>
      </c>
      <c r="C53" s="3">
        <f>FS!C54/FS!C$39</f>
        <v>2.9874250743121987E-5</v>
      </c>
      <c r="D53" s="3">
        <f>FS!D54/FS!D$39</f>
        <v>0.10118239755536897</v>
      </c>
      <c r="E53" s="3">
        <f>FS!E54/FS!E$39</f>
        <v>0.13328863258643564</v>
      </c>
      <c r="F53" s="3">
        <f>FS!F54/FS!F$39</f>
        <v>2.0528951123105196E-2</v>
      </c>
      <c r="G53" s="3">
        <f>FS!G54/FS!G$39</f>
        <v>0.13607691724547172</v>
      </c>
      <c r="H53" s="3">
        <f>FS!H54/FS!H$39</f>
        <v>0.24200372066816594</v>
      </c>
      <c r="I53" s="3">
        <f>FS!I54/FS!I$39</f>
        <v>0</v>
      </c>
      <c r="J53" s="3">
        <f>FS!J54/FS!J$39</f>
        <v>0</v>
      </c>
    </row>
    <row r="54" spans="1:10">
      <c r="B54" t="s">
        <v>54</v>
      </c>
      <c r="C54" s="3">
        <f>FS!C55/FS!C$39</f>
        <v>0.15792595880340823</v>
      </c>
      <c r="D54" s="3">
        <f>FS!D55/FS!D$39</f>
        <v>9.6127957714490217E-2</v>
      </c>
      <c r="E54" s="3">
        <f>FS!E55/FS!E$39</f>
        <v>0.17808409600575659</v>
      </c>
      <c r="F54" s="3">
        <f>FS!F55/FS!F$39</f>
        <v>0.30687981985041152</v>
      </c>
      <c r="G54" s="3">
        <f>FS!G55/FS!G$39</f>
        <v>0.24086307088651934</v>
      </c>
      <c r="H54" s="3">
        <f>FS!H55/FS!H$39</f>
        <v>0.20544791307431137</v>
      </c>
      <c r="I54" s="3">
        <f>FS!I55/FS!I$39</f>
        <v>0.25811792599656935</v>
      </c>
      <c r="J54" s="3">
        <f>FS!J55/FS!J$39</f>
        <v>0.23124829499710564</v>
      </c>
    </row>
    <row r="55" spans="1:10">
      <c r="B55" t="s">
        <v>55</v>
      </c>
      <c r="C55" s="3">
        <f>FS!C56/FS!C$39</f>
        <v>0.32948524532094547</v>
      </c>
      <c r="D55" s="3">
        <f>FS!D56/FS!D$39</f>
        <v>0.31886330162837756</v>
      </c>
      <c r="E55" s="3">
        <f>FS!E56/FS!E$39</f>
        <v>0.4294051870583161</v>
      </c>
      <c r="F55" s="3">
        <f>FS!F56/FS!F$39</f>
        <v>0.44498556837373893</v>
      </c>
      <c r="G55" s="3">
        <f>FS!G56/FS!G$39</f>
        <v>0.43604214973035571</v>
      </c>
      <c r="H55" s="3">
        <f>FS!H56/FS!H$39</f>
        <v>0.30984034156316637</v>
      </c>
      <c r="I55" s="3">
        <f>FS!I56/FS!I$39</f>
        <v>0.10542872848410191</v>
      </c>
      <c r="J55" s="3">
        <f>FS!J56/FS!J$39</f>
        <v>0.141980442646475</v>
      </c>
    </row>
    <row r="56" spans="1:10">
      <c r="B56" t="s">
        <v>56</v>
      </c>
      <c r="C56" s="3">
        <f>FS!C57/FS!C$39</f>
        <v>6.4955156615759523E-3</v>
      </c>
      <c r="D56" s="3">
        <f>FS!D57/FS!D$39</f>
        <v>4.1900094977219233E-3</v>
      </c>
      <c r="E56" s="3">
        <f>FS!E57/FS!E$39</f>
        <v>6.9152600581791124E-2</v>
      </c>
      <c r="F56" s="3">
        <f>FS!F57/FS!F$39</f>
        <v>0.10076224007434745</v>
      </c>
      <c r="G56" s="3">
        <f>FS!G57/FS!G$39</f>
        <v>5.8600254613230998E-2</v>
      </c>
      <c r="H56" s="3">
        <f>FS!H57/FS!H$39</f>
        <v>5.4442701224517553E-2</v>
      </c>
      <c r="I56" s="3">
        <f>FS!I57/FS!I$39</f>
        <v>7.0135701655043613E-3</v>
      </c>
      <c r="J56" s="3">
        <f>FS!J57/FS!J$39</f>
        <v>0</v>
      </c>
    </row>
    <row r="57" spans="1:10">
      <c r="B57" t="s">
        <v>57</v>
      </c>
      <c r="C57" s="3">
        <f>FS!C58/FS!C$39</f>
        <v>0.22096702949655486</v>
      </c>
      <c r="D57" s="3">
        <f>FS!D58/FS!D$39</f>
        <v>1.8916984404465306E-2</v>
      </c>
      <c r="E57" s="3">
        <f>FS!E58/FS!E$39</f>
        <v>2.8169647511442643E-3</v>
      </c>
      <c r="F57" s="3">
        <f>FS!F58/FS!F$39</f>
        <v>8.4951492459512511E-3</v>
      </c>
      <c r="G57" s="3">
        <f>FS!G58/FS!G$39</f>
        <v>2.0753331015498991E-2</v>
      </c>
      <c r="H57" s="3">
        <f>FS!H58/FS!H$39</f>
        <v>1.9380503893101222E-2</v>
      </c>
      <c r="I57" s="3">
        <f>FS!I58/FS!I$39</f>
        <v>1.7546067256981008E-2</v>
      </c>
      <c r="J57" s="3">
        <f>FS!J58/FS!J$39</f>
        <v>5.6012810532315764E-2</v>
      </c>
    </row>
    <row r="58" spans="1:10">
      <c r="B58" t="s">
        <v>58</v>
      </c>
      <c r="C58" s="3">
        <f>FS!C59/FS!C$39</f>
        <v>0</v>
      </c>
      <c r="D58" s="3">
        <f>FS!D59/FS!D$39</f>
        <v>3.6630924031989427E-2</v>
      </c>
      <c r="E58" s="3">
        <f>FS!E59/FS!E$39</f>
        <v>3.6714576872678506E-3</v>
      </c>
      <c r="F58" s="3">
        <f>FS!F59/FS!F$39</f>
        <v>4.0063028526663505E-3</v>
      </c>
      <c r="G58" s="3">
        <f>FS!G59/FS!G$39</f>
        <v>4.6008140303915136E-4</v>
      </c>
      <c r="H58" s="3">
        <f>FS!H59/FS!H$39</f>
        <v>8.6216527343996666E-3</v>
      </c>
      <c r="I58" s="3">
        <f>FS!I59/FS!I$39</f>
        <v>1.3141889579870149E-2</v>
      </c>
      <c r="J58" s="3">
        <f>FS!J59/FS!J$39</f>
        <v>8.6763854604006846E-3</v>
      </c>
    </row>
    <row r="59" spans="1:10">
      <c r="B59" t="s">
        <v>59</v>
      </c>
      <c r="C59" s="3">
        <f>FS!C60/FS!C$39</f>
        <v>0</v>
      </c>
      <c r="D59" s="3">
        <f>FS!D60/FS!D$39</f>
        <v>0</v>
      </c>
      <c r="E59" s="3">
        <f>FS!E60/FS!E$39</f>
        <v>0</v>
      </c>
      <c r="F59" s="3">
        <f>FS!F60/FS!F$39</f>
        <v>0</v>
      </c>
      <c r="G59" s="3">
        <f>FS!G60/FS!G$39</f>
        <v>0</v>
      </c>
      <c r="H59" s="3">
        <f>FS!H60/FS!H$39</f>
        <v>0</v>
      </c>
      <c r="I59" s="3">
        <f>FS!I60/FS!I$39</f>
        <v>4.7931581817258637E-2</v>
      </c>
      <c r="J59" s="3">
        <f>FS!J60/FS!J$39</f>
        <v>0</v>
      </c>
    </row>
    <row r="60" spans="1:10">
      <c r="B60" s="111" t="s">
        <v>60</v>
      </c>
      <c r="C60" s="107">
        <f>FS!C61/FS!C$39</f>
        <v>0.71490362353322767</v>
      </c>
      <c r="D60" s="107">
        <f>FS!D61/FS!D$39</f>
        <v>0.5759115748324134</v>
      </c>
      <c r="E60" s="107">
        <f>FS!E61/FS!E$39</f>
        <v>0.81641893867071158</v>
      </c>
      <c r="F60" s="107">
        <f>FS!F61/FS!F$39</f>
        <v>0.88565803152022071</v>
      </c>
      <c r="G60" s="107">
        <f>FS!G61/FS!G$39</f>
        <v>0.89279580489411592</v>
      </c>
      <c r="H60" s="107">
        <f>FS!H61/FS!H$39</f>
        <v>0.83973683315766212</v>
      </c>
      <c r="I60" s="107">
        <f>FS!I61/FS!I$39</f>
        <v>0.44917976330028542</v>
      </c>
      <c r="J60" s="107">
        <f>FS!J61/FS!J$39</f>
        <v>0.43791793363629711</v>
      </c>
    </row>
    <row r="61" spans="1:10">
      <c r="B61" s="111" t="s">
        <v>61</v>
      </c>
      <c r="C61" s="107">
        <f>FS!C62/FS!C$39</f>
        <v>0.7426610702236941</v>
      </c>
      <c r="D61" s="107">
        <f>FS!D62/FS!D$39</f>
        <v>0.5937438918636182</v>
      </c>
      <c r="E61" s="107">
        <f>FS!E62/FS!E$39</f>
        <v>0.8263375983024619</v>
      </c>
      <c r="F61" s="107">
        <f>FS!F62/FS!F$39</f>
        <v>0.89634547734577219</v>
      </c>
      <c r="G61" s="107">
        <f>FS!G62/FS!G$39</f>
        <v>0.90386912775362638</v>
      </c>
      <c r="H61" s="107">
        <f>FS!H62/FS!H$39</f>
        <v>0.87172437911957135</v>
      </c>
      <c r="I61" s="107">
        <f>FS!I62/FS!I$39</f>
        <v>0.48932069698595299</v>
      </c>
      <c r="J61" s="107">
        <f>FS!J62/FS!J$39</f>
        <v>0.48377280822571023</v>
      </c>
    </row>
    <row r="62" spans="1:10">
      <c r="C62" s="1"/>
      <c r="D62" s="1"/>
      <c r="E62" s="1"/>
      <c r="F62" s="1"/>
    </row>
    <row r="63" spans="1:10">
      <c r="A63" s="60"/>
      <c r="B63" s="85" t="s">
        <v>62</v>
      </c>
      <c r="C63" s="108">
        <f t="shared" ref="C63:J63" si="0">SUM(C61+C45)</f>
        <v>1</v>
      </c>
      <c r="D63" s="108">
        <f t="shared" si="0"/>
        <v>1</v>
      </c>
      <c r="E63" s="108">
        <f t="shared" si="0"/>
        <v>1</v>
      </c>
      <c r="F63" s="108">
        <f t="shared" si="0"/>
        <v>1</v>
      </c>
      <c r="G63" s="108">
        <f t="shared" si="0"/>
        <v>1</v>
      </c>
      <c r="H63" s="108">
        <f t="shared" si="0"/>
        <v>1</v>
      </c>
      <c r="I63" s="108">
        <f t="shared" si="0"/>
        <v>1</v>
      </c>
      <c r="J63" s="108">
        <f t="shared" si="0"/>
        <v>1</v>
      </c>
    </row>
    <row r="70" spans="1:10">
      <c r="B70" t="s">
        <v>63</v>
      </c>
      <c r="C70" s="114">
        <v>3125</v>
      </c>
      <c r="D70" s="114">
        <v>15625</v>
      </c>
      <c r="E70" s="114">
        <v>19216</v>
      </c>
      <c r="F70" s="114">
        <v>0</v>
      </c>
      <c r="G70" s="114">
        <v>11544</v>
      </c>
    </row>
    <row r="72" spans="1:10">
      <c r="A72" t="s">
        <v>64</v>
      </c>
    </row>
    <row r="73" spans="1:10">
      <c r="B73" s="8" t="s">
        <v>65</v>
      </c>
    </row>
    <row r="74" spans="1:10">
      <c r="B74" s="8"/>
    </row>
    <row r="75" spans="1:10">
      <c r="B75" t="s">
        <v>66</v>
      </c>
      <c r="C75" s="116">
        <v>90786</v>
      </c>
      <c r="D75" s="83">
        <v>-9928</v>
      </c>
      <c r="E75" s="83">
        <v>104131</v>
      </c>
      <c r="F75" s="83">
        <v>70752</v>
      </c>
      <c r="G75" s="83">
        <v>7494</v>
      </c>
      <c r="H75" s="83">
        <v>-43478</v>
      </c>
      <c r="I75" s="83">
        <v>225499</v>
      </c>
      <c r="J75" s="83">
        <v>106506</v>
      </c>
    </row>
    <row r="76" spans="1:10">
      <c r="B76" t="s">
        <v>67</v>
      </c>
      <c r="C76" s="116">
        <v>-2004</v>
      </c>
      <c r="D76" s="83">
        <v>-3376</v>
      </c>
      <c r="E76" s="83">
        <v>-11603</v>
      </c>
      <c r="F76" s="83">
        <v>-5608</v>
      </c>
      <c r="G76" s="83">
        <v>-2922</v>
      </c>
      <c r="H76" s="83">
        <v>-18453</v>
      </c>
      <c r="I76" s="83">
        <v>-9999</v>
      </c>
      <c r="J76" s="83">
        <v>-5365</v>
      </c>
    </row>
    <row r="77" spans="1:10">
      <c r="B77" t="s">
        <v>68</v>
      </c>
      <c r="C77" s="83">
        <v>160</v>
      </c>
      <c r="D77" s="83">
        <v>440</v>
      </c>
      <c r="E77" s="83">
        <v>571</v>
      </c>
      <c r="F77" s="83">
        <v>100</v>
      </c>
      <c r="G77" s="83">
        <v>341</v>
      </c>
      <c r="H77" s="83">
        <v>824</v>
      </c>
      <c r="I77" s="83">
        <v>1547</v>
      </c>
      <c r="J77" s="83">
        <v>1739</v>
      </c>
    </row>
    <row r="78" spans="1:10">
      <c r="B78" t="s">
        <v>69</v>
      </c>
      <c r="C78" s="83">
        <v>-15411</v>
      </c>
      <c r="D78" s="83">
        <v>-32356</v>
      </c>
      <c r="E78" s="83">
        <v>-36843</v>
      </c>
      <c r="F78" s="83">
        <v>-2323</v>
      </c>
      <c r="G78" s="83">
        <v>-2102</v>
      </c>
      <c r="H78" s="83">
        <v>-707</v>
      </c>
      <c r="I78" s="83">
        <v>-14955</v>
      </c>
      <c r="J78" s="83">
        <v>-50842</v>
      </c>
    </row>
    <row r="79" spans="1:10">
      <c r="B79" s="85" t="s">
        <v>70</v>
      </c>
      <c r="C79" s="117">
        <v>73531</v>
      </c>
      <c r="D79" s="117">
        <v>-45220</v>
      </c>
      <c r="E79" s="117">
        <v>56256</v>
      </c>
      <c r="F79" s="117">
        <v>62921</v>
      </c>
      <c r="G79" s="117">
        <v>2811</v>
      </c>
      <c r="H79" s="117">
        <v>-61814</v>
      </c>
      <c r="I79" s="117">
        <v>202092</v>
      </c>
      <c r="J79" s="117">
        <v>52038</v>
      </c>
    </row>
    <row r="80" spans="1:10">
      <c r="C80" s="83"/>
      <c r="D80" s="83"/>
      <c r="E80" s="83"/>
      <c r="F80" s="83"/>
      <c r="G80" s="83"/>
      <c r="H80" s="83"/>
      <c r="I80" s="83"/>
      <c r="J80" s="83"/>
    </row>
    <row r="81" spans="2:10">
      <c r="B81" s="8" t="s">
        <v>71</v>
      </c>
      <c r="C81" s="83"/>
      <c r="D81" s="83"/>
      <c r="E81" s="83"/>
      <c r="F81" s="83"/>
      <c r="G81" s="83"/>
      <c r="H81" s="83"/>
      <c r="I81" s="83"/>
      <c r="J81" s="83"/>
    </row>
    <row r="82" spans="2:10">
      <c r="B82" s="8"/>
      <c r="C82" s="83"/>
      <c r="D82" s="83"/>
      <c r="E82" s="83"/>
      <c r="F82" s="83"/>
      <c r="G82" s="83"/>
      <c r="H82" s="83"/>
      <c r="I82" s="83"/>
      <c r="J82" s="83"/>
    </row>
    <row r="83" spans="2:10">
      <c r="B83" t="s">
        <v>72</v>
      </c>
      <c r="C83" s="83">
        <v>-21005</v>
      </c>
      <c r="D83" s="83">
        <v>-60914</v>
      </c>
      <c r="E83" s="116">
        <v>-23878</v>
      </c>
      <c r="F83" s="83">
        <v>-8883</v>
      </c>
      <c r="G83" s="83">
        <v>-17587</v>
      </c>
      <c r="H83" s="83">
        <v>-16035</v>
      </c>
      <c r="I83" s="83">
        <v>-22949</v>
      </c>
      <c r="J83" s="83">
        <v>-21195</v>
      </c>
    </row>
    <row r="84" spans="2:10">
      <c r="B84" t="s">
        <v>73</v>
      </c>
      <c r="C84" s="83">
        <v>0</v>
      </c>
      <c r="D84" s="83">
        <v>0</v>
      </c>
      <c r="E84" s="116">
        <v>0</v>
      </c>
      <c r="F84" s="83">
        <v>0</v>
      </c>
      <c r="G84" s="83">
        <v>50</v>
      </c>
      <c r="H84" s="83">
        <v>75</v>
      </c>
      <c r="I84" s="83">
        <v>320</v>
      </c>
      <c r="J84" s="83">
        <v>0</v>
      </c>
    </row>
    <row r="85" spans="2:10">
      <c r="B85" t="s">
        <v>74</v>
      </c>
      <c r="C85" s="83">
        <v>0</v>
      </c>
      <c r="D85" s="83">
        <v>0</v>
      </c>
      <c r="E85" s="116">
        <v>0</v>
      </c>
      <c r="F85" s="83">
        <v>0</v>
      </c>
      <c r="G85" s="83">
        <v>0</v>
      </c>
      <c r="H85" s="83">
        <v>39747</v>
      </c>
      <c r="I85" s="83">
        <v>0</v>
      </c>
      <c r="J85" s="83"/>
    </row>
    <row r="86" spans="2:10">
      <c r="B86" s="85" t="s">
        <v>75</v>
      </c>
      <c r="C86" s="117">
        <v>-21005</v>
      </c>
      <c r="D86" s="117">
        <v>-60914</v>
      </c>
      <c r="E86" s="117">
        <v>-23878</v>
      </c>
      <c r="F86" s="117">
        <v>-8883</v>
      </c>
      <c r="G86" s="117">
        <v>-17537</v>
      </c>
      <c r="H86" s="117">
        <v>23787</v>
      </c>
      <c r="I86" s="117">
        <v>-22629</v>
      </c>
      <c r="J86" s="117">
        <v>-21195</v>
      </c>
    </row>
    <row r="87" spans="2:10">
      <c r="C87" s="83"/>
      <c r="D87" s="83"/>
      <c r="E87" s="83"/>
      <c r="F87" s="83"/>
      <c r="G87" s="83"/>
      <c r="H87" s="83"/>
      <c r="I87" s="83"/>
      <c r="J87" s="83"/>
    </row>
    <row r="88" spans="2:10">
      <c r="B88" s="8" t="s">
        <v>76</v>
      </c>
      <c r="C88" s="83"/>
      <c r="D88" s="83"/>
      <c r="E88" s="83"/>
      <c r="F88" s="83"/>
      <c r="G88" s="83"/>
      <c r="H88" s="83"/>
      <c r="I88" s="83"/>
      <c r="J88" s="83"/>
    </row>
    <row r="89" spans="2:10">
      <c r="B89" s="8"/>
      <c r="C89" s="83"/>
      <c r="D89" s="83"/>
      <c r="E89" s="83"/>
      <c r="F89" s="83"/>
      <c r="G89" s="83"/>
      <c r="H89" s="83"/>
      <c r="I89" s="83"/>
      <c r="J89" s="83"/>
    </row>
    <row r="90" spans="2:10">
      <c r="B90" t="s">
        <v>77</v>
      </c>
      <c r="C90" s="83">
        <v>-3125</v>
      </c>
      <c r="D90" s="116">
        <v>-15625</v>
      </c>
      <c r="E90" s="83">
        <v>-19216</v>
      </c>
      <c r="F90" s="83">
        <v>0</v>
      </c>
      <c r="G90" s="83">
        <v>-11544</v>
      </c>
      <c r="H90" s="83">
        <v>0</v>
      </c>
      <c r="I90" s="83">
        <v>-19240</v>
      </c>
      <c r="J90" s="83">
        <v>-28044</v>
      </c>
    </row>
    <row r="91" spans="2:10">
      <c r="B91" t="s">
        <v>78</v>
      </c>
      <c r="C91" s="83">
        <v>0</v>
      </c>
      <c r="D91" s="116">
        <v>0</v>
      </c>
      <c r="E91" s="83">
        <v>-1997</v>
      </c>
      <c r="F91" s="83">
        <v>-1401</v>
      </c>
      <c r="G91" s="83">
        <v>-1335</v>
      </c>
      <c r="H91" s="83">
        <v>-3735</v>
      </c>
      <c r="I91" s="83">
        <v>-235</v>
      </c>
      <c r="J91" s="83">
        <v>-12218</v>
      </c>
    </row>
    <row r="92" spans="2:10">
      <c r="B92" s="85" t="s">
        <v>79</v>
      </c>
      <c r="C92" s="117">
        <v>-3125</v>
      </c>
      <c r="D92" s="117">
        <v>-15625</v>
      </c>
      <c r="E92" s="117">
        <v>-21213</v>
      </c>
      <c r="F92" s="117">
        <v>-1401</v>
      </c>
      <c r="G92" s="117">
        <v>-12879</v>
      </c>
      <c r="H92" s="117">
        <v>-3735</v>
      </c>
      <c r="I92" s="117">
        <v>-19475</v>
      </c>
      <c r="J92" s="117">
        <v>-40262</v>
      </c>
    </row>
    <row r="93" spans="2:10">
      <c r="C93" s="83"/>
      <c r="D93" s="83"/>
      <c r="E93" s="83"/>
      <c r="F93" s="83"/>
      <c r="G93" s="83"/>
      <c r="H93" s="83"/>
      <c r="I93" s="83"/>
      <c r="J93" s="83"/>
    </row>
    <row r="94" spans="2:10">
      <c r="B94" s="8" t="s">
        <v>80</v>
      </c>
      <c r="C94" s="83">
        <v>49401</v>
      </c>
      <c r="D94" s="83">
        <v>-121759</v>
      </c>
      <c r="E94" s="83">
        <v>11165</v>
      </c>
      <c r="F94" s="83">
        <v>52637</v>
      </c>
      <c r="G94" s="83">
        <v>-27605</v>
      </c>
      <c r="H94" s="83">
        <v>-41762</v>
      </c>
      <c r="I94" s="83">
        <v>159988</v>
      </c>
      <c r="J94" s="83">
        <v>-9419</v>
      </c>
    </row>
    <row r="95" spans="2:10">
      <c r="B95" t="s">
        <v>81</v>
      </c>
      <c r="C95" s="83">
        <v>3476</v>
      </c>
      <c r="D95" s="83">
        <v>53189</v>
      </c>
      <c r="E95" s="83">
        <v>-65563</v>
      </c>
      <c r="F95" s="83">
        <v>-53345</v>
      </c>
      <c r="G95" s="83">
        <v>-945</v>
      </c>
      <c r="H95" s="83">
        <v>-28010</v>
      </c>
      <c r="I95" s="83">
        <v>-59320</v>
      </c>
      <c r="J95" s="83">
        <v>106449</v>
      </c>
    </row>
    <row r="96" spans="2:10">
      <c r="B96" t="s">
        <v>82</v>
      </c>
      <c r="C96" s="83">
        <v>312</v>
      </c>
      <c r="D96" s="83">
        <v>3007</v>
      </c>
      <c r="E96" s="83">
        <v>1053</v>
      </c>
      <c r="F96" s="83">
        <v>-237</v>
      </c>
      <c r="G96" s="83">
        <v>540</v>
      </c>
      <c r="H96" s="83">
        <v>10450</v>
      </c>
      <c r="I96" s="83">
        <v>5781</v>
      </c>
      <c r="J96" s="83"/>
    </row>
    <row r="97" spans="2:10">
      <c r="C97" s="83"/>
      <c r="D97" s="83"/>
      <c r="E97" s="83"/>
      <c r="F97" s="83"/>
      <c r="G97" s="83"/>
      <c r="H97" s="83"/>
      <c r="I97" s="83"/>
      <c r="J97" s="83"/>
    </row>
    <row r="98" spans="2:10">
      <c r="B98" s="85" t="s">
        <v>83</v>
      </c>
      <c r="C98" s="117">
        <v>53189</v>
      </c>
      <c r="D98" s="117">
        <v>65563</v>
      </c>
      <c r="E98" s="117">
        <v>-53345</v>
      </c>
      <c r="F98" s="117">
        <v>-945</v>
      </c>
      <c r="G98" s="117">
        <v>-28010</v>
      </c>
      <c r="H98" s="117">
        <v>-59320</v>
      </c>
      <c r="I98" s="117">
        <v>106449</v>
      </c>
      <c r="J98" s="117">
        <v>97030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first="1" last="1" xr2:uid="{00000000-0003-0000-0100-000000000000}">
          <x14:colorSeries rgb="FF376092"/>
          <x14:colorNegative rgb="FFD00000"/>
          <x14:colorAxis rgb="FF000000"/>
          <x14:colorMarkers rgb="FFD00000"/>
          <x14:colorFirst theme="1"/>
          <x14:colorLast theme="1"/>
          <x14:colorHigh rgb="FFD00000"/>
          <x14:colorLow rgb="FFD00000"/>
          <x14:sparklines>
            <x14:sparkline>
              <xm:f>'Common Size'!C2:J2</xm:f>
              <xm:sqref>K2</xm:sqref>
            </x14:sparkline>
            <x14:sparkline>
              <xm:f>'Common Size'!C3:J3</xm:f>
              <xm:sqref>K3</xm:sqref>
            </x14:sparkline>
            <x14:sparkline>
              <xm:f>'Common Size'!C4:J4</xm:f>
              <xm:sqref>K4</xm:sqref>
            </x14:sparkline>
            <x14:sparkline>
              <xm:f>'Common Size'!C5:J5</xm:f>
              <xm:sqref>K5</xm:sqref>
            </x14:sparkline>
            <x14:sparkline>
              <xm:f>'Common Size'!C6:J6</xm:f>
              <xm:sqref>K6</xm:sqref>
            </x14:sparkline>
            <x14:sparkline>
              <xm:f>'Common Size'!C7:J7</xm:f>
              <xm:sqref>K7</xm:sqref>
            </x14:sparkline>
            <x14:sparkline>
              <xm:f>'Common Size'!C8:J8</xm:f>
              <xm:sqref>K8</xm:sqref>
            </x14:sparkline>
            <x14:sparkline>
              <xm:f>'Common Size'!C9:J9</xm:f>
              <xm:sqref>K9</xm:sqref>
            </x14:sparkline>
            <x14:sparkline>
              <xm:f>'Common Size'!C10:J10</xm:f>
              <xm:sqref>K10</xm:sqref>
            </x14:sparkline>
            <x14:sparkline>
              <xm:f>'Common Size'!C11:J11</xm:f>
              <xm:sqref>K11</xm:sqref>
            </x14:sparkline>
            <x14:sparkline>
              <xm:f>'Common Size'!C12:J12</xm:f>
              <xm:sqref>K12</xm:sqref>
            </x14:sparkline>
            <x14:sparkline>
              <xm:f>'Common Size'!C13:J13</xm:f>
              <xm:sqref>K13</xm:sqref>
            </x14:sparkline>
            <x14:sparkline>
              <xm:f>'Common Size'!C14:J14</xm:f>
              <xm:sqref>K14</xm:sqref>
            </x14:sparkline>
            <x14:sparkline>
              <xm:f>'Common Size'!C15:J15</xm:f>
              <xm:sqref>K15</xm:sqref>
            </x14:sparkline>
            <x14:sparkline>
              <xm:f>'Common Size'!C16:J16</xm:f>
              <xm:sqref>K16</xm:sqref>
            </x14:sparkline>
            <x14:sparkline>
              <xm:f>'Common Size'!C17:J17</xm:f>
              <xm:sqref>K17</xm:sqref>
            </x14:sparkline>
            <x14:sparkline>
              <xm:f>'Common Size'!C18:J18</xm:f>
              <xm:sqref>K18</xm:sqref>
            </x14:sparkline>
            <x14:sparkline>
              <xm:f>'Common Size'!C19:J19</xm:f>
              <xm:sqref>K19</xm:sqref>
            </x14:sparkline>
            <x14:sparkline>
              <xm:f>'Common Size'!C20:J20</xm:f>
              <xm:sqref>K20</xm:sqref>
            </x14:sparkline>
            <x14:sparkline>
              <xm:f>'Common Size'!C21:J21</xm:f>
              <xm:sqref>K21</xm:sqref>
            </x14:sparkline>
            <x14:sparkline>
              <xm:f>'Common Size'!C22:J22</xm:f>
              <xm:sqref>K22</xm:sqref>
            </x14:sparkline>
            <x14:sparkline>
              <xm:f>'Common Size'!C23:J23</xm:f>
              <xm:sqref>K23</xm:sqref>
            </x14:sparkline>
            <x14:sparkline>
              <xm:f>'Common Size'!C24:J24</xm:f>
              <xm:sqref>K24</xm:sqref>
            </x14:sparkline>
            <x14:sparkline>
              <xm:f>'Common Size'!C25:J25</xm:f>
              <xm:sqref>K25</xm:sqref>
            </x14:sparkline>
            <x14:sparkline>
              <xm:f>'Common Size'!C26:J26</xm:f>
              <xm:sqref>K26</xm:sqref>
            </x14:sparkline>
            <x14:sparkline>
              <xm:f>'Common Size'!C27:J27</xm:f>
              <xm:sqref>K27</xm:sqref>
            </x14:sparkline>
            <x14:sparkline>
              <xm:f>'Common Size'!C28:J28</xm:f>
              <xm:sqref>K28</xm:sqref>
            </x14:sparkline>
            <x14:sparkline>
              <xm:f>'Common Size'!C29:J29</xm:f>
              <xm:sqref>K29</xm:sqref>
            </x14:sparkline>
            <x14:sparkline>
              <xm:f>'Common Size'!C30:J30</xm:f>
              <xm:sqref>K30</xm:sqref>
            </x14:sparkline>
            <x14:sparkline>
              <xm:f>'Common Size'!C31:J31</xm:f>
              <xm:sqref>K31</xm:sqref>
            </x14:sparkline>
            <x14:sparkline>
              <xm:f>'Common Size'!C32:J32</xm:f>
              <xm:sqref>K32</xm:sqref>
            </x14:sparkline>
            <x14:sparkline>
              <xm:f>'Common Size'!C33:J33</xm:f>
              <xm:sqref>K33</xm:sqref>
            </x14:sparkline>
            <x14:sparkline>
              <xm:f>'Common Size'!C34:J34</xm:f>
              <xm:sqref>K34</xm:sqref>
            </x14:sparkline>
            <x14:sparkline>
              <xm:f>'Common Size'!C35:J35</xm:f>
              <xm:sqref>K35</xm:sqref>
            </x14:sparkline>
            <x14:sparkline>
              <xm:f>'Common Size'!C36:J36</xm:f>
              <xm:sqref>K36</xm:sqref>
            </x14:sparkline>
            <x14:sparkline>
              <xm:f>'Common Size'!C37:J37</xm:f>
              <xm:sqref>K37</xm:sqref>
            </x14:sparkline>
            <x14:sparkline>
              <xm:f>'Common Size'!C38:J38</xm:f>
              <xm:sqref>K38</xm:sqref>
            </x14:sparkline>
            <x14:sparkline>
              <xm:f>'Common Size'!C39:J39</xm:f>
              <xm:sqref>K39</xm:sqref>
            </x14:sparkline>
            <x14:sparkline>
              <xm:f>'Common Size'!C40:J40</xm:f>
              <xm:sqref>K40</xm:sqref>
            </x14:sparkline>
            <x14:sparkline>
              <xm:f>'Common Size'!C41:J41</xm:f>
              <xm:sqref>K41</xm:sqref>
            </x14:sparkline>
            <x14:sparkline>
              <xm:f>'Common Size'!C42:J42</xm:f>
              <xm:sqref>K42</xm:sqref>
            </x14:sparkline>
            <x14:sparkline>
              <xm:f>'Common Size'!C43:J43</xm:f>
              <xm:sqref>K43</xm:sqref>
            </x14:sparkline>
            <x14:sparkline>
              <xm:f>'Common Size'!C44:J44</xm:f>
              <xm:sqref>K44</xm:sqref>
            </x14:sparkline>
            <x14:sparkline>
              <xm:f>'Common Size'!C45:J45</xm:f>
              <xm:sqref>K45</xm:sqref>
            </x14:sparkline>
            <x14:sparkline>
              <xm:f>'Common Size'!C46:J46</xm:f>
              <xm:sqref>K46</xm:sqref>
            </x14:sparkline>
            <x14:sparkline>
              <xm:f>'Common Size'!C47:J47</xm:f>
              <xm:sqref>K47</xm:sqref>
            </x14:sparkline>
            <x14:sparkline>
              <xm:f>'Common Size'!C48:J48</xm:f>
              <xm:sqref>K48</xm:sqref>
            </x14:sparkline>
            <x14:sparkline>
              <xm:f>'Common Size'!C49:J49</xm:f>
              <xm:sqref>K49</xm:sqref>
            </x14:sparkline>
            <x14:sparkline>
              <xm:f>'Common Size'!C50:J50</xm:f>
              <xm:sqref>K50</xm:sqref>
            </x14:sparkline>
            <x14:sparkline>
              <xm:f>'Common Size'!C51:J51</xm:f>
              <xm:sqref>K51</xm:sqref>
            </x14:sparkline>
            <x14:sparkline>
              <xm:f>'Common Size'!C52:J52</xm:f>
              <xm:sqref>K52</xm:sqref>
            </x14:sparkline>
            <x14:sparkline>
              <xm:f>'Common Size'!C53:J53</xm:f>
              <xm:sqref>K53</xm:sqref>
            </x14:sparkline>
            <x14:sparkline>
              <xm:f>'Common Size'!C54:J54</xm:f>
              <xm:sqref>K54</xm:sqref>
            </x14:sparkline>
            <x14:sparkline>
              <xm:f>'Common Size'!C55:J55</xm:f>
              <xm:sqref>K55</xm:sqref>
            </x14:sparkline>
            <x14:sparkline>
              <xm:f>'Common Size'!C56:J56</xm:f>
              <xm:sqref>K56</xm:sqref>
            </x14:sparkline>
            <x14:sparkline>
              <xm:f>'Common Size'!C57:J57</xm:f>
              <xm:sqref>K57</xm:sqref>
            </x14:sparkline>
            <x14:sparkline>
              <xm:f>'Common Size'!C58:J58</xm:f>
              <xm:sqref>K58</xm:sqref>
            </x14:sparkline>
            <x14:sparkline>
              <xm:f>'Common Size'!C59:J59</xm:f>
              <xm:sqref>K59</xm:sqref>
            </x14:sparkline>
            <x14:sparkline>
              <xm:f>'Common Size'!C60:J60</xm:f>
              <xm:sqref>K60</xm:sqref>
            </x14:sparkline>
            <x14:sparkline>
              <xm:f>'Common Size'!C61:J61</xm:f>
              <xm:sqref>K61</xm:sqref>
            </x14:sparkline>
            <x14:sparkline>
              <xm:f>'Common Size'!C62:J62</xm:f>
              <xm:sqref>K62</xm:sqref>
            </x14:sparkline>
            <x14:sparkline>
              <xm:f>'Common Size'!C63:J63</xm:f>
              <xm:sqref>K63</xm:sqref>
            </x14:sparkline>
          </x14:sparklines>
        </x14:sparklineGroup>
        <x14:sparklineGroup displayEmptyCellsAs="gap" markers="1" xr2:uid="{00000000-0003-0000-0100-000001000000}">
          <x14:colorSeries theme="1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'Common Size'!K64:K64</xm:f>
              <xm:sqref>K64</xm:sqref>
            </x14:sparkline>
            <x14:sparkline>
              <xm:f>'Common Size'!K65:K65</xm:f>
              <xm:sqref>K65</xm:sqref>
            </x14:sparkline>
            <x14:sparkline>
              <xm:f>'Common Size'!K66:K66</xm:f>
              <xm:sqref>K66</xm:sqref>
            </x14:sparkline>
            <x14:sparkline>
              <xm:f>'Common Size'!K67:K67</xm:f>
              <xm:sqref>K67</xm:sqref>
            </x14:sparkline>
            <x14:sparkline>
              <xm:f>'Common Size'!K68:K68</xm:f>
              <xm:sqref>K68</xm:sqref>
            </x14:sparkline>
            <x14:sparkline>
              <xm:f>'Common Size'!K69:K69</xm:f>
              <xm:sqref>K69</xm:sqref>
            </x14:sparkline>
            <x14:sparkline>
              <xm:f>'Common Size'!K70:K70</xm:f>
              <xm:sqref>K70</xm:sqref>
            </x14:sparkline>
            <x14:sparkline>
              <xm:f>'Common Size'!K71:K71</xm:f>
              <xm:sqref>K71</xm:sqref>
            </x14:sparkline>
            <x14:sparkline>
              <xm:f>'Common Size'!K72:K72</xm:f>
              <xm:sqref>K72</xm:sqref>
            </x14:sparkline>
            <x14:sparkline>
              <xm:f>'Common Size'!K73:K73</xm:f>
              <xm:sqref>K73</xm:sqref>
            </x14:sparkline>
            <x14:sparkline>
              <xm:f>'Common Size'!K74:K74</xm:f>
              <xm:sqref>K74</xm:sqref>
            </x14:sparkline>
            <x14:sparkline>
              <xm:f>'Common Size'!K75:K75</xm:f>
              <xm:sqref>K75</xm:sqref>
            </x14:sparkline>
            <x14:sparkline>
              <xm:f>'Common Size'!K76:K76</xm:f>
              <xm:sqref>K76</xm:sqref>
            </x14:sparkline>
            <x14:sparkline>
              <xm:f>'Common Size'!K77:K77</xm:f>
              <xm:sqref>K77</xm:sqref>
            </x14:sparkline>
            <x14:sparkline>
              <xm:f>'Common Size'!K78:K78</xm:f>
              <xm:sqref>K78</xm:sqref>
            </x14:sparkline>
            <x14:sparkline>
              <xm:f>'Common Size'!K79:K79</xm:f>
              <xm:sqref>K79</xm:sqref>
            </x14:sparkline>
            <x14:sparkline>
              <xm:f>'Common Size'!K80:K80</xm:f>
              <xm:sqref>K80</xm:sqref>
            </x14:sparkline>
            <x14:sparkline>
              <xm:f>'Common Size'!K81:K81</xm:f>
              <xm:sqref>K81</xm:sqref>
            </x14:sparkline>
            <x14:sparkline>
              <xm:f>'Common Size'!K82:K82</xm:f>
              <xm:sqref>K82</xm:sqref>
            </x14:sparkline>
            <x14:sparkline>
              <xm:f>'Common Size'!K83:K83</xm:f>
              <xm:sqref>K83</xm:sqref>
            </x14:sparkline>
            <x14:sparkline>
              <xm:f>'Common Size'!K84:K84</xm:f>
              <xm:sqref>K84</xm:sqref>
            </x14:sparkline>
            <x14:sparkline>
              <xm:f>'Common Size'!K85:K85</xm:f>
              <xm:sqref>K85</xm:sqref>
            </x14:sparkline>
            <x14:sparkline>
              <xm:f>'Common Size'!K86:K86</xm:f>
              <xm:sqref>K86</xm:sqref>
            </x14:sparkline>
            <x14:sparkline>
              <xm:f>'Common Size'!K87:K87</xm:f>
              <xm:sqref>K87</xm:sqref>
            </x14:sparkline>
            <x14:sparkline>
              <xm:f>'Common Size'!K88:K88</xm:f>
              <xm:sqref>K88</xm:sqref>
            </x14:sparkline>
            <x14:sparkline>
              <xm:f>'Common Size'!K89:K89</xm:f>
              <xm:sqref>K89</xm:sqref>
            </x14:sparkline>
            <x14:sparkline>
              <xm:f>'Common Size'!K90:K90</xm:f>
              <xm:sqref>K90</xm:sqref>
            </x14:sparkline>
            <x14:sparkline>
              <xm:f>'Common Size'!K91:K91</xm:f>
              <xm:sqref>K91</xm:sqref>
            </x14:sparkline>
            <x14:sparkline>
              <xm:f>'Common Size'!K92:K92</xm:f>
              <xm:sqref>K92</xm:sqref>
            </x14:sparkline>
            <x14:sparkline>
              <xm:f>'Common Size'!K93:K93</xm:f>
              <xm:sqref>K93</xm:sqref>
            </x14:sparkline>
            <x14:sparkline>
              <xm:f>'Common Size'!K94:K94</xm:f>
              <xm:sqref>K94</xm:sqref>
            </x14:sparkline>
            <x14:sparkline>
              <xm:f>'Common Size'!K95:K95</xm:f>
              <xm:sqref>K95</xm:sqref>
            </x14:sparkline>
            <x14:sparkline>
              <xm:f>'Common Size'!K96:K96</xm:f>
              <xm:sqref>K96</xm:sqref>
            </x14:sparkline>
            <x14:sparkline>
              <xm:f>'Common Size'!K97:K97</xm:f>
              <xm:sqref>K97</xm:sqref>
            </x14:sparkline>
            <x14:sparkline>
              <xm:f>'Common Size'!K98:K98</xm:f>
              <xm:sqref>K98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4"/>
  <sheetViews>
    <sheetView workbookViewId="0">
      <pane xSplit="2" ySplit="3" topLeftCell="C16" activePane="bottomRight" state="frozen"/>
      <selection pane="topRight"/>
      <selection pane="bottomLeft"/>
      <selection pane="bottomRight" activeCell="C23" sqref="C23"/>
    </sheetView>
  </sheetViews>
  <sheetFormatPr defaultColWidth="9" defaultRowHeight="14.4"/>
  <cols>
    <col min="1" max="1" width="2.33203125" customWidth="1"/>
    <col min="2" max="2" width="32.6640625" customWidth="1"/>
    <col min="3" max="4" width="13.109375" customWidth="1"/>
    <col min="9" max="9" width="9.33203125" customWidth="1"/>
  </cols>
  <sheetData>
    <row r="1" spans="1:11" s="97" customFormat="1" ht="18">
      <c r="A1" s="98" t="s">
        <v>87</v>
      </c>
    </row>
    <row r="2" spans="1:11">
      <c r="B2" t="s">
        <v>88</v>
      </c>
      <c r="D2" s="83">
        <v>360</v>
      </c>
    </row>
    <row r="3" spans="1:11">
      <c r="C3" s="99">
        <f>FS!C2</f>
        <v>2017</v>
      </c>
      <c r="D3" s="99">
        <f>FS!D2</f>
        <v>2018</v>
      </c>
      <c r="E3" s="99">
        <f>FS!E2</f>
        <v>2019</v>
      </c>
      <c r="F3" s="99">
        <f>FS!F2</f>
        <v>2020</v>
      </c>
      <c r="G3" s="99">
        <f>FS!G2</f>
        <v>2021</v>
      </c>
      <c r="H3" s="99">
        <f>FS!H2</f>
        <v>2022</v>
      </c>
      <c r="I3" s="99">
        <f>FS!I2</f>
        <v>2023</v>
      </c>
      <c r="J3" s="99">
        <f>FS!J2</f>
        <v>2024</v>
      </c>
      <c r="K3" s="104" t="s">
        <v>89</v>
      </c>
    </row>
    <row r="4" spans="1:11">
      <c r="A4" s="88" t="s">
        <v>90</v>
      </c>
    </row>
    <row r="5" spans="1:11">
      <c r="B5" t="s">
        <v>91</v>
      </c>
      <c r="C5" s="3">
        <f>FS!C5/FS!C3</f>
        <v>0.30229868088543072</v>
      </c>
      <c r="D5" s="3">
        <f>FS!D5/FS!D3</f>
        <v>0.30239720826636629</v>
      </c>
      <c r="E5" s="3">
        <f>FS!E5/FS!E3</f>
        <v>-4.6188004440577274E-2</v>
      </c>
      <c r="F5" s="3">
        <f>FS!F5/FS!F3</f>
        <v>0.16589630467323721</v>
      </c>
      <c r="G5" s="3">
        <f>FS!G5/FS!G3</f>
        <v>0.18417876229806876</v>
      </c>
      <c r="H5" s="3">
        <f>FS!H5/FS!H3</f>
        <v>0.24640802436193243</v>
      </c>
      <c r="I5" s="3">
        <f>FS!I5/FS!I3</f>
        <v>0.37084015125321257</v>
      </c>
      <c r="J5" s="3">
        <f>FS!J5/FS!J3</f>
        <v>0.37373187179644202</v>
      </c>
      <c r="K5" s="3">
        <f>AVERAGE(C5:J5)</f>
        <v>0.23744537488676409</v>
      </c>
    </row>
    <row r="6" spans="1:11">
      <c r="B6" t="s">
        <v>92</v>
      </c>
      <c r="C6" s="3">
        <f>FS!C12/FS!C3</f>
        <v>0.13416411209434403</v>
      </c>
      <c r="D6" s="3">
        <f>FS!D12/FS!D3</f>
        <v>0.10371398018198155</v>
      </c>
      <c r="E6" s="3">
        <f>FS!E12/FS!E3</f>
        <v>-0.48701131147049115</v>
      </c>
      <c r="F6" s="3">
        <f>FS!F12/FS!F3</f>
        <v>-0.10218309411566169</v>
      </c>
      <c r="G6" s="3">
        <f>FS!G12/FS!G3</f>
        <v>-8.3226421110166399E-2</v>
      </c>
      <c r="H6" s="3">
        <f>FS!H12/FS!H3</f>
        <v>5.137954351464899E-2</v>
      </c>
      <c r="I6" s="3">
        <f>FS!I12/FS!I3</f>
        <v>0.24629409808555011</v>
      </c>
      <c r="J6" s="3">
        <f>FS!J12/FS!J3</f>
        <v>0.10300053394871729</v>
      </c>
      <c r="K6" s="3">
        <f t="shared" ref="K6:K11" si="0">AVERAGE(C6:J6)</f>
        <v>-4.2335698588846591E-3</v>
      </c>
    </row>
    <row r="7" spans="1:11">
      <c r="B7" t="s">
        <v>93</v>
      </c>
      <c r="C7" s="3">
        <f>FS!C17/FS!C3</f>
        <v>0.1010690125311542</v>
      </c>
      <c r="D7" s="3">
        <f>FS!D17/FS!D3</f>
        <v>4.9513408167655877E-3</v>
      </c>
      <c r="E7" s="3">
        <f>FS!E17/FS!E3</f>
        <v>-0.35109664256353323</v>
      </c>
      <c r="F7" s="3">
        <f>FS!F17/FS!F3</f>
        <v>-0.16428983144085088</v>
      </c>
      <c r="G7" s="3">
        <f>FS!G17/FS!G3</f>
        <v>-8.7779363536985303E-2</v>
      </c>
      <c r="H7" s="3">
        <f>FS!H17/FS!H3</f>
        <v>2.3880521380826223E-2</v>
      </c>
      <c r="I7" s="3">
        <f>FS!I17/FS!I3</f>
        <v>0.19706302731058661</v>
      </c>
      <c r="J7" s="3">
        <f>FS!J17/FS!J3</f>
        <v>6.9731338922068203E-2</v>
      </c>
      <c r="K7" s="3">
        <f t="shared" si="0"/>
        <v>-2.5808824572496069E-2</v>
      </c>
    </row>
    <row r="8" spans="1:11">
      <c r="B8" t="s">
        <v>94</v>
      </c>
      <c r="C8" s="3">
        <f>FS!C17/FS!C39</f>
        <v>0.12417445708883962</v>
      </c>
      <c r="D8" s="3">
        <f>FS!D17/FS!D39</f>
        <v>4.3083869014026348E-3</v>
      </c>
      <c r="E8" s="3">
        <f>FS!E17/FS!E39</f>
        <v>-0.23921100456070274</v>
      </c>
      <c r="F8" s="3">
        <f>FS!F17/FS!F39</f>
        <v>-0.22328659809782528</v>
      </c>
      <c r="G8" s="3">
        <f>FS!G17/FS!G39</f>
        <v>-0.12090730143958425</v>
      </c>
      <c r="H8" s="3">
        <f>FS!H17/FS!H39</f>
        <v>3.6623809361900551E-2</v>
      </c>
      <c r="I8" s="3">
        <f>FS!I17/FS!I39</f>
        <v>0.39507791751935523</v>
      </c>
      <c r="J8" s="3">
        <f>FS!J17/FS!J39</f>
        <v>0.14395436469651504</v>
      </c>
      <c r="K8" s="3">
        <f t="shared" si="0"/>
        <v>1.5091753933737597E-2</v>
      </c>
    </row>
    <row r="9" spans="1:11">
      <c r="B9" t="s">
        <v>95</v>
      </c>
      <c r="C9" s="3">
        <f>FS!C12/FS!C39</f>
        <v>0.16483544622528173</v>
      </c>
      <c r="D9" s="3">
        <f>FS!D12/FS!D39</f>
        <v>9.0246252529284643E-2</v>
      </c>
      <c r="E9" s="3">
        <f>FS!E12/FS!E39</f>
        <v>-0.33181309909051698</v>
      </c>
      <c r="F9" s="3">
        <f>FS!F12/FS!F39</f>
        <v>-0.1388772224555509</v>
      </c>
      <c r="G9" s="3">
        <f>FS!G12/FS!G39</f>
        <v>-0.11463607822429492</v>
      </c>
      <c r="H9" s="3">
        <f>FS!H12/FS!H39</f>
        <v>7.8797048723266802E-2</v>
      </c>
      <c r="I9" s="3">
        <f>FS!I12/FS!I39</f>
        <v>0.49377785725166068</v>
      </c>
      <c r="J9" s="3">
        <f>FS!J12/FS!J39</f>
        <v>0.21263576258818884</v>
      </c>
      <c r="K9" s="3">
        <f t="shared" si="0"/>
        <v>5.6870745943414992E-2</v>
      </c>
    </row>
    <row r="10" spans="1:11">
      <c r="B10" t="s">
        <v>96</v>
      </c>
      <c r="C10" s="3">
        <f>FS!C17/FS!C46</f>
        <v>0.48253273298672439</v>
      </c>
      <c r="D10" s="3">
        <f>FS!D17/FS!D46</f>
        <v>1.060510061292738E-2</v>
      </c>
      <c r="E10" s="3">
        <f>FS!E17/FS!E46</f>
        <v>-1.3774484414728316</v>
      </c>
      <c r="F10" s="3">
        <f>FS!F17/FS!F46</f>
        <v>-2.1541423604126555</v>
      </c>
      <c r="G10" s="3">
        <f>FS!G17/FS!G46</f>
        <v>-1.2577364442268995</v>
      </c>
      <c r="H10" s="3">
        <f>FS!H17/FS!H46</f>
        <v>0.28550872808512251</v>
      </c>
      <c r="I10" s="3">
        <f>FS!I17/FS!I46</f>
        <v>0.77363213113903695</v>
      </c>
      <c r="J10" s="3">
        <f>FS!J17/FS!J46</f>
        <v>0.27885854714808639</v>
      </c>
      <c r="K10" s="3">
        <f t="shared" si="0"/>
        <v>-0.36977375076756108</v>
      </c>
    </row>
    <row r="11" spans="1:11">
      <c r="B11" t="s">
        <v>97</v>
      </c>
      <c r="C11" s="3">
        <f>FS!C12/FS!C46</f>
        <v>0.64053832184880222</v>
      </c>
      <c r="D11" s="3">
        <f>FS!D12/FS!D46</f>
        <v>0.22214128162471497</v>
      </c>
      <c r="E11" s="3">
        <f>FS!E12/FS!E46</f>
        <v>-1.9106789716545813</v>
      </c>
      <c r="F11" s="3">
        <f>FS!F12/FS!F46</f>
        <v>-1.3398086151900916</v>
      </c>
      <c r="G11" s="3">
        <f>FS!G12/FS!G46</f>
        <v>-1.192500135965628</v>
      </c>
      <c r="H11" s="3">
        <f>FS!H12/FS!H46</f>
        <v>0.61427922299216176</v>
      </c>
      <c r="I11" s="3">
        <f>FS!I12/FS!I46</f>
        <v>0.96690399304880104</v>
      </c>
      <c r="J11" s="3">
        <f>FS!J12/FS!J46</f>
        <v>0.41190345254257676</v>
      </c>
      <c r="K11" s="3">
        <f t="shared" si="0"/>
        <v>-0.19840268134415551</v>
      </c>
    </row>
    <row r="12" spans="1:11">
      <c r="K12" s="3"/>
    </row>
    <row r="14" spans="1:11">
      <c r="A14" s="88" t="s">
        <v>98</v>
      </c>
    </row>
    <row r="15" spans="1:11">
      <c r="B15" t="s">
        <v>99</v>
      </c>
      <c r="C15" s="100">
        <f>FS!C37/FS!C61</f>
        <v>1.059249132903118</v>
      </c>
      <c r="D15" s="100">
        <f>FS!D37/FS!D61</f>
        <v>1.3917168984258856</v>
      </c>
      <c r="E15" s="100">
        <f>FS!E37/FS!E61</f>
        <v>0.72442441314553996</v>
      </c>
      <c r="F15" s="100">
        <f>FS!F37/FS!F61</f>
        <v>0.552082842863581</v>
      </c>
      <c r="G15" s="100">
        <f>FS!G37/FS!G61</f>
        <v>0.63428502829904165</v>
      </c>
      <c r="H15" s="100">
        <f>FS!H37/FS!H61</f>
        <v>0.66829494020505253</v>
      </c>
      <c r="I15" s="100">
        <f>FS!I37/FS!I61</f>
        <v>1.3705429328300625</v>
      </c>
      <c r="J15" s="100">
        <f>FS!J37/FS!J61</f>
        <v>1.4837172318787732</v>
      </c>
      <c r="K15" s="100">
        <f>AVERAGE(C15:J15)</f>
        <v>0.98553917756888187</v>
      </c>
    </row>
    <row r="16" spans="1:11">
      <c r="B16" t="s">
        <v>100</v>
      </c>
      <c r="C16" s="100">
        <f>(FS!C37-FS!C31)/FS!C61</f>
        <v>0.89920782267644894</v>
      </c>
      <c r="D16" s="100">
        <f>(FS!D37-FS!D31)/FS!D61</f>
        <v>1.2639999617585338</v>
      </c>
      <c r="E16" s="100">
        <f>(FS!E37-FS!E31)/FS!E61</f>
        <v>0.43482441314553988</v>
      </c>
      <c r="F16" s="100">
        <f>(FS!F37-FS!F31)/FS!F61</f>
        <v>0.22577976282564388</v>
      </c>
      <c r="G16" s="100">
        <f>(FS!G37-FS!G31)/FS!G61</f>
        <v>0.36600191490669953</v>
      </c>
      <c r="H16" s="100">
        <f>(FS!H37-FS!H31)/FS!H61</f>
        <v>0.29748817838705477</v>
      </c>
      <c r="I16" s="100">
        <f>(FS!I37-FS!I31)/FS!I61</f>
        <v>0.87075672461161158</v>
      </c>
      <c r="J16" s="100">
        <f>(FS!J37-FS!J31)/FS!J61</f>
        <v>0.83038572181029946</v>
      </c>
      <c r="K16" s="100">
        <f>AVERAGE(C16:J16)</f>
        <v>0.64855556251522894</v>
      </c>
    </row>
    <row r="17" spans="1:11">
      <c r="B17" t="s">
        <v>101</v>
      </c>
      <c r="C17" s="100">
        <f>FS!C36/FS!C61</f>
        <v>0.1588026003951932</v>
      </c>
      <c r="D17" s="100">
        <f>FS!D36/FS!D61</f>
        <v>1.8989278048920397E-2</v>
      </c>
      <c r="E17" s="100">
        <f>FS!E36/FS!E61</f>
        <v>2.968888888888889E-2</v>
      </c>
      <c r="F17" s="100">
        <f>FS!F36/FS!F61</f>
        <v>2.0001076230770784E-2</v>
      </c>
      <c r="G17" s="100">
        <f>FS!G36/FS!G61</f>
        <v>7.7190650336279865E-2</v>
      </c>
      <c r="H17" s="100">
        <f>FS!H36/FS!H61</f>
        <v>0.12292742180382629</v>
      </c>
      <c r="I17" s="100">
        <f>FS!I36/FS!I61</f>
        <v>0.53431726700381876</v>
      </c>
      <c r="J17" s="100">
        <f>FS!J36/FS!J61</f>
        <v>0.49142052591061952</v>
      </c>
      <c r="K17" s="100">
        <f>AVERAGE(C17:J17)</f>
        <v>0.18166721357728971</v>
      </c>
    </row>
    <row r="20" spans="1:11">
      <c r="A20" s="88" t="s">
        <v>102</v>
      </c>
    </row>
    <row r="21" spans="1:11">
      <c r="B21" t="s">
        <v>103</v>
      </c>
      <c r="C21" s="6">
        <f>FS!C3/FS!C32</f>
        <v>6.1292674877843663</v>
      </c>
      <c r="D21" s="6">
        <f>FS!D3/AVERAGE(FS!C32,FS!D32)</f>
        <v>3.4714743079314001</v>
      </c>
      <c r="E21" s="6">
        <f>FS!E3/AVERAGE(FS!D32,FS!E32)</f>
        <v>1.7332809814419479</v>
      </c>
      <c r="F21" s="6">
        <f>FS!F3/AVERAGE(FS!E32,FS!F32)</f>
        <v>6.5203672609052914</v>
      </c>
      <c r="G21" s="6">
        <f>FS!G3/AVERAGE(FS!F32,FS!G32)</f>
        <v>21.001713898521263</v>
      </c>
      <c r="H21" s="6">
        <f>FS!H3/AVERAGE(FS!G32,FS!H32)</f>
        <v>21.668222214596987</v>
      </c>
      <c r="I21" s="6">
        <f>FS!I3/AVERAGE(FS!H32,FS!I32)</f>
        <v>24.042199454636911</v>
      </c>
      <c r="J21" s="6">
        <f>FS!J3/AVERAGE(FS!I32,FS!J32)</f>
        <v>20.463011409853365</v>
      </c>
      <c r="K21" s="6">
        <f t="shared" ref="K21:K28" si="1">AVERAGE(C21:J21)</f>
        <v>13.128692126958942</v>
      </c>
    </row>
    <row r="22" spans="1:11" s="9" customFormat="1">
      <c r="B22" s="2" t="s">
        <v>104</v>
      </c>
      <c r="C22" s="101">
        <f>$D$2/C21</f>
        <v>58.734587896103442</v>
      </c>
      <c r="D22" s="101">
        <f t="shared" ref="D22:J22" si="2">$D$2/D21</f>
        <v>103.70233741252103</v>
      </c>
      <c r="E22" s="101">
        <f t="shared" si="2"/>
        <v>207.69858081550603</v>
      </c>
      <c r="F22" s="101">
        <f t="shared" si="2"/>
        <v>55.211613946729955</v>
      </c>
      <c r="G22" s="101">
        <f t="shared" si="2"/>
        <v>17.141458156200656</v>
      </c>
      <c r="H22" s="101">
        <f t="shared" si="2"/>
        <v>16.614191807460919</v>
      </c>
      <c r="I22" s="101">
        <f t="shared" si="2"/>
        <v>14.973671634296688</v>
      </c>
      <c r="J22" s="101">
        <f t="shared" si="2"/>
        <v>17.592718529524571</v>
      </c>
      <c r="K22" s="101">
        <f t="shared" si="1"/>
        <v>61.458645024792915</v>
      </c>
    </row>
    <row r="23" spans="1:11">
      <c r="B23" t="s">
        <v>105</v>
      </c>
      <c r="C23" s="6">
        <f>-FS!C4/FS!C31</f>
        <v>7.4921108582938567</v>
      </c>
      <c r="D23" s="6">
        <f>-FS!D4/AVERAGE(FS!C31,FS!D31)</f>
        <v>8.238664599174248</v>
      </c>
      <c r="E23" s="6">
        <f>-FS!E4/AVERAGE(FS!D31,FS!E31)</f>
        <v>4.1241195777521513</v>
      </c>
      <c r="F23" s="6">
        <f>-FS!F4/AVERAGE(FS!E31,FS!F31)</f>
        <v>3.5789354899379351</v>
      </c>
      <c r="G23" s="6">
        <f>-FS!G4/AVERAGE(FS!F31,FS!G31)</f>
        <v>4.5573342945591788</v>
      </c>
      <c r="H23" s="6">
        <f>-FS!H4/AVERAGE(FS!G31,FS!H31)</f>
        <v>4.3293137250442371</v>
      </c>
      <c r="I23" s="6">
        <f>-FS!I4/AVERAGE(FS!H31,FS!I31)</f>
        <v>4.9705223507305254</v>
      </c>
      <c r="J23" s="6">
        <f>-FS!J4/AVERAGE(FS!I31,FS!J31)</f>
        <v>5.0538038059733843</v>
      </c>
      <c r="K23" s="6">
        <f t="shared" si="1"/>
        <v>5.29310058768319</v>
      </c>
    </row>
    <row r="24" spans="1:11" s="9" customFormat="1">
      <c r="B24" s="2" t="s">
        <v>106</v>
      </c>
      <c r="C24" s="101">
        <f>$D$2/C23</f>
        <v>48.050543673079218</v>
      </c>
      <c r="D24" s="101">
        <f t="shared" ref="D24:J24" si="3">$D$2/D23</f>
        <v>43.696401967387089</v>
      </c>
      <c r="E24" s="101">
        <f t="shared" si="3"/>
        <v>87.291358364593719</v>
      </c>
      <c r="F24" s="101">
        <f t="shared" si="3"/>
        <v>100.58856914636453</v>
      </c>
      <c r="G24" s="101">
        <f t="shared" si="3"/>
        <v>78.993546826220268</v>
      </c>
      <c r="H24" s="101">
        <f t="shared" si="3"/>
        <v>83.154056939202647</v>
      </c>
      <c r="I24" s="101">
        <f t="shared" si="3"/>
        <v>72.426995514282368</v>
      </c>
      <c r="J24" s="101">
        <f t="shared" si="3"/>
        <v>71.233473601506873</v>
      </c>
      <c r="K24" s="101">
        <f t="shared" si="1"/>
        <v>73.179368254079577</v>
      </c>
    </row>
    <row r="25" spans="1:11">
      <c r="B25" t="s">
        <v>107</v>
      </c>
      <c r="C25" s="6">
        <f>-FS!C4/FS!C55</f>
        <v>5.4278803929251849</v>
      </c>
      <c r="D25" s="6">
        <f>-FS!D4/AVERAGE(FS!C55,FS!D55)</f>
        <v>6.131474851402551</v>
      </c>
      <c r="E25" s="6">
        <f>-FS!E4/AVERAGE(FS!D55,FS!E55)</f>
        <v>4.4432211327102094</v>
      </c>
      <c r="F25" s="6">
        <f>-FS!F4/AVERAGE(FS!E55,FS!F55)</f>
        <v>4.0031765900042604</v>
      </c>
      <c r="G25" s="6">
        <f>-FS!G4/AVERAGE(FS!F55,FS!G55)</f>
        <v>4.4051320414416448</v>
      </c>
      <c r="H25" s="6">
        <f>-FS!H4/AVERAGE(FS!G55,FS!H55)</f>
        <v>5.3852229904828723</v>
      </c>
      <c r="I25" s="6">
        <f>-FS!I4/AVERAGE(FS!H55,FS!I55)</f>
        <v>5.6707060481549849</v>
      </c>
      <c r="J25" s="6">
        <f>-FS!J4/AVERAGE(FS!I55,FS!J55)</f>
        <v>5.2709336443823549</v>
      </c>
      <c r="K25" s="6">
        <f t="shared" si="1"/>
        <v>5.0922184614380077</v>
      </c>
    </row>
    <row r="26" spans="1:11" s="9" customFormat="1">
      <c r="B26" s="2" t="s">
        <v>108</v>
      </c>
      <c r="C26" s="101">
        <f>$D$2/C25</f>
        <v>66.324232285816706</v>
      </c>
      <c r="D26" s="101">
        <f>$D$2/D25</f>
        <v>58.713443131492483</v>
      </c>
      <c r="E26" s="101">
        <f t="shared" ref="E26:J26" si="4">$D$2/E25</f>
        <v>81.022300994596819</v>
      </c>
      <c r="F26" s="101">
        <f t="shared" si="4"/>
        <v>89.928583440186657</v>
      </c>
      <c r="G26" s="101">
        <f t="shared" si="4"/>
        <v>81.722862473421941</v>
      </c>
      <c r="H26" s="101">
        <f t="shared" si="4"/>
        <v>66.849599475493619</v>
      </c>
      <c r="I26" s="101">
        <f t="shared" si="4"/>
        <v>63.484158223494802</v>
      </c>
      <c r="J26" s="101">
        <f t="shared" si="4"/>
        <v>68.299095433250258</v>
      </c>
      <c r="K26" s="101">
        <f t="shared" si="1"/>
        <v>72.043034432219159</v>
      </c>
    </row>
    <row r="27" spans="1:11" s="9" customFormat="1">
      <c r="B27" s="2"/>
      <c r="C27" s="101"/>
      <c r="D27" s="101"/>
      <c r="E27" s="101"/>
      <c r="F27" s="101"/>
      <c r="G27" s="101"/>
      <c r="H27" s="101"/>
      <c r="I27" s="101"/>
      <c r="J27" s="101"/>
      <c r="K27" s="101"/>
    </row>
    <row r="28" spans="1:11">
      <c r="B28" t="s">
        <v>109</v>
      </c>
      <c r="C28" s="101">
        <f>C22+C24-C26</f>
        <v>40.460899283365947</v>
      </c>
      <c r="D28" s="101">
        <f t="shared" ref="D28:J28" si="5">D22+D24-D26</f>
        <v>88.685296248415654</v>
      </c>
      <c r="E28" s="101">
        <f t="shared" si="5"/>
        <v>213.96763818550295</v>
      </c>
      <c r="F28" s="101">
        <f t="shared" si="5"/>
        <v>65.871599652907832</v>
      </c>
      <c r="G28" s="101">
        <f t="shared" si="5"/>
        <v>14.412142508998983</v>
      </c>
      <c r="H28" s="101">
        <f t="shared" si="5"/>
        <v>32.918649271169954</v>
      </c>
      <c r="I28" s="101">
        <f t="shared" si="5"/>
        <v>23.916508925084258</v>
      </c>
      <c r="J28" s="101">
        <f t="shared" si="5"/>
        <v>20.52709669778119</v>
      </c>
      <c r="K28" s="101">
        <f t="shared" si="1"/>
        <v>62.594978846653341</v>
      </c>
    </row>
    <row r="31" spans="1:11">
      <c r="A31" s="88" t="s">
        <v>110</v>
      </c>
    </row>
    <row r="32" spans="1:11">
      <c r="B32" t="s">
        <v>111</v>
      </c>
      <c r="C32" s="100">
        <f>-FS!C12/FS!C14</f>
        <v>38.546407185628745</v>
      </c>
      <c r="D32" s="100">
        <f>-FS!D12/FS!D14</f>
        <v>19.420319905213269</v>
      </c>
      <c r="E32" s="100">
        <f>-FS!E12/FS!E14</f>
        <v>-13.989140739463931</v>
      </c>
      <c r="F32" s="100">
        <f>-FS!F12/FS!F14</f>
        <v>-8.3138373751783163</v>
      </c>
      <c r="G32" s="100">
        <f>-FS!G12/FS!G14</f>
        <v>-15.007871321013004</v>
      </c>
      <c r="H32" s="100">
        <f>-FS!H12/FS!H14</f>
        <v>1.7582506909445619</v>
      </c>
      <c r="I32" s="100">
        <f>-FS!I12/FS!I14</f>
        <v>22.369336933693369</v>
      </c>
      <c r="J32" s="100">
        <f>-FS!J12/FS!J14</f>
        <v>17.870083876980427</v>
      </c>
      <c r="K32" s="100">
        <f>AVERAGE(C32:J32)</f>
        <v>7.8316936446006391</v>
      </c>
    </row>
    <row r="33" spans="1:11">
      <c r="B33" t="s">
        <v>112</v>
      </c>
      <c r="C33" s="100">
        <f>FS!C62/FS!C46</f>
        <v>2.8859258522185463</v>
      </c>
      <c r="D33" s="100">
        <f>FS!D62/FS!D46</f>
        <v>1.4615014518484386</v>
      </c>
      <c r="E33" s="100">
        <f>FS!E62/FS!E46</f>
        <v>4.7582988040305114</v>
      </c>
      <c r="F33" s="100">
        <f>FS!F62/FS!F46</f>
        <v>8.647432397482687</v>
      </c>
      <c r="G33" s="100">
        <f>FS!G62/FS!G46</f>
        <v>9.4024854516778156</v>
      </c>
      <c r="H33" s="100">
        <f>FS!H62/FS!H46</f>
        <v>6.7957135824908175</v>
      </c>
      <c r="I33" s="100">
        <f>FS!I62/FS!I46</f>
        <v>0.95817608839435087</v>
      </c>
      <c r="J33" s="100">
        <f>FS!J62/FS!J46</f>
        <v>0.93713158844455136</v>
      </c>
      <c r="K33" s="100">
        <f>AVERAGE(C33:J33)</f>
        <v>4.4808331520734646</v>
      </c>
    </row>
    <row r="34" spans="1:11">
      <c r="B34" t="s">
        <v>113</v>
      </c>
      <c r="C34" s="100">
        <f>FS!C52/FS!C46</f>
        <v>0.10786337968606184</v>
      </c>
      <c r="D34" s="100">
        <f>FS!D52/FS!D46</f>
        <v>4.3894274262132334E-2</v>
      </c>
      <c r="E34" s="100">
        <f>FS!E52/FS!E46</f>
        <v>5.7114605895093699E-2</v>
      </c>
      <c r="F34" s="100">
        <f>FS!F52/FS!F46</f>
        <v>0.10310641110376735</v>
      </c>
      <c r="G34" s="100">
        <f>FS!G52/FS!G46</f>
        <v>0.1151900799477892</v>
      </c>
      <c r="H34" s="100">
        <f>FS!H52/FS!H46</f>
        <v>0.24936574652580559</v>
      </c>
      <c r="I34" s="100">
        <f>FS!I52/FS!I46</f>
        <v>7.8603016509097512E-2</v>
      </c>
      <c r="J34" s="100">
        <f>FS!J52/FS!J46</f>
        <v>8.8826926051315536E-2</v>
      </c>
      <c r="K34" s="100">
        <f>AVERAGE(C34:J34)</f>
        <v>0.10549555499763288</v>
      </c>
    </row>
    <row r="37" spans="1:11">
      <c r="B37" s="102" t="s">
        <v>114</v>
      </c>
      <c r="J37" s="3">
        <f>((FS!J3/FS!F3)^(1/5)-1)</f>
        <v>0.15325480305929684</v>
      </c>
    </row>
    <row r="39" spans="1:11">
      <c r="A39" s="8" t="s">
        <v>115</v>
      </c>
    </row>
    <row r="40" spans="1:11">
      <c r="B40" t="s">
        <v>116</v>
      </c>
      <c r="J40">
        <f>_xlfn.STDEV.S(FS!C3:J3)</f>
        <v>206806.50065753321</v>
      </c>
    </row>
    <row r="41" spans="1:11">
      <c r="B41" t="s">
        <v>117</v>
      </c>
      <c r="J41">
        <f>GEOMEAN(FS!C3:J3)</f>
        <v>594331.1054568371</v>
      </c>
    </row>
    <row r="42" spans="1:11">
      <c r="B42" t="s">
        <v>118</v>
      </c>
      <c r="J42" s="3">
        <f>J40/J41</f>
        <v>0.34796513047818661</v>
      </c>
    </row>
    <row r="44" spans="1:11">
      <c r="A44" s="8" t="s">
        <v>119</v>
      </c>
    </row>
    <row r="45" spans="1:11">
      <c r="B45" t="s">
        <v>116</v>
      </c>
      <c r="J45">
        <f>_xlfn.STDEV.S(FS!C17:J17)</f>
        <v>92946.932625077607</v>
      </c>
    </row>
    <row r="46" spans="1:11">
      <c r="B46" t="s">
        <v>117</v>
      </c>
      <c r="J46">
        <f>AVERAGE(FS!C17:J17)</f>
        <v>10254.875</v>
      </c>
    </row>
    <row r="47" spans="1:11">
      <c r="B47" t="s">
        <v>118</v>
      </c>
      <c r="J47" s="3">
        <f>J45/J46</f>
        <v>9.06368265094188</v>
      </c>
    </row>
    <row r="49" spans="1:10">
      <c r="A49" s="88" t="s">
        <v>120</v>
      </c>
    </row>
    <row r="50" spans="1:10">
      <c r="B50" t="s">
        <v>121</v>
      </c>
      <c r="C50" s="103">
        <f>FS!C17/(FS!C19*0.001)</f>
        <v>0.93107200000000001</v>
      </c>
      <c r="D50" s="103">
        <f>FS!D17/(FS!D19*0.001)</f>
        <v>5.008E-2</v>
      </c>
      <c r="E50" s="103">
        <f>FS!E17/(FS!E19*0.001)</f>
        <v>-1.8722719999999999</v>
      </c>
      <c r="F50" s="103">
        <f>FS!F17/(FS!F19*0.001)</f>
        <v>-1.199392</v>
      </c>
      <c r="G50" s="103">
        <f>FS!G17/(FS!G19*0.001)</f>
        <v>-0.74003200000000002</v>
      </c>
      <c r="H50" s="103">
        <f>FS!H17/(FS!H19*0.001)</f>
        <v>0.24127999999999999</v>
      </c>
      <c r="I50" s="103">
        <f>FS!I17/(FS!I19*0.001)</f>
        <v>2.8633920000000002</v>
      </c>
      <c r="J50" s="103">
        <f>FS!J17/(FS!J19*0.001)</f>
        <v>1.0384960000000001</v>
      </c>
    </row>
    <row r="51" spans="1:10">
      <c r="B51" t="s">
        <v>122</v>
      </c>
      <c r="C51" s="100">
        <f>19.52/C50</f>
        <v>20.96508111080561</v>
      </c>
      <c r="D51" s="100">
        <f t="shared" ref="D51:J51" si="6">19.52/D50</f>
        <v>389.77635782747603</v>
      </c>
      <c r="E51" s="100">
        <f t="shared" si="6"/>
        <v>-10.425835562354187</v>
      </c>
      <c r="F51" s="100">
        <f t="shared" si="6"/>
        <v>-16.274912622395348</v>
      </c>
      <c r="G51" s="100">
        <f t="shared" si="6"/>
        <v>-26.377237741070655</v>
      </c>
      <c r="H51" s="100">
        <f t="shared" si="6"/>
        <v>80.901856763925736</v>
      </c>
      <c r="I51" s="100">
        <f t="shared" si="6"/>
        <v>6.8170896614923837</v>
      </c>
      <c r="J51" s="100">
        <f t="shared" si="6"/>
        <v>18.796413274581703</v>
      </c>
    </row>
    <row r="52" spans="1:10">
      <c r="B52" t="s">
        <v>123</v>
      </c>
      <c r="C52" s="3">
        <f>FS!C17/FS!C46</f>
        <v>0.48253273298672439</v>
      </c>
      <c r="D52" s="3">
        <f>FS!D17/FS!D46</f>
        <v>1.060510061292738E-2</v>
      </c>
      <c r="E52" s="3">
        <f>FS!E17/FS!E46</f>
        <v>-1.3774484414728316</v>
      </c>
      <c r="F52" s="3">
        <f>FS!F17/FS!F46</f>
        <v>-2.1541423604126555</v>
      </c>
      <c r="G52" s="3">
        <f>FS!G17/FS!G46</f>
        <v>-1.2577364442268995</v>
      </c>
      <c r="H52" s="3">
        <f>FS!H17/FS!H46</f>
        <v>0.28550872808512251</v>
      </c>
      <c r="I52" s="3">
        <f>FS!I17/FS!I46</f>
        <v>0.77363213113903695</v>
      </c>
      <c r="J52" s="3">
        <f>FS!J17/FS!J46</f>
        <v>0.27885854714808639</v>
      </c>
    </row>
    <row r="53" spans="1:10">
      <c r="B53" t="s">
        <v>124</v>
      </c>
      <c r="C53" s="71">
        <f t="shared" ref="C53:J53" si="7">C54/19.52</f>
        <v>2.4950819672131148E-3</v>
      </c>
      <c r="D53" s="71">
        <f t="shared" si="7"/>
        <v>2.4950819672131148E-3</v>
      </c>
      <c r="E53" s="71">
        <f t="shared" si="7"/>
        <v>2.7727868852459016E-2</v>
      </c>
      <c r="F53" s="71">
        <f t="shared" si="7"/>
        <v>2.7727868852459016E-2</v>
      </c>
      <c r="G53" s="71">
        <f t="shared" si="7"/>
        <v>1.8374590163934425E-2</v>
      </c>
      <c r="H53" s="71">
        <f t="shared" si="7"/>
        <v>1.8374590163934425E-2</v>
      </c>
      <c r="I53" s="71">
        <f t="shared" si="7"/>
        <v>2.6040983606557379E-3</v>
      </c>
      <c r="J53" s="71">
        <f t="shared" si="7"/>
        <v>0</v>
      </c>
    </row>
    <row r="54" spans="1:10">
      <c r="B54" t="s">
        <v>125</v>
      </c>
      <c r="C54" s="100">
        <f>FS!C57/62500</f>
        <v>4.8703999999999997E-2</v>
      </c>
      <c r="D54" s="100">
        <f>FS!D57/62500</f>
        <v>4.8703999999999997E-2</v>
      </c>
      <c r="E54" s="100">
        <f>FS!E57/62500</f>
        <v>0.54124799999999995</v>
      </c>
      <c r="F54" s="100">
        <f>FS!F57/62500</f>
        <v>0.54124799999999995</v>
      </c>
      <c r="G54" s="100">
        <f>FS!G57/62500</f>
        <v>0.35867199999999999</v>
      </c>
      <c r="H54" s="100">
        <f>FS!H57/62500</f>
        <v>0.35867199999999999</v>
      </c>
      <c r="I54" s="100">
        <f>FS!I57/62500</f>
        <v>5.0832000000000002E-2</v>
      </c>
      <c r="J54" s="100">
        <f>FS!J57/62500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26"/>
  <sheetViews>
    <sheetView zoomScale="120" zoomScaleNormal="120" workbookViewId="0">
      <pane xSplit="2" ySplit="1" topLeftCell="C21" activePane="bottomRight" state="frozen"/>
      <selection pane="topRight"/>
      <selection pane="bottomLeft"/>
      <selection pane="bottomRight" activeCell="B8" sqref="B8"/>
    </sheetView>
  </sheetViews>
  <sheetFormatPr defaultColWidth="9.109375" defaultRowHeight="14.4"/>
  <cols>
    <col min="1" max="1" width="2.33203125" style="4" customWidth="1"/>
    <col min="2" max="2" width="46.33203125" style="4" customWidth="1"/>
    <col min="3" max="16384" width="9.109375" style="4"/>
  </cols>
  <sheetData>
    <row r="1" spans="2:10" s="89" customFormat="1">
      <c r="C1" s="89">
        <v>2017</v>
      </c>
      <c r="D1" s="89">
        <f>C1+1</f>
        <v>2018</v>
      </c>
      <c r="E1" s="89">
        <f t="shared" ref="E1:J1" si="0">D1+1</f>
        <v>2019</v>
      </c>
      <c r="F1" s="89">
        <f t="shared" si="0"/>
        <v>2020</v>
      </c>
      <c r="G1" s="89">
        <f t="shared" si="0"/>
        <v>2021</v>
      </c>
      <c r="H1" s="89">
        <f t="shared" si="0"/>
        <v>2022</v>
      </c>
      <c r="I1" s="89">
        <f t="shared" si="0"/>
        <v>2023</v>
      </c>
      <c r="J1" s="89">
        <f t="shared" si="0"/>
        <v>2024</v>
      </c>
    </row>
    <row r="2" spans="2:10">
      <c r="B2" s="4" t="str">
        <f>FS!B3</f>
        <v>Revenue</v>
      </c>
      <c r="C2" s="91">
        <f>FS!C3</f>
        <v>575765</v>
      </c>
      <c r="D2" s="91">
        <f>FS!D3</f>
        <v>632152</v>
      </c>
      <c r="E2" s="91">
        <f>FS!E3</f>
        <v>333290</v>
      </c>
      <c r="F2" s="91">
        <f>FS!F3</f>
        <v>456279</v>
      </c>
      <c r="G2" s="91">
        <f>FS!G3</f>
        <v>526912</v>
      </c>
      <c r="H2" s="91">
        <f>FS!H3</f>
        <v>631477</v>
      </c>
      <c r="I2" s="91">
        <f>FS!I3</f>
        <v>908146</v>
      </c>
      <c r="J2" s="91">
        <f>FS!J3</f>
        <v>930801</v>
      </c>
    </row>
    <row r="3" spans="2:10">
      <c r="B3" s="4" t="s">
        <v>126</v>
      </c>
      <c r="C3" s="4">
        <f>(FS!C4+Adjustment!C26)+FS!C6+FS!C7+FS!C8</f>
        <v>-488813</v>
      </c>
      <c r="D3" s="4">
        <f>(FS!D4+Adjustment!D26)+FS!D6+FS!D7+FS!D8</f>
        <v>-557056</v>
      </c>
      <c r="E3" s="4">
        <f>(FS!E4+Adjustment!E26)+FS!E6+FS!E7+FS!E8</f>
        <v>-484564</v>
      </c>
      <c r="F3" s="4">
        <f>(FS!F4+Adjustment!F26)+FS!F6+FS!F7+FS!F8</f>
        <v>-488792</v>
      </c>
      <c r="G3" s="4">
        <f>(FS!G4+Adjustment!G26)+FS!G6+FS!G7+FS!G8</f>
        <v>-557427</v>
      </c>
      <c r="H3" s="4">
        <f>(FS!H4+Adjustment!H26)+FS!H6+FS!H7+FS!H8</f>
        <v>-586954</v>
      </c>
      <c r="I3" s="4">
        <f>(FS!I4+Adjustment!I26)+FS!I6+FS!I7+FS!I8</f>
        <v>-653747</v>
      </c>
      <c r="J3" s="4">
        <f>(FS!J4+Adjustment!J26)+FS!J6+FS!J7+FS!J8</f>
        <v>-806639</v>
      </c>
    </row>
    <row r="4" spans="2:10" s="90" customFormat="1">
      <c r="B4" s="92" t="s">
        <v>127</v>
      </c>
      <c r="C4" s="92">
        <f>SUM(C2:C3)</f>
        <v>86952</v>
      </c>
      <c r="D4" s="92">
        <f t="shared" ref="D4:J4" si="1">SUM(D2:D3)</f>
        <v>75096</v>
      </c>
      <c r="E4" s="92">
        <f t="shared" si="1"/>
        <v>-151274</v>
      </c>
      <c r="F4" s="92">
        <f t="shared" si="1"/>
        <v>-32513</v>
      </c>
      <c r="G4" s="92">
        <f t="shared" si="1"/>
        <v>-30515</v>
      </c>
      <c r="H4" s="92">
        <f t="shared" si="1"/>
        <v>44523</v>
      </c>
      <c r="I4" s="92">
        <f t="shared" si="1"/>
        <v>254399</v>
      </c>
      <c r="J4" s="92">
        <f t="shared" si="1"/>
        <v>124162</v>
      </c>
    </row>
    <row r="5" spans="2:10">
      <c r="B5" s="4" t="s">
        <v>128</v>
      </c>
      <c r="C5" s="4">
        <f>C22+C23</f>
        <v>9705</v>
      </c>
      <c r="D5" s="4">
        <f t="shared" ref="D5:J5" si="2">D22+D23</f>
        <v>9533</v>
      </c>
      <c r="E5" s="4">
        <f t="shared" si="2"/>
        <v>11042</v>
      </c>
      <c r="F5" s="4">
        <f t="shared" si="2"/>
        <v>13221</v>
      </c>
      <c r="G5" s="4">
        <f t="shared" si="2"/>
        <v>13332</v>
      </c>
      <c r="H5" s="4">
        <f t="shared" si="2"/>
        <v>14595</v>
      </c>
      <c r="I5" s="4">
        <f t="shared" si="2"/>
        <v>19084</v>
      </c>
      <c r="J5" s="4">
        <f t="shared" si="2"/>
        <v>19914</v>
      </c>
    </row>
    <row r="6" spans="2:10">
      <c r="B6" s="92" t="s">
        <v>129</v>
      </c>
      <c r="C6" s="92">
        <f>C4-C5</f>
        <v>77247</v>
      </c>
      <c r="D6" s="92">
        <f t="shared" ref="D6:J6" si="3">D4-D5</f>
        <v>65563</v>
      </c>
      <c r="E6" s="92">
        <f t="shared" si="3"/>
        <v>-162316</v>
      </c>
      <c r="F6" s="92">
        <f t="shared" si="3"/>
        <v>-45734</v>
      </c>
      <c r="G6" s="92">
        <f t="shared" si="3"/>
        <v>-43847</v>
      </c>
      <c r="H6" s="92">
        <f t="shared" si="3"/>
        <v>29928</v>
      </c>
      <c r="I6" s="92">
        <f t="shared" si="3"/>
        <v>235315</v>
      </c>
      <c r="J6" s="92">
        <f t="shared" si="3"/>
        <v>104248</v>
      </c>
    </row>
    <row r="7" spans="2:10">
      <c r="B7" s="4" t="s">
        <v>130</v>
      </c>
      <c r="C7" s="4">
        <f>FS!C13+FS!C14</f>
        <v>-1844</v>
      </c>
      <c r="D7" s="4">
        <f>FS!D13+FS!D14</f>
        <v>-2936</v>
      </c>
      <c r="E7" s="4">
        <f>FS!E13+FS!E14</f>
        <v>-11032</v>
      </c>
      <c r="F7" s="4">
        <f>FS!F13+FS!F14</f>
        <v>-5508</v>
      </c>
      <c r="G7" s="4">
        <f>FS!G13+FS!G14</f>
        <v>-2348</v>
      </c>
      <c r="H7" s="4">
        <f>FS!H13+FS!H14</f>
        <v>-17365</v>
      </c>
      <c r="I7" s="4">
        <f>FS!I13+FS!I14</f>
        <v>-8450</v>
      </c>
      <c r="J7" s="4">
        <f>FS!J13+FS!J14</f>
        <v>-3626</v>
      </c>
    </row>
    <row r="8" spans="2:10">
      <c r="B8" s="92" t="s">
        <v>131</v>
      </c>
      <c r="C8" s="92">
        <f>SUM(C6:C7)</f>
        <v>75403</v>
      </c>
      <c r="D8" s="92">
        <f t="shared" ref="D8:I8" si="4">SUM(D6:D7)</f>
        <v>62627</v>
      </c>
      <c r="E8" s="92">
        <f t="shared" si="4"/>
        <v>-173348</v>
      </c>
      <c r="F8" s="92">
        <f t="shared" si="4"/>
        <v>-51242</v>
      </c>
      <c r="G8" s="92">
        <f t="shared" si="4"/>
        <v>-46195</v>
      </c>
      <c r="H8" s="92">
        <f t="shared" si="4"/>
        <v>12563</v>
      </c>
      <c r="I8" s="92">
        <f t="shared" si="4"/>
        <v>226865</v>
      </c>
      <c r="J8" s="92">
        <f t="shared" ref="J8" si="5">SUM(J6:J7)</f>
        <v>100622</v>
      </c>
    </row>
    <row r="9" spans="2:10">
      <c r="B9" s="4" t="s">
        <v>132</v>
      </c>
      <c r="C9" s="91">
        <f>FS!C16</f>
        <v>-17211</v>
      </c>
      <c r="D9" s="91">
        <f>FS!D16</f>
        <v>-59497</v>
      </c>
      <c r="E9" s="91">
        <f>FS!E16</f>
        <v>56331</v>
      </c>
      <c r="F9" s="91">
        <f>FS!F16</f>
        <v>-22830</v>
      </c>
      <c r="G9" s="91">
        <f>FS!G16</f>
        <v>-51</v>
      </c>
      <c r="H9" s="91">
        <f>FS!H16</f>
        <v>0</v>
      </c>
      <c r="I9" s="91">
        <f>FS!I16</f>
        <v>-36259</v>
      </c>
      <c r="J9" s="91">
        <f>FS!J16</f>
        <v>-27341</v>
      </c>
    </row>
    <row r="10" spans="2:10" s="90" customFormat="1">
      <c r="B10" s="93" t="s">
        <v>133</v>
      </c>
      <c r="C10" s="93">
        <f>SUM(C8:C9)</f>
        <v>58192</v>
      </c>
      <c r="D10" s="93">
        <f t="shared" ref="D10:J10" si="6">SUM(D8:D9)</f>
        <v>3130</v>
      </c>
      <c r="E10" s="93">
        <f t="shared" si="6"/>
        <v>-117017</v>
      </c>
      <c r="F10" s="93">
        <f t="shared" si="6"/>
        <v>-74072</v>
      </c>
      <c r="G10" s="93">
        <f t="shared" si="6"/>
        <v>-46246</v>
      </c>
      <c r="H10" s="93">
        <f t="shared" si="6"/>
        <v>12563</v>
      </c>
      <c r="I10" s="93">
        <f t="shared" si="6"/>
        <v>190606</v>
      </c>
      <c r="J10" s="93">
        <f t="shared" si="6"/>
        <v>73281</v>
      </c>
    </row>
    <row r="13" spans="2:10">
      <c r="E13" s="94"/>
    </row>
    <row r="14" spans="2:10">
      <c r="B14"/>
      <c r="C14"/>
      <c r="D14"/>
      <c r="E14"/>
      <c r="F14"/>
      <c r="G14"/>
      <c r="H14"/>
      <c r="I14"/>
      <c r="J14"/>
    </row>
    <row r="21" spans="2:10">
      <c r="B21" s="4" t="s">
        <v>134</v>
      </c>
    </row>
    <row r="22" spans="2:10">
      <c r="B22" s="4" t="s">
        <v>135</v>
      </c>
      <c r="C22" s="95">
        <v>8333</v>
      </c>
      <c r="D22" s="95">
        <v>9526</v>
      </c>
      <c r="E22" s="95">
        <f>8574+2468</f>
        <v>11042</v>
      </c>
      <c r="F22" s="95">
        <f>11425+1796</f>
        <v>13221</v>
      </c>
      <c r="G22" s="95">
        <f>12119+1213</f>
        <v>13332</v>
      </c>
      <c r="H22" s="95">
        <f>12854+1741</f>
        <v>14595</v>
      </c>
      <c r="I22" s="95">
        <f>14012+5072</f>
        <v>19084</v>
      </c>
      <c r="J22" s="4">
        <f>12141+7773</f>
        <v>19914</v>
      </c>
    </row>
    <row r="23" spans="2:10">
      <c r="B23" s="4" t="s">
        <v>136</v>
      </c>
      <c r="C23" s="95">
        <v>1372</v>
      </c>
      <c r="D23" s="95">
        <v>7</v>
      </c>
      <c r="E23" s="95">
        <v>0</v>
      </c>
      <c r="F23" s="95">
        <f>0</f>
        <v>0</v>
      </c>
      <c r="G23" s="95"/>
      <c r="H23" s="95"/>
      <c r="I23" s="95"/>
      <c r="J23" s="4">
        <v>0</v>
      </c>
    </row>
    <row r="24" spans="2:10">
      <c r="B24" s="4" t="s">
        <v>137</v>
      </c>
      <c r="C24" s="95"/>
      <c r="D24" s="95"/>
      <c r="E24" s="95"/>
      <c r="F24" s="95"/>
      <c r="G24" s="95">
        <v>-44</v>
      </c>
      <c r="H24" s="95">
        <v>-75</v>
      </c>
      <c r="I24" s="95">
        <v>-320</v>
      </c>
      <c r="J24" s="4">
        <v>0</v>
      </c>
    </row>
    <row r="25" spans="2:10">
      <c r="B25" s="4" t="s">
        <v>138</v>
      </c>
      <c r="C25" s="95"/>
      <c r="D25" s="95"/>
      <c r="E25" s="95"/>
      <c r="F25" s="95">
        <v>890</v>
      </c>
      <c r="G25" s="95">
        <v>50</v>
      </c>
      <c r="H25" s="95">
        <v>0</v>
      </c>
      <c r="I25" s="95">
        <v>20584</v>
      </c>
      <c r="J25" s="4">
        <v>0</v>
      </c>
    </row>
    <row r="26" spans="2:10">
      <c r="C26" s="96">
        <f>SUM(C22:C25)</f>
        <v>9705</v>
      </c>
      <c r="D26" s="96">
        <f t="shared" ref="D26:J26" si="7">SUM(D22:D25)</f>
        <v>9533</v>
      </c>
      <c r="E26" s="96">
        <f t="shared" si="7"/>
        <v>11042</v>
      </c>
      <c r="F26" s="96">
        <f t="shared" si="7"/>
        <v>14111</v>
      </c>
      <c r="G26" s="96">
        <f t="shared" si="7"/>
        <v>13338</v>
      </c>
      <c r="H26" s="96">
        <f t="shared" si="7"/>
        <v>14520</v>
      </c>
      <c r="I26" s="96">
        <f t="shared" si="7"/>
        <v>39348</v>
      </c>
      <c r="J26" s="96">
        <f t="shared" si="7"/>
        <v>19914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39"/>
  <sheetViews>
    <sheetView workbookViewId="0">
      <selection activeCell="E2" sqref="E2"/>
    </sheetView>
  </sheetViews>
  <sheetFormatPr defaultColWidth="9" defaultRowHeight="14.4"/>
  <cols>
    <col min="1" max="1" width="2.88671875" customWidth="1"/>
    <col min="2" max="2" width="30.44140625" customWidth="1"/>
    <col min="5" max="5" width="11" customWidth="1"/>
    <col min="9" max="9" width="9.44140625" customWidth="1"/>
  </cols>
  <sheetData>
    <row r="1" spans="2:5" s="79" customFormat="1" ht="18">
      <c r="B1" s="82" t="s">
        <v>139</v>
      </c>
    </row>
    <row r="2" spans="2:5">
      <c r="B2" t="s">
        <v>140</v>
      </c>
      <c r="E2" s="83">
        <f>19.52</f>
        <v>19.52</v>
      </c>
    </row>
    <row r="3" spans="2:5">
      <c r="B3" t="s">
        <v>141</v>
      </c>
      <c r="E3" s="84">
        <f>FS!J19*(0.001)</f>
        <v>62500</v>
      </c>
    </row>
    <row r="4" spans="2:5">
      <c r="B4" s="85" t="s">
        <v>142</v>
      </c>
      <c r="C4" s="85"/>
      <c r="D4" s="85"/>
      <c r="E4" s="85">
        <f>Share_Price*E3</f>
        <v>1220000</v>
      </c>
    </row>
    <row r="6" spans="2:5" s="79" customFormat="1" ht="18">
      <c r="B6" s="82" t="s">
        <v>143</v>
      </c>
    </row>
    <row r="7" spans="2:5">
      <c r="B7" t="str">
        <f>B4:E4</f>
        <v>Market Cap</v>
      </c>
      <c r="E7">
        <f t="shared" ref="E7" si="0">E4:H4</f>
        <v>1220000</v>
      </c>
    </row>
    <row r="8" spans="2:5">
      <c r="B8" t="s">
        <v>144</v>
      </c>
      <c r="E8">
        <f>J25</f>
        <v>-79900</v>
      </c>
    </row>
    <row r="9" spans="2:5">
      <c r="B9" s="85" t="s">
        <v>143</v>
      </c>
      <c r="C9" s="85"/>
      <c r="D9" s="85"/>
      <c r="E9" s="85">
        <f>SUM(E7:E8)</f>
        <v>1140100</v>
      </c>
    </row>
    <row r="19" spans="2:10" s="80" customFormat="1">
      <c r="C19" s="80">
        <f>FS!$C$2</f>
        <v>2017</v>
      </c>
      <c r="D19" s="80">
        <f>FS!$D$2</f>
        <v>2018</v>
      </c>
      <c r="E19" s="80">
        <f>FS!E2</f>
        <v>2019</v>
      </c>
      <c r="F19" s="80">
        <f>FS!F2</f>
        <v>2020</v>
      </c>
      <c r="G19" s="80">
        <f>FS!G2</f>
        <v>2021</v>
      </c>
      <c r="H19" s="80">
        <f>FS!H2</f>
        <v>2022</v>
      </c>
      <c r="I19" s="80">
        <f>FS!I2</f>
        <v>2023</v>
      </c>
      <c r="J19" s="80">
        <f>FS!J2</f>
        <v>2024</v>
      </c>
    </row>
    <row r="20" spans="2:10">
      <c r="B20" t="str">
        <f>FS!B51</f>
        <v>Long term lease liability</v>
      </c>
      <c r="C20" s="84">
        <f>FS!C51</f>
        <v>0</v>
      </c>
      <c r="D20" s="84">
        <f>FS!D51</f>
        <v>0</v>
      </c>
      <c r="E20" s="84">
        <f>FS!E51</f>
        <v>1116</v>
      </c>
      <c r="F20" s="84">
        <f>FS!F51</f>
        <v>166</v>
      </c>
      <c r="G20" s="84">
        <f>FS!G51</f>
        <v>0</v>
      </c>
      <c r="H20" s="84">
        <f>FS!H51</f>
        <v>6978</v>
      </c>
      <c r="I20" s="84">
        <f>FS!I51</f>
        <v>11241</v>
      </c>
      <c r="J20" s="84">
        <f>FS!J51</f>
        <v>13218</v>
      </c>
    </row>
    <row r="21" spans="2:10">
      <c r="B21" t="str">
        <f>FS!B54</f>
        <v>Bank overdraft</v>
      </c>
      <c r="C21" s="84">
        <f>FS!C54</f>
        <v>14</v>
      </c>
      <c r="D21" s="84">
        <f>FS!D54</f>
        <v>73508</v>
      </c>
      <c r="E21" s="84">
        <f>FS!E54</f>
        <v>65202</v>
      </c>
      <c r="F21" s="84">
        <f>FS!F54</f>
        <v>6892</v>
      </c>
      <c r="G21" s="84">
        <f>FS!G54</f>
        <v>52055</v>
      </c>
      <c r="H21" s="84">
        <f>FS!H54</f>
        <v>99646</v>
      </c>
      <c r="I21" s="84">
        <f>FS!I54</f>
        <v>0</v>
      </c>
      <c r="J21" s="84">
        <f>FS!J54</f>
        <v>0</v>
      </c>
    </row>
    <row r="22" spans="2:10">
      <c r="B22" t="str">
        <f>FS!B59</f>
        <v>Short term lease liability</v>
      </c>
      <c r="C22" s="84">
        <f>FS!C59</f>
        <v>0</v>
      </c>
      <c r="D22" s="84">
        <f>FS!D59</f>
        <v>26612</v>
      </c>
      <c r="E22" s="84">
        <f>FS!E59</f>
        <v>1796</v>
      </c>
      <c r="F22" s="84">
        <f>FS!F59</f>
        <v>1345</v>
      </c>
      <c r="G22" s="84">
        <f>FS!G59</f>
        <v>176</v>
      </c>
      <c r="H22" s="84">
        <f>FS!H59</f>
        <v>3550</v>
      </c>
      <c r="I22" s="84">
        <f>FS!I59</f>
        <v>5953</v>
      </c>
      <c r="J22" s="84">
        <f>FS!J59</f>
        <v>3912</v>
      </c>
    </row>
    <row r="23" spans="2:10">
      <c r="B23" s="85" t="s">
        <v>145</v>
      </c>
      <c r="C23" s="85">
        <f>SUM(C20:C22)</f>
        <v>14</v>
      </c>
      <c r="D23" s="85">
        <f t="shared" ref="D23:J23" si="1">SUM(D20:D22)</f>
        <v>100120</v>
      </c>
      <c r="E23" s="85">
        <f t="shared" si="1"/>
        <v>68114</v>
      </c>
      <c r="F23" s="85">
        <f t="shared" si="1"/>
        <v>8403</v>
      </c>
      <c r="G23" s="85">
        <f t="shared" si="1"/>
        <v>52231</v>
      </c>
      <c r="H23" s="85">
        <f t="shared" si="1"/>
        <v>110174</v>
      </c>
      <c r="I23" s="85">
        <f t="shared" si="1"/>
        <v>17194</v>
      </c>
      <c r="J23" s="85">
        <f t="shared" si="1"/>
        <v>17130</v>
      </c>
    </row>
    <row r="24" spans="2:10">
      <c r="B24" t="s">
        <v>146</v>
      </c>
      <c r="C24" s="84">
        <f>FS!C36</f>
        <v>53203</v>
      </c>
      <c r="D24" s="84">
        <f>FS!D36</f>
        <v>7945</v>
      </c>
      <c r="E24" s="84">
        <f>FS!E36</f>
        <v>11857</v>
      </c>
      <c r="F24" s="84">
        <f>FS!F36</f>
        <v>5947</v>
      </c>
      <c r="G24" s="84">
        <f>FS!G36</f>
        <v>26363</v>
      </c>
      <c r="H24" s="84">
        <f>FS!H36</f>
        <v>42504</v>
      </c>
      <c r="I24" s="84">
        <f>FS!I36</f>
        <v>108717</v>
      </c>
      <c r="J24" s="84">
        <f>FS!J36</f>
        <v>97030</v>
      </c>
    </row>
    <row r="25" spans="2:10">
      <c r="B25" s="86" t="s">
        <v>144</v>
      </c>
      <c r="C25" s="86">
        <f>C23-C24</f>
        <v>-53189</v>
      </c>
      <c r="D25" s="86">
        <f t="shared" ref="D25:J25" si="2">D23-D24</f>
        <v>92175</v>
      </c>
      <c r="E25" s="86">
        <f t="shared" si="2"/>
        <v>56257</v>
      </c>
      <c r="F25" s="86">
        <f t="shared" si="2"/>
        <v>2456</v>
      </c>
      <c r="G25" s="86">
        <f t="shared" si="2"/>
        <v>25868</v>
      </c>
      <c r="H25" s="86">
        <f t="shared" si="2"/>
        <v>67670</v>
      </c>
      <c r="I25" s="86">
        <f t="shared" si="2"/>
        <v>-91523</v>
      </c>
      <c r="J25" s="86">
        <f t="shared" si="2"/>
        <v>-79900</v>
      </c>
    </row>
    <row r="29" spans="2:10" s="81" customFormat="1" ht="18">
      <c r="B29" s="87" t="s">
        <v>147</v>
      </c>
    </row>
    <row r="30" spans="2:10" s="80" customFormat="1">
      <c r="C30" s="80">
        <f>C19</f>
        <v>2017</v>
      </c>
      <c r="D30" s="80">
        <f t="shared" ref="D30:J30" si="3">D19</f>
        <v>2018</v>
      </c>
      <c r="E30" s="80">
        <f t="shared" si="3"/>
        <v>2019</v>
      </c>
      <c r="F30" s="80">
        <f t="shared" si="3"/>
        <v>2020</v>
      </c>
      <c r="G30" s="80">
        <f t="shared" si="3"/>
        <v>2021</v>
      </c>
      <c r="H30" s="80">
        <f t="shared" si="3"/>
        <v>2022</v>
      </c>
      <c r="I30" s="80">
        <f t="shared" si="3"/>
        <v>2023</v>
      </c>
      <c r="J30" s="80">
        <f t="shared" si="3"/>
        <v>2024</v>
      </c>
    </row>
    <row r="31" spans="2:10">
      <c r="B31" s="88" t="s">
        <v>148</v>
      </c>
    </row>
    <row r="32" spans="2:10">
      <c r="B32" t="s">
        <v>149</v>
      </c>
      <c r="C32" s="6">
        <f>IF(($E$9/FS!C3)&gt;0,$E$9/FS!C3,"NMF")</f>
        <v>1.9801481507212144</v>
      </c>
      <c r="D32" s="6">
        <f>IF(($E$9/FS!D3)&gt;0,$E$9/FS!D3,"NMF")</f>
        <v>1.8035219377618041</v>
      </c>
      <c r="E32" s="6">
        <f>IF(($E$9/FS!E3)&gt;0,$E$9/FS!E3,"NMF")</f>
        <v>3.4207446968105852</v>
      </c>
      <c r="F32" s="6">
        <f>IF(($E$9/FS!F3)&gt;0,$E$9/FS!F3,"NMF")</f>
        <v>2.4986904941932457</v>
      </c>
      <c r="G32" s="6">
        <f>IF(($E$9/FS!G3)&gt;0,$E$9/FS!G3,"NMF")</f>
        <v>2.1637389165553262</v>
      </c>
      <c r="H32" s="6">
        <f>IF(($E$9/FS!H3)&gt;0,$E$9/FS!H3,"NMF")</f>
        <v>1.8054497630159134</v>
      </c>
      <c r="I32" s="6">
        <f>IF(($E$9/FS!I3)&gt;0,$E$9/FS!I3,"NMF")</f>
        <v>1.2554148782244265</v>
      </c>
      <c r="J32" s="6">
        <f>IF(($E$9/FS!J3)&gt;0,$E$9/FS!J3,"NMF")</f>
        <v>1.2248590192747966</v>
      </c>
    </row>
    <row r="33" spans="2:10">
      <c r="B33" t="s">
        <v>150</v>
      </c>
      <c r="C33" s="6">
        <f>IF(($E$9/Adjustment!C4)&gt;0,$E$9/Adjustment!C4,"NMF")</f>
        <v>13.111831815254392</v>
      </c>
      <c r="D33" s="6">
        <f>IF(($E$9/Adjustment!D4)&gt;0,$E$9/Adjustment!D4,"NMF")</f>
        <v>15.181900500692446</v>
      </c>
      <c r="E33" s="6" t="str">
        <f>IF(($E$9/Adjustment!E4)&gt;0,$E$9/Adjustment!E4,"NMF")</f>
        <v>NMF</v>
      </c>
      <c r="F33" s="6" t="str">
        <f>IF(($E$9/Adjustment!F4)&gt;0,$E$9/Adjustment!F4,"NMF")</f>
        <v>NMF</v>
      </c>
      <c r="G33" s="6" t="str">
        <f>IF(($E$9/Adjustment!G4)&gt;0,$E$9/Adjustment!G4,"NMF")</f>
        <v>NMF</v>
      </c>
      <c r="H33" s="6">
        <f>IF(($E$9/Adjustment!H4)&gt;0,$E$9/Adjustment!H4,"NMF")</f>
        <v>25.606989645801047</v>
      </c>
      <c r="I33" s="6">
        <f>IF(($E$9/Adjustment!I4)&gt;0,$E$9/Adjustment!I4,"NMF")</f>
        <v>4.4815427733599584</v>
      </c>
      <c r="J33" s="6">
        <f>IF(($E$9/Adjustment!J4)&gt;0,$E$9/Adjustment!J4,"NMF")</f>
        <v>9.1823585315958187</v>
      </c>
    </row>
    <row r="34" spans="2:10">
      <c r="B34" t="s">
        <v>151</v>
      </c>
      <c r="C34" s="6">
        <f>IF(($E$9/Adjustment!C6)&gt;0,$E$9/Adjustment!C6,"NMF")</f>
        <v>14.759149222623533</v>
      </c>
      <c r="D34" s="6">
        <f>IF(($E$9/Adjustment!D6)&gt;0,$E$9/Adjustment!D6,"NMF")</f>
        <v>17.389381205863064</v>
      </c>
      <c r="E34" s="6" t="str">
        <f>IF(($E$9/Adjustment!E6)&gt;0,$E$9/Adjustment!E6,"NMF")</f>
        <v>NMF</v>
      </c>
      <c r="F34" s="6" t="str">
        <f>IF(($E$9/Adjustment!F6)&gt;0,$E$9/Adjustment!F6,"NMF")</f>
        <v>NMF</v>
      </c>
      <c r="G34" s="6" t="str">
        <f>IF(($E$9/Adjustment!G6)&gt;0,$E$9/Adjustment!G6,"NMF")</f>
        <v>NMF</v>
      </c>
      <c r="H34" s="6">
        <f>IF(($E$9/Adjustment!H6)&gt;0,$E$9/Adjustment!H6,"NMF")</f>
        <v>38.094760759155307</v>
      </c>
      <c r="I34" s="6">
        <f>IF(($E$9/Adjustment!I6)&gt;0,$E$9/Adjustment!I6,"NMF")</f>
        <v>4.8449950066931562</v>
      </c>
      <c r="J34" s="6">
        <f>IF(($E$9/Adjustment!J6)&gt;0,$E$9/Adjustment!J6,"NMF")</f>
        <v>10.936420842606093</v>
      </c>
    </row>
    <row r="35" spans="2:10">
      <c r="C35" s="6"/>
      <c r="D35" s="6"/>
      <c r="E35" s="6"/>
      <c r="F35" s="6"/>
      <c r="G35" s="6"/>
      <c r="H35" s="6"/>
      <c r="I35" s="6"/>
      <c r="J35" s="6"/>
    </row>
    <row r="36" spans="2:10">
      <c r="B36" s="88" t="s">
        <v>152</v>
      </c>
      <c r="C36" s="6"/>
      <c r="D36" s="6"/>
      <c r="E36" s="6"/>
      <c r="F36" s="6"/>
      <c r="G36" s="6"/>
      <c r="H36" s="6"/>
      <c r="I36" s="6"/>
      <c r="J36" s="6"/>
    </row>
    <row r="37" spans="2:10">
      <c r="B37" t="s">
        <v>153</v>
      </c>
      <c r="C37" s="6">
        <f>IF(($E$4/FS!C17)&gt;0,$E$4/FS!C17,"NMF")</f>
        <v>20.96508111080561</v>
      </c>
      <c r="D37" s="6">
        <f>IF(($E$4/FS!D17)&gt;0,$E$4/FS!D17,"NMF")</f>
        <v>389.77635782747603</v>
      </c>
      <c r="E37" s="6" t="str">
        <f>IF(($E$4/FS!E17)&gt;0,$E$4/FS!E17,"NMF")</f>
        <v>NMF</v>
      </c>
      <c r="F37" s="6" t="str">
        <f>IF(($E$4/FS!F17)&gt;0,$E$4/FS!F17,"NMF")</f>
        <v>NMF</v>
      </c>
      <c r="G37" s="6" t="str">
        <f>IF(($E$4/FS!G17)&gt;0,$E$4/FS!G17,"NMF")</f>
        <v>NMF</v>
      </c>
      <c r="H37" s="6">
        <f>IF(($E$4/FS!H17)&gt;0,$E$4/FS!H17,"NMF")</f>
        <v>80.901856763925736</v>
      </c>
      <c r="I37" s="6">
        <f>IF(($E$4/FS!I17)&gt;0,$E$4/FS!I17,"NMF")</f>
        <v>6.8170896614923837</v>
      </c>
      <c r="J37" s="6">
        <f>IF(($E$4/FS!J17)&gt;0,$E$4/FS!J17,"NMF")</f>
        <v>18.796413274581703</v>
      </c>
    </row>
    <row r="38" spans="2:10">
      <c r="B38" t="s">
        <v>154</v>
      </c>
      <c r="C38" s="6">
        <f>IF(($E$4/FS!C46)&gt;0,$E$4/FS!C46,"NMF")</f>
        <v>10.116337885685383</v>
      </c>
      <c r="D38" s="6">
        <f>IF(($E$4/FS!D46)&gt;0,$E$4/FS!D46,"NMF")</f>
        <v>4.1336174913007682</v>
      </c>
      <c r="E38" s="6">
        <f>IF(($E$4/FS!E46)&gt;0,$E$4/FS!E46,"NMF")</f>
        <v>14.3610509464168</v>
      </c>
      <c r="F38" s="6">
        <f>IF(($E$4/FS!F46)&gt;0,$E$4/FS!F46,"NMF")</f>
        <v>35.058478691916434</v>
      </c>
      <c r="G38" s="6">
        <f>IF(($E$4/FS!G46)&gt;0,$E$4/FS!G46,"NMF")</f>
        <v>33.175613204981779</v>
      </c>
      <c r="H38" s="6">
        <f>IF(($E$4/FS!H46)&gt;0,$E$4/FS!H46,"NMF")</f>
        <v>23.098186224393199</v>
      </c>
      <c r="I38" s="6">
        <f>IF(($E$4/FS!I46)&gt;0,$E$4/FS!I46,"NMF")</f>
        <v>5.2739196029862487</v>
      </c>
      <c r="J38" s="6">
        <f>IF(($E$4/FS!J46)&gt;0,$E$4/FS!J46,"NMF")</f>
        <v>5.2415404973448592</v>
      </c>
    </row>
    <row r="39" spans="2:10">
      <c r="B39" t="s">
        <v>155</v>
      </c>
      <c r="C39" s="6">
        <f>IF(($E$4/(FS!C80+FS!C84))&gt;0,$E$4/(FS!C80+FS!C84),"NMF")</f>
        <v>23.226592544644557</v>
      </c>
      <c r="D39" s="6" t="str">
        <f>IF(($E$4/(FS!D80+FS!D84))&gt;0,$E$4/(FS!D80+FS!D84),"NMF")</f>
        <v>NMF</v>
      </c>
      <c r="E39" s="6">
        <f>IF(($E$4/(FS!E80+FS!E84))&gt;0,$E$4/(FS!E80+FS!E84),"NMF")</f>
        <v>37.679906109086417</v>
      </c>
      <c r="F39" s="6">
        <f>IF(($E$4/(FS!F80+FS!F84))&gt;0,$E$4/(FS!F80+FS!F84),"NMF")</f>
        <v>22.576705281468595</v>
      </c>
      <c r="G39" s="6" t="str">
        <f>IF(($E$4/(FS!G80+FS!G84))&gt;0,$E$4/(FS!G80+FS!G84),"NMF")</f>
        <v>NMF</v>
      </c>
      <c r="H39" s="6" t="str">
        <f>IF(($E$4/(FS!H80+FS!H84))&gt;0,$E$4/(FS!H80+FS!H84),"NMF")</f>
        <v>NMF</v>
      </c>
      <c r="I39" s="6">
        <f>IF(($E$4/(FS!I80+FS!I84))&gt;0,$E$4/(FS!I80+FS!I84),"NMF")</f>
        <v>6.8102019057401071</v>
      </c>
      <c r="J39" s="6">
        <f>IF(($E$4/(FS!J80+FS!J84))&gt;0,$E$4/(FS!J80+FS!J84),"NMF")</f>
        <v>39.555166488344192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0"/>
  <sheetViews>
    <sheetView showGridLines="0" topLeftCell="A4" zoomScale="112" zoomScaleNormal="112" workbookViewId="0">
      <selection activeCell="F14" sqref="F14"/>
    </sheetView>
  </sheetViews>
  <sheetFormatPr defaultColWidth="9" defaultRowHeight="14.4"/>
  <cols>
    <col min="2" max="2" width="24.5546875" customWidth="1"/>
    <col min="3" max="3" width="12.44140625" customWidth="1"/>
    <col min="4" max="4" width="9.6640625" customWidth="1"/>
    <col min="5" max="5" width="12" customWidth="1"/>
    <col min="6" max="6" width="14" customWidth="1"/>
    <col min="7" max="7" width="13" customWidth="1"/>
    <col min="8" max="8" width="12.33203125" customWidth="1"/>
    <col min="9" max="9" width="9.88671875" customWidth="1"/>
    <col min="10" max="12" width="11.44140625" customWidth="1"/>
  </cols>
  <sheetData>
    <row r="1" spans="1:14" s="7" customFormat="1" ht="33.6">
      <c r="A1" s="7" t="s">
        <v>156</v>
      </c>
    </row>
    <row r="3" spans="1:14">
      <c r="B3" t="s">
        <v>157</v>
      </c>
    </row>
    <row r="4" spans="1:14">
      <c r="B4" s="9" t="s">
        <v>158</v>
      </c>
    </row>
    <row r="5" spans="1:14" ht="23.4">
      <c r="B5" s="215" t="s">
        <v>159</v>
      </c>
      <c r="C5" s="216"/>
      <c r="D5" s="216"/>
      <c r="E5" s="216"/>
      <c r="F5" s="217"/>
      <c r="G5" s="218" t="s">
        <v>160</v>
      </c>
      <c r="H5" s="216"/>
      <c r="I5" s="217"/>
      <c r="J5" s="218" t="s">
        <v>161</v>
      </c>
      <c r="K5" s="216"/>
      <c r="L5" s="219"/>
    </row>
    <row r="6" spans="1:14" ht="28.8">
      <c r="B6" s="10" t="s">
        <v>162</v>
      </c>
      <c r="C6" s="11" t="s">
        <v>163</v>
      </c>
      <c r="D6" s="12" t="s">
        <v>164</v>
      </c>
      <c r="E6" s="11" t="s">
        <v>142</v>
      </c>
      <c r="F6" s="13" t="s">
        <v>165</v>
      </c>
      <c r="G6" s="14" t="s">
        <v>166</v>
      </c>
      <c r="H6" s="12" t="s">
        <v>167</v>
      </c>
      <c r="I6" s="13" t="s">
        <v>168</v>
      </c>
      <c r="J6" s="63" t="s">
        <v>153</v>
      </c>
      <c r="K6" s="64" t="s">
        <v>169</v>
      </c>
      <c r="L6" s="65" t="s">
        <v>150</v>
      </c>
    </row>
    <row r="7" spans="1:14">
      <c r="B7" s="15"/>
      <c r="C7" s="16"/>
      <c r="D7" s="16"/>
      <c r="E7" s="16"/>
      <c r="F7" s="17"/>
      <c r="G7" s="18">
        <v>2023</v>
      </c>
      <c r="H7" s="16">
        <v>2023</v>
      </c>
      <c r="I7" s="17">
        <v>2023</v>
      </c>
      <c r="J7" s="66">
        <v>2023</v>
      </c>
      <c r="K7" s="67">
        <v>2023</v>
      </c>
      <c r="L7" s="68">
        <v>2023</v>
      </c>
    </row>
    <row r="8" spans="1:14">
      <c r="B8" s="19" t="s">
        <v>170</v>
      </c>
      <c r="C8" s="20" t="s">
        <v>171</v>
      </c>
      <c r="D8" s="21">
        <v>5.62</v>
      </c>
      <c r="E8" s="22">
        <f>D8*307595</f>
        <v>1728683.9000000001</v>
      </c>
      <c r="F8" s="22">
        <f>E8+C45</f>
        <v>1824342.9000000001</v>
      </c>
      <c r="G8" s="23">
        <f>1056712/391803</f>
        <v>2.6970492824199916</v>
      </c>
      <c r="H8" s="24">
        <f>342618/1766152</f>
        <v>0.19399123065285434</v>
      </c>
      <c r="I8" s="26">
        <f>40549/391803</f>
        <v>0.10349333721283401</v>
      </c>
      <c r="J8" s="69">
        <f>E8/40549</f>
        <v>42.631973661495969</v>
      </c>
      <c r="K8" s="69">
        <f>F8/1766152</f>
        <v>1.0329478436737043</v>
      </c>
      <c r="L8" s="70">
        <f>F8/C51</f>
        <v>7.9595418015549608</v>
      </c>
    </row>
    <row r="9" spans="1:14">
      <c r="B9" s="19" t="s">
        <v>172</v>
      </c>
      <c r="C9" s="20" t="s">
        <v>173</v>
      </c>
      <c r="D9" s="25">
        <f>3.7</f>
        <v>3.7</v>
      </c>
      <c r="E9" s="22">
        <f>D9*116207</f>
        <v>429965.9</v>
      </c>
      <c r="F9" s="22">
        <f>E9+H43</f>
        <v>425608.9</v>
      </c>
      <c r="G9" s="23">
        <f>361159/229091</f>
        <v>1.5764870728225902</v>
      </c>
      <c r="H9" s="24">
        <f>171272/549416</f>
        <v>0.31173464187428107</v>
      </c>
      <c r="I9" s="26">
        <f>24012/229091</f>
        <v>0.1048142441213317</v>
      </c>
      <c r="J9" s="69">
        <f>E9/24012</f>
        <v>17.90629268698984</v>
      </c>
      <c r="K9" s="69">
        <f>F9/549416</f>
        <v>0.77465690842640189</v>
      </c>
      <c r="L9" s="70">
        <f>F9/H51</f>
        <v>7.7412994052274513</v>
      </c>
    </row>
    <row r="10" spans="1:14">
      <c r="B10" s="19" t="s">
        <v>174</v>
      </c>
      <c r="C10" s="20" t="s">
        <v>175</v>
      </c>
      <c r="D10" s="21">
        <v>27</v>
      </c>
      <c r="E10" s="22">
        <f>D10*34800</f>
        <v>939600</v>
      </c>
      <c r="F10" s="22">
        <f>E10+N42</f>
        <v>856553</v>
      </c>
      <c r="G10" s="23">
        <f>(61933+15359)/291883</f>
        <v>0.26480473340345273</v>
      </c>
      <c r="H10" s="26">
        <f>132580/351611</f>
        <v>0.37706442631203235</v>
      </c>
      <c r="I10" s="26">
        <f>102080/291883</f>
        <v>0.34972917230534151</v>
      </c>
      <c r="J10" s="69">
        <f>E10/102080</f>
        <v>9.204545454545455</v>
      </c>
      <c r="K10" s="69">
        <f>F10/351611</f>
        <v>2.4360813512660298</v>
      </c>
      <c r="L10" s="70">
        <f>F10/N51</f>
        <v>7.8971179377489307</v>
      </c>
      <c r="N10" s="71"/>
    </row>
    <row r="11" spans="1:14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72"/>
    </row>
    <row r="12" spans="1:14"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72"/>
    </row>
    <row r="13" spans="1:14" s="8" customFormat="1">
      <c r="B13" s="27" t="s">
        <v>176</v>
      </c>
      <c r="C13" s="28"/>
      <c r="D13" s="29">
        <f>AVERAGE(D8:D10)</f>
        <v>12.106666666666667</v>
      </c>
      <c r="E13" s="30">
        <f t="shared" ref="E13:L13" si="0">AVERAGE(E8:E10)</f>
        <v>1032749.9333333335</v>
      </c>
      <c r="F13" s="30">
        <f t="shared" si="0"/>
        <v>1035501.6000000001</v>
      </c>
      <c r="G13" s="31">
        <f t="shared" si="0"/>
        <v>1.5127803628820116</v>
      </c>
      <c r="H13" s="32">
        <f t="shared" si="0"/>
        <v>0.29426343294638929</v>
      </c>
      <c r="I13" s="73">
        <f t="shared" si="0"/>
        <v>0.18601225121316908</v>
      </c>
      <c r="J13" s="74">
        <f t="shared" si="0"/>
        <v>23.247603934343754</v>
      </c>
      <c r="K13" s="74">
        <f t="shared" si="0"/>
        <v>1.4145620344553784</v>
      </c>
      <c r="L13" s="75">
        <f t="shared" si="0"/>
        <v>7.8659863815104485</v>
      </c>
    </row>
    <row r="14" spans="1:14">
      <c r="B14" s="33" t="s">
        <v>177</v>
      </c>
      <c r="C14" s="34" t="s">
        <v>178</v>
      </c>
      <c r="D14" s="35">
        <f>Share_Price</f>
        <v>19.52</v>
      </c>
      <c r="E14" s="36">
        <f>EV!E4</f>
        <v>1220000</v>
      </c>
      <c r="F14" s="36">
        <f>EV!E9</f>
        <v>1140100</v>
      </c>
      <c r="G14" s="37">
        <f>Ratios!I33</f>
        <v>0.95817608839435087</v>
      </c>
      <c r="H14" s="38">
        <f>Ratios!I5</f>
        <v>0.37084015125321257</v>
      </c>
      <c r="I14" s="38">
        <f>Ratios!I10</f>
        <v>0.77363213113903695</v>
      </c>
      <c r="J14" s="76">
        <f>EV!I37</f>
        <v>6.8170896614923837</v>
      </c>
      <c r="K14" s="76">
        <f>EV!I32</f>
        <v>1.2554148782244265</v>
      </c>
      <c r="L14" s="77">
        <f>EV!J33</f>
        <v>9.1823585315958187</v>
      </c>
    </row>
    <row r="16" spans="1:14" ht="15.6">
      <c r="C16" s="39" t="s">
        <v>179</v>
      </c>
      <c r="D16" s="40"/>
      <c r="E16" s="40"/>
      <c r="F16" s="40"/>
      <c r="G16" s="40"/>
      <c r="H16" s="41"/>
    </row>
    <row r="17" spans="3:10">
      <c r="C17" s="42"/>
      <c r="D17" s="43"/>
      <c r="E17" s="42"/>
      <c r="F17" s="43"/>
      <c r="G17" s="42"/>
      <c r="H17" s="43"/>
    </row>
    <row r="18" spans="3:10">
      <c r="C18" s="44" t="s">
        <v>153</v>
      </c>
      <c r="D18" s="45"/>
      <c r="E18" s="44" t="s">
        <v>150</v>
      </c>
      <c r="F18" s="45"/>
      <c r="G18" s="44" t="s">
        <v>180</v>
      </c>
      <c r="H18" s="45"/>
    </row>
    <row r="19" spans="3:10">
      <c r="C19" s="19" t="s">
        <v>181</v>
      </c>
      <c r="D19" s="46">
        <f>J13</f>
        <v>23.247603934343754</v>
      </c>
      <c r="E19" s="19" t="s">
        <v>181</v>
      </c>
      <c r="F19" s="47">
        <f>L13</f>
        <v>7.8659863815104485</v>
      </c>
      <c r="G19" s="19" t="s">
        <v>181</v>
      </c>
      <c r="H19" s="47">
        <f>K13</f>
        <v>1.4145620344553784</v>
      </c>
    </row>
    <row r="20" spans="3:10">
      <c r="C20" s="19" t="s">
        <v>182</v>
      </c>
      <c r="D20" s="48">
        <f>FS!I20</f>
        <v>2.86</v>
      </c>
      <c r="E20" s="19" t="s">
        <v>127</v>
      </c>
      <c r="F20" s="49">
        <f>Adjustment!I4</f>
        <v>254399</v>
      </c>
      <c r="G20" s="19" t="s">
        <v>2</v>
      </c>
      <c r="H20" s="49">
        <f>FS!I3</f>
        <v>908146</v>
      </c>
    </row>
    <row r="21" spans="3:10">
      <c r="C21" s="19"/>
      <c r="D21" s="48"/>
      <c r="E21" s="19" t="s">
        <v>183</v>
      </c>
      <c r="F21" s="50">
        <f>F19*F20</f>
        <v>2001099.0694698766</v>
      </c>
      <c r="G21" s="19" t="s">
        <v>183</v>
      </c>
      <c r="H21" s="51">
        <f>H19*H20</f>
        <v>1284628.853342514</v>
      </c>
    </row>
    <row r="22" spans="3:10">
      <c r="C22" s="19"/>
      <c r="D22" s="48"/>
      <c r="E22" s="19" t="s">
        <v>184</v>
      </c>
      <c r="F22" s="49">
        <f>EV!I23</f>
        <v>17194</v>
      </c>
      <c r="G22" s="19" t="s">
        <v>184</v>
      </c>
      <c r="H22" s="49">
        <f>EV!I23</f>
        <v>17194</v>
      </c>
    </row>
    <row r="23" spans="3:10">
      <c r="C23" s="19"/>
      <c r="D23" s="48"/>
      <c r="E23" s="19" t="s">
        <v>146</v>
      </c>
      <c r="F23" s="49">
        <f>EV!I24</f>
        <v>108717</v>
      </c>
      <c r="G23" s="19" t="s">
        <v>146</v>
      </c>
      <c r="H23" s="48">
        <f>EV!I24</f>
        <v>108717</v>
      </c>
    </row>
    <row r="24" spans="3:10">
      <c r="C24" s="19"/>
      <c r="D24" s="48"/>
      <c r="E24" s="19" t="s">
        <v>185</v>
      </c>
      <c r="F24" s="49">
        <f>F21-F22+F23</f>
        <v>2092622.0694698766</v>
      </c>
      <c r="G24" s="19" t="s">
        <v>185</v>
      </c>
      <c r="H24" s="49">
        <f>H21-(H22-H23)</f>
        <v>1376151.853342514</v>
      </c>
      <c r="J24" s="78"/>
    </row>
    <row r="25" spans="3:10">
      <c r="C25" s="19"/>
      <c r="D25" s="48"/>
      <c r="E25" s="19" t="s">
        <v>186</v>
      </c>
      <c r="F25" s="49">
        <f>EV!E3</f>
        <v>62500</v>
      </c>
      <c r="G25" s="19" t="s">
        <v>186</v>
      </c>
      <c r="H25" s="49">
        <f>EV!E3</f>
        <v>62500</v>
      </c>
    </row>
    <row r="26" spans="3:10">
      <c r="C26" s="52" t="s">
        <v>187</v>
      </c>
      <c r="D26" s="53">
        <f>D19*D20</f>
        <v>66.488147252223129</v>
      </c>
      <c r="E26" s="52" t="s">
        <v>187</v>
      </c>
      <c r="F26" s="53">
        <f>F24/F25</f>
        <v>33.481953111518024</v>
      </c>
      <c r="G26" s="52" t="s">
        <v>187</v>
      </c>
      <c r="H26" s="53">
        <f>H24/H25</f>
        <v>22.018429653480226</v>
      </c>
    </row>
    <row r="27" spans="3:10">
      <c r="C27" s="42"/>
      <c r="D27" s="54"/>
      <c r="E27" s="55" t="s">
        <v>188</v>
      </c>
      <c r="F27" s="55"/>
      <c r="G27" s="54"/>
      <c r="H27" s="43"/>
    </row>
    <row r="28" spans="3:10">
      <c r="C28" s="19"/>
      <c r="E28" s="220">
        <f>AVERAGE(D26,F26,H26)</f>
        <v>40.662843339073795</v>
      </c>
      <c r="F28" s="221"/>
      <c r="H28" s="48"/>
    </row>
    <row r="29" spans="3:10">
      <c r="C29" s="19"/>
      <c r="E29" s="56" t="s">
        <v>189</v>
      </c>
      <c r="F29" s="56"/>
      <c r="H29" s="48"/>
    </row>
    <row r="30" spans="3:10">
      <c r="C30" s="19"/>
      <c r="E30" s="222">
        <f>Share_Price</f>
        <v>19.52</v>
      </c>
      <c r="F30" s="222"/>
      <c r="H30" s="48"/>
    </row>
    <row r="31" spans="3:10">
      <c r="C31" s="19"/>
      <c r="E31" s="57" t="s">
        <v>190</v>
      </c>
      <c r="F31" s="57"/>
      <c r="H31" s="48"/>
    </row>
    <row r="32" spans="3:10">
      <c r="C32" s="52"/>
      <c r="D32" s="58"/>
      <c r="E32" s="211">
        <f>E28/E30-1</f>
        <v>1.0831374661410758</v>
      </c>
      <c r="F32" s="211"/>
      <c r="G32" s="58"/>
      <c r="H32" s="59"/>
    </row>
    <row r="35" spans="1:14">
      <c r="A35" s="212" t="s">
        <v>191</v>
      </c>
      <c r="B35" s="212"/>
      <c r="C35" s="212"/>
      <c r="F35" s="213" t="s">
        <v>192</v>
      </c>
      <c r="G35" s="213"/>
      <c r="H35" s="213"/>
      <c r="L35" s="214" t="s">
        <v>193</v>
      </c>
      <c r="M35" s="214"/>
      <c r="N35" s="214"/>
    </row>
    <row r="36" spans="1:14">
      <c r="A36" s="212"/>
      <c r="B36" s="212"/>
      <c r="C36" s="212"/>
      <c r="F36" s="213"/>
      <c r="G36" s="213"/>
      <c r="H36" s="213"/>
      <c r="L36" s="214"/>
      <c r="M36" s="214"/>
      <c r="N36" s="214"/>
    </row>
    <row r="37" spans="1:14">
      <c r="A37" s="8" t="s">
        <v>194</v>
      </c>
      <c r="F37" s="8" t="s">
        <v>194</v>
      </c>
      <c r="L37" s="8" t="s">
        <v>194</v>
      </c>
    </row>
    <row r="38" spans="1:14">
      <c r="A38" t="s">
        <v>195</v>
      </c>
      <c r="C38">
        <v>7216</v>
      </c>
      <c r="F38" t="s">
        <v>196</v>
      </c>
      <c r="H38">
        <v>5060</v>
      </c>
      <c r="L38" t="s">
        <v>196</v>
      </c>
      <c r="N38">
        <v>1287</v>
      </c>
    </row>
    <row r="39" spans="1:14">
      <c r="A39" t="s">
        <v>197</v>
      </c>
      <c r="C39">
        <v>105577</v>
      </c>
      <c r="F39" t="s">
        <v>198</v>
      </c>
      <c r="H39">
        <v>55000</v>
      </c>
      <c r="L39" t="s">
        <v>196</v>
      </c>
      <c r="N39">
        <v>1208</v>
      </c>
    </row>
    <row r="40" spans="1:14">
      <c r="A40" t="s">
        <v>199</v>
      </c>
      <c r="C40">
        <v>35906</v>
      </c>
      <c r="F40" t="s">
        <v>196</v>
      </c>
      <c r="H40">
        <v>1505</v>
      </c>
    </row>
    <row r="41" spans="1:14">
      <c r="A41" t="s">
        <v>195</v>
      </c>
      <c r="C41">
        <v>5492</v>
      </c>
      <c r="L41" t="s">
        <v>146</v>
      </c>
      <c r="N41">
        <v>85542</v>
      </c>
    </row>
    <row r="42" spans="1:14">
      <c r="A42" t="s">
        <v>197</v>
      </c>
      <c r="C42">
        <v>174820</v>
      </c>
      <c r="F42" t="s">
        <v>146</v>
      </c>
      <c r="H42">
        <v>65922</v>
      </c>
      <c r="L42" s="60" t="s">
        <v>144</v>
      </c>
      <c r="M42" s="60"/>
      <c r="N42" s="60">
        <f>SUM(N38:N39)-N41</f>
        <v>-83047</v>
      </c>
    </row>
    <row r="43" spans="1:14">
      <c r="F43" s="60" t="s">
        <v>144</v>
      </c>
      <c r="G43" s="60"/>
      <c r="H43" s="60">
        <f>SUM(H38:H40)-H42</f>
        <v>-4357</v>
      </c>
    </row>
    <row r="44" spans="1:14">
      <c r="A44" t="s">
        <v>146</v>
      </c>
      <c r="C44" s="61">
        <v>233352</v>
      </c>
    </row>
    <row r="45" spans="1:14">
      <c r="A45" s="60" t="s">
        <v>144</v>
      </c>
      <c r="B45" s="60"/>
      <c r="C45" s="62">
        <f>SUM(C38:C42)-C44</f>
        <v>95659</v>
      </c>
    </row>
    <row r="48" spans="1:14">
      <c r="A48" t="s">
        <v>200</v>
      </c>
      <c r="F48" t="s">
        <v>200</v>
      </c>
      <c r="L48" t="s">
        <v>200</v>
      </c>
    </row>
    <row r="49" spans="1:14">
      <c r="A49" t="s">
        <v>2</v>
      </c>
      <c r="C49">
        <v>1766152</v>
      </c>
      <c r="F49" t="s">
        <v>2</v>
      </c>
      <c r="H49" s="61">
        <v>549416</v>
      </c>
      <c r="L49" t="s">
        <v>2</v>
      </c>
      <c r="N49" s="61">
        <f>351611</f>
        <v>351611</v>
      </c>
    </row>
    <row r="50" spans="1:14">
      <c r="A50" t="s">
        <v>201</v>
      </c>
      <c r="C50">
        <f>-1423534-96899-122253+78868+26085+783</f>
        <v>-1536950</v>
      </c>
      <c r="F50" t="s">
        <v>201</v>
      </c>
      <c r="H50">
        <f>-378144+H58+-105208-40004</f>
        <v>-494437</v>
      </c>
      <c r="L50" t="s">
        <v>201</v>
      </c>
      <c r="N50">
        <f>-220401+N60-31843</f>
        <v>-243147</v>
      </c>
    </row>
    <row r="51" spans="1:14">
      <c r="A51" s="60" t="s">
        <v>202</v>
      </c>
      <c r="B51" s="60"/>
      <c r="C51" s="62">
        <f>SUM(C49:C50)</f>
        <v>229202</v>
      </c>
      <c r="F51" s="60" t="s">
        <v>202</v>
      </c>
      <c r="G51" s="60"/>
      <c r="H51" s="62">
        <f>SUM(H49:H50)</f>
        <v>54979</v>
      </c>
      <c r="L51" s="60" t="s">
        <v>202</v>
      </c>
      <c r="M51" s="60"/>
      <c r="N51" s="62">
        <f>SUM(N49:N50)</f>
        <v>108464</v>
      </c>
    </row>
    <row r="55" spans="1:14">
      <c r="F55" t="s">
        <v>203</v>
      </c>
      <c r="H55">
        <v>2839</v>
      </c>
      <c r="L55" t="s">
        <v>203</v>
      </c>
      <c r="N55">
        <f>240</f>
        <v>240</v>
      </c>
    </row>
    <row r="56" spans="1:14">
      <c r="F56" t="s">
        <v>135</v>
      </c>
      <c r="H56">
        <v>25788</v>
      </c>
      <c r="L56" t="s">
        <v>135</v>
      </c>
      <c r="N56">
        <f>10401</f>
        <v>10401</v>
      </c>
    </row>
    <row r="57" spans="1:14">
      <c r="F57" t="s">
        <v>136</v>
      </c>
      <c r="H57">
        <v>292</v>
      </c>
      <c r="L57" t="s">
        <v>136</v>
      </c>
      <c r="N57">
        <v>72</v>
      </c>
    </row>
    <row r="58" spans="1:14">
      <c r="H58">
        <f>SUM(H55:H57)</f>
        <v>28919</v>
      </c>
      <c r="L58" t="s">
        <v>204</v>
      </c>
      <c r="N58">
        <v>-1370</v>
      </c>
    </row>
    <row r="59" spans="1:14">
      <c r="L59" t="s">
        <v>205</v>
      </c>
      <c r="N59">
        <v>-246</v>
      </c>
    </row>
    <row r="60" spans="1:14">
      <c r="N60">
        <f>SUM(N55:N59)</f>
        <v>9097</v>
      </c>
    </row>
  </sheetData>
  <mergeCells count="9">
    <mergeCell ref="E32:F32"/>
    <mergeCell ref="A35:C36"/>
    <mergeCell ref="F35:H36"/>
    <mergeCell ref="L35:N36"/>
    <mergeCell ref="B5:F5"/>
    <mergeCell ref="G5:I5"/>
    <mergeCell ref="J5:L5"/>
    <mergeCell ref="E28:F28"/>
    <mergeCell ref="E30:F30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O157"/>
  <sheetViews>
    <sheetView showGridLines="0" topLeftCell="B1" zoomScale="110" zoomScaleNormal="110" workbookViewId="0">
      <selection activeCell="C2" sqref="C2"/>
    </sheetView>
  </sheetViews>
  <sheetFormatPr defaultColWidth="9.109375" defaultRowHeight="14.4"/>
  <cols>
    <col min="1" max="1" width="2.88671875" style="148" customWidth="1"/>
    <col min="2" max="2" width="31.6640625" style="148" customWidth="1"/>
    <col min="3" max="3" width="11.109375" style="148" bestFit="1" customWidth="1"/>
    <col min="4" max="8" width="9.88671875" style="148" bestFit="1" customWidth="1"/>
    <col min="9" max="10" width="9.88671875" style="148" customWidth="1"/>
    <col min="11" max="11" width="9.5546875" style="148" customWidth="1"/>
    <col min="12" max="13" width="10.109375" style="148" bestFit="1" customWidth="1"/>
    <col min="14" max="15" width="11.5546875" style="148" bestFit="1" customWidth="1"/>
    <col min="16" max="16384" width="9.109375" style="148"/>
  </cols>
  <sheetData>
    <row r="2" spans="2:15">
      <c r="B2" s="148" t="s">
        <v>242</v>
      </c>
      <c r="C2" s="139">
        <v>1</v>
      </c>
      <c r="E2" s="148" t="s">
        <v>207</v>
      </c>
      <c r="F2" s="148">
        <v>1</v>
      </c>
    </row>
    <row r="3" spans="2:15">
      <c r="E3" s="148" t="s">
        <v>208</v>
      </c>
      <c r="F3" s="148">
        <v>2</v>
      </c>
    </row>
    <row r="4" spans="2:15">
      <c r="E4" s="148" t="s">
        <v>209</v>
      </c>
      <c r="F4" s="148">
        <v>3</v>
      </c>
    </row>
    <row r="7" spans="2:15">
      <c r="B7" s="140" t="s">
        <v>2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</row>
    <row r="8" spans="2:15">
      <c r="B8" s="137" t="s">
        <v>238</v>
      </c>
      <c r="C8" s="138">
        <v>43100</v>
      </c>
      <c r="D8" s="138">
        <v>43465</v>
      </c>
      <c r="E8" s="138">
        <v>43830</v>
      </c>
      <c r="F8" s="138">
        <v>44196</v>
      </c>
      <c r="G8" s="138">
        <v>44561</v>
      </c>
      <c r="H8" s="138">
        <v>44926</v>
      </c>
      <c r="I8" s="138">
        <v>45291</v>
      </c>
      <c r="J8" s="138">
        <v>45657</v>
      </c>
      <c r="K8" s="138">
        <v>46022</v>
      </c>
      <c r="L8" s="138">
        <v>46387</v>
      </c>
      <c r="M8" s="138">
        <v>46752</v>
      </c>
      <c r="N8" s="138">
        <v>47118</v>
      </c>
      <c r="O8" s="138">
        <v>47483</v>
      </c>
    </row>
    <row r="9" spans="2:15">
      <c r="B9" s="144" t="str">
        <f>FS!B3</f>
        <v>Revenue</v>
      </c>
      <c r="C9" s="188">
        <f>FS!C3</f>
        <v>575765</v>
      </c>
      <c r="D9" s="188">
        <f>FS!D3</f>
        <v>632152</v>
      </c>
      <c r="E9" s="188">
        <f>FS!E3</f>
        <v>333290</v>
      </c>
      <c r="F9" s="188">
        <f>FS!F3</f>
        <v>456279</v>
      </c>
      <c r="G9" s="188">
        <f>FS!G3</f>
        <v>526912</v>
      </c>
      <c r="H9" s="188">
        <f>FS!H3</f>
        <v>631477</v>
      </c>
      <c r="I9" s="188">
        <f>FS!I3</f>
        <v>908146</v>
      </c>
      <c r="J9" s="188">
        <f>FS!J3</f>
        <v>930801</v>
      </c>
      <c r="K9" s="167">
        <f>(1+$K$17)*J9</f>
        <v>1101374.7539423965</v>
      </c>
      <c r="L9" s="167">
        <f t="shared" ref="L9:O9" si="0">(1+$K$17)*K9</f>
        <v>1303206.967570592</v>
      </c>
      <c r="M9" s="167">
        <f t="shared" si="0"/>
        <v>1542025.9037582444</v>
      </c>
      <c r="N9" s="167">
        <f t="shared" si="0"/>
        <v>1824609.5570637956</v>
      </c>
      <c r="O9" s="167">
        <f t="shared" si="0"/>
        <v>2158978.0221036323</v>
      </c>
    </row>
    <row r="10" spans="2:15">
      <c r="B10" s="168" t="s">
        <v>210</v>
      </c>
      <c r="C10" s="169"/>
      <c r="D10" s="170">
        <f>(D9-C9)/C9</f>
        <v>9.7934052955632941E-2</v>
      </c>
      <c r="E10" s="170">
        <f t="shared" ref="E10:I10" si="1">(E9-D9)/D9</f>
        <v>-0.4727692074058138</v>
      </c>
      <c r="F10" s="170">
        <f t="shared" si="1"/>
        <v>0.36901497194635302</v>
      </c>
      <c r="G10" s="170">
        <f t="shared" si="1"/>
        <v>0.15480221531124597</v>
      </c>
      <c r="H10" s="170">
        <f t="shared" si="1"/>
        <v>0.19844869731568079</v>
      </c>
      <c r="I10" s="170">
        <f t="shared" si="1"/>
        <v>0.43812997147956301</v>
      </c>
      <c r="J10" s="170">
        <v>0.02</v>
      </c>
      <c r="K10" s="171"/>
      <c r="L10" s="171"/>
      <c r="M10" s="171"/>
      <c r="N10" s="171"/>
      <c r="O10" s="171"/>
    </row>
    <row r="11" spans="2:15">
      <c r="B11" s="168" t="s">
        <v>211</v>
      </c>
      <c r="C11" s="169"/>
      <c r="D11" s="172"/>
      <c r="E11" s="169"/>
      <c r="F11" s="169"/>
      <c r="G11" s="169"/>
      <c r="H11" s="169"/>
      <c r="I11" s="169"/>
      <c r="J11" s="170">
        <f>(J9/F9)^(1/5)-1</f>
        <v>0.15325480305929684</v>
      </c>
      <c r="K11" s="171"/>
      <c r="L11" s="171"/>
      <c r="M11" s="171"/>
      <c r="N11" s="171"/>
      <c r="O11" s="171"/>
    </row>
    <row r="13" spans="2:15">
      <c r="B13" s="148" t="s">
        <v>239</v>
      </c>
      <c r="C13" s="171"/>
      <c r="D13" s="173"/>
      <c r="E13" s="171"/>
      <c r="F13" s="171"/>
      <c r="G13" s="171"/>
      <c r="H13" s="171"/>
      <c r="I13" s="171"/>
      <c r="J13" s="171"/>
      <c r="K13" s="174">
        <f>K14+3%</f>
        <v>0.18325480305929684</v>
      </c>
      <c r="L13" s="174">
        <f t="shared" ref="L13:O13" si="2">L14+3%</f>
        <v>0.18325480305929684</v>
      </c>
      <c r="M13" s="174">
        <f t="shared" si="2"/>
        <v>0.18325480305929684</v>
      </c>
      <c r="N13" s="174">
        <f t="shared" si="2"/>
        <v>0.18325480305929684</v>
      </c>
      <c r="O13" s="174">
        <f t="shared" si="2"/>
        <v>0.18325480305929684</v>
      </c>
    </row>
    <row r="14" spans="2:15">
      <c r="B14" s="148" t="s">
        <v>240</v>
      </c>
      <c r="C14" s="171"/>
      <c r="D14" s="173"/>
      <c r="E14" s="171"/>
      <c r="F14" s="171"/>
      <c r="G14" s="171"/>
      <c r="H14" s="171"/>
      <c r="I14" s="171"/>
      <c r="J14" s="171"/>
      <c r="K14" s="174">
        <f>$J$11</f>
        <v>0.15325480305929684</v>
      </c>
      <c r="L14" s="174">
        <f t="shared" ref="L14:O14" si="3">$J$11</f>
        <v>0.15325480305929684</v>
      </c>
      <c r="M14" s="174">
        <f t="shared" si="3"/>
        <v>0.15325480305929684</v>
      </c>
      <c r="N14" s="174">
        <f t="shared" si="3"/>
        <v>0.15325480305929684</v>
      </c>
      <c r="O14" s="174">
        <f t="shared" si="3"/>
        <v>0.15325480305929684</v>
      </c>
    </row>
    <row r="15" spans="2:15">
      <c r="B15" s="148" t="s">
        <v>241</v>
      </c>
      <c r="C15" s="171"/>
      <c r="D15" s="171"/>
      <c r="E15" s="171"/>
      <c r="F15" s="171"/>
      <c r="G15" s="171"/>
      <c r="H15" s="171"/>
      <c r="I15" s="171"/>
      <c r="J15" s="171"/>
      <c r="K15" s="174">
        <f>K14-3%</f>
        <v>0.12325480305929684</v>
      </c>
      <c r="L15" s="174">
        <f t="shared" ref="L15:O15" si="4">L14-3%</f>
        <v>0.12325480305929684</v>
      </c>
      <c r="M15" s="174">
        <f t="shared" si="4"/>
        <v>0.12325480305929684</v>
      </c>
      <c r="N15" s="174">
        <f t="shared" si="4"/>
        <v>0.12325480305929684</v>
      </c>
      <c r="O15" s="174">
        <f t="shared" si="4"/>
        <v>0.12325480305929684</v>
      </c>
    </row>
    <row r="16" spans="2:15">
      <c r="D16" s="175"/>
    </row>
    <row r="17" spans="2:15">
      <c r="B17" s="142" t="s">
        <v>206</v>
      </c>
      <c r="C17" s="142"/>
      <c r="D17" s="143"/>
      <c r="E17" s="142"/>
      <c r="F17" s="142"/>
      <c r="G17" s="142"/>
      <c r="H17" s="142"/>
      <c r="I17" s="142"/>
      <c r="J17" s="142"/>
      <c r="K17" s="143">
        <f>CHOOSE($C$2,K13,K14,K15)</f>
        <v>0.18325480305929684</v>
      </c>
      <c r="L17" s="143">
        <f t="shared" ref="L17:O17" si="5">CHOOSE($C$2,L13,L14,L15)</f>
        <v>0.18325480305929684</v>
      </c>
      <c r="M17" s="143">
        <f t="shared" si="5"/>
        <v>0.18325480305929684</v>
      </c>
      <c r="N17" s="143">
        <f t="shared" si="5"/>
        <v>0.18325480305929684</v>
      </c>
      <c r="O17" s="143">
        <f t="shared" si="5"/>
        <v>0.18325480305929684</v>
      </c>
    </row>
    <row r="18" spans="2:15">
      <c r="D18" s="175"/>
    </row>
    <row r="19" spans="2:15">
      <c r="D19" s="175"/>
    </row>
    <row r="20" spans="2:15">
      <c r="D20" s="175"/>
    </row>
    <row r="21" spans="2:15">
      <c r="B21" s="137" t="s">
        <v>238</v>
      </c>
      <c r="C21" s="138">
        <v>43100</v>
      </c>
      <c r="D21" s="138">
        <v>43465</v>
      </c>
      <c r="E21" s="138">
        <v>43830</v>
      </c>
      <c r="F21" s="138">
        <v>44196</v>
      </c>
      <c r="G21" s="138">
        <v>44561</v>
      </c>
      <c r="H21" s="138">
        <v>44926</v>
      </c>
      <c r="I21" s="138">
        <v>45291</v>
      </c>
      <c r="J21" s="138">
        <v>45657</v>
      </c>
      <c r="K21" s="138">
        <v>46022</v>
      </c>
      <c r="L21" s="138">
        <v>46387</v>
      </c>
      <c r="M21" s="138">
        <v>46752</v>
      </c>
      <c r="N21" s="138">
        <v>47118</v>
      </c>
      <c r="O21" s="138">
        <v>47483</v>
      </c>
    </row>
    <row r="22" spans="2:15">
      <c r="B22" s="144" t="s">
        <v>212</v>
      </c>
      <c r="C22" s="188">
        <f>FS!C4</f>
        <v>-401712</v>
      </c>
      <c r="D22" s="188">
        <f>FS!D4</f>
        <v>-440991</v>
      </c>
      <c r="E22" s="188">
        <f>FS!E4</f>
        <v>-348684</v>
      </c>
      <c r="F22" s="188">
        <f>FS!F4</f>
        <v>-380584</v>
      </c>
      <c r="G22" s="188">
        <f>FS!G4</f>
        <v>-429866</v>
      </c>
      <c r="H22" s="188">
        <f>FS!H4</f>
        <v>-475876</v>
      </c>
      <c r="I22" s="188">
        <f>FS!I4</f>
        <v>-571369</v>
      </c>
      <c r="J22" s="188">
        <f>FS!J4</f>
        <v>-582931</v>
      </c>
      <c r="K22" s="167">
        <f>K32*K$9</f>
        <v>-682852.34744428587</v>
      </c>
      <c r="L22" s="167">
        <f t="shared" ref="L22:O22" si="6">L32*L$9</f>
        <v>-807988.31989376701</v>
      </c>
      <c r="M22" s="167">
        <f t="shared" si="6"/>
        <v>-956056.06033011153</v>
      </c>
      <c r="N22" s="167">
        <f t="shared" si="6"/>
        <v>-1131257.9253795533</v>
      </c>
      <c r="O22" s="167">
        <f t="shared" si="6"/>
        <v>-1338566.3737042521</v>
      </c>
    </row>
    <row r="23" spans="2:15">
      <c r="B23" s="168" t="s">
        <v>210</v>
      </c>
      <c r="C23" s="169"/>
      <c r="D23" s="170">
        <f>D22/C22-1</f>
        <v>9.7779005854940815E-2</v>
      </c>
      <c r="E23" s="170">
        <f t="shared" ref="E23:J23" si="7">E22/D22-1</f>
        <v>-0.20931719694959761</v>
      </c>
      <c r="F23" s="170">
        <f t="shared" si="7"/>
        <v>9.1486847690172235E-2</v>
      </c>
      <c r="G23" s="170">
        <f t="shared" si="7"/>
        <v>0.12949046728186153</v>
      </c>
      <c r="H23" s="170">
        <f t="shared" si="7"/>
        <v>0.10703335458026464</v>
      </c>
      <c r="I23" s="170">
        <f t="shared" si="7"/>
        <v>0.2006678210290076</v>
      </c>
      <c r="J23" s="170">
        <f t="shared" si="7"/>
        <v>2.0235609562296863E-2</v>
      </c>
      <c r="K23" s="171"/>
      <c r="L23" s="171"/>
      <c r="M23" s="171"/>
      <c r="N23" s="171"/>
      <c r="O23" s="171"/>
    </row>
    <row r="24" spans="2:15">
      <c r="B24" s="168" t="s">
        <v>213</v>
      </c>
      <c r="C24" s="170">
        <f t="shared" ref="C24:J24" si="8">-C22/C9</f>
        <v>0.69770131911456934</v>
      </c>
      <c r="D24" s="172">
        <f t="shared" si="8"/>
        <v>0.69760279173363371</v>
      </c>
      <c r="E24" s="170">
        <f t="shared" si="8"/>
        <v>1.0461880044405774</v>
      </c>
      <c r="F24" s="170">
        <f t="shared" si="8"/>
        <v>0.83410369532676276</v>
      </c>
      <c r="G24" s="170">
        <f t="shared" si="8"/>
        <v>0.81582123770193127</v>
      </c>
      <c r="H24" s="170">
        <f t="shared" si="8"/>
        <v>0.75359197563806757</v>
      </c>
      <c r="I24" s="170">
        <f t="shared" si="8"/>
        <v>0.62915984874678743</v>
      </c>
      <c r="J24" s="170">
        <f t="shared" si="8"/>
        <v>0.62626812820355804</v>
      </c>
      <c r="K24" s="170">
        <f>-65%</f>
        <v>-0.65</v>
      </c>
      <c r="L24" s="170">
        <f t="shared" ref="L24:O24" si="9">-65%</f>
        <v>-0.65</v>
      </c>
      <c r="M24" s="170">
        <f t="shared" si="9"/>
        <v>-0.65</v>
      </c>
      <c r="N24" s="170">
        <f t="shared" si="9"/>
        <v>-0.65</v>
      </c>
      <c r="O24" s="170">
        <f t="shared" si="9"/>
        <v>-0.65</v>
      </c>
    </row>
    <row r="25" spans="2:15">
      <c r="B25" s="148" t="s">
        <v>211</v>
      </c>
      <c r="C25" s="169"/>
      <c r="D25" s="172"/>
      <c r="E25" s="169"/>
      <c r="F25" s="169"/>
      <c r="G25" s="169"/>
      <c r="H25" s="169"/>
      <c r="I25" s="169"/>
      <c r="J25" s="170">
        <f>(J22/F22)^(1/5)-1</f>
        <v>8.9013654219131766E-2</v>
      </c>
      <c r="K25" s="171"/>
      <c r="L25" s="171"/>
      <c r="M25" s="171"/>
      <c r="N25" s="171"/>
      <c r="O25" s="171"/>
    </row>
    <row r="26" spans="2:15">
      <c r="B26" s="148" t="s">
        <v>214</v>
      </c>
      <c r="C26" s="169"/>
      <c r="D26" s="172"/>
      <c r="E26" s="169"/>
      <c r="F26" s="169"/>
      <c r="G26" s="169"/>
      <c r="H26" s="169"/>
      <c r="I26" s="169"/>
      <c r="J26" s="170">
        <f>AVERAGE(F24:J24)</f>
        <v>0.73178897712342139</v>
      </c>
      <c r="K26" s="171"/>
      <c r="L26" s="171"/>
      <c r="M26" s="171"/>
      <c r="N26" s="171"/>
      <c r="O26" s="171"/>
    </row>
    <row r="28" spans="2:15">
      <c r="B28" s="148" t="s">
        <v>239</v>
      </c>
      <c r="C28" s="171"/>
      <c r="D28" s="173"/>
      <c r="E28" s="171"/>
      <c r="F28" s="171"/>
      <c r="G28" s="171"/>
      <c r="H28" s="171"/>
      <c r="I28" s="171"/>
      <c r="J28" s="171"/>
      <c r="K28" s="174">
        <f>K29+3%</f>
        <v>-0.62</v>
      </c>
      <c r="L28" s="174">
        <f t="shared" ref="L28" si="10">L29+3%</f>
        <v>-0.62</v>
      </c>
      <c r="M28" s="174">
        <f t="shared" ref="M28" si="11">M29+3%</f>
        <v>-0.62</v>
      </c>
      <c r="N28" s="174">
        <f t="shared" ref="N28" si="12">N29+3%</f>
        <v>-0.62</v>
      </c>
      <c r="O28" s="174">
        <f t="shared" ref="O28" si="13">O29+3%</f>
        <v>-0.62</v>
      </c>
    </row>
    <row r="29" spans="2:15">
      <c r="B29" s="148" t="s">
        <v>240</v>
      </c>
      <c r="C29" s="171"/>
      <c r="D29" s="173"/>
      <c r="E29" s="171"/>
      <c r="F29" s="171"/>
      <c r="G29" s="171"/>
      <c r="H29" s="171"/>
      <c r="I29" s="171"/>
      <c r="J29" s="171"/>
      <c r="K29" s="174">
        <f>K24</f>
        <v>-0.65</v>
      </c>
      <c r="L29" s="174">
        <f t="shared" ref="L29:O29" si="14">L24</f>
        <v>-0.65</v>
      </c>
      <c r="M29" s="174">
        <f t="shared" si="14"/>
        <v>-0.65</v>
      </c>
      <c r="N29" s="174">
        <f t="shared" si="14"/>
        <v>-0.65</v>
      </c>
      <c r="O29" s="174">
        <f t="shared" si="14"/>
        <v>-0.65</v>
      </c>
    </row>
    <row r="30" spans="2:15">
      <c r="B30" s="148" t="s">
        <v>241</v>
      </c>
      <c r="C30" s="171"/>
      <c r="D30" s="171"/>
      <c r="E30" s="171"/>
      <c r="F30" s="171"/>
      <c r="G30" s="171"/>
      <c r="H30" s="171"/>
      <c r="I30" s="171"/>
      <c r="J30" s="171"/>
      <c r="K30" s="174">
        <f>K29-3%</f>
        <v>-0.68</v>
      </c>
      <c r="L30" s="174">
        <f t="shared" ref="L30" si="15">L29-3%</f>
        <v>-0.68</v>
      </c>
      <c r="M30" s="174">
        <f t="shared" ref="M30" si="16">M29-3%</f>
        <v>-0.68</v>
      </c>
      <c r="N30" s="174">
        <f t="shared" ref="N30" si="17">N29-3%</f>
        <v>-0.68</v>
      </c>
      <c r="O30" s="174">
        <f t="shared" ref="O30" si="18">O29-3%</f>
        <v>-0.68</v>
      </c>
    </row>
    <row r="31" spans="2:15">
      <c r="D31" s="175"/>
    </row>
    <row r="32" spans="2:15">
      <c r="B32" s="142" t="s">
        <v>206</v>
      </c>
      <c r="C32" s="142"/>
      <c r="D32" s="143"/>
      <c r="E32" s="142"/>
      <c r="F32" s="142"/>
      <c r="G32" s="142"/>
      <c r="H32" s="142"/>
      <c r="I32" s="142"/>
      <c r="J32" s="142"/>
      <c r="K32" s="143">
        <f>CHOOSE($C$2,K28,K29,K30)</f>
        <v>-0.62</v>
      </c>
      <c r="L32" s="143">
        <f t="shared" ref="L32:O32" si="19">CHOOSE($C$2,L28,L29,L30)</f>
        <v>-0.62</v>
      </c>
      <c r="M32" s="143">
        <f t="shared" si="19"/>
        <v>-0.62</v>
      </c>
      <c r="N32" s="143">
        <f t="shared" si="19"/>
        <v>-0.62</v>
      </c>
      <c r="O32" s="143">
        <f t="shared" si="19"/>
        <v>-0.62</v>
      </c>
    </row>
    <row r="33" spans="2:15">
      <c r="B33" s="168"/>
      <c r="J33" s="175"/>
      <c r="K33" s="175"/>
    </row>
    <row r="34" spans="2:15">
      <c r="B34" s="168"/>
      <c r="J34" s="175"/>
      <c r="K34" s="175"/>
    </row>
    <row r="35" spans="2:15">
      <c r="B35" s="168"/>
      <c r="J35" s="175"/>
      <c r="K35" s="175"/>
    </row>
    <row r="36" spans="2:15">
      <c r="B36" s="168"/>
      <c r="J36" s="175"/>
      <c r="K36" s="175"/>
    </row>
    <row r="38" spans="2:15">
      <c r="B38" s="137" t="s">
        <v>238</v>
      </c>
      <c r="C38" s="138">
        <v>43100</v>
      </c>
      <c r="D38" s="138">
        <v>43465</v>
      </c>
      <c r="E38" s="138">
        <v>43830</v>
      </c>
      <c r="F38" s="138">
        <v>44196</v>
      </c>
      <c r="G38" s="138">
        <v>44561</v>
      </c>
      <c r="H38" s="138">
        <v>44926</v>
      </c>
      <c r="I38" s="138">
        <v>45291</v>
      </c>
      <c r="J38" s="138">
        <v>45657</v>
      </c>
      <c r="K38" s="138">
        <v>46022</v>
      </c>
      <c r="L38" s="138">
        <v>46387</v>
      </c>
      <c r="M38" s="138">
        <v>46752</v>
      </c>
      <c r="N38" s="138">
        <v>47118</v>
      </c>
      <c r="O38" s="138">
        <v>47483</v>
      </c>
    </row>
    <row r="39" spans="2:15">
      <c r="B39" s="144" t="s">
        <v>215</v>
      </c>
      <c r="C39" s="188">
        <f>FS!C6</f>
        <v>-13156</v>
      </c>
      <c r="D39" s="188">
        <f>FS!D6</f>
        <v>-17732</v>
      </c>
      <c r="E39" s="188">
        <f>FS!E6</f>
        <v>-25775</v>
      </c>
      <c r="F39" s="188">
        <f>FS!F6</f>
        <v>-17568</v>
      </c>
      <c r="G39" s="188">
        <f>FS!G6</f>
        <v>-16723</v>
      </c>
      <c r="H39" s="188">
        <f>FS!H6</f>
        <v>-14730</v>
      </c>
      <c r="I39" s="188">
        <f>FS!I6</f>
        <v>-19599</v>
      </c>
      <c r="J39" s="188">
        <f>FS!J6</f>
        <v>-20876</v>
      </c>
      <c r="K39" s="167">
        <f>K49*K$9</f>
        <v>2736.6745431424783</v>
      </c>
      <c r="L39" s="167">
        <f t="shared" ref="L39:O39" si="20">L49*L$9</f>
        <v>631.76936244226272</v>
      </c>
      <c r="M39" s="167">
        <f t="shared" si="20"/>
        <v>-2336.5076749809741</v>
      </c>
      <c r="N39" s="167">
        <f t="shared" si="20"/>
        <v>-6413.9030429337427</v>
      </c>
      <c r="O39" s="167">
        <f t="shared" si="20"/>
        <v>-11907.237626115259</v>
      </c>
    </row>
    <row r="40" spans="2:15">
      <c r="B40" s="168" t="s">
        <v>210</v>
      </c>
      <c r="C40" s="169"/>
      <c r="D40" s="170">
        <f>D39/C39-1</f>
        <v>0.34782608695652173</v>
      </c>
      <c r="E40" s="170">
        <f t="shared" ref="E40:J40" si="21">E39/D39-1</f>
        <v>0.45358673584480047</v>
      </c>
      <c r="F40" s="170">
        <f t="shared" si="21"/>
        <v>-0.3184093113482056</v>
      </c>
      <c r="G40" s="170">
        <f t="shared" si="21"/>
        <v>-4.8098816029143898E-2</v>
      </c>
      <c r="H40" s="170">
        <f t="shared" si="21"/>
        <v>-0.11917718112778808</v>
      </c>
      <c r="I40" s="170">
        <f t="shared" si="21"/>
        <v>0.33054989816700608</v>
      </c>
      <c r="J40" s="170">
        <f t="shared" si="21"/>
        <v>6.5156385529874017E-2</v>
      </c>
      <c r="K40" s="171"/>
      <c r="L40" s="171"/>
      <c r="M40" s="171"/>
      <c r="N40" s="171"/>
      <c r="O40" s="171"/>
    </row>
    <row r="41" spans="2:15">
      <c r="B41" s="168" t="s">
        <v>213</v>
      </c>
      <c r="C41" s="170">
        <f>-C39/C$9</f>
        <v>2.2849600097261905E-2</v>
      </c>
      <c r="D41" s="172">
        <f t="shared" ref="D41:J41" si="22">-D39/D$9</f>
        <v>2.8050215770890546E-2</v>
      </c>
      <c r="E41" s="170">
        <f t="shared" si="22"/>
        <v>7.7335053556962408E-2</v>
      </c>
      <c r="F41" s="170">
        <f t="shared" si="22"/>
        <v>3.8502758180849875E-2</v>
      </c>
      <c r="G41" s="170">
        <f t="shared" si="22"/>
        <v>3.1737747479655048E-2</v>
      </c>
      <c r="H41" s="170">
        <f t="shared" si="22"/>
        <v>2.3326265247982113E-2</v>
      </c>
      <c r="I41" s="170">
        <f t="shared" si="22"/>
        <v>2.1581331636102565E-2</v>
      </c>
      <c r="J41" s="170">
        <f t="shared" si="22"/>
        <v>2.2427994813069604E-2</v>
      </c>
      <c r="K41" s="170">
        <f>-J43</f>
        <v>-2.7515219471531838E-2</v>
      </c>
      <c r="L41" s="170">
        <f>K41-0.002</f>
        <v>-2.9515219471531837E-2</v>
      </c>
      <c r="M41" s="170">
        <f t="shared" ref="M41:O41" si="23">L41-0.002</f>
        <v>-3.1515219471531838E-2</v>
      </c>
      <c r="N41" s="170">
        <f t="shared" si="23"/>
        <v>-3.351521947153184E-2</v>
      </c>
      <c r="O41" s="170">
        <f t="shared" si="23"/>
        <v>-3.5515219471531842E-2</v>
      </c>
    </row>
    <row r="42" spans="2:15">
      <c r="B42" s="148" t="s">
        <v>211</v>
      </c>
      <c r="C42" s="169"/>
      <c r="D42" s="172"/>
      <c r="E42" s="169"/>
      <c r="F42" s="169"/>
      <c r="G42" s="169"/>
      <c r="H42" s="169"/>
      <c r="I42" s="169"/>
      <c r="J42" s="170">
        <f>(J39/F39)^(1/5)-1</f>
        <v>3.5106398266058436E-2</v>
      </c>
      <c r="K42" s="171"/>
      <c r="L42" s="171"/>
      <c r="M42" s="171"/>
      <c r="N42" s="171"/>
      <c r="O42" s="171"/>
    </row>
    <row r="43" spans="2:15">
      <c r="B43" s="148" t="s">
        <v>214</v>
      </c>
      <c r="C43" s="169"/>
      <c r="D43" s="172"/>
      <c r="E43" s="169"/>
      <c r="F43" s="169"/>
      <c r="G43" s="169"/>
      <c r="H43" s="169"/>
      <c r="I43" s="169"/>
      <c r="J43" s="170">
        <f>AVERAGE(F41:J41)</f>
        <v>2.7515219471531838E-2</v>
      </c>
      <c r="K43" s="171"/>
      <c r="L43" s="171"/>
      <c r="M43" s="171"/>
      <c r="N43" s="171"/>
      <c r="O43" s="171"/>
    </row>
    <row r="45" spans="2:15">
      <c r="B45" s="148" t="s">
        <v>239</v>
      </c>
      <c r="C45" s="171"/>
      <c r="D45" s="173"/>
      <c r="E45" s="171"/>
      <c r="F45" s="171"/>
      <c r="G45" s="171"/>
      <c r="H45" s="171"/>
      <c r="I45" s="171"/>
      <c r="J45" s="171"/>
      <c r="K45" s="174">
        <f>K46+3%</f>
        <v>2.4847805284681605E-3</v>
      </c>
      <c r="L45" s="174">
        <f t="shared" ref="L45" si="24">L46+3%</f>
        <v>4.8478052846816222E-4</v>
      </c>
      <c r="M45" s="174">
        <f t="shared" ref="M45" si="25">M46+3%</f>
        <v>-1.5152194715318396E-3</v>
      </c>
      <c r="N45" s="174">
        <f t="shared" ref="N45" si="26">N46+3%</f>
        <v>-3.5152194715318413E-3</v>
      </c>
      <c r="O45" s="174">
        <f t="shared" ref="O45" si="27">O46+3%</f>
        <v>-5.5152194715318431E-3</v>
      </c>
    </row>
    <row r="46" spans="2:15">
      <c r="B46" s="148" t="s">
        <v>240</v>
      </c>
      <c r="C46" s="171"/>
      <c r="D46" s="173"/>
      <c r="E46" s="171"/>
      <c r="F46" s="171"/>
      <c r="G46" s="171"/>
      <c r="H46" s="171"/>
      <c r="I46" s="171"/>
      <c r="J46" s="171"/>
      <c r="K46" s="174">
        <f>K41</f>
        <v>-2.7515219471531838E-2</v>
      </c>
      <c r="L46" s="174">
        <f t="shared" ref="L46:O46" si="28">L41</f>
        <v>-2.9515219471531837E-2</v>
      </c>
      <c r="M46" s="174">
        <f t="shared" si="28"/>
        <v>-3.1515219471531838E-2</v>
      </c>
      <c r="N46" s="174">
        <f t="shared" si="28"/>
        <v>-3.351521947153184E-2</v>
      </c>
      <c r="O46" s="174">
        <f t="shared" si="28"/>
        <v>-3.5515219471531842E-2</v>
      </c>
    </row>
    <row r="47" spans="2:15">
      <c r="B47" s="148" t="s">
        <v>241</v>
      </c>
      <c r="C47" s="171"/>
      <c r="D47" s="171"/>
      <c r="E47" s="171"/>
      <c r="F47" s="171"/>
      <c r="G47" s="171"/>
      <c r="H47" s="171"/>
      <c r="I47" s="171"/>
      <c r="J47" s="171"/>
      <c r="K47" s="174">
        <f>K46-3%</f>
        <v>-5.7515219471531834E-2</v>
      </c>
      <c r="L47" s="174">
        <f t="shared" ref="L47" si="29">L46-3%</f>
        <v>-5.9515219471531836E-2</v>
      </c>
      <c r="M47" s="174">
        <f t="shared" ref="M47" si="30">M46-3%</f>
        <v>-6.1515219471531837E-2</v>
      </c>
      <c r="N47" s="174">
        <f t="shared" ref="N47" si="31">N46-3%</f>
        <v>-6.3515219471531839E-2</v>
      </c>
      <c r="O47" s="174">
        <f t="shared" ref="O47" si="32">O46-3%</f>
        <v>-6.5515219471531841E-2</v>
      </c>
    </row>
    <row r="48" spans="2:15">
      <c r="D48" s="175"/>
    </row>
    <row r="49" spans="2:15">
      <c r="B49" s="142" t="s">
        <v>206</v>
      </c>
      <c r="C49" s="142"/>
      <c r="D49" s="143"/>
      <c r="E49" s="142"/>
      <c r="F49" s="142"/>
      <c r="G49" s="142"/>
      <c r="H49" s="142"/>
      <c r="I49" s="142"/>
      <c r="J49" s="142"/>
      <c r="K49" s="143">
        <f>CHOOSE($C$2,K45,K46,K47)</f>
        <v>2.4847805284681605E-3</v>
      </c>
      <c r="L49" s="143">
        <f t="shared" ref="L49:O49" si="33">CHOOSE($C$2,L45,L46,L47)</f>
        <v>4.8478052846816222E-4</v>
      </c>
      <c r="M49" s="143">
        <f t="shared" si="33"/>
        <v>-1.5152194715318396E-3</v>
      </c>
      <c r="N49" s="143">
        <f t="shared" si="33"/>
        <v>-3.5152194715318413E-3</v>
      </c>
      <c r="O49" s="143">
        <f t="shared" si="33"/>
        <v>-5.5152194715318431E-3</v>
      </c>
    </row>
    <row r="56" spans="2:15">
      <c r="B56" s="137" t="s">
        <v>238</v>
      </c>
      <c r="C56" s="138">
        <v>43100</v>
      </c>
      <c r="D56" s="138">
        <v>43465</v>
      </c>
      <c r="E56" s="138">
        <v>43830</v>
      </c>
      <c r="F56" s="138">
        <v>44196</v>
      </c>
      <c r="G56" s="138">
        <v>44561</v>
      </c>
      <c r="H56" s="138">
        <v>44926</v>
      </c>
      <c r="I56" s="138">
        <v>45291</v>
      </c>
      <c r="J56" s="138">
        <v>45657</v>
      </c>
      <c r="K56" s="138">
        <v>46022</v>
      </c>
      <c r="L56" s="138">
        <v>46387</v>
      </c>
      <c r="M56" s="138">
        <v>46752</v>
      </c>
      <c r="N56" s="138">
        <v>47118</v>
      </c>
      <c r="O56" s="138">
        <v>47483</v>
      </c>
    </row>
    <row r="57" spans="2:15">
      <c r="B57" s="144" t="s">
        <v>216</v>
      </c>
      <c r="C57" s="188">
        <f>FS!C7</f>
        <v>-27537</v>
      </c>
      <c r="D57" s="188">
        <f>FS!D7</f>
        <v>-39999</v>
      </c>
      <c r="E57" s="188">
        <f>FS!E7</f>
        <v>-30096</v>
      </c>
      <c r="F57" s="188">
        <f>FS!F7</f>
        <v>-31910</v>
      </c>
      <c r="G57" s="188">
        <f>FS!G7</f>
        <v>-44612</v>
      </c>
      <c r="H57" s="188">
        <f>FS!H7</f>
        <v>-40116</v>
      </c>
      <c r="I57" s="188">
        <f>FS!I7</f>
        <v>-79627</v>
      </c>
      <c r="J57" s="188">
        <f>FS!J7</f>
        <v>-87626</v>
      </c>
      <c r="K57" s="167">
        <f>K67*K$9</f>
        <v>-55057.87442659794</v>
      </c>
      <c r="L57" s="167">
        <f t="shared" ref="L57:O57" si="34">L67*L$9</f>
        <v>-68405.511780434128</v>
      </c>
      <c r="M57" s="167">
        <f t="shared" si="34"/>
        <v>-84796.215129323609</v>
      </c>
      <c r="N57" s="167">
        <f t="shared" si="34"/>
        <v>-104897.05272568107</v>
      </c>
      <c r="O57" s="167">
        <f t="shared" si="34"/>
        <v>-129517.38651968552</v>
      </c>
    </row>
    <row r="58" spans="2:15">
      <c r="B58" s="168" t="s">
        <v>210</v>
      </c>
      <c r="C58" s="169"/>
      <c r="D58" s="170">
        <f>D57/C57-1</f>
        <v>0.45255474452554734</v>
      </c>
      <c r="E58" s="170">
        <f t="shared" ref="E58:J58" si="35">E57/D57-1</f>
        <v>-0.24758118952973829</v>
      </c>
      <c r="F58" s="170">
        <f t="shared" si="35"/>
        <v>6.0273790536948368E-2</v>
      </c>
      <c r="G58" s="170">
        <f t="shared" si="35"/>
        <v>0.39805703541209647</v>
      </c>
      <c r="H58" s="170">
        <f t="shared" si="35"/>
        <v>-0.10078005917690303</v>
      </c>
      <c r="I58" s="170">
        <f t="shared" si="35"/>
        <v>0.98491873566656696</v>
      </c>
      <c r="J58" s="170">
        <f t="shared" si="35"/>
        <v>0.1004558755196101</v>
      </c>
      <c r="K58" s="171"/>
      <c r="L58" s="171"/>
      <c r="M58" s="171"/>
      <c r="N58" s="171"/>
      <c r="O58" s="171"/>
    </row>
    <row r="59" spans="2:15">
      <c r="B59" s="168" t="s">
        <v>213</v>
      </c>
      <c r="C59" s="170">
        <f>-C57/C$9</f>
        <v>4.7826804338575633E-2</v>
      </c>
      <c r="D59" s="172">
        <f>-D57/D$9</f>
        <v>6.3274339083005351E-2</v>
      </c>
      <c r="E59" s="170">
        <f t="shared" ref="E59:J59" si="36">-E57/E$9</f>
        <v>9.0299738966065593E-2</v>
      </c>
      <c r="F59" s="170">
        <f t="shared" si="36"/>
        <v>6.9935280825985852E-2</v>
      </c>
      <c r="G59" s="170">
        <f t="shared" si="36"/>
        <v>8.4666889347746868E-2</v>
      </c>
      <c r="H59" s="170">
        <f t="shared" si="36"/>
        <v>6.3527254357640894E-2</v>
      </c>
      <c r="I59" s="170">
        <f t="shared" si="36"/>
        <v>8.7680835460377513E-2</v>
      </c>
      <c r="J59" s="170">
        <f t="shared" si="36"/>
        <v>9.4140423140929158E-2</v>
      </c>
      <c r="K59" s="170">
        <f>J61</f>
        <v>-7.9990136626536062E-2</v>
      </c>
      <c r="L59" s="170">
        <f>K59-0.0025</f>
        <v>-8.2490136626536065E-2</v>
      </c>
      <c r="M59" s="170">
        <f>L59-0.0025</f>
        <v>-8.4990136626536067E-2</v>
      </c>
      <c r="N59" s="170">
        <f>M59-0.0025</f>
        <v>-8.7490136626536069E-2</v>
      </c>
      <c r="O59" s="170">
        <f>N59-0.0025</f>
        <v>-8.9990136626536071E-2</v>
      </c>
    </row>
    <row r="60" spans="2:15">
      <c r="B60" s="148" t="s">
        <v>211</v>
      </c>
      <c r="C60" s="169"/>
      <c r="D60" s="172"/>
      <c r="E60" s="169"/>
      <c r="F60" s="169"/>
      <c r="G60" s="169"/>
      <c r="H60" s="169"/>
      <c r="I60" s="169"/>
      <c r="J60" s="170">
        <f>(J57/F57)^(1/5)-1</f>
        <v>0.22388675997940166</v>
      </c>
      <c r="K60" s="171"/>
      <c r="L60" s="171"/>
      <c r="M60" s="171"/>
      <c r="N60" s="171"/>
      <c r="O60" s="171"/>
    </row>
    <row r="61" spans="2:15">
      <c r="B61" s="148" t="s">
        <v>214</v>
      </c>
      <c r="C61" s="169"/>
      <c r="D61" s="172"/>
      <c r="E61" s="169"/>
      <c r="F61" s="169"/>
      <c r="G61" s="169"/>
      <c r="H61" s="169"/>
      <c r="I61" s="169"/>
      <c r="J61" s="170">
        <f>-AVERAGE(F59:J59)</f>
        <v>-7.9990136626536062E-2</v>
      </c>
      <c r="K61" s="171"/>
      <c r="L61" s="171"/>
      <c r="M61" s="171"/>
      <c r="N61" s="171"/>
      <c r="O61" s="171"/>
    </row>
    <row r="63" spans="2:15">
      <c r="B63" s="148" t="s">
        <v>239</v>
      </c>
      <c r="C63" s="171"/>
      <c r="D63" s="173"/>
      <c r="E63" s="171"/>
      <c r="F63" s="171"/>
      <c r="G63" s="171"/>
      <c r="H63" s="171"/>
      <c r="I63" s="171"/>
      <c r="J63" s="171"/>
      <c r="K63" s="174">
        <f>K64+3%</f>
        <v>-4.9990136626536064E-2</v>
      </c>
      <c r="L63" s="174">
        <f t="shared" ref="L63" si="37">L64+3%</f>
        <v>-5.2490136626536066E-2</v>
      </c>
      <c r="M63" s="174">
        <f t="shared" ref="M63" si="38">M64+3%</f>
        <v>-5.4990136626536068E-2</v>
      </c>
      <c r="N63" s="174">
        <f t="shared" ref="N63" si="39">N64+3%</f>
        <v>-5.749013662653607E-2</v>
      </c>
      <c r="O63" s="174">
        <f t="shared" ref="O63" si="40">O64+3%</f>
        <v>-5.9990136626536072E-2</v>
      </c>
    </row>
    <row r="64" spans="2:15">
      <c r="B64" s="148" t="s">
        <v>240</v>
      </c>
      <c r="C64" s="171"/>
      <c r="D64" s="173"/>
      <c r="E64" s="171"/>
      <c r="F64" s="171"/>
      <c r="G64" s="171"/>
      <c r="H64" s="171"/>
      <c r="I64" s="171"/>
      <c r="J64" s="171"/>
      <c r="K64" s="174">
        <f>K59</f>
        <v>-7.9990136626536062E-2</v>
      </c>
      <c r="L64" s="174">
        <f t="shared" ref="L64:O64" si="41">L59</f>
        <v>-8.2490136626536065E-2</v>
      </c>
      <c r="M64" s="174">
        <f t="shared" si="41"/>
        <v>-8.4990136626536067E-2</v>
      </c>
      <c r="N64" s="174">
        <f t="shared" si="41"/>
        <v>-8.7490136626536069E-2</v>
      </c>
      <c r="O64" s="174">
        <f t="shared" si="41"/>
        <v>-8.9990136626536071E-2</v>
      </c>
    </row>
    <row r="65" spans="2:15">
      <c r="B65" s="148" t="s">
        <v>241</v>
      </c>
      <c r="C65" s="171"/>
      <c r="D65" s="171"/>
      <c r="E65" s="171"/>
      <c r="F65" s="171"/>
      <c r="G65" s="171"/>
      <c r="H65" s="171"/>
      <c r="I65" s="171"/>
      <c r="J65" s="171"/>
      <c r="K65" s="174">
        <f>K64-3%</f>
        <v>-0.10999013662653606</v>
      </c>
      <c r="L65" s="174">
        <f t="shared" ref="L65" si="42">L64-3%</f>
        <v>-0.11249013662653606</v>
      </c>
      <c r="M65" s="174">
        <f t="shared" ref="M65" si="43">M64-3%</f>
        <v>-0.11499013662653607</v>
      </c>
      <c r="N65" s="174">
        <f t="shared" ref="N65" si="44">N64-3%</f>
        <v>-0.11749013662653607</v>
      </c>
      <c r="O65" s="174">
        <f t="shared" ref="O65" si="45">O64-3%</f>
        <v>-0.11999013662653607</v>
      </c>
    </row>
    <row r="66" spans="2:15">
      <c r="D66" s="175"/>
    </row>
    <row r="67" spans="2:15">
      <c r="B67" s="142" t="s">
        <v>206</v>
      </c>
      <c r="C67" s="142"/>
      <c r="D67" s="143"/>
      <c r="E67" s="142"/>
      <c r="F67" s="142"/>
      <c r="G67" s="142"/>
      <c r="H67" s="142"/>
      <c r="I67" s="142"/>
      <c r="J67" s="142"/>
      <c r="K67" s="143">
        <f>CHOOSE($C$2,K63,K64,K65)</f>
        <v>-4.9990136626536064E-2</v>
      </c>
      <c r="L67" s="143">
        <f t="shared" ref="L67:O67" si="46">CHOOSE($C$2,L63,L64,L65)</f>
        <v>-5.2490136626536066E-2</v>
      </c>
      <c r="M67" s="143">
        <f t="shared" si="46"/>
        <v>-5.4990136626536068E-2</v>
      </c>
      <c r="N67" s="143">
        <f t="shared" si="46"/>
        <v>-5.749013662653607E-2</v>
      </c>
      <c r="O67" s="143">
        <f t="shared" si="46"/>
        <v>-5.9990136626536072E-2</v>
      </c>
    </row>
    <row r="73" spans="2:15">
      <c r="B73" s="137" t="s">
        <v>238</v>
      </c>
      <c r="C73" s="138">
        <v>43100</v>
      </c>
      <c r="D73" s="138">
        <v>43465</v>
      </c>
      <c r="E73" s="138">
        <v>43830</v>
      </c>
      <c r="F73" s="138">
        <v>44196</v>
      </c>
      <c r="G73" s="138">
        <v>44561</v>
      </c>
      <c r="H73" s="138">
        <v>44926</v>
      </c>
      <c r="I73" s="138">
        <v>45291</v>
      </c>
      <c r="J73" s="138">
        <v>45657</v>
      </c>
      <c r="K73" s="138">
        <v>46022</v>
      </c>
      <c r="L73" s="138">
        <v>46387</v>
      </c>
      <c r="M73" s="138">
        <v>46752</v>
      </c>
      <c r="N73" s="138">
        <v>47118</v>
      </c>
      <c r="O73" s="138">
        <v>47483</v>
      </c>
    </row>
    <row r="74" spans="2:15">
      <c r="B74" s="144" t="str">
        <f>FS!B8</f>
        <v>Administrative expenses</v>
      </c>
      <c r="C74" s="188">
        <f>FS!C8</f>
        <v>-56113</v>
      </c>
      <c r="D74" s="188">
        <f>FS!D8</f>
        <v>-67867</v>
      </c>
      <c r="E74" s="188">
        <f>FS!E8</f>
        <v>-91051</v>
      </c>
      <c r="F74" s="188">
        <f>FS!F8</f>
        <v>-72841</v>
      </c>
      <c r="G74" s="188">
        <f>FS!G8</f>
        <v>-79564</v>
      </c>
      <c r="H74" s="188">
        <f>FS!H8</f>
        <v>-70752</v>
      </c>
      <c r="I74" s="188">
        <f>FS!I8</f>
        <v>-22500</v>
      </c>
      <c r="J74" s="188">
        <f>FS!J8</f>
        <v>-135120</v>
      </c>
      <c r="K74" s="167">
        <f>K84*K$9</f>
        <v>-97499.208211624398</v>
      </c>
      <c r="L74" s="167">
        <f t="shared" ref="L74:O74" si="47">L84*L$9</f>
        <v>-117972.82034602419</v>
      </c>
      <c r="M74" s="167">
        <f t="shared" si="47"/>
        <v>-142675.95811240116</v>
      </c>
      <c r="N74" s="167">
        <f t="shared" si="47"/>
        <v>-172471.23183171332</v>
      </c>
      <c r="O74" s="167">
        <f t="shared" si="47"/>
        <v>-208395.36949863553</v>
      </c>
    </row>
    <row r="75" spans="2:15">
      <c r="B75" s="168" t="s">
        <v>210</v>
      </c>
      <c r="C75" s="169"/>
      <c r="D75" s="170">
        <f>D74/C74-1</f>
        <v>0.20947017625149256</v>
      </c>
      <c r="E75" s="170">
        <f t="shared" ref="E75:J75" si="48">E74/D74-1</f>
        <v>0.34160932411923328</v>
      </c>
      <c r="F75" s="170">
        <f t="shared" si="48"/>
        <v>-0.19999780342884754</v>
      </c>
      <c r="G75" s="170">
        <f t="shared" si="48"/>
        <v>9.2296920690270623E-2</v>
      </c>
      <c r="H75" s="170">
        <f t="shared" si="48"/>
        <v>-0.11075360715901661</v>
      </c>
      <c r="I75" s="170">
        <f t="shared" si="48"/>
        <v>-0.68198778833107188</v>
      </c>
      <c r="J75" s="170">
        <f t="shared" si="48"/>
        <v>5.0053333333333336</v>
      </c>
      <c r="K75" s="171"/>
      <c r="L75" s="171"/>
      <c r="M75" s="171"/>
      <c r="N75" s="171"/>
      <c r="O75" s="171"/>
    </row>
    <row r="76" spans="2:15">
      <c r="B76" s="168" t="s">
        <v>213</v>
      </c>
      <c r="C76" s="170">
        <f>-C74/C$9</f>
        <v>9.7458164355249108E-2</v>
      </c>
      <c r="D76" s="172">
        <f>-D74/D$9</f>
        <v>0.10735867323048887</v>
      </c>
      <c r="E76" s="170">
        <f t="shared" ref="E76:J76" si="49">-E74/E$9</f>
        <v>0.27318851450688592</v>
      </c>
      <c r="F76" s="170">
        <f t="shared" si="49"/>
        <v>0.15964135978206317</v>
      </c>
      <c r="G76" s="170">
        <f t="shared" si="49"/>
        <v>0.15100054658083323</v>
      </c>
      <c r="H76" s="170">
        <f t="shared" si="49"/>
        <v>0.11204208545996133</v>
      </c>
      <c r="I76" s="170">
        <f t="shared" si="49"/>
        <v>2.4775751916542053E-2</v>
      </c>
      <c r="J76" s="170">
        <f t="shared" si="49"/>
        <v>0.14516529311850762</v>
      </c>
      <c r="K76" s="170">
        <f>J78</f>
        <v>-0.11852500737158149</v>
      </c>
      <c r="L76" s="170">
        <f>K76-0.002</f>
        <v>-0.12052500737158149</v>
      </c>
      <c r="M76" s="170">
        <f t="shared" ref="M76:O76" si="50">L76-0.002</f>
        <v>-0.12252500737158149</v>
      </c>
      <c r="N76" s="170">
        <f t="shared" si="50"/>
        <v>-0.12452500737158149</v>
      </c>
      <c r="O76" s="170">
        <f t="shared" si="50"/>
        <v>-0.12652500737158148</v>
      </c>
    </row>
    <row r="77" spans="2:15">
      <c r="B77" s="148" t="s">
        <v>211</v>
      </c>
      <c r="C77" s="169"/>
      <c r="D77" s="172"/>
      <c r="E77" s="169"/>
      <c r="F77" s="169"/>
      <c r="G77" s="169"/>
      <c r="H77" s="169"/>
      <c r="I77" s="169"/>
      <c r="J77" s="170">
        <f>(J74/F74)^(1/5)-1</f>
        <v>0.13153696864527364</v>
      </c>
      <c r="K77" s="171"/>
      <c r="L77" s="171"/>
      <c r="M77" s="171"/>
      <c r="N77" s="171"/>
      <c r="O77" s="171"/>
    </row>
    <row r="78" spans="2:15">
      <c r="B78" s="148" t="s">
        <v>214</v>
      </c>
      <c r="C78" s="169"/>
      <c r="D78" s="172"/>
      <c r="E78" s="169"/>
      <c r="F78" s="169"/>
      <c r="G78" s="169"/>
      <c r="H78" s="169"/>
      <c r="I78" s="169"/>
      <c r="J78" s="170">
        <f>-AVERAGE(F76:J76)</f>
        <v>-0.11852500737158149</v>
      </c>
      <c r="K78" s="171"/>
      <c r="L78" s="171"/>
      <c r="M78" s="171"/>
      <c r="N78" s="171"/>
      <c r="O78" s="171"/>
    </row>
    <row r="80" spans="2:15">
      <c r="B80" s="148" t="s">
        <v>239</v>
      </c>
      <c r="C80" s="171"/>
      <c r="D80" s="173"/>
      <c r="E80" s="171"/>
      <c r="F80" s="171"/>
      <c r="G80" s="171"/>
      <c r="H80" s="171"/>
      <c r="I80" s="171"/>
      <c r="J80" s="171"/>
      <c r="K80" s="174">
        <f>K81+3%</f>
        <v>-8.8525007371581491E-2</v>
      </c>
      <c r="L80" s="174">
        <f t="shared" ref="L80" si="51">L81+3%</f>
        <v>-9.0525007371581492E-2</v>
      </c>
      <c r="M80" s="174">
        <f t="shared" ref="M80" si="52">M81+3%</f>
        <v>-9.2525007371581494E-2</v>
      </c>
      <c r="N80" s="174">
        <f t="shared" ref="N80" si="53">N81+3%</f>
        <v>-9.4525007371581496E-2</v>
      </c>
      <c r="O80" s="174">
        <f t="shared" ref="O80" si="54">O81+3%</f>
        <v>-9.6525007371581484E-2</v>
      </c>
    </row>
    <row r="81" spans="2:15">
      <c r="B81" s="148" t="s">
        <v>240</v>
      </c>
      <c r="C81" s="171"/>
      <c r="D81" s="173"/>
      <c r="E81" s="171"/>
      <c r="F81" s="171"/>
      <c r="G81" s="171"/>
      <c r="H81" s="171"/>
      <c r="I81" s="171"/>
      <c r="J81" s="171"/>
      <c r="K81" s="174">
        <f>K76</f>
        <v>-0.11852500737158149</v>
      </c>
      <c r="L81" s="174">
        <f t="shared" ref="L81:O81" si="55">L76</f>
        <v>-0.12052500737158149</v>
      </c>
      <c r="M81" s="174">
        <f t="shared" si="55"/>
        <v>-0.12252500737158149</v>
      </c>
      <c r="N81" s="174">
        <f t="shared" si="55"/>
        <v>-0.12452500737158149</v>
      </c>
      <c r="O81" s="174">
        <f t="shared" si="55"/>
        <v>-0.12652500737158148</v>
      </c>
    </row>
    <row r="82" spans="2:15">
      <c r="B82" s="148" t="s">
        <v>241</v>
      </c>
      <c r="C82" s="171"/>
      <c r="D82" s="171"/>
      <c r="E82" s="171"/>
      <c r="F82" s="171"/>
      <c r="G82" s="171"/>
      <c r="H82" s="171"/>
      <c r="I82" s="171"/>
      <c r="J82" s="171"/>
      <c r="K82" s="174">
        <f>K81-3%</f>
        <v>-0.14852500737158147</v>
      </c>
      <c r="L82" s="174">
        <f t="shared" ref="L82" si="56">L81-3%</f>
        <v>-0.15052500737158148</v>
      </c>
      <c r="M82" s="174">
        <f t="shared" ref="M82" si="57">M81-3%</f>
        <v>-0.15252500737158148</v>
      </c>
      <c r="N82" s="174">
        <f t="shared" ref="N82" si="58">N81-3%</f>
        <v>-0.15452500737158148</v>
      </c>
      <c r="O82" s="174">
        <f t="shared" ref="O82" si="59">O81-3%</f>
        <v>-0.15652500737158148</v>
      </c>
    </row>
    <row r="83" spans="2:15">
      <c r="D83" s="175"/>
    </row>
    <row r="84" spans="2:15">
      <c r="B84" s="142" t="s">
        <v>206</v>
      </c>
      <c r="C84" s="142"/>
      <c r="D84" s="143"/>
      <c r="E84" s="142"/>
      <c r="F84" s="142"/>
      <c r="G84" s="142"/>
      <c r="H84" s="142"/>
      <c r="I84" s="142"/>
      <c r="J84" s="142"/>
      <c r="K84" s="143">
        <f>CHOOSE($C$2,K80,K81,K82)</f>
        <v>-8.8525007371581491E-2</v>
      </c>
      <c r="L84" s="143">
        <f t="shared" ref="L84:O84" si="60">CHOOSE($C$2,L80,L81,L82)</f>
        <v>-9.0525007371581492E-2</v>
      </c>
      <c r="M84" s="143">
        <f t="shared" si="60"/>
        <v>-9.2525007371581494E-2</v>
      </c>
      <c r="N84" s="143">
        <f t="shared" si="60"/>
        <v>-9.4525007371581496E-2</v>
      </c>
      <c r="O84" s="143">
        <f t="shared" si="60"/>
        <v>-9.6525007371581484E-2</v>
      </c>
    </row>
    <row r="85" spans="2:15">
      <c r="B85" s="168"/>
      <c r="J85" s="175"/>
    </row>
    <row r="86" spans="2:15">
      <c r="B86" s="168"/>
      <c r="J86" s="175"/>
    </row>
    <row r="87" spans="2:15">
      <c r="B87" s="168"/>
      <c r="J87" s="175"/>
    </row>
    <row r="88" spans="2:15">
      <c r="B88" s="168"/>
      <c r="J88" s="175"/>
    </row>
    <row r="90" spans="2:15">
      <c r="B90" s="137" t="s">
        <v>238</v>
      </c>
      <c r="C90" s="138">
        <v>43100</v>
      </c>
      <c r="D90" s="138">
        <v>43465</v>
      </c>
      <c r="E90" s="138">
        <v>43830</v>
      </c>
      <c r="F90" s="138">
        <v>44196</v>
      </c>
      <c r="G90" s="138">
        <v>44561</v>
      </c>
      <c r="H90" s="138">
        <v>44926</v>
      </c>
      <c r="I90" s="138">
        <v>45291</v>
      </c>
      <c r="J90" s="138">
        <v>45657</v>
      </c>
      <c r="K90" s="138">
        <v>46022</v>
      </c>
      <c r="L90" s="138">
        <v>46387</v>
      </c>
      <c r="M90" s="138">
        <v>46752</v>
      </c>
      <c r="N90" s="138">
        <v>47118</v>
      </c>
      <c r="O90" s="138">
        <v>47483</v>
      </c>
    </row>
    <row r="91" spans="2:15">
      <c r="B91" s="144" t="s">
        <v>217</v>
      </c>
      <c r="C91" s="188">
        <f>FS!C11</f>
        <v>0</v>
      </c>
      <c r="D91" s="188">
        <f>FS!D11</f>
        <v>0</v>
      </c>
      <c r="E91" s="188">
        <f>FS!E11</f>
        <v>0</v>
      </c>
      <c r="F91" s="188">
        <f>FS!F11</f>
        <v>0</v>
      </c>
      <c r="G91" s="188">
        <f>FS!G11</f>
        <v>0</v>
      </c>
      <c r="H91" s="188">
        <f>FS!H11</f>
        <v>12457</v>
      </c>
      <c r="I91" s="188">
        <f>FS!I11</f>
        <v>11017</v>
      </c>
      <c r="J91" s="188">
        <f>FS!J11</f>
        <v>11442</v>
      </c>
      <c r="K91" s="167">
        <f>K101*K$9</f>
        <v>49250.070285984308</v>
      </c>
      <c r="L91" s="167">
        <f t="shared" ref="L91:O91" si="61">L101*L$9</f>
        <v>58275.382216898892</v>
      </c>
      <c r="M91" s="167">
        <f t="shared" si="61"/>
        <v>68954.625908261951</v>
      </c>
      <c r="N91" s="167">
        <f t="shared" si="61"/>
        <v>81590.892299107989</v>
      </c>
      <c r="O91" s="167">
        <f t="shared" si="61"/>
        <v>96542.815198813318</v>
      </c>
    </row>
    <row r="92" spans="2:15">
      <c r="B92" s="168" t="s">
        <v>210</v>
      </c>
      <c r="C92" s="169"/>
      <c r="D92" s="170" t="e">
        <f>D91/C91-1</f>
        <v>#DIV/0!</v>
      </c>
      <c r="E92" s="170" t="e">
        <f t="shared" ref="E92:J92" si="62">E91/D91-1</f>
        <v>#DIV/0!</v>
      </c>
      <c r="F92" s="170" t="e">
        <f t="shared" si="62"/>
        <v>#DIV/0!</v>
      </c>
      <c r="G92" s="170" t="e">
        <f t="shared" si="62"/>
        <v>#DIV/0!</v>
      </c>
      <c r="H92" s="170" t="e">
        <f t="shared" si="62"/>
        <v>#DIV/0!</v>
      </c>
      <c r="I92" s="170">
        <f t="shared" si="62"/>
        <v>-0.11559765593642124</v>
      </c>
      <c r="J92" s="170">
        <f t="shared" si="62"/>
        <v>3.8576745030407533E-2</v>
      </c>
      <c r="K92" s="171"/>
      <c r="L92" s="171"/>
      <c r="M92" s="171"/>
      <c r="N92" s="171"/>
      <c r="O92" s="171"/>
    </row>
    <row r="93" spans="2:15">
      <c r="B93" s="168" t="s">
        <v>213</v>
      </c>
      <c r="C93" s="170">
        <f>C91/C$9</f>
        <v>0</v>
      </c>
      <c r="D93" s="172">
        <f t="shared" ref="D93:J93" si="63">D91/D$9</f>
        <v>0</v>
      </c>
      <c r="E93" s="170">
        <f t="shared" si="63"/>
        <v>0</v>
      </c>
      <c r="F93" s="170">
        <f t="shared" si="63"/>
        <v>0</v>
      </c>
      <c r="G93" s="170">
        <f t="shared" si="63"/>
        <v>0</v>
      </c>
      <c r="H93" s="170">
        <f t="shared" si="63"/>
        <v>1.9726767562397364E-2</v>
      </c>
      <c r="I93" s="170">
        <f t="shared" si="63"/>
        <v>1.2131309282868614E-2</v>
      </c>
      <c r="J93" s="170">
        <f t="shared" si="63"/>
        <v>1.2292638276065453E-2</v>
      </c>
      <c r="K93" s="170">
        <f>$J$95</f>
        <v>1.4716905040443812E-2</v>
      </c>
      <c r="L93" s="170">
        <f>$J$95</f>
        <v>1.4716905040443812E-2</v>
      </c>
      <c r="M93" s="170">
        <f>$J$95</f>
        <v>1.4716905040443812E-2</v>
      </c>
      <c r="N93" s="170">
        <f>$J$95</f>
        <v>1.4716905040443812E-2</v>
      </c>
      <c r="O93" s="170">
        <f>$J$95</f>
        <v>1.4716905040443812E-2</v>
      </c>
    </row>
    <row r="94" spans="2:15">
      <c r="B94" s="148" t="s">
        <v>218</v>
      </c>
      <c r="C94" s="169"/>
      <c r="D94" s="172"/>
      <c r="E94" s="169"/>
      <c r="F94" s="169"/>
      <c r="G94" s="169"/>
      <c r="H94" s="169"/>
      <c r="I94" s="169"/>
      <c r="J94" s="170">
        <f>(J91/H91)^(1/3)-1</f>
        <v>-2.793308991272081E-2</v>
      </c>
      <c r="K94" s="171"/>
      <c r="L94" s="171"/>
      <c r="M94" s="171"/>
      <c r="N94" s="171"/>
      <c r="O94" s="171"/>
    </row>
    <row r="95" spans="2:15">
      <c r="B95" s="148" t="s">
        <v>219</v>
      </c>
      <c r="C95" s="169"/>
      <c r="D95" s="172"/>
      <c r="E95" s="169"/>
      <c r="F95" s="169"/>
      <c r="G95" s="169"/>
      <c r="H95" s="169"/>
      <c r="I95" s="169"/>
      <c r="J95" s="170">
        <f>AVERAGE(H93:J93)</f>
        <v>1.4716905040443812E-2</v>
      </c>
      <c r="K95" s="171"/>
      <c r="L95" s="171"/>
      <c r="M95" s="171"/>
      <c r="N95" s="171"/>
      <c r="O95" s="171"/>
    </row>
    <row r="97" spans="2:15">
      <c r="B97" s="148" t="s">
        <v>239</v>
      </c>
      <c r="C97" s="171"/>
      <c r="D97" s="173"/>
      <c r="E97" s="171"/>
      <c r="F97" s="171"/>
      <c r="G97" s="171"/>
      <c r="H97" s="171"/>
      <c r="I97" s="171"/>
      <c r="J97" s="171"/>
      <c r="K97" s="174">
        <f>K98+3%</f>
        <v>4.4716905040443809E-2</v>
      </c>
      <c r="L97" s="174">
        <f t="shared" ref="L97" si="64">L98+3%</f>
        <v>4.4716905040443809E-2</v>
      </c>
      <c r="M97" s="174">
        <f t="shared" ref="M97" si="65">M98+3%</f>
        <v>4.4716905040443809E-2</v>
      </c>
      <c r="N97" s="174">
        <f t="shared" ref="N97" si="66">N98+3%</f>
        <v>4.4716905040443809E-2</v>
      </c>
      <c r="O97" s="174">
        <f t="shared" ref="O97" si="67">O98+3%</f>
        <v>4.4716905040443809E-2</v>
      </c>
    </row>
    <row r="98" spans="2:15">
      <c r="B98" s="148" t="s">
        <v>240</v>
      </c>
      <c r="C98" s="171"/>
      <c r="D98" s="173"/>
      <c r="E98" s="171"/>
      <c r="F98" s="171"/>
      <c r="G98" s="171"/>
      <c r="H98" s="171"/>
      <c r="I98" s="171"/>
      <c r="J98" s="171"/>
      <c r="K98" s="174">
        <f>K93</f>
        <v>1.4716905040443812E-2</v>
      </c>
      <c r="L98" s="174">
        <f t="shared" ref="L98:O98" si="68">L93</f>
        <v>1.4716905040443812E-2</v>
      </c>
      <c r="M98" s="174">
        <f t="shared" si="68"/>
        <v>1.4716905040443812E-2</v>
      </c>
      <c r="N98" s="174">
        <f t="shared" si="68"/>
        <v>1.4716905040443812E-2</v>
      </c>
      <c r="O98" s="174">
        <f t="shared" si="68"/>
        <v>1.4716905040443812E-2</v>
      </c>
    </row>
    <row r="99" spans="2:15">
      <c r="B99" s="148" t="s">
        <v>241</v>
      </c>
      <c r="C99" s="171"/>
      <c r="D99" s="171"/>
      <c r="E99" s="171"/>
      <c r="F99" s="171"/>
      <c r="G99" s="171"/>
      <c r="H99" s="171"/>
      <c r="I99" s="171"/>
      <c r="J99" s="171"/>
      <c r="K99" s="174">
        <f>K98-3%</f>
        <v>-1.5283094959556187E-2</v>
      </c>
      <c r="L99" s="174">
        <f t="shared" ref="L99" si="69">L98-3%</f>
        <v>-1.5283094959556187E-2</v>
      </c>
      <c r="M99" s="174">
        <f t="shared" ref="M99" si="70">M98-3%</f>
        <v>-1.5283094959556187E-2</v>
      </c>
      <c r="N99" s="174">
        <f t="shared" ref="N99" si="71">N98-3%</f>
        <v>-1.5283094959556187E-2</v>
      </c>
      <c r="O99" s="174">
        <f t="shared" ref="O99" si="72">O98-3%</f>
        <v>-1.5283094959556187E-2</v>
      </c>
    </row>
    <row r="100" spans="2:15">
      <c r="D100" s="175"/>
    </row>
    <row r="101" spans="2:15">
      <c r="B101" s="142" t="s">
        <v>206</v>
      </c>
      <c r="C101" s="142"/>
      <c r="D101" s="143"/>
      <c r="E101" s="142"/>
      <c r="F101" s="142"/>
      <c r="G101" s="142"/>
      <c r="H101" s="142"/>
      <c r="I101" s="142"/>
      <c r="J101" s="142"/>
      <c r="K101" s="143">
        <f>CHOOSE($C$2,K97,K98,K99)</f>
        <v>4.4716905040443809E-2</v>
      </c>
      <c r="L101" s="143">
        <f t="shared" ref="L101:O101" si="73">CHOOSE($C$2,L97,L98,L99)</f>
        <v>4.4716905040443809E-2</v>
      </c>
      <c r="M101" s="143">
        <f t="shared" si="73"/>
        <v>4.4716905040443809E-2</v>
      </c>
      <c r="N101" s="143">
        <f t="shared" si="73"/>
        <v>4.4716905040443809E-2</v>
      </c>
      <c r="O101" s="143">
        <f t="shared" si="73"/>
        <v>4.4716905040443809E-2</v>
      </c>
    </row>
    <row r="102" spans="2:15">
      <c r="B102" s="168"/>
      <c r="J102" s="175"/>
    </row>
    <row r="103" spans="2:15">
      <c r="B103" s="168"/>
      <c r="J103" s="175"/>
    </row>
    <row r="104" spans="2:15">
      <c r="B104" s="168"/>
      <c r="J104" s="175"/>
    </row>
    <row r="105" spans="2:15">
      <c r="B105" s="168"/>
      <c r="J105" s="175"/>
    </row>
    <row r="106" spans="2:15">
      <c r="B106" s="168"/>
      <c r="J106" s="175"/>
    </row>
    <row r="108" spans="2:15">
      <c r="B108" s="137" t="s">
        <v>238</v>
      </c>
      <c r="C108" s="138">
        <v>43100</v>
      </c>
      <c r="D108" s="138">
        <v>43465</v>
      </c>
      <c r="E108" s="138">
        <v>43830</v>
      </c>
      <c r="F108" s="138">
        <v>44196</v>
      </c>
      <c r="G108" s="138">
        <v>44561</v>
      </c>
      <c r="H108" s="138">
        <v>44926</v>
      </c>
      <c r="I108" s="138">
        <v>45291</v>
      </c>
      <c r="J108" s="138">
        <v>45657</v>
      </c>
      <c r="K108" s="138">
        <v>46022</v>
      </c>
      <c r="L108" s="138">
        <v>46387</v>
      </c>
      <c r="M108" s="138">
        <v>46752</v>
      </c>
      <c r="N108" s="138">
        <v>47118</v>
      </c>
      <c r="O108" s="138">
        <v>47483</v>
      </c>
    </row>
    <row r="109" spans="2:15">
      <c r="B109" s="144" t="s">
        <v>220</v>
      </c>
      <c r="C109" s="188">
        <f>-Adjustment!C5</f>
        <v>-9705</v>
      </c>
      <c r="D109" s="188">
        <f>-Adjustment!D5</f>
        <v>-9533</v>
      </c>
      <c r="E109" s="188">
        <f>-Adjustment!E5</f>
        <v>-11042</v>
      </c>
      <c r="F109" s="188">
        <f>-Adjustment!F5</f>
        <v>-13221</v>
      </c>
      <c r="G109" s="188">
        <f>-Adjustment!G5</f>
        <v>-13332</v>
      </c>
      <c r="H109" s="188">
        <f>-Adjustment!H5</f>
        <v>-14595</v>
      </c>
      <c r="I109" s="188">
        <f>-Adjustment!I5</f>
        <v>-19084</v>
      </c>
      <c r="J109" s="188">
        <f>-Adjustment!J5</f>
        <v>-19914</v>
      </c>
      <c r="K109" s="167">
        <f>K119*K$9</f>
        <v>6652.5172784054057</v>
      </c>
      <c r="L109" s="167">
        <f t="shared" ref="L109:O109" si="74">L119*L$9</f>
        <v>7871.6230221081587</v>
      </c>
      <c r="M109" s="167">
        <f t="shared" si="74"/>
        <v>9314.1357487816167</v>
      </c>
      <c r="N109" s="167">
        <f t="shared" si="74"/>
        <v>11020.995861092148</v>
      </c>
      <c r="O109" s="167">
        <f t="shared" si="74"/>
        <v>13040.646287133915</v>
      </c>
    </row>
    <row r="110" spans="2:15">
      <c r="B110" s="168" t="s">
        <v>210</v>
      </c>
      <c r="C110" s="169"/>
      <c r="D110" s="170">
        <f>D109/C109-1</f>
        <v>-1.7722823286965506E-2</v>
      </c>
      <c r="E110" s="170">
        <f t="shared" ref="E110:J110" si="75">E109/D109-1</f>
        <v>0.15829224798069852</v>
      </c>
      <c r="F110" s="170">
        <f t="shared" si="75"/>
        <v>0.19733743886976995</v>
      </c>
      <c r="G110" s="170">
        <f t="shared" si="75"/>
        <v>8.3957340594509322E-3</v>
      </c>
      <c r="H110" s="170">
        <f t="shared" si="75"/>
        <v>9.4734473447344758E-2</v>
      </c>
      <c r="I110" s="170">
        <f t="shared" si="75"/>
        <v>0.30757108598835226</v>
      </c>
      <c r="J110" s="170">
        <f t="shared" si="75"/>
        <v>4.3491930412911328E-2</v>
      </c>
      <c r="K110" s="171"/>
      <c r="L110" s="171"/>
      <c r="M110" s="171"/>
      <c r="N110" s="171"/>
      <c r="O110" s="171"/>
    </row>
    <row r="111" spans="2:15">
      <c r="B111" s="168" t="s">
        <v>213</v>
      </c>
      <c r="C111" s="170">
        <f>C109/C$9</f>
        <v>-1.6855835280018758E-2</v>
      </c>
      <c r="D111" s="172">
        <f>D109/D$9</f>
        <v>-1.5080233867803945E-2</v>
      </c>
      <c r="E111" s="170">
        <f t="shared" ref="E111:J111" si="76">E109/E$9</f>
        <v>-3.3130306939902189E-2</v>
      </c>
      <c r="F111" s="170">
        <f t="shared" si="76"/>
        <v>-2.8975692503928518E-2</v>
      </c>
      <c r="G111" s="170">
        <f t="shared" si="76"/>
        <v>-2.5302137738369975E-2</v>
      </c>
      <c r="H111" s="170">
        <f t="shared" si="76"/>
        <v>-2.3112480739599383E-2</v>
      </c>
      <c r="I111" s="170">
        <f t="shared" si="76"/>
        <v>-2.1014242203346158E-2</v>
      </c>
      <c r="J111" s="170">
        <f t="shared" si="76"/>
        <v>-2.1394476370351988E-2</v>
      </c>
      <c r="K111" s="170">
        <f>$J$113</f>
        <v>-2.3959805911119202E-2</v>
      </c>
      <c r="L111" s="170">
        <f>$J$113</f>
        <v>-2.3959805911119202E-2</v>
      </c>
      <c r="M111" s="170">
        <f>$J$113</f>
        <v>-2.3959805911119202E-2</v>
      </c>
      <c r="N111" s="170">
        <f>$J$113</f>
        <v>-2.3959805911119202E-2</v>
      </c>
      <c r="O111" s="170">
        <f>$J$113</f>
        <v>-2.3959805911119202E-2</v>
      </c>
    </row>
    <row r="112" spans="2:15">
      <c r="B112" s="148" t="s">
        <v>211</v>
      </c>
      <c r="C112" s="169"/>
      <c r="D112" s="172"/>
      <c r="E112" s="169"/>
      <c r="F112" s="169"/>
      <c r="G112" s="169"/>
      <c r="H112" s="169"/>
      <c r="I112" s="169"/>
      <c r="J112" s="170">
        <f>(J109/F109)^(1/5)-1</f>
        <v>8.5372564517737892E-2</v>
      </c>
      <c r="K112" s="171"/>
      <c r="L112" s="171"/>
      <c r="M112" s="171"/>
      <c r="N112" s="171"/>
      <c r="O112" s="171"/>
    </row>
    <row r="113" spans="2:15">
      <c r="B113" s="148" t="s">
        <v>219</v>
      </c>
      <c r="C113" s="169"/>
      <c r="D113" s="172"/>
      <c r="E113" s="169"/>
      <c r="F113" s="169"/>
      <c r="G113" s="169"/>
      <c r="H113" s="169"/>
      <c r="I113" s="169"/>
      <c r="J113" s="170">
        <f>AVERAGE(F111:J111)</f>
        <v>-2.3959805911119202E-2</v>
      </c>
      <c r="K113" s="171"/>
      <c r="L113" s="171"/>
      <c r="M113" s="171"/>
      <c r="N113" s="171"/>
      <c r="O113" s="171"/>
    </row>
    <row r="115" spans="2:15">
      <c r="B115" s="148" t="s">
        <v>239</v>
      </c>
      <c r="C115" s="171"/>
      <c r="D115" s="173"/>
      <c r="E115" s="171"/>
      <c r="F115" s="171"/>
      <c r="G115" s="171"/>
      <c r="H115" s="171"/>
      <c r="I115" s="171"/>
      <c r="J115" s="171"/>
      <c r="K115" s="174">
        <f>K116+3%</f>
        <v>6.0401940888807973E-3</v>
      </c>
      <c r="L115" s="174">
        <f t="shared" ref="L115" si="77">L116+3%</f>
        <v>6.0401940888807973E-3</v>
      </c>
      <c r="M115" s="174">
        <f t="shared" ref="M115" si="78">M116+3%</f>
        <v>6.0401940888807973E-3</v>
      </c>
      <c r="N115" s="174">
        <f t="shared" ref="N115" si="79">N116+3%</f>
        <v>6.0401940888807973E-3</v>
      </c>
      <c r="O115" s="174">
        <f t="shared" ref="O115" si="80">O116+3%</f>
        <v>6.0401940888807973E-3</v>
      </c>
    </row>
    <row r="116" spans="2:15">
      <c r="B116" s="148" t="s">
        <v>240</v>
      </c>
      <c r="C116" s="171"/>
      <c r="D116" s="173"/>
      <c r="E116" s="171"/>
      <c r="F116" s="171"/>
      <c r="G116" s="171"/>
      <c r="H116" s="171"/>
      <c r="I116" s="171"/>
      <c r="J116" s="171"/>
      <c r="K116" s="174">
        <f>K111</f>
        <v>-2.3959805911119202E-2</v>
      </c>
      <c r="L116" s="174">
        <f t="shared" ref="L116:O116" si="81">L111</f>
        <v>-2.3959805911119202E-2</v>
      </c>
      <c r="M116" s="174">
        <f t="shared" si="81"/>
        <v>-2.3959805911119202E-2</v>
      </c>
      <c r="N116" s="174">
        <f t="shared" si="81"/>
        <v>-2.3959805911119202E-2</v>
      </c>
      <c r="O116" s="174">
        <f t="shared" si="81"/>
        <v>-2.3959805911119202E-2</v>
      </c>
    </row>
    <row r="117" spans="2:15">
      <c r="B117" s="148" t="s">
        <v>241</v>
      </c>
      <c r="C117" s="171"/>
      <c r="D117" s="171"/>
      <c r="E117" s="171"/>
      <c r="F117" s="171"/>
      <c r="G117" s="171"/>
      <c r="H117" s="171"/>
      <c r="I117" s="171"/>
      <c r="J117" s="171"/>
      <c r="K117" s="174">
        <f>K116-3%</f>
        <v>-5.39598059111192E-2</v>
      </c>
      <c r="L117" s="174">
        <f t="shared" ref="L117" si="82">L116-3%</f>
        <v>-5.39598059111192E-2</v>
      </c>
      <c r="M117" s="174">
        <f t="shared" ref="M117" si="83">M116-3%</f>
        <v>-5.39598059111192E-2</v>
      </c>
      <c r="N117" s="174">
        <f t="shared" ref="N117" si="84">N116-3%</f>
        <v>-5.39598059111192E-2</v>
      </c>
      <c r="O117" s="174">
        <f t="shared" ref="O117" si="85">O116-3%</f>
        <v>-5.39598059111192E-2</v>
      </c>
    </row>
    <row r="118" spans="2:15">
      <c r="D118" s="175"/>
    </row>
    <row r="119" spans="2:15">
      <c r="B119" s="142" t="s">
        <v>206</v>
      </c>
      <c r="C119" s="142"/>
      <c r="D119" s="143"/>
      <c r="E119" s="142"/>
      <c r="F119" s="142"/>
      <c r="G119" s="142"/>
      <c r="H119" s="142"/>
      <c r="I119" s="142"/>
      <c r="J119" s="142"/>
      <c r="K119" s="143">
        <f>CHOOSE($C$2,K115,K116,K117)</f>
        <v>6.0401940888807973E-3</v>
      </c>
      <c r="L119" s="143">
        <f t="shared" ref="L119:O119" si="86">CHOOSE($C$2,L115,L116,L117)</f>
        <v>6.0401940888807973E-3</v>
      </c>
      <c r="M119" s="143">
        <f t="shared" si="86"/>
        <v>6.0401940888807973E-3</v>
      </c>
      <c r="N119" s="143">
        <f t="shared" si="86"/>
        <v>6.0401940888807973E-3</v>
      </c>
      <c r="O119" s="143">
        <f t="shared" si="86"/>
        <v>6.0401940888807973E-3</v>
      </c>
    </row>
    <row r="120" spans="2:15">
      <c r="B120" s="168"/>
      <c r="J120" s="175"/>
    </row>
    <row r="125" spans="2:15">
      <c r="B125" s="137" t="s">
        <v>238</v>
      </c>
      <c r="C125" s="138">
        <v>43100</v>
      </c>
      <c r="D125" s="138">
        <v>43465</v>
      </c>
      <c r="E125" s="138">
        <v>43830</v>
      </c>
      <c r="F125" s="138">
        <v>44196</v>
      </c>
      <c r="G125" s="138">
        <v>44561</v>
      </c>
      <c r="H125" s="138">
        <v>44926</v>
      </c>
      <c r="I125" s="138">
        <v>45291</v>
      </c>
      <c r="J125" s="138">
        <v>45657</v>
      </c>
      <c r="K125" s="138">
        <v>46022</v>
      </c>
      <c r="L125" s="138">
        <v>46387</v>
      </c>
      <c r="M125" s="138">
        <v>46752</v>
      </c>
      <c r="N125" s="138">
        <v>47118</v>
      </c>
      <c r="O125" s="138">
        <v>47483</v>
      </c>
    </row>
    <row r="126" spans="2:15">
      <c r="B126" s="144" t="s">
        <v>132</v>
      </c>
      <c r="C126" s="188">
        <f>FS!C16</f>
        <v>-17211</v>
      </c>
      <c r="D126" s="188">
        <f>FS!D16</f>
        <v>-59497</v>
      </c>
      <c r="E126" s="188">
        <f>FS!E16</f>
        <v>56331</v>
      </c>
      <c r="F126" s="188">
        <f>FS!F16</f>
        <v>-22830</v>
      </c>
      <c r="G126" s="188">
        <f>FS!G16</f>
        <v>-51</v>
      </c>
      <c r="H126" s="188">
        <f>FS!H16</f>
        <v>0</v>
      </c>
      <c r="I126" s="188">
        <f>FS!I16</f>
        <v>-36259</v>
      </c>
      <c r="J126" s="188">
        <f>FS!J16</f>
        <v>-27341</v>
      </c>
      <c r="K126" s="167"/>
      <c r="L126" s="167"/>
      <c r="M126" s="167"/>
      <c r="N126" s="167"/>
      <c r="O126" s="167"/>
    </row>
    <row r="127" spans="2:15">
      <c r="B127" s="168" t="s">
        <v>210</v>
      </c>
      <c r="C127" s="169"/>
      <c r="D127" s="170">
        <f>D126/C126-1</f>
        <v>2.4569170879088955</v>
      </c>
      <c r="E127" s="170">
        <f t="shared" ref="E127:J127" si="87">E126/D126-1</f>
        <v>-1.9467872329697296</v>
      </c>
      <c r="F127" s="170">
        <f t="shared" si="87"/>
        <v>-1.4052830590616179</v>
      </c>
      <c r="G127" s="170">
        <f t="shared" si="87"/>
        <v>-0.99776609724047305</v>
      </c>
      <c r="H127" s="170">
        <f t="shared" si="87"/>
        <v>-1</v>
      </c>
      <c r="I127" s="170" t="e">
        <f t="shared" si="87"/>
        <v>#DIV/0!</v>
      </c>
      <c r="J127" s="170">
        <f t="shared" si="87"/>
        <v>-0.24595272897763309</v>
      </c>
      <c r="K127" s="171"/>
      <c r="L127" s="171"/>
      <c r="M127" s="171"/>
      <c r="N127" s="171"/>
      <c r="O127" s="171"/>
    </row>
    <row r="128" spans="2:15">
      <c r="B128" s="168" t="s">
        <v>221</v>
      </c>
      <c r="C128" s="170">
        <f>C126/FS!C15</f>
        <v>-0.22825351776454517</v>
      </c>
      <c r="D128" s="172">
        <f>D126/FS!D15</f>
        <v>-0.95002155619780604</v>
      </c>
      <c r="E128" s="170">
        <f>E126/FS!E15</f>
        <v>-0.32495904192722153</v>
      </c>
      <c r="F128" s="170">
        <f>F126/FS!F15</f>
        <v>0.43792680119696153</v>
      </c>
      <c r="G128" s="170">
        <f>G126/FS!G15</f>
        <v>1.1038722105582131E-3</v>
      </c>
      <c r="H128" s="170">
        <f>H126/FS!H15</f>
        <v>0</v>
      </c>
      <c r="I128" s="170">
        <f>I126/FS!I15</f>
        <v>-0.16847333670970768</v>
      </c>
      <c r="J128" s="170">
        <f>J126/FS!J15</f>
        <v>-0.29638904246208547</v>
      </c>
      <c r="K128" s="170">
        <f>-25%</f>
        <v>-0.25</v>
      </c>
      <c r="L128" s="170">
        <f t="shared" ref="L128:O128" si="88">-25%</f>
        <v>-0.25</v>
      </c>
      <c r="M128" s="170">
        <f t="shared" si="88"/>
        <v>-0.25</v>
      </c>
      <c r="N128" s="170">
        <f t="shared" si="88"/>
        <v>-0.25</v>
      </c>
      <c r="O128" s="170">
        <f t="shared" si="88"/>
        <v>-0.25</v>
      </c>
    </row>
    <row r="129" spans="2:15">
      <c r="B129" s="148" t="s">
        <v>211</v>
      </c>
      <c r="C129" s="169"/>
      <c r="D129" s="172"/>
      <c r="E129" s="169"/>
      <c r="F129" s="169"/>
      <c r="G129" s="169"/>
      <c r="H129" s="169"/>
      <c r="I129" s="169"/>
      <c r="J129" s="170">
        <f>(J126/F126)^(1/5)-1</f>
        <v>3.6720524747335004E-2</v>
      </c>
      <c r="K129" s="171"/>
      <c r="L129" s="171"/>
      <c r="M129" s="171"/>
      <c r="N129" s="171"/>
      <c r="O129" s="171"/>
    </row>
    <row r="130" spans="2:15">
      <c r="B130" s="148" t="s">
        <v>222</v>
      </c>
      <c r="C130" s="169"/>
      <c r="D130" s="172"/>
      <c r="E130" s="169"/>
      <c r="F130" s="169"/>
      <c r="G130" s="169"/>
      <c r="H130" s="169"/>
      <c r="I130" s="169"/>
      <c r="J130" s="170">
        <f>AVERAGE(H128:J128)</f>
        <v>-0.15495412639059772</v>
      </c>
      <c r="K130" s="171"/>
      <c r="L130" s="171"/>
      <c r="M130" s="171"/>
      <c r="N130" s="171"/>
      <c r="O130" s="171"/>
    </row>
    <row r="132" spans="2:15">
      <c r="B132" s="148" t="s">
        <v>239</v>
      </c>
      <c r="C132" s="171"/>
      <c r="D132" s="173"/>
      <c r="E132" s="171"/>
      <c r="F132" s="171"/>
      <c r="G132" s="171"/>
      <c r="H132" s="171"/>
      <c r="I132" s="171"/>
      <c r="J132" s="171"/>
      <c r="K132" s="174">
        <f>K133+3%</f>
        <v>-0.22</v>
      </c>
      <c r="L132" s="174">
        <f t="shared" ref="L132" si="89">L133+3%</f>
        <v>-0.22</v>
      </c>
      <c r="M132" s="174">
        <f t="shared" ref="M132" si="90">M133+3%</f>
        <v>-0.22</v>
      </c>
      <c r="N132" s="174">
        <f t="shared" ref="N132" si="91">N133+3%</f>
        <v>-0.22</v>
      </c>
      <c r="O132" s="174">
        <f t="shared" ref="O132" si="92">O133+3%</f>
        <v>-0.22</v>
      </c>
    </row>
    <row r="133" spans="2:15">
      <c r="B133" s="148" t="s">
        <v>240</v>
      </c>
      <c r="C133" s="171"/>
      <c r="D133" s="173"/>
      <c r="E133" s="171"/>
      <c r="F133" s="171"/>
      <c r="G133" s="171"/>
      <c r="H133" s="171"/>
      <c r="I133" s="171"/>
      <c r="J133" s="171"/>
      <c r="K133" s="174">
        <f>K128</f>
        <v>-0.25</v>
      </c>
      <c r="L133" s="174">
        <f t="shared" ref="L133:O133" si="93">L128</f>
        <v>-0.25</v>
      </c>
      <c r="M133" s="174">
        <f t="shared" si="93"/>
        <v>-0.25</v>
      </c>
      <c r="N133" s="174">
        <f t="shared" si="93"/>
        <v>-0.25</v>
      </c>
      <c r="O133" s="174">
        <f t="shared" si="93"/>
        <v>-0.25</v>
      </c>
    </row>
    <row r="134" spans="2:15">
      <c r="B134" s="148" t="s">
        <v>241</v>
      </c>
      <c r="C134" s="171"/>
      <c r="D134" s="171"/>
      <c r="E134" s="171"/>
      <c r="F134" s="171"/>
      <c r="G134" s="171"/>
      <c r="H134" s="171"/>
      <c r="I134" s="171"/>
      <c r="J134" s="171"/>
      <c r="K134" s="174">
        <f>K133-3%</f>
        <v>-0.28000000000000003</v>
      </c>
      <c r="L134" s="174">
        <f t="shared" ref="L134" si="94">L133-3%</f>
        <v>-0.28000000000000003</v>
      </c>
      <c r="M134" s="174">
        <f t="shared" ref="M134" si="95">M133-3%</f>
        <v>-0.28000000000000003</v>
      </c>
      <c r="N134" s="174">
        <f t="shared" ref="N134" si="96">N133-3%</f>
        <v>-0.28000000000000003</v>
      </c>
      <c r="O134" s="174">
        <f t="shared" ref="O134" si="97">O133-3%</f>
        <v>-0.28000000000000003</v>
      </c>
    </row>
    <row r="135" spans="2:15">
      <c r="D135" s="175"/>
    </row>
    <row r="136" spans="2:15">
      <c r="B136" s="142" t="s">
        <v>206</v>
      </c>
      <c r="C136" s="142"/>
      <c r="D136" s="143"/>
      <c r="E136" s="142"/>
      <c r="F136" s="142"/>
      <c r="G136" s="142"/>
      <c r="H136" s="142"/>
      <c r="I136" s="142"/>
      <c r="J136" s="142"/>
      <c r="K136" s="143">
        <f>CHOOSE($C$2,K132,K133,K134)</f>
        <v>-0.22</v>
      </c>
      <c r="L136" s="143">
        <f t="shared" ref="L136:O136" si="98">CHOOSE($C$2,L132,L133,L134)</f>
        <v>-0.22</v>
      </c>
      <c r="M136" s="143">
        <f t="shared" si="98"/>
        <v>-0.22</v>
      </c>
      <c r="N136" s="143">
        <f t="shared" si="98"/>
        <v>-0.22</v>
      </c>
      <c r="O136" s="143">
        <f t="shared" si="98"/>
        <v>-0.22</v>
      </c>
    </row>
    <row r="140" spans="2:15">
      <c r="B140" s="176" t="s">
        <v>223</v>
      </c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  <c r="O140" s="177"/>
    </row>
    <row r="141" spans="2:15">
      <c r="B141" s="148" t="s">
        <v>224</v>
      </c>
      <c r="C141" s="178">
        <f>C9/FS!C23</f>
        <v>5.0622043644164663</v>
      </c>
      <c r="D141" s="178">
        <f>D9/AVERAGE(FS!C23:D23)</f>
        <v>4.9016950203929719</v>
      </c>
      <c r="E141" s="178">
        <f>E9/AVERAGE(FS!D23:E23)</f>
        <v>2.3539341118805552</v>
      </c>
      <c r="F141" s="178">
        <f>F9/AVERAGE(FS!E23:F23)</f>
        <v>3.3240254394719781</v>
      </c>
      <c r="G141" s="178">
        <f>G9/AVERAGE(FS!F23:G23)</f>
        <v>3.9510942309639057</v>
      </c>
      <c r="H141" s="178">
        <f>H9/AVERAGE(FS!G23:H23)</f>
        <v>4.767375318969032</v>
      </c>
      <c r="I141" s="178">
        <f>I9/AVERAGE(FS!H23:I23)</f>
        <v>7.0989669849483885</v>
      </c>
      <c r="J141" s="178">
        <f>J9/AVERAGE(FS!I23:J23)</f>
        <v>7.3505567401089786</v>
      </c>
      <c r="K141" s="178">
        <f>J141-0.2</f>
        <v>7.1505567401089785</v>
      </c>
      <c r="L141" s="178">
        <f>K141-0.2</f>
        <v>6.9505567401089783</v>
      </c>
      <c r="M141" s="178">
        <f>L141-0.2</f>
        <v>6.7505567401089781</v>
      </c>
      <c r="N141" s="178">
        <f>M141-0.2</f>
        <v>6.5505567401089779</v>
      </c>
      <c r="O141" s="178">
        <f>N141-0.2</f>
        <v>6.3505567401089777</v>
      </c>
    </row>
    <row r="142" spans="2:15">
      <c r="B142" s="148" t="s">
        <v>225</v>
      </c>
      <c r="D142" s="167">
        <f>C145</f>
        <v>113737.99999999999</v>
      </c>
      <c r="E142" s="167">
        <f>D145</f>
        <v>128966</v>
      </c>
      <c r="F142" s="167">
        <f>E145</f>
        <v>141588.5</v>
      </c>
      <c r="G142" s="167">
        <f t="shared" ref="G142:O142" si="99">F145</f>
        <v>137267</v>
      </c>
      <c r="H142" s="167">
        <f t="shared" si="99"/>
        <v>133358.5</v>
      </c>
      <c r="I142" s="167">
        <f t="shared" si="99"/>
        <v>132458</v>
      </c>
      <c r="J142" s="167">
        <f t="shared" si="99"/>
        <v>127926.5</v>
      </c>
      <c r="K142" s="167">
        <f>J145</f>
        <v>126630</v>
      </c>
      <c r="L142" s="167">
        <f t="shared" si="99"/>
        <v>154026.43374110348</v>
      </c>
      <c r="M142" s="167">
        <f t="shared" si="99"/>
        <v>187496.77418648897</v>
      </c>
      <c r="N142" s="167">
        <f t="shared" si="99"/>
        <v>228429.44117426241</v>
      </c>
      <c r="O142" s="167">
        <f t="shared" si="99"/>
        <v>278542.668883659</v>
      </c>
    </row>
    <row r="143" spans="2:15">
      <c r="B143" s="179" t="s">
        <v>226</v>
      </c>
      <c r="C143" s="180">
        <f>(C145-C142)+C144</f>
        <v>123442.99999999999</v>
      </c>
      <c r="D143" s="180">
        <f t="shared" ref="D143:O143" si="100">(D145-D142)+D144</f>
        <v>24761.000000000015</v>
      </c>
      <c r="E143" s="180">
        <f t="shared" si="100"/>
        <v>23664.5</v>
      </c>
      <c r="F143" s="180">
        <f t="shared" si="100"/>
        <v>8899.5</v>
      </c>
      <c r="G143" s="180">
        <f t="shared" si="100"/>
        <v>9423.5</v>
      </c>
      <c r="H143" s="180">
        <f t="shared" si="100"/>
        <v>13694.5</v>
      </c>
      <c r="I143" s="180">
        <f t="shared" si="100"/>
        <v>14552.5</v>
      </c>
      <c r="J143" s="180">
        <f t="shared" si="100"/>
        <v>18617.5</v>
      </c>
      <c r="K143" s="180">
        <f t="shared" si="100"/>
        <v>20743.916462698075</v>
      </c>
      <c r="L143" s="180">
        <f t="shared" si="100"/>
        <v>25598.717423277332</v>
      </c>
      <c r="M143" s="180">
        <f t="shared" si="100"/>
        <v>31618.531238991822</v>
      </c>
      <c r="N143" s="180">
        <f t="shared" si="100"/>
        <v>39092.231848304451</v>
      </c>
      <c r="O143" s="180">
        <f t="shared" si="100"/>
        <v>48383.416953323758</v>
      </c>
    </row>
    <row r="144" spans="2:15">
      <c r="B144" s="148" t="s">
        <v>227</v>
      </c>
      <c r="C144" s="181">
        <f>-C109</f>
        <v>9705</v>
      </c>
      <c r="D144" s="181">
        <f t="shared" ref="D144:O144" si="101">-D109</f>
        <v>9533</v>
      </c>
      <c r="E144" s="181">
        <f t="shared" si="101"/>
        <v>11042</v>
      </c>
      <c r="F144" s="181">
        <f t="shared" si="101"/>
        <v>13221</v>
      </c>
      <c r="G144" s="181">
        <f t="shared" si="101"/>
        <v>13332</v>
      </c>
      <c r="H144" s="181">
        <f t="shared" si="101"/>
        <v>14595</v>
      </c>
      <c r="I144" s="181">
        <f t="shared" si="101"/>
        <v>19084</v>
      </c>
      <c r="J144" s="181">
        <f t="shared" si="101"/>
        <v>19914</v>
      </c>
      <c r="K144" s="181">
        <f t="shared" si="101"/>
        <v>-6652.5172784054057</v>
      </c>
      <c r="L144" s="181">
        <f t="shared" si="101"/>
        <v>-7871.6230221081587</v>
      </c>
      <c r="M144" s="181">
        <f t="shared" si="101"/>
        <v>-9314.1357487816167</v>
      </c>
      <c r="N144" s="181">
        <f t="shared" si="101"/>
        <v>-11020.995861092148</v>
      </c>
      <c r="O144" s="181">
        <f t="shared" si="101"/>
        <v>-13040.646287133915</v>
      </c>
    </row>
    <row r="145" spans="2:15">
      <c r="B145" s="148" t="s">
        <v>228</v>
      </c>
      <c r="C145" s="167">
        <f t="shared" ref="C145:O145" si="102">C9/C141</f>
        <v>113737.99999999999</v>
      </c>
      <c r="D145" s="167">
        <f t="shared" si="102"/>
        <v>128966</v>
      </c>
      <c r="E145" s="167">
        <f t="shared" si="102"/>
        <v>141588.5</v>
      </c>
      <c r="F145" s="167">
        <f t="shared" si="102"/>
        <v>137267</v>
      </c>
      <c r="G145" s="167">
        <f t="shared" si="102"/>
        <v>133358.5</v>
      </c>
      <c r="H145" s="167">
        <f t="shared" si="102"/>
        <v>132458</v>
      </c>
      <c r="I145" s="167">
        <f t="shared" si="102"/>
        <v>127926.5</v>
      </c>
      <c r="J145" s="167">
        <f t="shared" si="102"/>
        <v>126630</v>
      </c>
      <c r="K145" s="167">
        <f t="shared" si="102"/>
        <v>154026.43374110348</v>
      </c>
      <c r="L145" s="167">
        <f t="shared" si="102"/>
        <v>187496.77418648897</v>
      </c>
      <c r="M145" s="167">
        <f t="shared" si="102"/>
        <v>228429.44117426241</v>
      </c>
      <c r="N145" s="167">
        <f t="shared" si="102"/>
        <v>278542.668883659</v>
      </c>
      <c r="O145" s="167">
        <f t="shared" si="102"/>
        <v>339966.73212411668</v>
      </c>
    </row>
    <row r="149" spans="2:15">
      <c r="B149" s="147" t="s">
        <v>229</v>
      </c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</row>
    <row r="150" spans="2:15">
      <c r="B150" s="148" t="s">
        <v>230</v>
      </c>
      <c r="C150" s="182">
        <f>Ratios!C23</f>
        <v>7.4921108582938567</v>
      </c>
      <c r="D150" s="183">
        <f>Ratios!D23</f>
        <v>8.238664599174248</v>
      </c>
      <c r="E150" s="183">
        <f>Ratios!E23</f>
        <v>4.1241195777521513</v>
      </c>
      <c r="F150" s="183">
        <f>Ratios!F23</f>
        <v>3.5789354899379351</v>
      </c>
      <c r="G150" s="183">
        <f>Ratios!G23</f>
        <v>4.5573342945591788</v>
      </c>
      <c r="H150" s="183">
        <f>Ratios!H23</f>
        <v>4.3293137250442371</v>
      </c>
      <c r="I150" s="183">
        <f>Ratios!I23</f>
        <v>4.9705223507305254</v>
      </c>
      <c r="J150" s="183">
        <f>Ratios!J23</f>
        <v>5.0538038059733843</v>
      </c>
      <c r="K150" s="148">
        <f>4.78</f>
        <v>4.78</v>
      </c>
      <c r="L150" s="148">
        <f>K150+0.05</f>
        <v>4.83</v>
      </c>
      <c r="M150" s="148">
        <f>L150+0.05</f>
        <v>4.88</v>
      </c>
      <c r="N150" s="148">
        <f>M150+0.05</f>
        <v>4.93</v>
      </c>
      <c r="O150" s="148">
        <f>N150+0.05</f>
        <v>4.9799999999999995</v>
      </c>
    </row>
    <row r="151" spans="2:15">
      <c r="B151" s="148" t="s">
        <v>231</v>
      </c>
      <c r="C151" s="184">
        <f t="shared" ref="C151:O151" si="103">-C22/C150</f>
        <v>53618</v>
      </c>
      <c r="D151" s="184">
        <f t="shared" si="103"/>
        <v>53527</v>
      </c>
      <c r="E151" s="184">
        <f t="shared" si="103"/>
        <v>84547.5</v>
      </c>
      <c r="F151" s="184">
        <f t="shared" si="103"/>
        <v>106340</v>
      </c>
      <c r="G151" s="184">
        <f t="shared" si="103"/>
        <v>94324</v>
      </c>
      <c r="H151" s="184">
        <f t="shared" si="103"/>
        <v>109919.5</v>
      </c>
      <c r="I151" s="184">
        <f t="shared" si="103"/>
        <v>114951.5</v>
      </c>
      <c r="J151" s="184">
        <f t="shared" si="103"/>
        <v>115345</v>
      </c>
      <c r="K151" s="184">
        <f t="shared" si="103"/>
        <v>142856.13963269579</v>
      </c>
      <c r="L151" s="184">
        <f t="shared" si="103"/>
        <v>167285.36643763291</v>
      </c>
      <c r="M151" s="184">
        <f t="shared" si="103"/>
        <v>195913.12711682613</v>
      </c>
      <c r="N151" s="184">
        <f t="shared" si="103"/>
        <v>229464.08222708994</v>
      </c>
      <c r="O151" s="184">
        <f t="shared" si="103"/>
        <v>268788.42845466913</v>
      </c>
    </row>
    <row r="152" spans="2:15">
      <c r="B152" s="148" t="s">
        <v>232</v>
      </c>
      <c r="C152" s="183">
        <f>Ratios!C21</f>
        <v>6.1292674877843663</v>
      </c>
      <c r="D152" s="183">
        <f>Ratios!D21</f>
        <v>3.4714743079314001</v>
      </c>
      <c r="E152" s="183">
        <f>Ratios!E21</f>
        <v>1.7332809814419479</v>
      </c>
      <c r="F152" s="183">
        <f>Ratios!F21</f>
        <v>6.5203672609052914</v>
      </c>
      <c r="G152" s="183">
        <f>Ratios!G21</f>
        <v>21.001713898521263</v>
      </c>
      <c r="H152" s="183">
        <f>Ratios!H21</f>
        <v>21.668222214596987</v>
      </c>
      <c r="I152" s="183">
        <f>Ratios!I21</f>
        <v>24.042199454636911</v>
      </c>
      <c r="J152" s="183">
        <f>Ratios!J21</f>
        <v>20.463011409853365</v>
      </c>
      <c r="K152" s="183">
        <f>J152+0.8</f>
        <v>21.263011409853366</v>
      </c>
      <c r="L152" s="183">
        <f>K152+0.8</f>
        <v>22.063011409853367</v>
      </c>
      <c r="M152" s="183">
        <f>L152+0.8</f>
        <v>22.863011409853367</v>
      </c>
      <c r="N152" s="183">
        <f>M152+0.8</f>
        <v>23.663011409853368</v>
      </c>
      <c r="O152" s="183">
        <f>N152+0.8</f>
        <v>24.463011409853369</v>
      </c>
    </row>
    <row r="153" spans="2:15">
      <c r="B153" s="148" t="s">
        <v>233</v>
      </c>
      <c r="C153" s="184">
        <f t="shared" ref="C153:O153" si="104">C9/C152</f>
        <v>93937</v>
      </c>
      <c r="D153" s="184">
        <f t="shared" si="104"/>
        <v>182099</v>
      </c>
      <c r="E153" s="184">
        <f t="shared" si="104"/>
        <v>192288.5</v>
      </c>
      <c r="F153" s="184">
        <f t="shared" si="104"/>
        <v>69977.5</v>
      </c>
      <c r="G153" s="184">
        <f t="shared" si="104"/>
        <v>25089</v>
      </c>
      <c r="H153" s="184">
        <f t="shared" si="104"/>
        <v>29143</v>
      </c>
      <c r="I153" s="184">
        <f t="shared" si="104"/>
        <v>37773</v>
      </c>
      <c r="J153" s="184">
        <f t="shared" si="104"/>
        <v>45487</v>
      </c>
      <c r="K153" s="184">
        <f t="shared" si="104"/>
        <v>51797.684378423226</v>
      </c>
      <c r="L153" s="184">
        <f t="shared" si="104"/>
        <v>59067.501863711055</v>
      </c>
      <c r="M153" s="184">
        <f t="shared" si="104"/>
        <v>67446.316502893882</v>
      </c>
      <c r="N153" s="184">
        <f t="shared" si="104"/>
        <v>77108.087616609148</v>
      </c>
      <c r="O153" s="184">
        <f t="shared" si="104"/>
        <v>88254.793571081987</v>
      </c>
    </row>
    <row r="154" spans="2:15">
      <c r="B154" s="148" t="s">
        <v>234</v>
      </c>
      <c r="C154" s="183">
        <f>Ratios!C25</f>
        <v>5.4278803929251849</v>
      </c>
      <c r="D154" s="183">
        <f>Ratios!D25</f>
        <v>6.131474851402551</v>
      </c>
      <c r="E154" s="183">
        <f>Ratios!E25</f>
        <v>4.4432211327102094</v>
      </c>
      <c r="F154" s="183">
        <f>Ratios!F25</f>
        <v>4.0031765900042604</v>
      </c>
      <c r="G154" s="183">
        <f>Ratios!G25</f>
        <v>4.4051320414416448</v>
      </c>
      <c r="H154" s="183">
        <f>Ratios!H25</f>
        <v>5.3852229904828723</v>
      </c>
      <c r="I154" s="183">
        <f>Ratios!I25</f>
        <v>5.6707060481549849</v>
      </c>
      <c r="J154" s="183">
        <f>Ratios!J25</f>
        <v>5.2709336443823549</v>
      </c>
      <c r="K154" s="148">
        <f>5.5</f>
        <v>5.5</v>
      </c>
      <c r="L154" s="148">
        <f>5.5</f>
        <v>5.5</v>
      </c>
      <c r="M154" s="148">
        <f>5.5</f>
        <v>5.5</v>
      </c>
      <c r="N154" s="148">
        <f>5.5</f>
        <v>5.5</v>
      </c>
      <c r="O154" s="148">
        <f>5.5</f>
        <v>5.5</v>
      </c>
    </row>
    <row r="155" spans="2:15">
      <c r="B155" s="148" t="s">
        <v>235</v>
      </c>
      <c r="C155" s="184">
        <f t="shared" ref="C155:O155" si="105">-C22/C154</f>
        <v>74009</v>
      </c>
      <c r="D155" s="184">
        <f t="shared" si="105"/>
        <v>71922.5</v>
      </c>
      <c r="E155" s="184">
        <f t="shared" si="105"/>
        <v>78475.499999999985</v>
      </c>
      <c r="F155" s="184">
        <f t="shared" si="105"/>
        <v>95070.499999999985</v>
      </c>
      <c r="G155" s="184">
        <f t="shared" si="105"/>
        <v>97583</v>
      </c>
      <c r="H155" s="184">
        <f t="shared" si="105"/>
        <v>88367</v>
      </c>
      <c r="I155" s="184">
        <f t="shared" si="105"/>
        <v>100758</v>
      </c>
      <c r="J155" s="184">
        <f t="shared" si="105"/>
        <v>110593.5</v>
      </c>
      <c r="K155" s="184">
        <f t="shared" si="105"/>
        <v>124154.97226259742</v>
      </c>
      <c r="L155" s="184">
        <f t="shared" si="105"/>
        <v>146906.96725341218</v>
      </c>
      <c r="M155" s="184">
        <f t="shared" si="105"/>
        <v>173828.37460547482</v>
      </c>
      <c r="N155" s="184">
        <f t="shared" si="105"/>
        <v>205683.25915991879</v>
      </c>
      <c r="O155" s="184">
        <f t="shared" si="105"/>
        <v>243375.704309864</v>
      </c>
    </row>
    <row r="156" spans="2:15">
      <c r="B156" s="148" t="s">
        <v>236</v>
      </c>
      <c r="C156" s="184">
        <f>C151+C153-C155</f>
        <v>73546</v>
      </c>
      <c r="D156" s="184">
        <f t="shared" ref="D156:O156" si="106">D151+D153-D155</f>
        <v>163703.5</v>
      </c>
      <c r="E156" s="184">
        <f t="shared" si="106"/>
        <v>198360.5</v>
      </c>
      <c r="F156" s="184">
        <f t="shared" si="106"/>
        <v>81247.000000000015</v>
      </c>
      <c r="G156" s="184">
        <f t="shared" si="106"/>
        <v>21830</v>
      </c>
      <c r="H156" s="184">
        <f t="shared" si="106"/>
        <v>50695.5</v>
      </c>
      <c r="I156" s="184">
        <f t="shared" si="106"/>
        <v>51966.5</v>
      </c>
      <c r="J156" s="184">
        <f t="shared" si="106"/>
        <v>50238.5</v>
      </c>
      <c r="K156" s="184">
        <f t="shared" si="106"/>
        <v>70498.8517485216</v>
      </c>
      <c r="L156" s="184">
        <f t="shared" si="106"/>
        <v>79445.90104793178</v>
      </c>
      <c r="M156" s="184">
        <f t="shared" si="106"/>
        <v>89531.069014245179</v>
      </c>
      <c r="N156" s="184">
        <f t="shared" si="106"/>
        <v>100888.9106837803</v>
      </c>
      <c r="O156" s="184">
        <f t="shared" si="106"/>
        <v>113667.51771588714</v>
      </c>
    </row>
    <row r="157" spans="2:15">
      <c r="B157" s="179" t="s">
        <v>237</v>
      </c>
      <c r="C157" s="179"/>
      <c r="D157" s="185">
        <f>D156-C156</f>
        <v>90157.5</v>
      </c>
      <c r="E157" s="185">
        <f t="shared" ref="E157:O157" si="107">E156-D156</f>
        <v>34657</v>
      </c>
      <c r="F157" s="185">
        <f t="shared" si="107"/>
        <v>-117113.49999999999</v>
      </c>
      <c r="G157" s="185">
        <f t="shared" si="107"/>
        <v>-59417.000000000015</v>
      </c>
      <c r="H157" s="185">
        <f t="shared" si="107"/>
        <v>28865.5</v>
      </c>
      <c r="I157" s="185">
        <f t="shared" si="107"/>
        <v>1271</v>
      </c>
      <c r="J157" s="185">
        <f t="shared" si="107"/>
        <v>-1728</v>
      </c>
      <c r="K157" s="185">
        <f>K156-J156</f>
        <v>20260.3517485216</v>
      </c>
      <c r="L157" s="185">
        <f t="shared" si="107"/>
        <v>8947.0492994101805</v>
      </c>
      <c r="M157" s="185">
        <f t="shared" si="107"/>
        <v>10085.167966313398</v>
      </c>
      <c r="N157" s="185">
        <f t="shared" si="107"/>
        <v>11357.841669535119</v>
      </c>
      <c r="O157" s="185">
        <f t="shared" si="107"/>
        <v>12778.60703210684</v>
      </c>
    </row>
  </sheetData>
  <dataValidations count="1">
    <dataValidation type="list" allowBlank="1" showInputMessage="1" showErrorMessage="1" sqref="C2" xr:uid="{00000000-0002-0000-0600-000000000000}">
      <formula1>$F$2:$F$4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4FFA-8FC4-43DF-9657-10396AAEF6AC}">
  <dimension ref="B1:P37"/>
  <sheetViews>
    <sheetView showGridLines="0" topLeftCell="A21" workbookViewId="0">
      <selection activeCell="G14" sqref="G14"/>
    </sheetView>
  </sheetViews>
  <sheetFormatPr defaultRowHeight="14.4"/>
  <cols>
    <col min="1" max="1" width="3.109375" customWidth="1"/>
    <col min="2" max="2" width="34" bestFit="1" customWidth="1"/>
    <col min="10" max="10" width="9.33203125" customWidth="1"/>
  </cols>
  <sheetData>
    <row r="1" spans="2:16">
      <c r="L1" s="223" t="s">
        <v>243</v>
      </c>
      <c r="M1" s="223"/>
    </row>
    <row r="2" spans="2:16">
      <c r="B2" s="150" t="s">
        <v>273</v>
      </c>
      <c r="C2" s="151"/>
      <c r="D2" s="152"/>
      <c r="L2" s="161" t="s">
        <v>253</v>
      </c>
      <c r="M2" s="161" t="s">
        <v>182</v>
      </c>
    </row>
    <row r="3" spans="2:16">
      <c r="B3" s="153" t="s">
        <v>252</v>
      </c>
      <c r="D3" s="189">
        <f>3.79%</f>
        <v>3.7900000000000003E-2</v>
      </c>
      <c r="E3" s="149" t="s">
        <v>249</v>
      </c>
      <c r="L3" s="162">
        <f>2013</f>
        <v>2013</v>
      </c>
      <c r="M3" s="163">
        <v>0.22520000000000001</v>
      </c>
    </row>
    <row r="4" spans="2:16">
      <c r="B4" s="153" t="s">
        <v>243</v>
      </c>
      <c r="D4" s="160">
        <v>0.23</v>
      </c>
      <c r="L4" s="164">
        <f>L3+1</f>
        <v>2014</v>
      </c>
      <c r="M4" s="155">
        <v>-1.14E-2</v>
      </c>
      <c r="P4" t="s">
        <v>266</v>
      </c>
    </row>
    <row r="5" spans="2:16">
      <c r="B5" s="153" t="s">
        <v>244</v>
      </c>
      <c r="D5" s="190">
        <f>27.82%</f>
        <v>0.2782</v>
      </c>
      <c r="E5" s="149" t="s">
        <v>250</v>
      </c>
      <c r="L5" s="164">
        <f t="shared" ref="L5:L14" si="0">L4+1</f>
        <v>2015</v>
      </c>
      <c r="M5" s="155">
        <v>0.57140000000000002</v>
      </c>
      <c r="P5" t="s">
        <v>267</v>
      </c>
    </row>
    <row r="6" spans="2:16">
      <c r="B6" s="153" t="s">
        <v>245</v>
      </c>
      <c r="D6" s="154">
        <f>D5-D3</f>
        <v>0.24030000000000001</v>
      </c>
      <c r="L6" s="164">
        <f t="shared" si="0"/>
        <v>2016</v>
      </c>
      <c r="M6" s="155">
        <f>0.6248</f>
        <v>0.62480000000000002</v>
      </c>
    </row>
    <row r="7" spans="2:16">
      <c r="B7" s="153" t="s">
        <v>246</v>
      </c>
      <c r="D7" s="154">
        <f>D4*D6</f>
        <v>5.5269000000000006E-2</v>
      </c>
      <c r="L7" s="164">
        <f t="shared" si="0"/>
        <v>2017</v>
      </c>
      <c r="M7" s="159">
        <v>0.93107200000000001</v>
      </c>
      <c r="P7" t="s">
        <v>268</v>
      </c>
    </row>
    <row r="8" spans="2:16">
      <c r="B8" s="153" t="s">
        <v>247</v>
      </c>
      <c r="D8" s="189">
        <v>0.1202</v>
      </c>
      <c r="E8" s="149" t="s">
        <v>251</v>
      </c>
      <c r="L8" s="164">
        <f t="shared" si="0"/>
        <v>2018</v>
      </c>
      <c r="M8" s="159">
        <v>5.008E-2</v>
      </c>
    </row>
    <row r="9" spans="2:16">
      <c r="B9" s="156" t="s">
        <v>248</v>
      </c>
      <c r="C9" s="157"/>
      <c r="D9" s="158">
        <f>D7+D3+D8</f>
        <v>0.213369</v>
      </c>
      <c r="L9" s="164">
        <f t="shared" si="0"/>
        <v>2019</v>
      </c>
      <c r="M9" s="159">
        <v>-1.8722719999999999</v>
      </c>
      <c r="P9" t="s">
        <v>269</v>
      </c>
    </row>
    <row r="10" spans="2:16">
      <c r="L10" s="164">
        <f t="shared" si="0"/>
        <v>2020</v>
      </c>
      <c r="M10" s="159">
        <v>-1.199392</v>
      </c>
    </row>
    <row r="11" spans="2:16">
      <c r="L11" s="164">
        <f t="shared" si="0"/>
        <v>2021</v>
      </c>
      <c r="M11" s="159">
        <v>-0.74003200000000002</v>
      </c>
      <c r="P11" t="s">
        <v>270</v>
      </c>
    </row>
    <row r="12" spans="2:16">
      <c r="L12" s="164">
        <f t="shared" si="0"/>
        <v>2022</v>
      </c>
      <c r="M12" s="159">
        <v>0.24129999999999999</v>
      </c>
    </row>
    <row r="13" spans="2:16">
      <c r="L13" s="164">
        <f t="shared" si="0"/>
        <v>2023</v>
      </c>
      <c r="M13" s="159">
        <v>2.86</v>
      </c>
      <c r="P13" t="s">
        <v>271</v>
      </c>
    </row>
    <row r="14" spans="2:16">
      <c r="L14" s="165">
        <f t="shared" si="0"/>
        <v>2024</v>
      </c>
      <c r="M14" s="166">
        <v>1.0385</v>
      </c>
    </row>
    <row r="15" spans="2:16">
      <c r="P15" t="s">
        <v>272</v>
      </c>
    </row>
    <row r="21" spans="2:10">
      <c r="B21" s="147" t="s">
        <v>254</v>
      </c>
      <c r="C21" s="147"/>
      <c r="D21" s="147"/>
      <c r="E21" s="147"/>
      <c r="F21" s="147"/>
      <c r="G21" s="147"/>
      <c r="H21" s="147"/>
      <c r="I21" s="147"/>
      <c r="J21" s="147"/>
    </row>
    <row r="22" spans="2:10" ht="15.6">
      <c r="B22" s="145" t="s">
        <v>238</v>
      </c>
      <c r="C22" s="146">
        <v>43100</v>
      </c>
      <c r="D22" s="146">
        <v>43465</v>
      </c>
      <c r="E22" s="146">
        <v>43830</v>
      </c>
      <c r="F22" s="146">
        <v>44196</v>
      </c>
      <c r="G22" s="146">
        <v>44561</v>
      </c>
      <c r="H22" s="146">
        <v>44926</v>
      </c>
      <c r="I22" s="146">
        <v>45291</v>
      </c>
      <c r="J22" s="146">
        <v>45657</v>
      </c>
    </row>
    <row r="23" spans="2:10">
      <c r="B23" s="148" t="s">
        <v>255</v>
      </c>
      <c r="C23">
        <f>-FS!C14</f>
        <v>2004</v>
      </c>
      <c r="D23">
        <f>-FS!D14</f>
        <v>3376</v>
      </c>
      <c r="E23">
        <f>-FS!E14</f>
        <v>11603</v>
      </c>
      <c r="F23">
        <f>-FS!F14</f>
        <v>5608</v>
      </c>
      <c r="G23">
        <f>-FS!G14</f>
        <v>2922</v>
      </c>
      <c r="H23">
        <f>-FS!H14</f>
        <v>18453</v>
      </c>
      <c r="I23">
        <f>-FS!I14</f>
        <v>9999</v>
      </c>
      <c r="J23">
        <f>-FS!J14</f>
        <v>5365</v>
      </c>
    </row>
    <row r="24" spans="2:10">
      <c r="B24" s="148" t="s">
        <v>256</v>
      </c>
      <c r="C24">
        <f>EV!C23</f>
        <v>14</v>
      </c>
      <c r="D24">
        <f>EV!D23</f>
        <v>100120</v>
      </c>
      <c r="E24">
        <f>EV!E23</f>
        <v>68114</v>
      </c>
      <c r="F24">
        <f>EV!F23</f>
        <v>8403</v>
      </c>
      <c r="G24">
        <f>EV!G23</f>
        <v>52231</v>
      </c>
      <c r="H24">
        <f>EV!H23</f>
        <v>110174</v>
      </c>
      <c r="I24">
        <f>EV!I23</f>
        <v>17194</v>
      </c>
      <c r="J24">
        <f>EV!J23</f>
        <v>17130</v>
      </c>
    </row>
    <row r="25" spans="2:10">
      <c r="B25" s="148" t="s">
        <v>257</v>
      </c>
      <c r="C25" s="3">
        <f>C23/C24</f>
        <v>143.14285714285714</v>
      </c>
      <c r="D25" s="3">
        <f t="shared" ref="D25:J25" si="1">D23/D24</f>
        <v>3.3719536556132641E-2</v>
      </c>
      <c r="E25" s="3">
        <f t="shared" si="1"/>
        <v>0.17034677158880701</v>
      </c>
      <c r="F25" s="3">
        <f t="shared" si="1"/>
        <v>0.66738069736998695</v>
      </c>
      <c r="G25" s="3">
        <f t="shared" si="1"/>
        <v>5.594378817177538E-2</v>
      </c>
      <c r="H25" s="3">
        <f t="shared" si="1"/>
        <v>0.1674896073483762</v>
      </c>
      <c r="I25" s="3">
        <f t="shared" si="1"/>
        <v>0.58154007211818071</v>
      </c>
      <c r="J25" s="3">
        <f t="shared" si="1"/>
        <v>0.31319322825452423</v>
      </c>
    </row>
    <row r="26" spans="2:10">
      <c r="B26" s="148" t="s">
        <v>258</v>
      </c>
      <c r="J26" s="3">
        <f>AVERAGE(F25:J25)</f>
        <v>0.3571094786525687</v>
      </c>
    </row>
    <row r="27" spans="2:10">
      <c r="B27" s="148" t="s">
        <v>260</v>
      </c>
      <c r="J27" s="3">
        <f>25%</f>
        <v>0.25</v>
      </c>
    </row>
    <row r="28" spans="2:10">
      <c r="B28" s="186" t="s">
        <v>259</v>
      </c>
      <c r="C28" s="186"/>
      <c r="D28" s="186"/>
      <c r="E28" s="186"/>
      <c r="F28" s="186"/>
      <c r="G28" s="186"/>
      <c r="H28" s="186"/>
      <c r="I28" s="186"/>
      <c r="J28" s="187">
        <f>J26*(1-J27)</f>
        <v>0.26783210898942655</v>
      </c>
    </row>
    <row r="32" spans="2:10">
      <c r="B32" s="147" t="s">
        <v>261</v>
      </c>
      <c r="C32" s="147"/>
      <c r="D32" s="147"/>
      <c r="E32" s="147"/>
      <c r="F32" s="147"/>
      <c r="G32" s="147"/>
      <c r="H32" s="147"/>
      <c r="I32" s="147"/>
      <c r="J32" s="147"/>
    </row>
    <row r="33" spans="2:10" ht="15.6">
      <c r="B33" s="145"/>
      <c r="C33" s="146">
        <v>43100</v>
      </c>
      <c r="D33" s="146">
        <v>43465</v>
      </c>
      <c r="E33" s="146">
        <v>43830</v>
      </c>
      <c r="F33" s="146">
        <v>44196</v>
      </c>
      <c r="G33" s="146">
        <v>44561</v>
      </c>
      <c r="H33" s="146">
        <v>44926</v>
      </c>
      <c r="I33" s="146">
        <v>45291</v>
      </c>
      <c r="J33" s="146">
        <v>45657</v>
      </c>
    </row>
    <row r="34" spans="2:10">
      <c r="B34" s="148" t="s">
        <v>262</v>
      </c>
      <c r="C34" s="3">
        <f>FS!C39/FS!C39</f>
        <v>1</v>
      </c>
      <c r="D34" s="3">
        <f>FS!D39/FS!D39</f>
        <v>1</v>
      </c>
      <c r="E34" s="3">
        <f>FS!E39/FS!E39</f>
        <v>1</v>
      </c>
      <c r="F34" s="3">
        <f>FS!F39/FS!F39</f>
        <v>1</v>
      </c>
      <c r="G34" s="3">
        <f>FS!G39/FS!G39</f>
        <v>1</v>
      </c>
      <c r="H34" s="3">
        <f>FS!H39/FS!H39</f>
        <v>1</v>
      </c>
      <c r="I34" s="3">
        <f>FS!I39/FS!I39</f>
        <v>1</v>
      </c>
      <c r="J34" s="3">
        <f>FS!J39/FS!J39</f>
        <v>1</v>
      </c>
    </row>
    <row r="35" spans="2:10">
      <c r="B35" s="148" t="s">
        <v>263</v>
      </c>
      <c r="C35" s="3">
        <f>FS!C46/FS!C39</f>
        <v>0.2573389297763059</v>
      </c>
      <c r="D35" s="3">
        <f>FS!D46/FS!D39</f>
        <v>0.4062561081363818</v>
      </c>
      <c r="E35" s="3">
        <f>FS!E46/FS!E39</f>
        <v>0.17366240169753813</v>
      </c>
      <c r="F35" s="3">
        <f>FS!F46/FS!F39</f>
        <v>0.10365452265422777</v>
      </c>
      <c r="G35" s="3">
        <f>FS!G46/FS!G39</f>
        <v>9.6130872246373594E-2</v>
      </c>
      <c r="H35" s="3">
        <f>FS!H46/FS!H39</f>
        <v>0.1282756208804286</v>
      </c>
      <c r="I35" s="3">
        <f>FS!I46/FS!I39</f>
        <v>0.51067930301404696</v>
      </c>
      <c r="J35" s="3">
        <f>FS!J46/FS!J39</f>
        <v>0.51622719177428977</v>
      </c>
    </row>
    <row r="36" spans="2:10">
      <c r="B36" s="148" t="s">
        <v>264</v>
      </c>
      <c r="C36" s="3">
        <f>FS!C62/FS!C39</f>
        <v>0.7426610702236941</v>
      </c>
      <c r="D36" s="3">
        <f>FS!D62/FS!D39</f>
        <v>0.5937438918636182</v>
      </c>
      <c r="E36" s="3">
        <f>FS!E62/FS!E39</f>
        <v>0.8263375983024619</v>
      </c>
      <c r="F36" s="3">
        <f>FS!F62/FS!F39</f>
        <v>0.89634547734577219</v>
      </c>
      <c r="G36" s="3">
        <f>FS!G62/FS!G39</f>
        <v>0.90386912775362638</v>
      </c>
      <c r="H36" s="3">
        <f>FS!H62/FS!H39</f>
        <v>0.87172437911957135</v>
      </c>
      <c r="I36" s="3">
        <f>FS!I62/FS!I39</f>
        <v>0.48932069698595299</v>
      </c>
      <c r="J36" s="3">
        <f>FS!J62/FS!J39</f>
        <v>0.48377280822571023</v>
      </c>
    </row>
    <row r="37" spans="2:10">
      <c r="B37" s="140" t="s">
        <v>265</v>
      </c>
      <c r="C37" s="140"/>
      <c r="D37" s="140"/>
      <c r="E37" s="140"/>
      <c r="F37" s="140"/>
      <c r="G37" s="140"/>
      <c r="H37" s="140"/>
      <c r="I37" s="140"/>
      <c r="J37" s="141">
        <f>(J35*D9)+(J36*J28)</f>
        <v>0.23971677118051779</v>
      </c>
    </row>
  </sheetData>
  <mergeCells count="1">
    <mergeCell ref="L1:M1"/>
  </mergeCells>
  <hyperlinks>
    <hyperlink ref="E3" r:id="rId1" xr:uid="{B40FD33C-6A47-4CCD-9BB7-6E29DB5B1D01}"/>
    <hyperlink ref="E5" r:id="rId2" xr:uid="{2084791D-963C-4FE5-ABE9-7072E354235C}"/>
    <hyperlink ref="E8" r:id="rId3" xr:uid="{A4F79EF3-EDCA-42C6-8E51-EFD67AEF48B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96272-E8E1-44F7-BED1-338B4CC53074}">
  <dimension ref="B2:O45"/>
  <sheetViews>
    <sheetView showGridLines="0" tabSelected="1" topLeftCell="A30" workbookViewId="0">
      <selection activeCell="N44" sqref="N44"/>
    </sheetView>
  </sheetViews>
  <sheetFormatPr defaultRowHeight="14.4"/>
  <cols>
    <col min="1" max="1" width="4" customWidth="1"/>
    <col min="2" max="2" width="26.44140625" bestFit="1" customWidth="1"/>
  </cols>
  <sheetData>
    <row r="2" spans="2:15">
      <c r="B2" s="140" t="s">
        <v>274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</row>
    <row r="3" spans="2:15">
      <c r="B3" s="137" t="s">
        <v>238</v>
      </c>
      <c r="C3" s="138">
        <v>43100</v>
      </c>
      <c r="D3" s="138">
        <v>43465</v>
      </c>
      <c r="E3" s="138">
        <v>43830</v>
      </c>
      <c r="F3" s="138">
        <v>44196</v>
      </c>
      <c r="G3" s="138">
        <v>44561</v>
      </c>
      <c r="H3" s="138">
        <v>44926</v>
      </c>
      <c r="I3" s="138">
        <v>45291</v>
      </c>
      <c r="J3" s="138">
        <v>45657</v>
      </c>
      <c r="K3" s="138">
        <v>46022</v>
      </c>
      <c r="L3" s="138">
        <v>46387</v>
      </c>
      <c r="M3" s="138">
        <v>46752</v>
      </c>
      <c r="N3" s="138">
        <v>47118</v>
      </c>
      <c r="O3" s="138">
        <v>47483</v>
      </c>
    </row>
    <row r="4" spans="2:15">
      <c r="B4" t="s">
        <v>2</v>
      </c>
      <c r="C4" s="198">
        <f>Assumptions!C9</f>
        <v>575765</v>
      </c>
      <c r="D4" s="198">
        <f>Assumptions!D9</f>
        <v>632152</v>
      </c>
      <c r="E4" s="198">
        <f>Assumptions!E9</f>
        <v>333290</v>
      </c>
      <c r="F4" s="198">
        <f>Assumptions!F9</f>
        <v>456279</v>
      </c>
      <c r="G4" s="198">
        <f>Assumptions!G9</f>
        <v>526912</v>
      </c>
      <c r="H4" s="198">
        <f>Assumptions!H9</f>
        <v>631477</v>
      </c>
      <c r="I4" s="198">
        <f>Assumptions!I9</f>
        <v>908146</v>
      </c>
      <c r="J4" s="198">
        <f>Assumptions!J9</f>
        <v>930801</v>
      </c>
      <c r="K4" s="201">
        <f>Assumptions!K9</f>
        <v>1101374.7539423965</v>
      </c>
      <c r="L4" s="201">
        <f>Assumptions!L9</f>
        <v>1303206.967570592</v>
      </c>
      <c r="M4" s="201">
        <f>Assumptions!M9</f>
        <v>1542025.9037582444</v>
      </c>
      <c r="N4" s="201">
        <f>Assumptions!N9</f>
        <v>1824609.5570637956</v>
      </c>
      <c r="O4" s="201">
        <f>Assumptions!O9</f>
        <v>2158978.0221036323</v>
      </c>
    </row>
    <row r="5" spans="2:15">
      <c r="B5" t="s">
        <v>212</v>
      </c>
      <c r="C5" s="198">
        <f>Assumptions!C22</f>
        <v>-401712</v>
      </c>
      <c r="D5" s="198">
        <f>Assumptions!D22</f>
        <v>-440991</v>
      </c>
      <c r="E5" s="198">
        <f>Assumptions!E22</f>
        <v>-348684</v>
      </c>
      <c r="F5" s="198">
        <f>Assumptions!F22</f>
        <v>-380584</v>
      </c>
      <c r="G5" s="198">
        <f>Assumptions!G22</f>
        <v>-429866</v>
      </c>
      <c r="H5" s="198">
        <f>Assumptions!H22</f>
        <v>-475876</v>
      </c>
      <c r="I5" s="198">
        <f>Assumptions!I22</f>
        <v>-571369</v>
      </c>
      <c r="J5" s="198">
        <f>Assumptions!J22</f>
        <v>-582931</v>
      </c>
      <c r="K5" s="201">
        <f>Assumptions!K22</f>
        <v>-682852.34744428587</v>
      </c>
      <c r="L5" s="201">
        <f>Assumptions!L22</f>
        <v>-807988.31989376701</v>
      </c>
      <c r="M5" s="201">
        <f>Assumptions!M22</f>
        <v>-956056.06033011153</v>
      </c>
      <c r="N5" s="201">
        <f>Assumptions!N22</f>
        <v>-1131257.9253795533</v>
      </c>
      <c r="O5" s="201">
        <f>Assumptions!O22</f>
        <v>-1338566.3737042521</v>
      </c>
    </row>
    <row r="6" spans="2:15" s="144" customFormat="1">
      <c r="B6" s="196" t="s">
        <v>275</v>
      </c>
      <c r="C6" s="199">
        <f>SUM(C4:C5)</f>
        <v>174053</v>
      </c>
      <c r="D6" s="199">
        <f t="shared" ref="D6:O6" si="0">SUM(D4:D5)</f>
        <v>191161</v>
      </c>
      <c r="E6" s="199">
        <f t="shared" si="0"/>
        <v>-15394</v>
      </c>
      <c r="F6" s="199">
        <f t="shared" si="0"/>
        <v>75695</v>
      </c>
      <c r="G6" s="199">
        <f t="shared" si="0"/>
        <v>97046</v>
      </c>
      <c r="H6" s="199">
        <f t="shared" si="0"/>
        <v>155601</v>
      </c>
      <c r="I6" s="199">
        <f t="shared" si="0"/>
        <v>336777</v>
      </c>
      <c r="J6" s="199">
        <f t="shared" si="0"/>
        <v>347870</v>
      </c>
      <c r="K6" s="202">
        <f t="shared" si="0"/>
        <v>418522.40649811062</v>
      </c>
      <c r="L6" s="202">
        <f t="shared" si="0"/>
        <v>495218.64767682494</v>
      </c>
      <c r="M6" s="202">
        <f t="shared" si="0"/>
        <v>585969.84342813282</v>
      </c>
      <c r="N6" s="202">
        <f t="shared" si="0"/>
        <v>693351.63168424228</v>
      </c>
      <c r="O6" s="202">
        <f t="shared" si="0"/>
        <v>820411.64839938027</v>
      </c>
    </row>
    <row r="7" spans="2:15">
      <c r="B7" t="s">
        <v>215</v>
      </c>
      <c r="C7" s="198">
        <f>Assumptions!C39</f>
        <v>-13156</v>
      </c>
      <c r="D7" s="198">
        <f>Assumptions!D39</f>
        <v>-17732</v>
      </c>
      <c r="E7" s="198">
        <f>Assumptions!E39</f>
        <v>-25775</v>
      </c>
      <c r="F7" s="198">
        <f>Assumptions!F39</f>
        <v>-17568</v>
      </c>
      <c r="G7" s="198">
        <f>Assumptions!G39</f>
        <v>-16723</v>
      </c>
      <c r="H7" s="198">
        <f>Assumptions!H39</f>
        <v>-14730</v>
      </c>
      <c r="I7" s="198">
        <f>Assumptions!I39</f>
        <v>-19599</v>
      </c>
      <c r="J7" s="198">
        <f>Assumptions!J39</f>
        <v>-20876</v>
      </c>
      <c r="K7" s="201">
        <f>Assumptions!K39</f>
        <v>2736.6745431424783</v>
      </c>
      <c r="L7" s="201">
        <f>Assumptions!L39</f>
        <v>631.76936244226272</v>
      </c>
      <c r="M7" s="201">
        <f>Assumptions!M39</f>
        <v>-2336.5076749809741</v>
      </c>
      <c r="N7" s="201">
        <f>Assumptions!N39</f>
        <v>-6413.9030429337427</v>
      </c>
      <c r="O7" s="201">
        <f>Assumptions!O39</f>
        <v>-11907.237626115259</v>
      </c>
    </row>
    <row r="8" spans="2:15">
      <c r="B8" t="s">
        <v>276</v>
      </c>
      <c r="C8" s="198">
        <f>Assumptions!C57</f>
        <v>-27537</v>
      </c>
      <c r="D8" s="198">
        <f>Assumptions!D57</f>
        <v>-39999</v>
      </c>
      <c r="E8" s="198">
        <f>Assumptions!E57</f>
        <v>-30096</v>
      </c>
      <c r="F8" s="198">
        <f>Assumptions!F57</f>
        <v>-31910</v>
      </c>
      <c r="G8" s="198">
        <f>Assumptions!G57</f>
        <v>-44612</v>
      </c>
      <c r="H8" s="198">
        <f>Assumptions!H57</f>
        <v>-40116</v>
      </c>
      <c r="I8" s="198">
        <f>Assumptions!I57</f>
        <v>-79627</v>
      </c>
      <c r="J8" s="198">
        <f>Assumptions!J57</f>
        <v>-87626</v>
      </c>
      <c r="K8" s="201">
        <f>Assumptions!K57</f>
        <v>-55057.87442659794</v>
      </c>
      <c r="L8" s="201">
        <f>Assumptions!L57</f>
        <v>-68405.511780434128</v>
      </c>
      <c r="M8" s="201">
        <f>Assumptions!M57</f>
        <v>-84796.215129323609</v>
      </c>
      <c r="N8" s="201">
        <f>Assumptions!N57</f>
        <v>-104897.05272568107</v>
      </c>
      <c r="O8" s="201">
        <f>Assumptions!O57</f>
        <v>-129517.38651968552</v>
      </c>
    </row>
    <row r="9" spans="2:15">
      <c r="B9" t="s">
        <v>277</v>
      </c>
      <c r="C9" s="198">
        <f>Assumptions!C74</f>
        <v>-56113</v>
      </c>
      <c r="D9" s="198">
        <f>Assumptions!D74</f>
        <v>-67867</v>
      </c>
      <c r="E9" s="198">
        <f>Assumptions!E74</f>
        <v>-91051</v>
      </c>
      <c r="F9" s="198">
        <f>Assumptions!F74</f>
        <v>-72841</v>
      </c>
      <c r="G9" s="198">
        <f>Assumptions!G74</f>
        <v>-79564</v>
      </c>
      <c r="H9" s="198">
        <f>Assumptions!H74</f>
        <v>-70752</v>
      </c>
      <c r="I9" s="198">
        <f>Assumptions!I74</f>
        <v>-22500</v>
      </c>
      <c r="J9" s="198">
        <f>Assumptions!J74</f>
        <v>-135120</v>
      </c>
      <c r="K9" s="201">
        <f>Assumptions!K74</f>
        <v>-97499.208211624398</v>
      </c>
      <c r="L9" s="201">
        <f>Assumptions!L74</f>
        <v>-117972.82034602419</v>
      </c>
      <c r="M9" s="201">
        <f>Assumptions!M74</f>
        <v>-142675.95811240116</v>
      </c>
      <c r="N9" s="201">
        <f>Assumptions!N74</f>
        <v>-172471.23183171332</v>
      </c>
      <c r="O9" s="201">
        <f>Assumptions!O74</f>
        <v>-208395.36949863553</v>
      </c>
    </row>
    <row r="10" spans="2:15">
      <c r="B10" s="191" t="s">
        <v>14</v>
      </c>
      <c r="C10" s="198">
        <f>Assumptions!C91</f>
        <v>0</v>
      </c>
      <c r="D10" s="198">
        <f>Assumptions!D91</f>
        <v>0</v>
      </c>
      <c r="E10" s="198">
        <f>Assumptions!E91</f>
        <v>0</v>
      </c>
      <c r="F10" s="198">
        <f>Assumptions!F91</f>
        <v>0</v>
      </c>
      <c r="G10" s="198">
        <f>Assumptions!G91</f>
        <v>0</v>
      </c>
      <c r="H10" s="198">
        <f>Assumptions!H91</f>
        <v>12457</v>
      </c>
      <c r="I10" s="198">
        <f>Assumptions!I91</f>
        <v>11017</v>
      </c>
      <c r="J10" s="198">
        <f>Assumptions!J91</f>
        <v>11442</v>
      </c>
      <c r="K10" s="201">
        <f>Assumptions!K91</f>
        <v>49250.070285984308</v>
      </c>
      <c r="L10" s="201">
        <f>Assumptions!L91</f>
        <v>58275.382216898892</v>
      </c>
      <c r="M10" s="201">
        <f>Assumptions!M91</f>
        <v>68954.625908261951</v>
      </c>
      <c r="N10" s="201">
        <f>Assumptions!N91</f>
        <v>81590.892299107989</v>
      </c>
      <c r="O10" s="201">
        <f>Assumptions!O91</f>
        <v>96542.815198813318</v>
      </c>
    </row>
    <row r="11" spans="2:15">
      <c r="B11" s="192" t="s">
        <v>127</v>
      </c>
      <c r="C11" s="199">
        <f>SUM(C6:C10)</f>
        <v>77247</v>
      </c>
      <c r="D11" s="199">
        <f t="shared" ref="D11:O11" si="1">SUM(D6:D10)</f>
        <v>65563</v>
      </c>
      <c r="E11" s="199">
        <f t="shared" si="1"/>
        <v>-162316</v>
      </c>
      <c r="F11" s="199">
        <f t="shared" si="1"/>
        <v>-46624</v>
      </c>
      <c r="G11" s="199">
        <f t="shared" si="1"/>
        <v>-43853</v>
      </c>
      <c r="H11" s="199">
        <f t="shared" si="1"/>
        <v>42460</v>
      </c>
      <c r="I11" s="199">
        <f t="shared" si="1"/>
        <v>226068</v>
      </c>
      <c r="J11" s="199">
        <f t="shared" si="1"/>
        <v>115690</v>
      </c>
      <c r="K11" s="202">
        <f t="shared" si="1"/>
        <v>317952.06868901505</v>
      </c>
      <c r="L11" s="202">
        <f t="shared" si="1"/>
        <v>367747.4671297078</v>
      </c>
      <c r="M11" s="202">
        <f t="shared" si="1"/>
        <v>425115.78841968905</v>
      </c>
      <c r="N11" s="202">
        <f t="shared" si="1"/>
        <v>491160.33638302202</v>
      </c>
      <c r="O11" s="202">
        <f t="shared" si="1"/>
        <v>567134.46995375736</v>
      </c>
    </row>
    <row r="12" spans="2:15">
      <c r="B12" s="193" t="s">
        <v>278</v>
      </c>
      <c r="C12" s="198">
        <f>Assumptions!C109</f>
        <v>-9705</v>
      </c>
      <c r="D12" s="198">
        <f>Assumptions!D109</f>
        <v>-9533</v>
      </c>
      <c r="E12" s="198">
        <f>Assumptions!E109</f>
        <v>-11042</v>
      </c>
      <c r="F12" s="198">
        <f>Assumptions!F109</f>
        <v>-13221</v>
      </c>
      <c r="G12" s="198">
        <f>Assumptions!G109</f>
        <v>-13332</v>
      </c>
      <c r="H12" s="198">
        <f>Assumptions!H109</f>
        <v>-14595</v>
      </c>
      <c r="I12" s="198">
        <f>Assumptions!I109</f>
        <v>-19084</v>
      </c>
      <c r="J12" s="198">
        <f>Assumptions!J109</f>
        <v>-19914</v>
      </c>
      <c r="K12" s="201">
        <f>Assumptions!K109</f>
        <v>6652.5172784054057</v>
      </c>
      <c r="L12" s="201">
        <f>Assumptions!L109</f>
        <v>7871.6230221081587</v>
      </c>
      <c r="M12" s="201">
        <f>Assumptions!M109</f>
        <v>9314.1357487816167</v>
      </c>
      <c r="N12" s="201">
        <f>Assumptions!N109</f>
        <v>11020.995861092148</v>
      </c>
      <c r="O12" s="201">
        <f>Assumptions!O109</f>
        <v>13040.646287133915</v>
      </c>
    </row>
    <row r="13" spans="2:15">
      <c r="B13" s="192" t="s">
        <v>129</v>
      </c>
      <c r="C13" s="199">
        <f>SUM(C11:C12)</f>
        <v>67542</v>
      </c>
      <c r="D13" s="199">
        <f t="shared" ref="D13:O13" si="2">SUM(D11:D12)</f>
        <v>56030</v>
      </c>
      <c r="E13" s="199">
        <f t="shared" si="2"/>
        <v>-173358</v>
      </c>
      <c r="F13" s="199">
        <f t="shared" si="2"/>
        <v>-59845</v>
      </c>
      <c r="G13" s="199">
        <f t="shared" si="2"/>
        <v>-57185</v>
      </c>
      <c r="H13" s="199">
        <f t="shared" si="2"/>
        <v>27865</v>
      </c>
      <c r="I13" s="199">
        <f t="shared" si="2"/>
        <v>206984</v>
      </c>
      <c r="J13" s="199">
        <f t="shared" si="2"/>
        <v>95776</v>
      </c>
      <c r="K13" s="202">
        <f t="shared" si="2"/>
        <v>324604.58596742048</v>
      </c>
      <c r="L13" s="202">
        <f t="shared" si="2"/>
        <v>375619.09015181597</v>
      </c>
      <c r="M13" s="202">
        <f t="shared" si="2"/>
        <v>434429.92416847066</v>
      </c>
      <c r="N13" s="202">
        <f t="shared" si="2"/>
        <v>502181.33224411419</v>
      </c>
      <c r="O13" s="202">
        <f t="shared" si="2"/>
        <v>580175.11624089128</v>
      </c>
    </row>
    <row r="14" spans="2:15">
      <c r="B14" s="194" t="s">
        <v>132</v>
      </c>
      <c r="C14" s="198">
        <f>Assumptions!C126</f>
        <v>-17211</v>
      </c>
      <c r="D14" s="198">
        <f>Assumptions!D126</f>
        <v>-59497</v>
      </c>
      <c r="E14" s="198">
        <f>Assumptions!E126</f>
        <v>56331</v>
      </c>
      <c r="F14" s="198">
        <f>Assumptions!F126</f>
        <v>-22830</v>
      </c>
      <c r="G14" s="198">
        <f>Assumptions!G126</f>
        <v>-51</v>
      </c>
      <c r="H14" s="198">
        <f>Assumptions!H126</f>
        <v>0</v>
      </c>
      <c r="I14" s="198">
        <f>Assumptions!I126</f>
        <v>-36259</v>
      </c>
      <c r="J14" s="198">
        <f>Assumptions!J126</f>
        <v>-27341</v>
      </c>
      <c r="K14" s="201">
        <f>K13*Assumptions!K128</f>
        <v>-81151.146491855121</v>
      </c>
      <c r="L14" s="201">
        <f>L13*Assumptions!L128</f>
        <v>-93904.772537953992</v>
      </c>
      <c r="M14" s="201">
        <f>M13*Assumptions!M128</f>
        <v>-108607.48104211767</v>
      </c>
      <c r="N14" s="201">
        <f>N13*Assumptions!N128</f>
        <v>-125545.33306102855</v>
      </c>
      <c r="O14" s="201">
        <f>O13*Assumptions!O128</f>
        <v>-145043.77906022282</v>
      </c>
    </row>
    <row r="15" spans="2:15">
      <c r="B15" s="197" t="s">
        <v>133</v>
      </c>
      <c r="C15" s="200">
        <f>SUM(C13:C14)</f>
        <v>50331</v>
      </c>
      <c r="D15" s="200">
        <f t="shared" ref="D15:O15" si="3">SUM(D13:D14)</f>
        <v>-3467</v>
      </c>
      <c r="E15" s="200">
        <f t="shared" si="3"/>
        <v>-117027</v>
      </c>
      <c r="F15" s="200">
        <f t="shared" si="3"/>
        <v>-82675</v>
      </c>
      <c r="G15" s="200">
        <f t="shared" si="3"/>
        <v>-57236</v>
      </c>
      <c r="H15" s="200">
        <f t="shared" si="3"/>
        <v>27865</v>
      </c>
      <c r="I15" s="200">
        <f t="shared" si="3"/>
        <v>170725</v>
      </c>
      <c r="J15" s="200">
        <f t="shared" si="3"/>
        <v>68435</v>
      </c>
      <c r="K15" s="203">
        <f t="shared" si="3"/>
        <v>243453.43947556536</v>
      </c>
      <c r="L15" s="203">
        <f t="shared" si="3"/>
        <v>281714.31761386199</v>
      </c>
      <c r="M15" s="203">
        <f t="shared" si="3"/>
        <v>325822.44312635297</v>
      </c>
      <c r="N15" s="203">
        <f t="shared" si="3"/>
        <v>376635.99918308563</v>
      </c>
      <c r="O15" s="203">
        <f t="shared" si="3"/>
        <v>435131.33718066849</v>
      </c>
    </row>
    <row r="16" spans="2:15">
      <c r="B16" s="194" t="s">
        <v>279</v>
      </c>
      <c r="C16" s="198">
        <f>-Assumptions!C109</f>
        <v>9705</v>
      </c>
      <c r="D16" s="198">
        <f>-Assumptions!D109</f>
        <v>9533</v>
      </c>
      <c r="E16" s="198">
        <f>-Assumptions!E109</f>
        <v>11042</v>
      </c>
      <c r="F16" s="198">
        <f>-Assumptions!F109</f>
        <v>13221</v>
      </c>
      <c r="G16" s="198">
        <f>-Assumptions!G109</f>
        <v>13332</v>
      </c>
      <c r="H16" s="198">
        <f>-Assumptions!H109</f>
        <v>14595</v>
      </c>
      <c r="I16" s="198">
        <f>-Assumptions!I109</f>
        <v>19084</v>
      </c>
      <c r="J16" s="198">
        <f>-Assumptions!J109</f>
        <v>19914</v>
      </c>
      <c r="K16" s="201">
        <f>-Assumptions!K109</f>
        <v>-6652.5172784054057</v>
      </c>
      <c r="L16" s="201">
        <f>-Assumptions!L109</f>
        <v>-7871.6230221081587</v>
      </c>
      <c r="M16" s="201">
        <f>-Assumptions!M109</f>
        <v>-9314.1357487816167</v>
      </c>
      <c r="N16" s="201">
        <f>-Assumptions!N109</f>
        <v>-11020.995861092148</v>
      </c>
      <c r="O16" s="201">
        <f>-Assumptions!O109</f>
        <v>-13040.646287133915</v>
      </c>
    </row>
    <row r="17" spans="2:15">
      <c r="B17" s="194" t="s">
        <v>280</v>
      </c>
      <c r="C17" s="198">
        <f>-Assumptions!C143</f>
        <v>-123442.99999999999</v>
      </c>
      <c r="D17" s="198">
        <f>-Assumptions!D143</f>
        <v>-24761.000000000015</v>
      </c>
      <c r="E17" s="198">
        <f>-Assumptions!E143</f>
        <v>-23664.5</v>
      </c>
      <c r="F17" s="198">
        <f>-Assumptions!F143</f>
        <v>-8899.5</v>
      </c>
      <c r="G17" s="198">
        <f>-Assumptions!G143</f>
        <v>-9423.5</v>
      </c>
      <c r="H17" s="198">
        <f>-Assumptions!H143</f>
        <v>-13694.5</v>
      </c>
      <c r="I17" s="198">
        <f>-Assumptions!I143</f>
        <v>-14552.5</v>
      </c>
      <c r="J17" s="198">
        <f>-Assumptions!J143</f>
        <v>-18617.5</v>
      </c>
      <c r="K17" s="201">
        <f>-Assumptions!K143</f>
        <v>-20743.916462698075</v>
      </c>
      <c r="L17" s="201">
        <f>-Assumptions!L143</f>
        <v>-25598.717423277332</v>
      </c>
      <c r="M17" s="201">
        <f>-Assumptions!M143</f>
        <v>-31618.531238991822</v>
      </c>
      <c r="N17" s="201">
        <f>-Assumptions!N143</f>
        <v>-39092.231848304451</v>
      </c>
      <c r="O17" s="201">
        <f>-Assumptions!O143</f>
        <v>-48383.416953323758</v>
      </c>
    </row>
    <row r="18" spans="2:15">
      <c r="B18" s="194" t="s">
        <v>281</v>
      </c>
      <c r="C18" s="198">
        <f>-Assumptions!C157</f>
        <v>0</v>
      </c>
      <c r="D18" s="198">
        <f>-Assumptions!D157</f>
        <v>-90157.5</v>
      </c>
      <c r="E18" s="198">
        <f>-Assumptions!E157</f>
        <v>-34657</v>
      </c>
      <c r="F18" s="198">
        <f>-Assumptions!F157</f>
        <v>117113.49999999999</v>
      </c>
      <c r="G18" s="198">
        <f>-Assumptions!G157</f>
        <v>59417.000000000015</v>
      </c>
      <c r="H18" s="198">
        <f>-Assumptions!H157</f>
        <v>-28865.5</v>
      </c>
      <c r="I18" s="198">
        <f>-Assumptions!I157</f>
        <v>-1271</v>
      </c>
      <c r="J18" s="198">
        <f>-Assumptions!J157</f>
        <v>1728</v>
      </c>
      <c r="K18" s="201">
        <f>-Assumptions!K157</f>
        <v>-20260.3517485216</v>
      </c>
      <c r="L18" s="201">
        <f>-Assumptions!L157</f>
        <v>-8947.0492994101805</v>
      </c>
      <c r="M18" s="201">
        <f>-Assumptions!M157</f>
        <v>-10085.167966313398</v>
      </c>
      <c r="N18" s="201">
        <f>-Assumptions!N157</f>
        <v>-11357.841669535119</v>
      </c>
      <c r="O18" s="201">
        <f>-Assumptions!O157</f>
        <v>-12778.60703210684</v>
      </c>
    </row>
    <row r="19" spans="2:15" s="144" customFormat="1" ht="15" thickBot="1">
      <c r="B19" s="195" t="s">
        <v>282</v>
      </c>
      <c r="C19" s="204">
        <f>SUM(C15:C18)</f>
        <v>-63406.999999999985</v>
      </c>
      <c r="D19" s="204">
        <f t="shared" ref="D19:O19" si="4">SUM(D15:D18)</f>
        <v>-108852.50000000001</v>
      </c>
      <c r="E19" s="204">
        <f t="shared" si="4"/>
        <v>-164306.5</v>
      </c>
      <c r="F19" s="204">
        <f t="shared" si="4"/>
        <v>38759.999999999985</v>
      </c>
      <c r="G19" s="204">
        <f t="shared" si="4"/>
        <v>6089.5000000000146</v>
      </c>
      <c r="H19" s="204">
        <f t="shared" si="4"/>
        <v>-100</v>
      </c>
      <c r="I19" s="204">
        <f t="shared" si="4"/>
        <v>173985.5</v>
      </c>
      <c r="J19" s="204">
        <f t="shared" si="4"/>
        <v>71459.5</v>
      </c>
      <c r="K19" s="205">
        <f t="shared" si="4"/>
        <v>195796.65398594027</v>
      </c>
      <c r="L19" s="205">
        <f t="shared" si="4"/>
        <v>239296.9278690663</v>
      </c>
      <c r="M19" s="205">
        <f t="shared" si="4"/>
        <v>274804.60817226616</v>
      </c>
      <c r="N19" s="205">
        <f t="shared" si="4"/>
        <v>315164.92980415386</v>
      </c>
      <c r="O19" s="205">
        <f t="shared" si="4"/>
        <v>360928.66690810397</v>
      </c>
    </row>
    <row r="20" spans="2:15">
      <c r="B20" s="194" t="s">
        <v>283</v>
      </c>
    </row>
    <row r="29" spans="2:15">
      <c r="B29" s="144" t="s">
        <v>284</v>
      </c>
      <c r="C29" s="208">
        <f>WACC!J37</f>
        <v>0.23971677118051779</v>
      </c>
    </row>
    <row r="30" spans="2:15">
      <c r="B30" s="144" t="s">
        <v>285</v>
      </c>
      <c r="C30" s="208">
        <f>5.3%</f>
        <v>5.2999999999999999E-2</v>
      </c>
    </row>
    <row r="31" spans="2:15">
      <c r="B31" t="s">
        <v>286</v>
      </c>
      <c r="K31">
        <f>YEARFRAC($J$3,K3,)</f>
        <v>1</v>
      </c>
      <c r="L31">
        <f t="shared" ref="L31:O31" si="5">YEARFRAC($J$3,L3,)</f>
        <v>2</v>
      </c>
      <c r="M31">
        <f t="shared" si="5"/>
        <v>3</v>
      </c>
      <c r="N31">
        <f t="shared" si="5"/>
        <v>4</v>
      </c>
      <c r="O31">
        <f t="shared" si="5"/>
        <v>5</v>
      </c>
    </row>
    <row r="32" spans="2:15">
      <c r="B32" t="s">
        <v>287</v>
      </c>
      <c r="K32" s="100">
        <f>(1/((1+$C$29)^(K31)))</f>
        <v>0.80663585687217254</v>
      </c>
      <c r="L32" s="100">
        <f t="shared" ref="L32:O32" si="6">(1/((1+$C$29)^(L31)))</f>
        <v>0.65066140559190411</v>
      </c>
      <c r="M32" s="100">
        <f t="shared" si="6"/>
        <v>0.52484682043327779</v>
      </c>
      <c r="N32" s="100">
        <f t="shared" si="6"/>
        <v>0.4233602647268323</v>
      </c>
      <c r="O32" s="100">
        <f t="shared" si="6"/>
        <v>0.34149756990355817</v>
      </c>
    </row>
    <row r="33" spans="2:15">
      <c r="B33" t="s">
        <v>288</v>
      </c>
      <c r="K33" s="206">
        <f>K32*K19</f>
        <v>157936.6017606532</v>
      </c>
      <c r="L33" s="206">
        <f t="shared" ref="L33:O33" si="7">L32*L19</f>
        <v>155701.27544111118</v>
      </c>
      <c r="M33" s="206">
        <f t="shared" si="7"/>
        <v>144230.32483962664</v>
      </c>
      <c r="N33" s="206">
        <f t="shared" si="7"/>
        <v>133428.30811450011</v>
      </c>
      <c r="O33" s="206">
        <f t="shared" si="7"/>
        <v>123256.2626576483</v>
      </c>
    </row>
    <row r="34" spans="2:15">
      <c r="B34" t="s">
        <v>289</v>
      </c>
      <c r="O34">
        <f>(O19*(1+$C$30))/(C29-C30)</f>
        <v>2035478.033661976</v>
      </c>
    </row>
    <row r="36" spans="2:15">
      <c r="B36" t="s">
        <v>290</v>
      </c>
      <c r="C36" s="206">
        <f>SUM(K33:O33)</f>
        <v>714552.77281353949</v>
      </c>
    </row>
    <row r="37" spans="2:15">
      <c r="B37" t="s">
        <v>291</v>
      </c>
      <c r="C37" s="206">
        <f>O34*O32</f>
        <v>695110.80208763783</v>
      </c>
    </row>
    <row r="38" spans="2:15">
      <c r="B38" s="144" t="s">
        <v>143</v>
      </c>
      <c r="C38" s="207">
        <f>SUM(C36:C37)</f>
        <v>1409663.5749011773</v>
      </c>
    </row>
    <row r="39" spans="2:15">
      <c r="B39" t="s">
        <v>292</v>
      </c>
      <c r="C39">
        <f>EV!J24</f>
        <v>97030</v>
      </c>
    </row>
    <row r="40" spans="2:15">
      <c r="B40" t="s">
        <v>293</v>
      </c>
      <c r="C40">
        <f>EV!J23</f>
        <v>17130</v>
      </c>
    </row>
    <row r="41" spans="2:15">
      <c r="B41" s="144" t="s">
        <v>185</v>
      </c>
      <c r="C41" s="207">
        <f>C38+C39-C40</f>
        <v>1489563.5749011773</v>
      </c>
    </row>
    <row r="42" spans="2:15">
      <c r="B42" t="s">
        <v>294</v>
      </c>
      <c r="C42">
        <f>EV!E3</f>
        <v>62500</v>
      </c>
    </row>
    <row r="43" spans="2:15">
      <c r="B43" t="s">
        <v>295</v>
      </c>
      <c r="C43" s="100">
        <f>C41/C42</f>
        <v>23.833017198418837</v>
      </c>
    </row>
    <row r="44" spans="2:15">
      <c r="B44" t="s">
        <v>296</v>
      </c>
      <c r="C44">
        <f>Share_Price</f>
        <v>19.52</v>
      </c>
    </row>
    <row r="45" spans="2:15" ht="21">
      <c r="B45" s="210" t="s">
        <v>297</v>
      </c>
      <c r="C45" s="209">
        <f>C43/C44-1</f>
        <v>0.22095374991899774</v>
      </c>
    </row>
  </sheetData>
  <conditionalFormatting sqref="C45">
    <cfRule type="expression" dxfId="0" priority="1">
      <formula>$C$45&lt;0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percent" val="&quot;&lt;0%&quot;"/>
        <cfvo type="percent" val="&quot;&gt;0%&quot;"/>
        <color rgb="FFFF0000"/>
        <color rgb="FF00B050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FS</vt:lpstr>
      <vt:lpstr>Common Size</vt:lpstr>
      <vt:lpstr>Ratios</vt:lpstr>
      <vt:lpstr>Adjustment</vt:lpstr>
      <vt:lpstr>EV</vt:lpstr>
      <vt:lpstr>Comparable Analysis</vt:lpstr>
      <vt:lpstr>Assumptions</vt:lpstr>
      <vt:lpstr>WACC</vt:lpstr>
      <vt:lpstr>DCF</vt:lpstr>
      <vt:lpstr>Share_Price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Nashiru Abdul Kabiru</dc:creator>
  <cp:lastModifiedBy>Abdul-Kabiru Nashiru</cp:lastModifiedBy>
  <dcterms:created xsi:type="dcterms:W3CDTF">2022-05-09T22:56:00Z</dcterms:created>
  <dcterms:modified xsi:type="dcterms:W3CDTF">2026-07-01T11:08:08Z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08BBF2162C164F8288D60D1791FBEA21_12</vt:lpwstr>
  </property>
  <property fmtid="{D5CDD505-2E9C-101B-9397-08002B2CF9AE}" pid="3" name="KSOProductBuildVer">
    <vt:lpwstr>2057-12.2.0.21546</vt:lpwstr>
  </property>
</Properties>
</file>