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CCA7D5-5379-494D-A923-C8BACB7C7EB3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FS" sheetId="1" r:id="rId1"/>
    <sheet name="Common Size" sheetId="2" r:id="rId2"/>
    <sheet name="Ratios" sheetId="3" r:id="rId3"/>
    <sheet name="Adjustment" sheetId="4" r:id="rId4"/>
    <sheet name="EV" sheetId="5" r:id="rId5"/>
    <sheet name="Comparable Valuation" sheetId="6" r:id="rId6"/>
    <sheet name="Assumptions" sheetId="7" r:id="rId7"/>
    <sheet name="WACC" sheetId="8" r:id="rId8"/>
    <sheet name="DCF" sheetId="9" r:id="rId9"/>
    <sheet name="DDM" sheetId="10" r:id="rId10"/>
    <sheet name="Fair Value" sheetId="11" r:id="rId11"/>
    <sheet name="Monte Carlo" sheetId="12" r:id="rId12"/>
  </sheets>
  <externalReferences>
    <externalReference r:id="rId13"/>
    <externalReference r:id="rId14"/>
  </externalReferences>
  <definedNames>
    <definedName name="Share_Price">[1]EV!$E$2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10" i="12" l="1"/>
  <c r="F10009" i="12"/>
  <c r="F10008" i="12"/>
  <c r="F10007" i="12"/>
  <c r="F10006" i="12"/>
  <c r="F10005" i="12"/>
  <c r="F10004" i="12"/>
  <c r="F10003" i="12"/>
  <c r="F10002" i="12"/>
  <c r="F10001" i="12"/>
  <c r="F10000" i="12"/>
  <c r="F9999" i="12"/>
  <c r="F9998" i="12"/>
  <c r="F9997" i="12"/>
  <c r="F9996" i="12"/>
  <c r="F9995" i="12"/>
  <c r="F9994" i="12"/>
  <c r="F9993" i="12"/>
  <c r="F9992" i="12"/>
  <c r="F9991" i="12"/>
  <c r="F9990" i="12"/>
  <c r="F9989" i="12"/>
  <c r="F9988" i="12"/>
  <c r="F9987" i="12"/>
  <c r="F9986" i="12"/>
  <c r="F9985" i="12"/>
  <c r="F9984" i="12"/>
  <c r="F9983" i="12"/>
  <c r="F9982" i="12"/>
  <c r="F9981" i="12"/>
  <c r="F9980" i="12"/>
  <c r="F9979" i="12"/>
  <c r="F9978" i="12"/>
  <c r="F9977" i="12"/>
  <c r="F9976" i="12"/>
  <c r="F9975" i="12"/>
  <c r="F9974" i="12"/>
  <c r="F9973" i="12"/>
  <c r="F9972" i="12"/>
  <c r="F9971" i="12"/>
  <c r="F9970" i="12"/>
  <c r="F9969" i="12"/>
  <c r="F9968" i="12"/>
  <c r="F9967" i="12"/>
  <c r="F9966" i="12"/>
  <c r="F9965" i="12"/>
  <c r="F9964" i="12"/>
  <c r="F9963" i="12"/>
  <c r="F9962" i="12"/>
  <c r="F9961" i="12"/>
  <c r="F9960" i="12"/>
  <c r="F9959" i="12"/>
  <c r="F9958" i="12"/>
  <c r="F9957" i="12"/>
  <c r="F9956" i="12"/>
  <c r="F9955" i="12"/>
  <c r="F9954" i="12"/>
  <c r="F9953" i="12"/>
  <c r="F9952" i="12"/>
  <c r="F9951" i="12"/>
  <c r="F9950" i="12"/>
  <c r="F9949" i="12"/>
  <c r="F9948" i="12"/>
  <c r="F9947" i="12"/>
  <c r="F9946" i="12"/>
  <c r="F9945" i="12"/>
  <c r="F9944" i="12"/>
  <c r="F9943" i="12"/>
  <c r="F9942" i="12"/>
  <c r="F9941" i="12"/>
  <c r="F9940" i="12"/>
  <c r="F9939" i="12"/>
  <c r="F9938" i="12"/>
  <c r="F9937" i="12"/>
  <c r="F9936" i="12"/>
  <c r="F9935" i="12"/>
  <c r="F9934" i="12"/>
  <c r="F9933" i="12"/>
  <c r="F9932" i="12"/>
  <c r="F9931" i="12"/>
  <c r="F9930" i="12"/>
  <c r="F9929" i="12"/>
  <c r="F9928" i="12"/>
  <c r="F9927" i="12"/>
  <c r="F9926" i="12"/>
  <c r="F9925" i="12"/>
  <c r="F9924" i="12"/>
  <c r="F9923" i="12"/>
  <c r="F9922" i="12"/>
  <c r="F9921" i="12"/>
  <c r="F9920" i="12"/>
  <c r="F9919" i="12"/>
  <c r="F9918" i="12"/>
  <c r="F9917" i="12"/>
  <c r="F9916" i="12"/>
  <c r="F9915" i="12"/>
  <c r="F9914" i="12"/>
  <c r="F9913" i="12"/>
  <c r="F9912" i="12"/>
  <c r="F9911" i="12"/>
  <c r="F9910" i="12"/>
  <c r="F9909" i="12"/>
  <c r="F9908" i="12"/>
  <c r="F9907" i="12"/>
  <c r="F9906" i="12"/>
  <c r="F9905" i="12"/>
  <c r="F9904" i="12"/>
  <c r="F9903" i="12"/>
  <c r="F9902" i="12"/>
  <c r="F9901" i="12"/>
  <c r="F9900" i="12"/>
  <c r="F9899" i="12"/>
  <c r="F9898" i="12"/>
  <c r="F9897" i="12"/>
  <c r="F9896" i="12"/>
  <c r="F9895" i="12"/>
  <c r="F9894" i="12"/>
  <c r="F9893" i="12"/>
  <c r="F9892" i="12"/>
  <c r="F9891" i="12"/>
  <c r="F9890" i="12"/>
  <c r="F9889" i="12"/>
  <c r="F9888" i="12"/>
  <c r="F9887" i="12"/>
  <c r="F9886" i="12"/>
  <c r="F9885" i="12"/>
  <c r="F9884" i="12"/>
  <c r="F9883" i="12"/>
  <c r="F9882" i="12"/>
  <c r="F9881" i="12"/>
  <c r="F9880" i="12"/>
  <c r="F9879" i="12"/>
  <c r="F9878" i="12"/>
  <c r="F9877" i="12"/>
  <c r="F9876" i="12"/>
  <c r="F9875" i="12"/>
  <c r="F9874" i="12"/>
  <c r="F9873" i="12"/>
  <c r="F9872" i="12"/>
  <c r="F9871" i="12"/>
  <c r="F9870" i="12"/>
  <c r="F9869" i="12"/>
  <c r="F9868" i="12"/>
  <c r="F9867" i="12"/>
  <c r="F9866" i="12"/>
  <c r="F9865" i="12"/>
  <c r="F9864" i="12"/>
  <c r="F9863" i="12"/>
  <c r="F9862" i="12"/>
  <c r="F9861" i="12"/>
  <c r="F9860" i="12"/>
  <c r="F9859" i="12"/>
  <c r="F9858" i="12"/>
  <c r="F9857" i="12"/>
  <c r="F9856" i="12"/>
  <c r="F9855" i="12"/>
  <c r="F9854" i="12"/>
  <c r="F9853" i="12"/>
  <c r="F9852" i="12"/>
  <c r="F9851" i="12"/>
  <c r="F9850" i="12"/>
  <c r="F9849" i="12"/>
  <c r="F9848" i="12"/>
  <c r="F9847" i="12"/>
  <c r="F9846" i="12"/>
  <c r="F9845" i="12"/>
  <c r="F9844" i="12"/>
  <c r="F9843" i="12"/>
  <c r="F9842" i="12"/>
  <c r="F9841" i="12"/>
  <c r="F9840" i="12"/>
  <c r="F9839" i="12"/>
  <c r="F9838" i="12"/>
  <c r="F9837" i="12"/>
  <c r="F9836" i="12"/>
  <c r="F9835" i="12"/>
  <c r="F9834" i="12"/>
  <c r="F9833" i="12"/>
  <c r="F9832" i="12"/>
  <c r="F9831" i="12"/>
  <c r="F9830" i="12"/>
  <c r="F9829" i="12"/>
  <c r="F9828" i="12"/>
  <c r="F9827" i="12"/>
  <c r="F9826" i="12"/>
  <c r="F9825" i="12"/>
  <c r="F9824" i="12"/>
  <c r="F9823" i="12"/>
  <c r="F9822" i="12"/>
  <c r="F9821" i="12"/>
  <c r="F9820" i="12"/>
  <c r="F9819" i="12"/>
  <c r="F9818" i="12"/>
  <c r="F9817" i="12"/>
  <c r="F9816" i="12"/>
  <c r="F9815" i="12"/>
  <c r="F9814" i="12"/>
  <c r="F9813" i="12"/>
  <c r="F9812" i="12"/>
  <c r="F9811" i="12"/>
  <c r="F9810" i="12"/>
  <c r="F9809" i="12"/>
  <c r="F9808" i="12"/>
  <c r="F9807" i="12"/>
  <c r="F9806" i="12"/>
  <c r="F9805" i="12"/>
  <c r="F9804" i="12"/>
  <c r="F9803" i="12"/>
  <c r="F9802" i="12"/>
  <c r="F9801" i="12"/>
  <c r="F9800" i="12"/>
  <c r="F9799" i="12"/>
  <c r="F9798" i="12"/>
  <c r="F9797" i="12"/>
  <c r="F9796" i="12"/>
  <c r="F9795" i="12"/>
  <c r="F9794" i="12"/>
  <c r="F9793" i="12"/>
  <c r="F9792" i="12"/>
  <c r="F9791" i="12"/>
  <c r="F9790" i="12"/>
  <c r="F9789" i="12"/>
  <c r="F9788" i="12"/>
  <c r="F9787" i="12"/>
  <c r="F9786" i="12"/>
  <c r="F9785" i="12"/>
  <c r="F9784" i="12"/>
  <c r="F9783" i="12"/>
  <c r="F9782" i="12"/>
  <c r="F9781" i="12"/>
  <c r="F9780" i="12"/>
  <c r="F9779" i="12"/>
  <c r="F9778" i="12"/>
  <c r="F9777" i="12"/>
  <c r="F9776" i="12"/>
  <c r="F9775" i="12"/>
  <c r="F9774" i="12"/>
  <c r="F9773" i="12"/>
  <c r="F9772" i="12"/>
  <c r="F9771" i="12"/>
  <c r="F9770" i="12"/>
  <c r="F9769" i="12"/>
  <c r="F9768" i="12"/>
  <c r="F9767" i="12"/>
  <c r="F9766" i="12"/>
  <c r="F9765" i="12"/>
  <c r="F9764" i="12"/>
  <c r="F9763" i="12"/>
  <c r="F9762" i="12"/>
  <c r="F9761" i="12"/>
  <c r="F9760" i="12"/>
  <c r="F9759" i="12"/>
  <c r="F9758" i="12"/>
  <c r="F9757" i="12"/>
  <c r="F9756" i="12"/>
  <c r="F9755" i="12"/>
  <c r="F9754" i="12"/>
  <c r="F9753" i="12"/>
  <c r="F9752" i="12"/>
  <c r="F9751" i="12"/>
  <c r="F9750" i="12"/>
  <c r="F9749" i="12"/>
  <c r="F9748" i="12"/>
  <c r="F9747" i="12"/>
  <c r="F9746" i="12"/>
  <c r="F9745" i="12"/>
  <c r="F9744" i="12"/>
  <c r="F9743" i="12"/>
  <c r="F9742" i="12"/>
  <c r="F9741" i="12"/>
  <c r="F9740" i="12"/>
  <c r="F9739" i="12"/>
  <c r="F9738" i="12"/>
  <c r="F9737" i="12"/>
  <c r="F9736" i="12"/>
  <c r="F9735" i="12"/>
  <c r="F9734" i="12"/>
  <c r="F9733" i="12"/>
  <c r="F9732" i="12"/>
  <c r="F9731" i="12"/>
  <c r="F9730" i="12"/>
  <c r="F9729" i="12"/>
  <c r="F9728" i="12"/>
  <c r="F9727" i="12"/>
  <c r="F9726" i="12"/>
  <c r="F9725" i="12"/>
  <c r="F9724" i="12"/>
  <c r="F9723" i="12"/>
  <c r="F9722" i="12"/>
  <c r="F9721" i="12"/>
  <c r="F9720" i="12"/>
  <c r="F9719" i="12"/>
  <c r="F9718" i="12"/>
  <c r="F9717" i="12"/>
  <c r="F9716" i="12"/>
  <c r="F9715" i="12"/>
  <c r="F9714" i="12"/>
  <c r="F9713" i="12"/>
  <c r="F9712" i="12"/>
  <c r="F9711" i="12"/>
  <c r="F9710" i="12"/>
  <c r="F9709" i="12"/>
  <c r="F9708" i="12"/>
  <c r="F9707" i="12"/>
  <c r="F9706" i="12"/>
  <c r="F9705" i="12"/>
  <c r="F9704" i="12"/>
  <c r="F9703" i="12"/>
  <c r="F9702" i="12"/>
  <c r="F9701" i="12"/>
  <c r="F9700" i="12"/>
  <c r="F9699" i="12"/>
  <c r="F9698" i="12"/>
  <c r="F9697" i="12"/>
  <c r="F9696" i="12"/>
  <c r="F9695" i="12"/>
  <c r="F9694" i="12"/>
  <c r="F9693" i="12"/>
  <c r="F9692" i="12"/>
  <c r="F9691" i="12"/>
  <c r="F9690" i="12"/>
  <c r="F9689" i="12"/>
  <c r="F9688" i="12"/>
  <c r="F9687" i="12"/>
  <c r="F9686" i="12"/>
  <c r="F9685" i="12"/>
  <c r="F9684" i="12"/>
  <c r="F9683" i="12"/>
  <c r="F9682" i="12"/>
  <c r="F9681" i="12"/>
  <c r="F9680" i="12"/>
  <c r="F9679" i="12"/>
  <c r="F9678" i="12"/>
  <c r="F9677" i="12"/>
  <c r="F9676" i="12"/>
  <c r="F9675" i="12"/>
  <c r="F9674" i="12"/>
  <c r="F9673" i="12"/>
  <c r="F9672" i="12"/>
  <c r="F9671" i="12"/>
  <c r="F9670" i="12"/>
  <c r="F9669" i="12"/>
  <c r="F9668" i="12"/>
  <c r="F9667" i="12"/>
  <c r="F9666" i="12"/>
  <c r="F9665" i="12"/>
  <c r="F9664" i="12"/>
  <c r="F9663" i="12"/>
  <c r="F9662" i="12"/>
  <c r="F9661" i="12"/>
  <c r="F9660" i="12"/>
  <c r="F9659" i="12"/>
  <c r="F9658" i="12"/>
  <c r="F9657" i="12"/>
  <c r="F9656" i="12"/>
  <c r="F9655" i="12"/>
  <c r="F9654" i="12"/>
  <c r="F9653" i="12"/>
  <c r="F9652" i="12"/>
  <c r="F9651" i="12"/>
  <c r="F9650" i="12"/>
  <c r="F9649" i="12"/>
  <c r="F9648" i="12"/>
  <c r="F9647" i="12"/>
  <c r="F9646" i="12"/>
  <c r="F9645" i="12"/>
  <c r="F9644" i="12"/>
  <c r="F9643" i="12"/>
  <c r="F9642" i="12"/>
  <c r="F9641" i="12"/>
  <c r="F9640" i="12"/>
  <c r="F9639" i="12"/>
  <c r="F9638" i="12"/>
  <c r="F9637" i="12"/>
  <c r="F9636" i="12"/>
  <c r="F9635" i="12"/>
  <c r="F9634" i="12"/>
  <c r="F9633" i="12"/>
  <c r="F9632" i="12"/>
  <c r="F9631" i="12"/>
  <c r="F9630" i="12"/>
  <c r="F9629" i="12"/>
  <c r="F9628" i="12"/>
  <c r="F9627" i="12"/>
  <c r="F9626" i="12"/>
  <c r="F9625" i="12"/>
  <c r="F9624" i="12"/>
  <c r="F9623" i="12"/>
  <c r="F9622" i="12"/>
  <c r="F9621" i="12"/>
  <c r="F9620" i="12"/>
  <c r="F9619" i="12"/>
  <c r="F9618" i="12"/>
  <c r="F9617" i="12"/>
  <c r="F9616" i="12"/>
  <c r="F9615" i="12"/>
  <c r="F9614" i="12"/>
  <c r="F9613" i="12"/>
  <c r="F9612" i="12"/>
  <c r="F9611" i="12"/>
  <c r="F9610" i="12"/>
  <c r="F9609" i="12"/>
  <c r="F9608" i="12"/>
  <c r="F9607" i="12"/>
  <c r="F9606" i="12"/>
  <c r="F9605" i="12"/>
  <c r="F9604" i="12"/>
  <c r="F9603" i="12"/>
  <c r="F9602" i="12"/>
  <c r="F9601" i="12"/>
  <c r="F9600" i="12"/>
  <c r="F9599" i="12"/>
  <c r="F9598" i="12"/>
  <c r="F9597" i="12"/>
  <c r="F9596" i="12"/>
  <c r="F9595" i="12"/>
  <c r="F9594" i="12"/>
  <c r="F9593" i="12"/>
  <c r="F9592" i="12"/>
  <c r="F9591" i="12"/>
  <c r="F9590" i="12"/>
  <c r="F9589" i="12"/>
  <c r="F9588" i="12"/>
  <c r="F9587" i="12"/>
  <c r="F9586" i="12"/>
  <c r="F9585" i="12"/>
  <c r="F9584" i="12"/>
  <c r="F9583" i="12"/>
  <c r="F9582" i="12"/>
  <c r="F9581" i="12"/>
  <c r="F9580" i="12"/>
  <c r="F9579" i="12"/>
  <c r="F9578" i="12"/>
  <c r="F9577" i="12"/>
  <c r="F9576" i="12"/>
  <c r="F9575" i="12"/>
  <c r="F9574" i="12"/>
  <c r="F9573" i="12"/>
  <c r="F9572" i="12"/>
  <c r="F9571" i="12"/>
  <c r="F9570" i="12"/>
  <c r="F9569" i="12"/>
  <c r="F9568" i="12"/>
  <c r="F9567" i="12"/>
  <c r="F9566" i="12"/>
  <c r="F9565" i="12"/>
  <c r="F9564" i="12"/>
  <c r="F9563" i="12"/>
  <c r="F9562" i="12"/>
  <c r="F9561" i="12"/>
  <c r="F9560" i="12"/>
  <c r="F9559" i="12"/>
  <c r="F9558" i="12"/>
  <c r="F9557" i="12"/>
  <c r="F9556" i="12"/>
  <c r="F9555" i="12"/>
  <c r="F9554" i="12"/>
  <c r="F9553" i="12"/>
  <c r="F9552" i="12"/>
  <c r="F9551" i="12"/>
  <c r="F9550" i="12"/>
  <c r="F9549" i="12"/>
  <c r="F9548" i="12"/>
  <c r="F9547" i="12"/>
  <c r="F9546" i="12"/>
  <c r="F9545" i="12"/>
  <c r="F9544" i="12"/>
  <c r="F9543" i="12"/>
  <c r="F9542" i="12"/>
  <c r="F9541" i="12"/>
  <c r="F9540" i="12"/>
  <c r="F9539" i="12"/>
  <c r="F9538" i="12"/>
  <c r="F9537" i="12"/>
  <c r="F9536" i="12"/>
  <c r="F9535" i="12"/>
  <c r="F9534" i="12"/>
  <c r="F9533" i="12"/>
  <c r="F9532" i="12"/>
  <c r="F9531" i="12"/>
  <c r="F9530" i="12"/>
  <c r="F9529" i="12"/>
  <c r="F9528" i="12"/>
  <c r="F9527" i="12"/>
  <c r="F9526" i="12"/>
  <c r="F9525" i="12"/>
  <c r="F9524" i="12"/>
  <c r="F9523" i="12"/>
  <c r="F9522" i="12"/>
  <c r="F9521" i="12"/>
  <c r="F9520" i="12"/>
  <c r="F9519" i="12"/>
  <c r="F9518" i="12"/>
  <c r="F9517" i="12"/>
  <c r="F9516" i="12"/>
  <c r="F9515" i="12"/>
  <c r="F9514" i="12"/>
  <c r="F9513" i="12"/>
  <c r="F9512" i="12"/>
  <c r="F9511" i="12"/>
  <c r="F9510" i="12"/>
  <c r="F9509" i="12"/>
  <c r="F9508" i="12"/>
  <c r="F9507" i="12"/>
  <c r="F9506" i="12"/>
  <c r="F9505" i="12"/>
  <c r="F9504" i="12"/>
  <c r="F9503" i="12"/>
  <c r="F9502" i="12"/>
  <c r="F9501" i="12"/>
  <c r="F9500" i="12"/>
  <c r="F9499" i="12"/>
  <c r="F9498" i="12"/>
  <c r="F9497" i="12"/>
  <c r="F9496" i="12"/>
  <c r="F9495" i="12"/>
  <c r="F9494" i="12"/>
  <c r="F9493" i="12"/>
  <c r="F9492" i="12"/>
  <c r="F9491" i="12"/>
  <c r="F9490" i="12"/>
  <c r="F9489" i="12"/>
  <c r="F9488" i="12"/>
  <c r="F9487" i="12"/>
  <c r="F9486" i="12"/>
  <c r="F9485" i="12"/>
  <c r="F9484" i="12"/>
  <c r="F9483" i="12"/>
  <c r="F9482" i="12"/>
  <c r="F9481" i="12"/>
  <c r="F9480" i="12"/>
  <c r="F9479" i="12"/>
  <c r="F9478" i="12"/>
  <c r="F9477" i="12"/>
  <c r="F9476" i="12"/>
  <c r="F9475" i="12"/>
  <c r="F9474" i="12"/>
  <c r="F9473" i="12"/>
  <c r="F9472" i="12"/>
  <c r="F9471" i="12"/>
  <c r="F9470" i="12"/>
  <c r="F9469" i="12"/>
  <c r="F9468" i="12"/>
  <c r="F9467" i="12"/>
  <c r="F9466" i="12"/>
  <c r="F9465" i="12"/>
  <c r="F9464" i="12"/>
  <c r="F9463" i="12"/>
  <c r="F9462" i="12"/>
  <c r="F9461" i="12"/>
  <c r="F9460" i="12"/>
  <c r="F9459" i="12"/>
  <c r="F9458" i="12"/>
  <c r="F9457" i="12"/>
  <c r="F9456" i="12"/>
  <c r="F9455" i="12"/>
  <c r="F9454" i="12"/>
  <c r="F9453" i="12"/>
  <c r="F9452" i="12"/>
  <c r="F9451" i="12"/>
  <c r="F9450" i="12"/>
  <c r="F9449" i="12"/>
  <c r="F9448" i="12"/>
  <c r="F9447" i="12"/>
  <c r="F9446" i="12"/>
  <c r="F9445" i="12"/>
  <c r="F9444" i="12"/>
  <c r="F9443" i="12"/>
  <c r="F9442" i="12"/>
  <c r="F9441" i="12"/>
  <c r="F9440" i="12"/>
  <c r="F9439" i="12"/>
  <c r="F9438" i="12"/>
  <c r="F9437" i="12"/>
  <c r="F9436" i="12"/>
  <c r="F9435" i="12"/>
  <c r="F9434" i="12"/>
  <c r="F9433" i="12"/>
  <c r="F9432" i="12"/>
  <c r="F9431" i="12"/>
  <c r="F9430" i="12"/>
  <c r="F9429" i="12"/>
  <c r="F9428" i="12"/>
  <c r="F9427" i="12"/>
  <c r="F9426" i="12"/>
  <c r="F9425" i="12"/>
  <c r="F9424" i="12"/>
  <c r="F9423" i="12"/>
  <c r="F9422" i="12"/>
  <c r="F9421" i="12"/>
  <c r="F9420" i="12"/>
  <c r="F9419" i="12"/>
  <c r="F9418" i="12"/>
  <c r="F9417" i="12"/>
  <c r="F9416" i="12"/>
  <c r="F9415" i="12"/>
  <c r="F9414" i="12"/>
  <c r="F9413" i="12"/>
  <c r="F9412" i="12"/>
  <c r="F9411" i="12"/>
  <c r="F9410" i="12"/>
  <c r="F9409" i="12"/>
  <c r="F9408" i="12"/>
  <c r="F9407" i="12"/>
  <c r="F9406" i="12"/>
  <c r="F9405" i="12"/>
  <c r="F9404" i="12"/>
  <c r="F9403" i="12"/>
  <c r="F9402" i="12"/>
  <c r="F9401" i="12"/>
  <c r="F9400" i="12"/>
  <c r="F9399" i="12"/>
  <c r="F9398" i="12"/>
  <c r="F9397" i="12"/>
  <c r="F9396" i="12"/>
  <c r="F9395" i="12"/>
  <c r="F9394" i="12"/>
  <c r="F9393" i="12"/>
  <c r="F9392" i="12"/>
  <c r="F9391" i="12"/>
  <c r="F9390" i="12"/>
  <c r="F9389" i="12"/>
  <c r="F9388" i="12"/>
  <c r="F9387" i="12"/>
  <c r="F9386" i="12"/>
  <c r="F9385" i="12"/>
  <c r="F9384" i="12"/>
  <c r="F9383" i="12"/>
  <c r="F9382" i="12"/>
  <c r="F9381" i="12"/>
  <c r="F9380" i="12"/>
  <c r="F9379" i="12"/>
  <c r="F9378" i="12"/>
  <c r="F9377" i="12"/>
  <c r="F9376" i="12"/>
  <c r="F9375" i="12"/>
  <c r="F9374" i="12"/>
  <c r="F9373" i="12"/>
  <c r="F9372" i="12"/>
  <c r="F9371" i="12"/>
  <c r="F9370" i="12"/>
  <c r="F9369" i="12"/>
  <c r="F9368" i="12"/>
  <c r="F9367" i="12"/>
  <c r="F9366" i="12"/>
  <c r="F9365" i="12"/>
  <c r="F9364" i="12"/>
  <c r="F9363" i="12"/>
  <c r="F9362" i="12"/>
  <c r="F9361" i="12"/>
  <c r="F9360" i="12"/>
  <c r="F9359" i="12"/>
  <c r="F9358" i="12"/>
  <c r="F9357" i="12"/>
  <c r="F9356" i="12"/>
  <c r="F9355" i="12"/>
  <c r="F9354" i="12"/>
  <c r="F9353" i="12"/>
  <c r="F9352" i="12"/>
  <c r="F9351" i="12"/>
  <c r="F9350" i="12"/>
  <c r="F9349" i="12"/>
  <c r="F9348" i="12"/>
  <c r="F9347" i="12"/>
  <c r="F9346" i="12"/>
  <c r="F9345" i="12"/>
  <c r="F9344" i="12"/>
  <c r="F9343" i="12"/>
  <c r="F9342" i="12"/>
  <c r="F9341" i="12"/>
  <c r="F9340" i="12"/>
  <c r="F9339" i="12"/>
  <c r="F9338" i="12"/>
  <c r="F9337" i="12"/>
  <c r="F9336" i="12"/>
  <c r="F9335" i="12"/>
  <c r="F9334" i="12"/>
  <c r="F9333" i="12"/>
  <c r="F9332" i="12"/>
  <c r="F9331" i="12"/>
  <c r="F9330" i="12"/>
  <c r="F9329" i="12"/>
  <c r="F9328" i="12"/>
  <c r="F9327" i="12"/>
  <c r="F9326" i="12"/>
  <c r="F9325" i="12"/>
  <c r="F9324" i="12"/>
  <c r="F9323" i="12"/>
  <c r="F9322" i="12"/>
  <c r="F9321" i="12"/>
  <c r="F9320" i="12"/>
  <c r="F9319" i="12"/>
  <c r="F9318" i="12"/>
  <c r="F9317" i="12"/>
  <c r="F9316" i="12"/>
  <c r="F9315" i="12"/>
  <c r="F9314" i="12"/>
  <c r="F9313" i="12"/>
  <c r="F9312" i="12"/>
  <c r="F9311" i="12"/>
  <c r="F9310" i="12"/>
  <c r="F9309" i="12"/>
  <c r="F9308" i="12"/>
  <c r="F9307" i="12"/>
  <c r="F9306" i="12"/>
  <c r="F9305" i="12"/>
  <c r="F9304" i="12"/>
  <c r="F9303" i="12"/>
  <c r="F9302" i="12"/>
  <c r="F9301" i="12"/>
  <c r="F9300" i="12"/>
  <c r="F9299" i="12"/>
  <c r="F9298" i="12"/>
  <c r="F9297" i="12"/>
  <c r="F9296" i="12"/>
  <c r="F9295" i="12"/>
  <c r="F9294" i="12"/>
  <c r="F9293" i="12"/>
  <c r="F9292" i="12"/>
  <c r="F9291" i="12"/>
  <c r="F9290" i="12"/>
  <c r="F9289" i="12"/>
  <c r="F9288" i="12"/>
  <c r="F9287" i="12"/>
  <c r="F9286" i="12"/>
  <c r="F9285" i="12"/>
  <c r="F9284" i="12"/>
  <c r="F9283" i="12"/>
  <c r="F9282" i="12"/>
  <c r="F9281" i="12"/>
  <c r="F9280" i="12"/>
  <c r="F9279" i="12"/>
  <c r="F9278" i="12"/>
  <c r="F9277" i="12"/>
  <c r="F9276" i="12"/>
  <c r="F9275" i="12"/>
  <c r="F9274" i="12"/>
  <c r="F9273" i="12"/>
  <c r="F9272" i="12"/>
  <c r="F9271" i="12"/>
  <c r="F9270" i="12"/>
  <c r="F9269" i="12"/>
  <c r="F9268" i="12"/>
  <c r="F9267" i="12"/>
  <c r="F9266" i="12"/>
  <c r="F9265" i="12"/>
  <c r="F9264" i="12"/>
  <c r="F9263" i="12"/>
  <c r="F9262" i="12"/>
  <c r="F9261" i="12"/>
  <c r="F9260" i="12"/>
  <c r="F9259" i="12"/>
  <c r="F9258" i="12"/>
  <c r="F9257" i="12"/>
  <c r="F9256" i="12"/>
  <c r="F9255" i="12"/>
  <c r="F9254" i="12"/>
  <c r="F9253" i="12"/>
  <c r="F9252" i="12"/>
  <c r="F9251" i="12"/>
  <c r="F9250" i="12"/>
  <c r="F9249" i="12"/>
  <c r="F9248" i="12"/>
  <c r="F9247" i="12"/>
  <c r="F9246" i="12"/>
  <c r="F9245" i="12"/>
  <c r="F9244" i="12"/>
  <c r="F9243" i="12"/>
  <c r="F9242" i="12"/>
  <c r="F9241" i="12"/>
  <c r="F9240" i="12"/>
  <c r="F9239" i="12"/>
  <c r="F9238" i="12"/>
  <c r="F9237" i="12"/>
  <c r="F9236" i="12"/>
  <c r="F9235" i="12"/>
  <c r="F9234" i="12"/>
  <c r="F9233" i="12"/>
  <c r="F9232" i="12"/>
  <c r="F9231" i="12"/>
  <c r="F9230" i="12"/>
  <c r="F9229" i="12"/>
  <c r="F9228" i="12"/>
  <c r="F9227" i="12"/>
  <c r="F9226" i="12"/>
  <c r="F9225" i="12"/>
  <c r="F9224" i="12"/>
  <c r="F9223" i="12"/>
  <c r="F9222" i="12"/>
  <c r="F9221" i="12"/>
  <c r="F9220" i="12"/>
  <c r="F9219" i="12"/>
  <c r="F9218" i="12"/>
  <c r="F9217" i="12"/>
  <c r="F9216" i="12"/>
  <c r="F9215" i="12"/>
  <c r="F9214" i="12"/>
  <c r="F9213" i="12"/>
  <c r="F9212" i="12"/>
  <c r="F9211" i="12"/>
  <c r="F9210" i="12"/>
  <c r="F9209" i="12"/>
  <c r="F9208" i="12"/>
  <c r="F9207" i="12"/>
  <c r="F9206" i="12"/>
  <c r="F9205" i="12"/>
  <c r="F9204" i="12"/>
  <c r="F9203" i="12"/>
  <c r="F9202" i="12"/>
  <c r="F9201" i="12"/>
  <c r="F9200" i="12"/>
  <c r="F9199" i="12"/>
  <c r="F9198" i="12"/>
  <c r="F9197" i="12"/>
  <c r="F9196" i="12"/>
  <c r="F9195" i="12"/>
  <c r="F9194" i="12"/>
  <c r="F9193" i="12"/>
  <c r="F9192" i="12"/>
  <c r="F9191" i="12"/>
  <c r="F9190" i="12"/>
  <c r="F9189" i="12"/>
  <c r="F9188" i="12"/>
  <c r="F9187" i="12"/>
  <c r="F9186" i="12"/>
  <c r="F9185" i="12"/>
  <c r="F9184" i="12"/>
  <c r="F9183" i="12"/>
  <c r="F9182" i="12"/>
  <c r="F9181" i="12"/>
  <c r="F9180" i="12"/>
  <c r="F9179" i="12"/>
  <c r="F9178" i="12"/>
  <c r="F9177" i="12"/>
  <c r="F9176" i="12"/>
  <c r="F9175" i="12"/>
  <c r="F9174" i="12"/>
  <c r="F9173" i="12"/>
  <c r="F9172" i="12"/>
  <c r="F9171" i="12"/>
  <c r="F9170" i="12"/>
  <c r="F9169" i="12"/>
  <c r="F9168" i="12"/>
  <c r="F9167" i="12"/>
  <c r="F9166" i="12"/>
  <c r="F9165" i="12"/>
  <c r="F9164" i="12"/>
  <c r="F9163" i="12"/>
  <c r="F9162" i="12"/>
  <c r="F9161" i="12"/>
  <c r="F9160" i="12"/>
  <c r="F9159" i="12"/>
  <c r="F9158" i="12"/>
  <c r="F9157" i="12"/>
  <c r="F9156" i="12"/>
  <c r="F9155" i="12"/>
  <c r="F9154" i="12"/>
  <c r="F9153" i="12"/>
  <c r="F9152" i="12"/>
  <c r="F9151" i="12"/>
  <c r="F9150" i="12"/>
  <c r="F9149" i="12"/>
  <c r="F9148" i="12"/>
  <c r="F9147" i="12"/>
  <c r="F9146" i="12"/>
  <c r="F9145" i="12"/>
  <c r="F9144" i="12"/>
  <c r="F9143" i="12"/>
  <c r="F9142" i="12"/>
  <c r="F9141" i="12"/>
  <c r="F9140" i="12"/>
  <c r="F9139" i="12"/>
  <c r="F9138" i="12"/>
  <c r="F9137" i="12"/>
  <c r="F9136" i="12"/>
  <c r="F9135" i="12"/>
  <c r="F9134" i="12"/>
  <c r="F9133" i="12"/>
  <c r="F9132" i="12"/>
  <c r="F9131" i="12"/>
  <c r="F9130" i="12"/>
  <c r="F9129" i="12"/>
  <c r="F9128" i="12"/>
  <c r="F9127" i="12"/>
  <c r="F9126" i="12"/>
  <c r="F9125" i="12"/>
  <c r="F9124" i="12"/>
  <c r="F9123" i="12"/>
  <c r="F9122" i="12"/>
  <c r="F9121" i="12"/>
  <c r="F9120" i="12"/>
  <c r="F9119" i="12"/>
  <c r="F9118" i="12"/>
  <c r="F9117" i="12"/>
  <c r="F9116" i="12"/>
  <c r="F9115" i="12"/>
  <c r="F9114" i="12"/>
  <c r="F9113" i="12"/>
  <c r="F9112" i="12"/>
  <c r="F9111" i="12"/>
  <c r="F9110" i="12"/>
  <c r="F9109" i="12"/>
  <c r="F9108" i="12"/>
  <c r="F9107" i="12"/>
  <c r="F9106" i="12"/>
  <c r="F9105" i="12"/>
  <c r="F9104" i="12"/>
  <c r="F9103" i="12"/>
  <c r="F9102" i="12"/>
  <c r="F9101" i="12"/>
  <c r="F9100" i="12"/>
  <c r="F9099" i="12"/>
  <c r="F9098" i="12"/>
  <c r="F9097" i="12"/>
  <c r="F9096" i="12"/>
  <c r="F9095" i="12"/>
  <c r="F9094" i="12"/>
  <c r="F9093" i="12"/>
  <c r="F9092" i="12"/>
  <c r="F9091" i="12"/>
  <c r="F9090" i="12"/>
  <c r="F9089" i="12"/>
  <c r="F9088" i="12"/>
  <c r="F9087" i="12"/>
  <c r="F9086" i="12"/>
  <c r="F9085" i="12"/>
  <c r="F9084" i="12"/>
  <c r="F9083" i="12"/>
  <c r="F9082" i="12"/>
  <c r="F9081" i="12"/>
  <c r="F9080" i="12"/>
  <c r="F9079" i="12"/>
  <c r="F9078" i="12"/>
  <c r="F9077" i="12"/>
  <c r="F9076" i="12"/>
  <c r="F9075" i="12"/>
  <c r="F9074" i="12"/>
  <c r="F9073" i="12"/>
  <c r="F9072" i="12"/>
  <c r="F9071" i="12"/>
  <c r="F9070" i="12"/>
  <c r="F9069" i="12"/>
  <c r="F9068" i="12"/>
  <c r="F9067" i="12"/>
  <c r="F9066" i="12"/>
  <c r="F9065" i="12"/>
  <c r="F9064" i="12"/>
  <c r="F9063" i="12"/>
  <c r="F9062" i="12"/>
  <c r="F9061" i="12"/>
  <c r="F9060" i="12"/>
  <c r="F9059" i="12"/>
  <c r="F9058" i="12"/>
  <c r="F9057" i="12"/>
  <c r="F9056" i="12"/>
  <c r="F9055" i="12"/>
  <c r="F9054" i="12"/>
  <c r="F9053" i="12"/>
  <c r="F9052" i="12"/>
  <c r="F9051" i="12"/>
  <c r="F9050" i="12"/>
  <c r="F9049" i="12"/>
  <c r="F9048" i="12"/>
  <c r="F9047" i="12"/>
  <c r="F9046" i="12"/>
  <c r="F9045" i="12"/>
  <c r="F9044" i="12"/>
  <c r="F9043" i="12"/>
  <c r="F9042" i="12"/>
  <c r="F9041" i="12"/>
  <c r="F9040" i="12"/>
  <c r="F9039" i="12"/>
  <c r="F9038" i="12"/>
  <c r="F9037" i="12"/>
  <c r="F9036" i="12"/>
  <c r="F9035" i="12"/>
  <c r="F9034" i="12"/>
  <c r="F9033" i="12"/>
  <c r="F9032" i="12"/>
  <c r="F9031" i="12"/>
  <c r="F9030" i="12"/>
  <c r="F9029" i="12"/>
  <c r="F9028" i="12"/>
  <c r="F9027" i="12"/>
  <c r="F9026" i="12"/>
  <c r="F9025" i="12"/>
  <c r="F9024" i="12"/>
  <c r="F9023" i="12"/>
  <c r="F9022" i="12"/>
  <c r="F9021" i="12"/>
  <c r="F9020" i="12"/>
  <c r="F9019" i="12"/>
  <c r="F9018" i="12"/>
  <c r="F9017" i="12"/>
  <c r="F9016" i="12"/>
  <c r="F9015" i="12"/>
  <c r="F9014" i="12"/>
  <c r="F9013" i="12"/>
  <c r="F9012" i="12"/>
  <c r="F9011" i="12"/>
  <c r="F9010" i="12"/>
  <c r="F9009" i="12"/>
  <c r="F9008" i="12"/>
  <c r="F9007" i="12"/>
  <c r="F9006" i="12"/>
  <c r="F9005" i="12"/>
  <c r="F9004" i="12"/>
  <c r="F9003" i="12"/>
  <c r="F9002" i="12"/>
  <c r="F9001" i="12"/>
  <c r="F9000" i="12"/>
  <c r="F8999" i="12"/>
  <c r="F8998" i="12"/>
  <c r="F8997" i="12"/>
  <c r="F8996" i="12"/>
  <c r="F8995" i="12"/>
  <c r="F8994" i="12"/>
  <c r="F8993" i="12"/>
  <c r="F8992" i="12"/>
  <c r="F8991" i="12"/>
  <c r="F8990" i="12"/>
  <c r="F8989" i="12"/>
  <c r="F8988" i="12"/>
  <c r="F8987" i="12"/>
  <c r="F8986" i="12"/>
  <c r="F8985" i="12"/>
  <c r="F8984" i="12"/>
  <c r="F8983" i="12"/>
  <c r="F8982" i="12"/>
  <c r="F8981" i="12"/>
  <c r="F8980" i="12"/>
  <c r="F8979" i="12"/>
  <c r="F8978" i="12"/>
  <c r="F8977" i="12"/>
  <c r="F8976" i="12"/>
  <c r="F8975" i="12"/>
  <c r="F8974" i="12"/>
  <c r="F8973" i="12"/>
  <c r="F8972" i="12"/>
  <c r="F8971" i="12"/>
  <c r="F8970" i="12"/>
  <c r="F8969" i="12"/>
  <c r="F8968" i="12"/>
  <c r="F8967" i="12"/>
  <c r="F8966" i="12"/>
  <c r="F8965" i="12"/>
  <c r="F8964" i="12"/>
  <c r="F8963" i="12"/>
  <c r="F8962" i="12"/>
  <c r="F8961" i="12"/>
  <c r="F8960" i="12"/>
  <c r="F8959" i="12"/>
  <c r="F8958" i="12"/>
  <c r="F8957" i="12"/>
  <c r="F8956" i="12"/>
  <c r="F8955" i="12"/>
  <c r="F8954" i="12"/>
  <c r="F8953" i="12"/>
  <c r="F8952" i="12"/>
  <c r="F8951" i="12"/>
  <c r="F8950" i="12"/>
  <c r="F8949" i="12"/>
  <c r="F8948" i="12"/>
  <c r="F8947" i="12"/>
  <c r="F8946" i="12"/>
  <c r="F8945" i="12"/>
  <c r="F8944" i="12"/>
  <c r="F8943" i="12"/>
  <c r="F8942" i="12"/>
  <c r="F8941" i="12"/>
  <c r="F8940" i="12"/>
  <c r="F8939" i="12"/>
  <c r="F8938" i="12"/>
  <c r="F8937" i="12"/>
  <c r="F8936" i="12"/>
  <c r="F8935" i="12"/>
  <c r="F8934" i="12"/>
  <c r="F8933" i="12"/>
  <c r="F8932" i="12"/>
  <c r="F8931" i="12"/>
  <c r="F8930" i="12"/>
  <c r="F8929" i="12"/>
  <c r="F8928" i="12"/>
  <c r="F8927" i="12"/>
  <c r="F8926" i="12"/>
  <c r="F8925" i="12"/>
  <c r="F8924" i="12"/>
  <c r="F8923" i="12"/>
  <c r="F8922" i="12"/>
  <c r="F8921" i="12"/>
  <c r="F8920" i="12"/>
  <c r="F8919" i="12"/>
  <c r="F8918" i="12"/>
  <c r="F8917" i="12"/>
  <c r="F8916" i="12"/>
  <c r="F8915" i="12"/>
  <c r="F8914" i="12"/>
  <c r="F8913" i="12"/>
  <c r="F8912" i="12"/>
  <c r="F8911" i="12"/>
  <c r="F8910" i="12"/>
  <c r="F8909" i="12"/>
  <c r="F8908" i="12"/>
  <c r="F8907" i="12"/>
  <c r="F8906" i="12"/>
  <c r="F8905" i="12"/>
  <c r="F8904" i="12"/>
  <c r="F8903" i="12"/>
  <c r="F8902" i="12"/>
  <c r="F8901" i="12"/>
  <c r="F8900" i="12"/>
  <c r="F8899" i="12"/>
  <c r="F8898" i="12"/>
  <c r="F8897" i="12"/>
  <c r="F8896" i="12"/>
  <c r="F8895" i="12"/>
  <c r="F8894" i="12"/>
  <c r="F8893" i="12"/>
  <c r="F8892" i="12"/>
  <c r="F8891" i="12"/>
  <c r="F8890" i="12"/>
  <c r="F8889" i="12"/>
  <c r="F8888" i="12"/>
  <c r="F8887" i="12"/>
  <c r="F8886" i="12"/>
  <c r="F8885" i="12"/>
  <c r="F8884" i="12"/>
  <c r="F8883" i="12"/>
  <c r="F8882" i="12"/>
  <c r="F8881" i="12"/>
  <c r="F8880" i="12"/>
  <c r="F8879" i="12"/>
  <c r="F8878" i="12"/>
  <c r="F8877" i="12"/>
  <c r="F8876" i="12"/>
  <c r="F8875" i="12"/>
  <c r="F8874" i="12"/>
  <c r="F8873" i="12"/>
  <c r="F8872" i="12"/>
  <c r="F8871" i="12"/>
  <c r="F8870" i="12"/>
  <c r="F8869" i="12"/>
  <c r="F8868" i="12"/>
  <c r="F8867" i="12"/>
  <c r="F8866" i="12"/>
  <c r="F8865" i="12"/>
  <c r="F8864" i="12"/>
  <c r="F8863" i="12"/>
  <c r="F8862" i="12"/>
  <c r="F8861" i="12"/>
  <c r="F8860" i="12"/>
  <c r="F8859" i="12"/>
  <c r="F8858" i="12"/>
  <c r="F8857" i="12"/>
  <c r="F8856" i="12"/>
  <c r="F8855" i="12"/>
  <c r="F8854" i="12"/>
  <c r="F8853" i="12"/>
  <c r="F8852" i="12"/>
  <c r="F8851" i="12"/>
  <c r="F8850" i="12"/>
  <c r="F8849" i="12"/>
  <c r="F8848" i="12"/>
  <c r="F8847" i="12"/>
  <c r="F8846" i="12"/>
  <c r="F8845" i="12"/>
  <c r="F8844" i="12"/>
  <c r="F8843" i="12"/>
  <c r="F8842" i="12"/>
  <c r="F8841" i="12"/>
  <c r="F8840" i="12"/>
  <c r="F8839" i="12"/>
  <c r="F8838" i="12"/>
  <c r="F8837" i="12"/>
  <c r="F8836" i="12"/>
  <c r="F8835" i="12"/>
  <c r="F8834" i="12"/>
  <c r="F8833" i="12"/>
  <c r="F8832" i="12"/>
  <c r="F8831" i="12"/>
  <c r="F8830" i="12"/>
  <c r="F8829" i="12"/>
  <c r="F8828" i="12"/>
  <c r="F8827" i="12"/>
  <c r="F8826" i="12"/>
  <c r="F8825" i="12"/>
  <c r="F8824" i="12"/>
  <c r="F8823" i="12"/>
  <c r="F8822" i="12"/>
  <c r="F8821" i="12"/>
  <c r="F8820" i="12"/>
  <c r="F8819" i="12"/>
  <c r="F8818" i="12"/>
  <c r="F8817" i="12"/>
  <c r="F8816" i="12"/>
  <c r="F8815" i="12"/>
  <c r="F8814" i="12"/>
  <c r="F8813" i="12"/>
  <c r="F8812" i="12"/>
  <c r="F8811" i="12"/>
  <c r="F8810" i="12"/>
  <c r="F8809" i="12"/>
  <c r="F8808" i="12"/>
  <c r="F8807" i="12"/>
  <c r="F8806" i="12"/>
  <c r="F8805" i="12"/>
  <c r="F8804" i="12"/>
  <c r="F8803" i="12"/>
  <c r="F8802" i="12"/>
  <c r="F8801" i="12"/>
  <c r="F8800" i="12"/>
  <c r="F8799" i="12"/>
  <c r="F8798" i="12"/>
  <c r="F8797" i="12"/>
  <c r="F8796" i="12"/>
  <c r="F8795" i="12"/>
  <c r="F8794" i="12"/>
  <c r="F8793" i="12"/>
  <c r="F8792" i="12"/>
  <c r="F8791" i="12"/>
  <c r="F8790" i="12"/>
  <c r="F8789" i="12"/>
  <c r="F8788" i="12"/>
  <c r="F8787" i="12"/>
  <c r="F8786" i="12"/>
  <c r="F8785" i="12"/>
  <c r="F8784" i="12"/>
  <c r="F8783" i="12"/>
  <c r="F8782" i="12"/>
  <c r="F8781" i="12"/>
  <c r="F8780" i="12"/>
  <c r="F8779" i="12"/>
  <c r="F8778" i="12"/>
  <c r="F8777" i="12"/>
  <c r="F8776" i="12"/>
  <c r="F8775" i="12"/>
  <c r="F8774" i="12"/>
  <c r="F8773" i="12"/>
  <c r="F8772" i="12"/>
  <c r="F8771" i="12"/>
  <c r="F8770" i="12"/>
  <c r="F8769" i="12"/>
  <c r="F8768" i="12"/>
  <c r="F8767" i="12"/>
  <c r="F8766" i="12"/>
  <c r="F8765" i="12"/>
  <c r="F8764" i="12"/>
  <c r="F8763" i="12"/>
  <c r="F8762" i="12"/>
  <c r="F8761" i="12"/>
  <c r="F8760" i="12"/>
  <c r="F8759" i="12"/>
  <c r="F8758" i="12"/>
  <c r="F8757" i="12"/>
  <c r="F8756" i="12"/>
  <c r="F8755" i="12"/>
  <c r="F8754" i="12"/>
  <c r="F8753" i="12"/>
  <c r="F8752" i="12"/>
  <c r="F8751" i="12"/>
  <c r="F8750" i="12"/>
  <c r="F8749" i="12"/>
  <c r="F8748" i="12"/>
  <c r="F8747" i="12"/>
  <c r="F8746" i="12"/>
  <c r="F8745" i="12"/>
  <c r="F8744" i="12"/>
  <c r="F8743" i="12"/>
  <c r="F8742" i="12"/>
  <c r="F8741" i="12"/>
  <c r="F8740" i="12"/>
  <c r="F8739" i="12"/>
  <c r="F8738" i="12"/>
  <c r="F8737" i="12"/>
  <c r="F8736" i="12"/>
  <c r="F8735" i="12"/>
  <c r="F8734" i="12"/>
  <c r="F8733" i="12"/>
  <c r="F8732" i="12"/>
  <c r="F8731" i="12"/>
  <c r="F8730" i="12"/>
  <c r="F8729" i="12"/>
  <c r="F8728" i="12"/>
  <c r="F8727" i="12"/>
  <c r="F8726" i="12"/>
  <c r="F8725" i="12"/>
  <c r="F8724" i="12"/>
  <c r="F8723" i="12"/>
  <c r="F8722" i="12"/>
  <c r="F8721" i="12"/>
  <c r="F8720" i="12"/>
  <c r="F8719" i="12"/>
  <c r="F8718" i="12"/>
  <c r="F8717" i="12"/>
  <c r="F8716" i="12"/>
  <c r="F8715" i="12"/>
  <c r="F8714" i="12"/>
  <c r="F8713" i="12"/>
  <c r="F8712" i="12"/>
  <c r="F8711" i="12"/>
  <c r="F8710" i="12"/>
  <c r="F8709" i="12"/>
  <c r="F8708" i="12"/>
  <c r="F8707" i="12"/>
  <c r="F8706" i="12"/>
  <c r="F8705" i="12"/>
  <c r="F8704" i="12"/>
  <c r="F8703" i="12"/>
  <c r="F8702" i="12"/>
  <c r="F8701" i="12"/>
  <c r="F8700" i="12"/>
  <c r="F8699" i="12"/>
  <c r="F8698" i="12"/>
  <c r="F8697" i="12"/>
  <c r="F8696" i="12"/>
  <c r="F8695" i="12"/>
  <c r="F8694" i="12"/>
  <c r="F8693" i="12"/>
  <c r="F8692" i="12"/>
  <c r="F8691" i="12"/>
  <c r="F8690" i="12"/>
  <c r="F8689" i="12"/>
  <c r="F8688" i="12"/>
  <c r="F8687" i="12"/>
  <c r="F8686" i="12"/>
  <c r="F8685" i="12"/>
  <c r="F8684" i="12"/>
  <c r="F8683" i="12"/>
  <c r="F8682" i="12"/>
  <c r="F8681" i="12"/>
  <c r="F8680" i="12"/>
  <c r="F8679" i="12"/>
  <c r="F8678" i="12"/>
  <c r="F8677" i="12"/>
  <c r="F8676" i="12"/>
  <c r="F8675" i="12"/>
  <c r="F8674" i="12"/>
  <c r="F8673" i="12"/>
  <c r="F8672" i="12"/>
  <c r="F8671" i="12"/>
  <c r="F8670" i="12"/>
  <c r="F8669" i="12"/>
  <c r="F8668" i="12"/>
  <c r="F8667" i="12"/>
  <c r="F8666" i="12"/>
  <c r="F8665" i="12"/>
  <c r="F8664" i="12"/>
  <c r="F8663" i="12"/>
  <c r="F8662" i="12"/>
  <c r="F8661" i="12"/>
  <c r="F8660" i="12"/>
  <c r="F8659" i="12"/>
  <c r="F8658" i="12"/>
  <c r="F8657" i="12"/>
  <c r="F8656" i="12"/>
  <c r="F8655" i="12"/>
  <c r="F8654" i="12"/>
  <c r="F8653" i="12"/>
  <c r="F8652" i="12"/>
  <c r="F8651" i="12"/>
  <c r="F8650" i="12"/>
  <c r="F8649" i="12"/>
  <c r="F8648" i="12"/>
  <c r="F8647" i="12"/>
  <c r="F8646" i="12"/>
  <c r="F8645" i="12"/>
  <c r="F8644" i="12"/>
  <c r="F8643" i="12"/>
  <c r="F8642" i="12"/>
  <c r="F8641" i="12"/>
  <c r="F8640" i="12"/>
  <c r="F8639" i="12"/>
  <c r="F8638" i="12"/>
  <c r="F8637" i="12"/>
  <c r="F8636" i="12"/>
  <c r="F8635" i="12"/>
  <c r="F8634" i="12"/>
  <c r="F8633" i="12"/>
  <c r="F8632" i="12"/>
  <c r="F8631" i="12"/>
  <c r="F8630" i="12"/>
  <c r="F8629" i="12"/>
  <c r="F8628" i="12"/>
  <c r="F8627" i="12"/>
  <c r="F8626" i="12"/>
  <c r="F8625" i="12"/>
  <c r="F8624" i="12"/>
  <c r="F8623" i="12"/>
  <c r="F8622" i="12"/>
  <c r="F8621" i="12"/>
  <c r="F8620" i="12"/>
  <c r="F8619" i="12"/>
  <c r="F8618" i="12"/>
  <c r="F8617" i="12"/>
  <c r="F8616" i="12"/>
  <c r="F8615" i="12"/>
  <c r="F8614" i="12"/>
  <c r="F8613" i="12"/>
  <c r="F8612" i="12"/>
  <c r="F8611" i="12"/>
  <c r="F8610" i="12"/>
  <c r="F8609" i="12"/>
  <c r="F8608" i="12"/>
  <c r="F8607" i="12"/>
  <c r="F8606" i="12"/>
  <c r="F8605" i="12"/>
  <c r="F8604" i="12"/>
  <c r="F8603" i="12"/>
  <c r="F8602" i="12"/>
  <c r="F8601" i="12"/>
  <c r="F8600" i="12"/>
  <c r="F8599" i="12"/>
  <c r="F8598" i="12"/>
  <c r="F8597" i="12"/>
  <c r="F8596" i="12"/>
  <c r="F8595" i="12"/>
  <c r="F8594" i="12"/>
  <c r="F8593" i="12"/>
  <c r="F8592" i="12"/>
  <c r="F8591" i="12"/>
  <c r="F8590" i="12"/>
  <c r="F8589" i="12"/>
  <c r="F8588" i="12"/>
  <c r="F8587" i="12"/>
  <c r="F8586" i="12"/>
  <c r="F8585" i="12"/>
  <c r="F8584" i="12"/>
  <c r="F8583" i="12"/>
  <c r="F8582" i="12"/>
  <c r="F8581" i="12"/>
  <c r="F8580" i="12"/>
  <c r="F8579" i="12"/>
  <c r="F8578" i="12"/>
  <c r="F8577" i="12"/>
  <c r="F8576" i="12"/>
  <c r="F8575" i="12"/>
  <c r="F8574" i="12"/>
  <c r="F8573" i="12"/>
  <c r="F8572" i="12"/>
  <c r="F8571" i="12"/>
  <c r="F8570" i="12"/>
  <c r="F8569" i="12"/>
  <c r="F8568" i="12"/>
  <c r="F8567" i="12"/>
  <c r="F8566" i="12"/>
  <c r="F8565" i="12"/>
  <c r="F8564" i="12"/>
  <c r="F8563" i="12"/>
  <c r="F8562" i="12"/>
  <c r="F8561" i="12"/>
  <c r="F8560" i="12"/>
  <c r="F8559" i="12"/>
  <c r="F8558" i="12"/>
  <c r="F8557" i="12"/>
  <c r="F8556" i="12"/>
  <c r="F8555" i="12"/>
  <c r="F8554" i="12"/>
  <c r="F8553" i="12"/>
  <c r="F8552" i="12"/>
  <c r="F8551" i="12"/>
  <c r="F8550" i="12"/>
  <c r="F8549" i="12"/>
  <c r="F8548" i="12"/>
  <c r="F8547" i="12"/>
  <c r="F8546" i="12"/>
  <c r="F8545" i="12"/>
  <c r="F8544" i="12"/>
  <c r="F8543" i="12"/>
  <c r="F8542" i="12"/>
  <c r="F8541" i="12"/>
  <c r="F8540" i="12"/>
  <c r="F8539" i="12"/>
  <c r="F8538" i="12"/>
  <c r="F8537" i="12"/>
  <c r="F8536" i="12"/>
  <c r="F8535" i="12"/>
  <c r="F8534" i="12"/>
  <c r="F8533" i="12"/>
  <c r="F8532" i="12"/>
  <c r="F8531" i="12"/>
  <c r="F8530" i="12"/>
  <c r="F8529" i="12"/>
  <c r="F8528" i="12"/>
  <c r="F8527" i="12"/>
  <c r="F8526" i="12"/>
  <c r="F8525" i="12"/>
  <c r="F8524" i="12"/>
  <c r="F8523" i="12"/>
  <c r="F8522" i="12"/>
  <c r="F8521" i="12"/>
  <c r="F8520" i="12"/>
  <c r="F8519" i="12"/>
  <c r="F8518" i="12"/>
  <c r="F8517" i="12"/>
  <c r="F8516" i="12"/>
  <c r="F8515" i="12"/>
  <c r="F8514" i="12"/>
  <c r="F8513" i="12"/>
  <c r="F8512" i="12"/>
  <c r="F8511" i="12"/>
  <c r="F8510" i="12"/>
  <c r="F8509" i="12"/>
  <c r="F8508" i="12"/>
  <c r="F8507" i="12"/>
  <c r="F8506" i="12"/>
  <c r="F8505" i="12"/>
  <c r="F8504" i="12"/>
  <c r="F8503" i="12"/>
  <c r="F8502" i="12"/>
  <c r="F8501" i="12"/>
  <c r="F8500" i="12"/>
  <c r="F8499" i="12"/>
  <c r="F8498" i="12"/>
  <c r="F8497" i="12"/>
  <c r="F8496" i="12"/>
  <c r="F8495" i="12"/>
  <c r="F8494" i="12"/>
  <c r="F8493" i="12"/>
  <c r="F8492" i="12"/>
  <c r="F8491" i="12"/>
  <c r="F8490" i="12"/>
  <c r="F8489" i="12"/>
  <c r="F8488" i="12"/>
  <c r="F8487" i="12"/>
  <c r="F8486" i="12"/>
  <c r="F8485" i="12"/>
  <c r="F8484" i="12"/>
  <c r="F8483" i="12"/>
  <c r="F8482" i="12"/>
  <c r="F8481" i="12"/>
  <c r="F8480" i="12"/>
  <c r="F8479" i="12"/>
  <c r="F8478" i="12"/>
  <c r="F8477" i="12"/>
  <c r="F8476" i="12"/>
  <c r="F8475" i="12"/>
  <c r="F8474" i="12"/>
  <c r="F8473" i="12"/>
  <c r="F8472" i="12"/>
  <c r="F8471" i="12"/>
  <c r="F8470" i="12"/>
  <c r="F8469" i="12"/>
  <c r="F8468" i="12"/>
  <c r="F8467" i="12"/>
  <c r="F8466" i="12"/>
  <c r="F8465" i="12"/>
  <c r="F8464" i="12"/>
  <c r="F8463" i="12"/>
  <c r="F8462" i="12"/>
  <c r="F8461" i="12"/>
  <c r="F8460" i="12"/>
  <c r="F8459" i="12"/>
  <c r="F8458" i="12"/>
  <c r="F8457" i="12"/>
  <c r="F8456" i="12"/>
  <c r="F8455" i="12"/>
  <c r="F8454" i="12"/>
  <c r="F8453" i="12"/>
  <c r="F8452" i="12"/>
  <c r="F8451" i="12"/>
  <c r="F8450" i="12"/>
  <c r="F8449" i="12"/>
  <c r="F8448" i="12"/>
  <c r="F8447" i="12"/>
  <c r="F8446" i="12"/>
  <c r="F8445" i="12"/>
  <c r="F8444" i="12"/>
  <c r="F8443" i="12"/>
  <c r="F8442" i="12"/>
  <c r="F8441" i="12"/>
  <c r="F8440" i="12"/>
  <c r="F8439" i="12"/>
  <c r="F8438" i="12"/>
  <c r="F8437" i="12"/>
  <c r="F8436" i="12"/>
  <c r="F8435" i="12"/>
  <c r="F8434" i="12"/>
  <c r="F8433" i="12"/>
  <c r="F8432" i="12"/>
  <c r="F8431" i="12"/>
  <c r="F8430" i="12"/>
  <c r="F8429" i="12"/>
  <c r="F8428" i="12"/>
  <c r="F8427" i="12"/>
  <c r="F8426" i="12"/>
  <c r="F8425" i="12"/>
  <c r="F8424" i="12"/>
  <c r="F8423" i="12"/>
  <c r="F8422" i="12"/>
  <c r="F8421" i="12"/>
  <c r="F8420" i="12"/>
  <c r="F8419" i="12"/>
  <c r="F8418" i="12"/>
  <c r="F8417" i="12"/>
  <c r="F8416" i="12"/>
  <c r="F8415" i="12"/>
  <c r="F8414" i="12"/>
  <c r="F8413" i="12"/>
  <c r="F8412" i="12"/>
  <c r="F8411" i="12"/>
  <c r="F8410" i="12"/>
  <c r="F8409" i="12"/>
  <c r="F8408" i="12"/>
  <c r="F8407" i="12"/>
  <c r="F8406" i="12"/>
  <c r="F8405" i="12"/>
  <c r="F8404" i="12"/>
  <c r="F8403" i="12"/>
  <c r="F8402" i="12"/>
  <c r="F8401" i="12"/>
  <c r="F8400" i="12"/>
  <c r="F8399" i="12"/>
  <c r="F8398" i="12"/>
  <c r="F8397" i="12"/>
  <c r="F8396" i="12"/>
  <c r="F8395" i="12"/>
  <c r="F8394" i="12"/>
  <c r="F8393" i="12"/>
  <c r="F8392" i="12"/>
  <c r="F8391" i="12"/>
  <c r="F8390" i="12"/>
  <c r="F8389" i="12"/>
  <c r="F8388" i="12"/>
  <c r="F8387" i="12"/>
  <c r="F8386" i="12"/>
  <c r="F8385" i="12"/>
  <c r="F8384" i="12"/>
  <c r="F8383" i="12"/>
  <c r="F8382" i="12"/>
  <c r="F8381" i="12"/>
  <c r="F8380" i="12"/>
  <c r="F8379" i="12"/>
  <c r="F8378" i="12"/>
  <c r="F8377" i="12"/>
  <c r="F8376" i="12"/>
  <c r="F8375" i="12"/>
  <c r="F8374" i="12"/>
  <c r="F8373" i="12"/>
  <c r="F8372" i="12"/>
  <c r="F8371" i="12"/>
  <c r="F8370" i="12"/>
  <c r="F8369" i="12"/>
  <c r="F8368" i="12"/>
  <c r="F8367" i="12"/>
  <c r="F8366" i="12"/>
  <c r="F8365" i="12"/>
  <c r="F8364" i="12"/>
  <c r="F8363" i="12"/>
  <c r="F8362" i="12"/>
  <c r="F8361" i="12"/>
  <c r="F8360" i="12"/>
  <c r="F8359" i="12"/>
  <c r="F8358" i="12"/>
  <c r="F8357" i="12"/>
  <c r="F8356" i="12"/>
  <c r="F8355" i="12"/>
  <c r="F8354" i="12"/>
  <c r="F8353" i="12"/>
  <c r="F8352" i="12"/>
  <c r="F8351" i="12"/>
  <c r="F8350" i="12"/>
  <c r="F8349" i="12"/>
  <c r="F8348" i="12"/>
  <c r="F8347" i="12"/>
  <c r="F8346" i="12"/>
  <c r="F8345" i="12"/>
  <c r="F8344" i="12"/>
  <c r="F8343" i="12"/>
  <c r="F8342" i="12"/>
  <c r="F8341" i="12"/>
  <c r="F8340" i="12"/>
  <c r="F8339" i="12"/>
  <c r="F8338" i="12"/>
  <c r="F8337" i="12"/>
  <c r="F8336" i="12"/>
  <c r="F8335" i="12"/>
  <c r="F8334" i="12"/>
  <c r="F8333" i="12"/>
  <c r="F8332" i="12"/>
  <c r="F8331" i="12"/>
  <c r="F8330" i="12"/>
  <c r="F8329" i="12"/>
  <c r="F8328" i="12"/>
  <c r="F8327" i="12"/>
  <c r="F8326" i="12"/>
  <c r="F8325" i="12"/>
  <c r="F8324" i="12"/>
  <c r="F8323" i="12"/>
  <c r="F8322" i="12"/>
  <c r="F8321" i="12"/>
  <c r="F8320" i="12"/>
  <c r="F8319" i="12"/>
  <c r="F8318" i="12"/>
  <c r="F8317" i="12"/>
  <c r="F8316" i="12"/>
  <c r="F8315" i="12"/>
  <c r="F8314" i="12"/>
  <c r="F8313" i="12"/>
  <c r="F8312" i="12"/>
  <c r="F8311" i="12"/>
  <c r="F8310" i="12"/>
  <c r="F8309" i="12"/>
  <c r="F8308" i="12"/>
  <c r="F8307" i="12"/>
  <c r="F8306" i="12"/>
  <c r="F8305" i="12"/>
  <c r="F8304" i="12"/>
  <c r="F8303" i="12"/>
  <c r="F8302" i="12"/>
  <c r="F8301" i="12"/>
  <c r="F8300" i="12"/>
  <c r="F8299" i="12"/>
  <c r="F8298" i="12"/>
  <c r="F8297" i="12"/>
  <c r="F8296" i="12"/>
  <c r="F8295" i="12"/>
  <c r="F8294" i="12"/>
  <c r="F8293" i="12"/>
  <c r="F8292" i="12"/>
  <c r="F8291" i="12"/>
  <c r="F8290" i="12"/>
  <c r="F8289" i="12"/>
  <c r="F8288" i="12"/>
  <c r="F8287" i="12"/>
  <c r="F8286" i="12"/>
  <c r="F8285" i="12"/>
  <c r="F8284" i="12"/>
  <c r="F8283" i="12"/>
  <c r="F8282" i="12"/>
  <c r="F8281" i="12"/>
  <c r="F8280" i="12"/>
  <c r="F8279" i="12"/>
  <c r="F8278" i="12"/>
  <c r="F8277" i="12"/>
  <c r="F8276" i="12"/>
  <c r="F8275" i="12"/>
  <c r="F8274" i="12"/>
  <c r="F8273" i="12"/>
  <c r="F8272" i="12"/>
  <c r="F8271" i="12"/>
  <c r="F8270" i="12"/>
  <c r="F8269" i="12"/>
  <c r="F8268" i="12"/>
  <c r="F8267" i="12"/>
  <c r="F8266" i="12"/>
  <c r="F8265" i="12"/>
  <c r="F8264" i="12"/>
  <c r="F8263" i="12"/>
  <c r="F8262" i="12"/>
  <c r="F8261" i="12"/>
  <c r="F8260" i="12"/>
  <c r="F8259" i="12"/>
  <c r="F8258" i="12"/>
  <c r="F8257" i="12"/>
  <c r="F8256" i="12"/>
  <c r="F8255" i="12"/>
  <c r="F8254" i="12"/>
  <c r="F8253" i="12"/>
  <c r="F8252" i="12"/>
  <c r="F8251" i="12"/>
  <c r="F8250" i="12"/>
  <c r="F8249" i="12"/>
  <c r="F8248" i="12"/>
  <c r="F8247" i="12"/>
  <c r="F8246" i="12"/>
  <c r="F8245" i="12"/>
  <c r="F8244" i="12"/>
  <c r="F8243" i="12"/>
  <c r="F8242" i="12"/>
  <c r="F8241" i="12"/>
  <c r="F8240" i="12"/>
  <c r="F8239" i="12"/>
  <c r="F8238" i="12"/>
  <c r="F8237" i="12"/>
  <c r="F8236" i="12"/>
  <c r="F8235" i="12"/>
  <c r="F8234" i="12"/>
  <c r="F8233" i="12"/>
  <c r="F8232" i="12"/>
  <c r="F8231" i="12"/>
  <c r="F8230" i="12"/>
  <c r="F8229" i="12"/>
  <c r="F8228" i="12"/>
  <c r="F8227" i="12"/>
  <c r="F8226" i="12"/>
  <c r="F8225" i="12"/>
  <c r="F8224" i="12"/>
  <c r="F8223" i="12"/>
  <c r="F8222" i="12"/>
  <c r="F8221" i="12"/>
  <c r="F8220" i="12"/>
  <c r="F8219" i="12"/>
  <c r="F8218" i="12"/>
  <c r="F8217" i="12"/>
  <c r="F8216" i="12"/>
  <c r="F8215" i="12"/>
  <c r="F8214" i="12"/>
  <c r="F8213" i="12"/>
  <c r="F8212" i="12"/>
  <c r="F8211" i="12"/>
  <c r="F8210" i="12"/>
  <c r="F8209" i="12"/>
  <c r="F8208" i="12"/>
  <c r="F8207" i="12"/>
  <c r="F8206" i="12"/>
  <c r="F8205" i="12"/>
  <c r="F8204" i="12"/>
  <c r="F8203" i="12"/>
  <c r="F8202" i="12"/>
  <c r="F8201" i="12"/>
  <c r="F8200" i="12"/>
  <c r="F8199" i="12"/>
  <c r="F8198" i="12"/>
  <c r="F8197" i="12"/>
  <c r="F8196" i="12"/>
  <c r="F8195" i="12"/>
  <c r="F8194" i="12"/>
  <c r="F8193" i="12"/>
  <c r="F8192" i="12"/>
  <c r="F8191" i="12"/>
  <c r="F8190" i="12"/>
  <c r="F8189" i="12"/>
  <c r="F8188" i="12"/>
  <c r="F8187" i="12"/>
  <c r="F8186" i="12"/>
  <c r="F8185" i="12"/>
  <c r="F8184" i="12"/>
  <c r="F8183" i="12"/>
  <c r="F8182" i="12"/>
  <c r="F8181" i="12"/>
  <c r="F8180" i="12"/>
  <c r="F8179" i="12"/>
  <c r="F8178" i="12"/>
  <c r="F8177" i="12"/>
  <c r="F8176" i="12"/>
  <c r="F8175" i="12"/>
  <c r="F8174" i="12"/>
  <c r="F8173" i="12"/>
  <c r="F8172" i="12"/>
  <c r="F8171" i="12"/>
  <c r="F8170" i="12"/>
  <c r="F8169" i="12"/>
  <c r="F8168" i="12"/>
  <c r="F8167" i="12"/>
  <c r="F8166" i="12"/>
  <c r="F8165" i="12"/>
  <c r="F8164" i="12"/>
  <c r="F8163" i="12"/>
  <c r="F8162" i="12"/>
  <c r="F8161" i="12"/>
  <c r="F8160" i="12"/>
  <c r="F8159" i="12"/>
  <c r="F8158" i="12"/>
  <c r="F8157" i="12"/>
  <c r="F8156" i="12"/>
  <c r="F8155" i="12"/>
  <c r="F8154" i="12"/>
  <c r="F8153" i="12"/>
  <c r="F8152" i="12"/>
  <c r="F8151" i="12"/>
  <c r="F8150" i="12"/>
  <c r="F8149" i="12"/>
  <c r="F8148" i="12"/>
  <c r="F8147" i="12"/>
  <c r="F8146" i="12"/>
  <c r="F8145" i="12"/>
  <c r="F8144" i="12"/>
  <c r="F8143" i="12"/>
  <c r="F8142" i="12"/>
  <c r="F8141" i="12"/>
  <c r="F8140" i="12"/>
  <c r="F8139" i="12"/>
  <c r="F8138" i="12"/>
  <c r="F8137" i="12"/>
  <c r="F8136" i="12"/>
  <c r="F8135" i="12"/>
  <c r="F8134" i="12"/>
  <c r="F8133" i="12"/>
  <c r="F8132" i="12"/>
  <c r="F8131" i="12"/>
  <c r="F8130" i="12"/>
  <c r="F8129" i="12"/>
  <c r="F8128" i="12"/>
  <c r="F8127" i="12"/>
  <c r="F8126" i="12"/>
  <c r="F8125" i="12"/>
  <c r="F8124" i="12"/>
  <c r="F8123" i="12"/>
  <c r="F8122" i="12"/>
  <c r="F8121" i="12"/>
  <c r="F8120" i="12"/>
  <c r="F8119" i="12"/>
  <c r="F8118" i="12"/>
  <c r="F8117" i="12"/>
  <c r="F8116" i="12"/>
  <c r="F8115" i="12"/>
  <c r="F8114" i="12"/>
  <c r="F8113" i="12"/>
  <c r="F8112" i="12"/>
  <c r="F8111" i="12"/>
  <c r="F8110" i="12"/>
  <c r="F8109" i="12"/>
  <c r="F8108" i="12"/>
  <c r="F8107" i="12"/>
  <c r="F8106" i="12"/>
  <c r="F8105" i="12"/>
  <c r="F8104" i="12"/>
  <c r="F8103" i="12"/>
  <c r="F8102" i="12"/>
  <c r="F8101" i="12"/>
  <c r="F8100" i="12"/>
  <c r="F8099" i="12"/>
  <c r="F8098" i="12"/>
  <c r="F8097" i="12"/>
  <c r="F8096" i="12"/>
  <c r="F8095" i="12"/>
  <c r="F8094" i="12"/>
  <c r="F8093" i="12"/>
  <c r="F8092" i="12"/>
  <c r="F8091" i="12"/>
  <c r="F8090" i="12"/>
  <c r="F8089" i="12"/>
  <c r="F8088" i="12"/>
  <c r="F8087" i="12"/>
  <c r="F8086" i="12"/>
  <c r="F8085" i="12"/>
  <c r="F8084" i="12"/>
  <c r="F8083" i="12"/>
  <c r="F8082" i="12"/>
  <c r="F8081" i="12"/>
  <c r="F8080" i="12"/>
  <c r="F8079" i="12"/>
  <c r="F8078" i="12"/>
  <c r="F8077" i="12"/>
  <c r="F8076" i="12"/>
  <c r="F8075" i="12"/>
  <c r="F8074" i="12"/>
  <c r="F8073" i="12"/>
  <c r="F8072" i="12"/>
  <c r="F8071" i="12"/>
  <c r="F8070" i="12"/>
  <c r="F8069" i="12"/>
  <c r="F8068" i="12"/>
  <c r="F8067" i="12"/>
  <c r="F8066" i="12"/>
  <c r="F8065" i="12"/>
  <c r="F8064" i="12"/>
  <c r="F8063" i="12"/>
  <c r="F8062" i="12"/>
  <c r="F8061" i="12"/>
  <c r="F8060" i="12"/>
  <c r="F8059" i="12"/>
  <c r="F8058" i="12"/>
  <c r="F8057" i="12"/>
  <c r="F8056" i="12"/>
  <c r="F8055" i="12"/>
  <c r="F8054" i="12"/>
  <c r="F8053" i="12"/>
  <c r="F8052" i="12"/>
  <c r="F8051" i="12"/>
  <c r="F8050" i="12"/>
  <c r="F8049" i="12"/>
  <c r="F8048" i="12"/>
  <c r="F8047" i="12"/>
  <c r="F8046" i="12"/>
  <c r="F8045" i="12"/>
  <c r="F8044" i="12"/>
  <c r="F8043" i="12"/>
  <c r="F8042" i="12"/>
  <c r="F8041" i="12"/>
  <c r="F8040" i="12"/>
  <c r="F8039" i="12"/>
  <c r="F8038" i="12"/>
  <c r="F8037" i="12"/>
  <c r="F8036" i="12"/>
  <c r="F8035" i="12"/>
  <c r="F8034" i="12"/>
  <c r="F8033" i="12"/>
  <c r="F8032" i="12"/>
  <c r="F8031" i="12"/>
  <c r="F8030" i="12"/>
  <c r="F8029" i="12"/>
  <c r="F8028" i="12"/>
  <c r="F8027" i="12"/>
  <c r="F8026" i="12"/>
  <c r="F8025" i="12"/>
  <c r="F8024" i="12"/>
  <c r="F8023" i="12"/>
  <c r="F8022" i="12"/>
  <c r="F8021" i="12"/>
  <c r="F8020" i="12"/>
  <c r="F8019" i="12"/>
  <c r="F8018" i="12"/>
  <c r="F8017" i="12"/>
  <c r="F8016" i="12"/>
  <c r="F8015" i="12"/>
  <c r="F8014" i="12"/>
  <c r="F8013" i="12"/>
  <c r="F8012" i="12"/>
  <c r="F8011" i="12"/>
  <c r="F8010" i="12"/>
  <c r="F8009" i="12"/>
  <c r="F8008" i="12"/>
  <c r="F8007" i="12"/>
  <c r="F8006" i="12"/>
  <c r="F8005" i="12"/>
  <c r="F8004" i="12"/>
  <c r="F8003" i="12"/>
  <c r="F8002" i="12"/>
  <c r="F8001" i="12"/>
  <c r="F8000" i="12"/>
  <c r="F7999" i="12"/>
  <c r="F7998" i="12"/>
  <c r="F7997" i="12"/>
  <c r="F7996" i="12"/>
  <c r="F7995" i="12"/>
  <c r="F7994" i="12"/>
  <c r="F7993" i="12"/>
  <c r="F7992" i="12"/>
  <c r="F7991" i="12"/>
  <c r="F7990" i="12"/>
  <c r="F7989" i="12"/>
  <c r="F7988" i="12"/>
  <c r="F7987" i="12"/>
  <c r="F7986" i="12"/>
  <c r="F7985" i="12"/>
  <c r="F7984" i="12"/>
  <c r="F7983" i="12"/>
  <c r="F7982" i="12"/>
  <c r="F7981" i="12"/>
  <c r="F7980" i="12"/>
  <c r="F7979" i="12"/>
  <c r="F7978" i="12"/>
  <c r="F7977" i="12"/>
  <c r="F7976" i="12"/>
  <c r="F7975" i="12"/>
  <c r="F7974" i="12"/>
  <c r="F7973" i="12"/>
  <c r="F7972" i="12"/>
  <c r="F7971" i="12"/>
  <c r="F7970" i="12"/>
  <c r="F7969" i="12"/>
  <c r="F7968" i="12"/>
  <c r="F7967" i="12"/>
  <c r="F7966" i="12"/>
  <c r="F7965" i="12"/>
  <c r="F7964" i="12"/>
  <c r="F7963" i="12"/>
  <c r="F7962" i="12"/>
  <c r="F7961" i="12"/>
  <c r="F7960" i="12"/>
  <c r="F7959" i="12"/>
  <c r="F7958" i="12"/>
  <c r="F7957" i="12"/>
  <c r="F7956" i="12"/>
  <c r="F7955" i="12"/>
  <c r="F7954" i="12"/>
  <c r="F7953" i="12"/>
  <c r="F7952" i="12"/>
  <c r="F7951" i="12"/>
  <c r="F7950" i="12"/>
  <c r="F7949" i="12"/>
  <c r="F7948" i="12"/>
  <c r="F7947" i="12"/>
  <c r="F7946" i="12"/>
  <c r="F7945" i="12"/>
  <c r="F7944" i="12"/>
  <c r="F7943" i="12"/>
  <c r="F7942" i="12"/>
  <c r="F7941" i="12"/>
  <c r="F7940" i="12"/>
  <c r="F7939" i="12"/>
  <c r="F7938" i="12"/>
  <c r="F7937" i="12"/>
  <c r="F7936" i="12"/>
  <c r="F7935" i="12"/>
  <c r="F7934" i="12"/>
  <c r="F7933" i="12"/>
  <c r="F7932" i="12"/>
  <c r="F7931" i="12"/>
  <c r="F7930" i="12"/>
  <c r="F7929" i="12"/>
  <c r="F7928" i="12"/>
  <c r="F7927" i="12"/>
  <c r="F7926" i="12"/>
  <c r="F7925" i="12"/>
  <c r="F7924" i="12"/>
  <c r="F7923" i="12"/>
  <c r="F7922" i="12"/>
  <c r="F7921" i="12"/>
  <c r="F7920" i="12"/>
  <c r="F7919" i="12"/>
  <c r="F7918" i="12"/>
  <c r="F7917" i="12"/>
  <c r="F7916" i="12"/>
  <c r="F7915" i="12"/>
  <c r="F7914" i="12"/>
  <c r="F7913" i="12"/>
  <c r="F7912" i="12"/>
  <c r="F7911" i="12"/>
  <c r="F7910" i="12"/>
  <c r="F7909" i="12"/>
  <c r="F7908" i="12"/>
  <c r="F7907" i="12"/>
  <c r="F7906" i="12"/>
  <c r="F7905" i="12"/>
  <c r="F7904" i="12"/>
  <c r="F7903" i="12"/>
  <c r="F7902" i="12"/>
  <c r="F7901" i="12"/>
  <c r="F7900" i="12"/>
  <c r="F7899" i="12"/>
  <c r="F7898" i="12"/>
  <c r="F7897" i="12"/>
  <c r="F7896" i="12"/>
  <c r="F7895" i="12"/>
  <c r="F7894" i="12"/>
  <c r="F7893" i="12"/>
  <c r="F7892" i="12"/>
  <c r="F7891" i="12"/>
  <c r="F7890" i="12"/>
  <c r="F7889" i="12"/>
  <c r="F7888" i="12"/>
  <c r="F7887" i="12"/>
  <c r="F7886" i="12"/>
  <c r="F7885" i="12"/>
  <c r="F7884" i="12"/>
  <c r="F7883" i="12"/>
  <c r="F7882" i="12"/>
  <c r="F7881" i="12"/>
  <c r="F7880" i="12"/>
  <c r="F7879" i="12"/>
  <c r="F7878" i="12"/>
  <c r="F7877" i="12"/>
  <c r="F7876" i="12"/>
  <c r="F7875" i="12"/>
  <c r="F7874" i="12"/>
  <c r="F7873" i="12"/>
  <c r="F7872" i="12"/>
  <c r="F7871" i="12"/>
  <c r="F7870" i="12"/>
  <c r="F7869" i="12"/>
  <c r="F7868" i="12"/>
  <c r="F7867" i="12"/>
  <c r="F7866" i="12"/>
  <c r="F7865" i="12"/>
  <c r="F7864" i="12"/>
  <c r="F7863" i="12"/>
  <c r="F7862" i="12"/>
  <c r="F7861" i="12"/>
  <c r="F7860" i="12"/>
  <c r="F7859" i="12"/>
  <c r="F7858" i="12"/>
  <c r="F7857" i="12"/>
  <c r="F7856" i="12"/>
  <c r="F7855" i="12"/>
  <c r="F7854" i="12"/>
  <c r="F7853" i="12"/>
  <c r="F7852" i="12"/>
  <c r="F7851" i="12"/>
  <c r="F7850" i="12"/>
  <c r="F7849" i="12"/>
  <c r="F7848" i="12"/>
  <c r="F7847" i="12"/>
  <c r="F7846" i="12"/>
  <c r="F7845" i="12"/>
  <c r="F7844" i="12"/>
  <c r="F7843" i="12"/>
  <c r="F7842" i="12"/>
  <c r="F7841" i="12"/>
  <c r="F7840" i="12"/>
  <c r="F7839" i="12"/>
  <c r="F7838" i="12"/>
  <c r="F7837" i="12"/>
  <c r="F7836" i="12"/>
  <c r="F7835" i="12"/>
  <c r="F7834" i="12"/>
  <c r="F7833" i="12"/>
  <c r="F7832" i="12"/>
  <c r="F7831" i="12"/>
  <c r="F7830" i="12"/>
  <c r="F7829" i="12"/>
  <c r="F7828" i="12"/>
  <c r="F7827" i="12"/>
  <c r="F7826" i="12"/>
  <c r="F7825" i="12"/>
  <c r="F7824" i="12"/>
  <c r="F7823" i="12"/>
  <c r="F7822" i="12"/>
  <c r="F7821" i="12"/>
  <c r="F7820" i="12"/>
  <c r="F7819" i="12"/>
  <c r="F7818" i="12"/>
  <c r="F7817" i="12"/>
  <c r="F7816" i="12"/>
  <c r="F7815" i="12"/>
  <c r="F7814" i="12"/>
  <c r="F7813" i="12"/>
  <c r="F7812" i="12"/>
  <c r="F7811" i="12"/>
  <c r="F7810" i="12"/>
  <c r="F7809" i="12"/>
  <c r="F7808" i="12"/>
  <c r="F7807" i="12"/>
  <c r="F7806" i="12"/>
  <c r="F7805" i="12"/>
  <c r="F7804" i="12"/>
  <c r="F7803" i="12"/>
  <c r="F7802" i="12"/>
  <c r="F7801" i="12"/>
  <c r="F7800" i="12"/>
  <c r="F7799" i="12"/>
  <c r="F7798" i="12"/>
  <c r="F7797" i="12"/>
  <c r="F7796" i="12"/>
  <c r="F7795" i="12"/>
  <c r="F7794" i="12"/>
  <c r="F7793" i="12"/>
  <c r="F7792" i="12"/>
  <c r="F7791" i="12"/>
  <c r="F7790" i="12"/>
  <c r="F7789" i="12"/>
  <c r="F7788" i="12"/>
  <c r="F7787" i="12"/>
  <c r="F7786" i="12"/>
  <c r="F7785" i="12"/>
  <c r="F7784" i="12"/>
  <c r="F7783" i="12"/>
  <c r="F7782" i="12"/>
  <c r="F7781" i="12"/>
  <c r="F7780" i="12"/>
  <c r="F7779" i="12"/>
  <c r="F7778" i="12"/>
  <c r="F7777" i="12"/>
  <c r="F7776" i="12"/>
  <c r="F7775" i="12"/>
  <c r="F7774" i="12"/>
  <c r="F7773" i="12"/>
  <c r="F7772" i="12"/>
  <c r="F7771" i="12"/>
  <c r="F7770" i="12"/>
  <c r="F7769" i="12"/>
  <c r="F7768" i="12"/>
  <c r="F7767" i="12"/>
  <c r="F7766" i="12"/>
  <c r="F7765" i="12"/>
  <c r="F7764" i="12"/>
  <c r="F7763" i="12"/>
  <c r="F7762" i="12"/>
  <c r="F7761" i="12"/>
  <c r="F7760" i="12"/>
  <c r="F7759" i="12"/>
  <c r="F7758" i="12"/>
  <c r="F7757" i="12"/>
  <c r="F7756" i="12"/>
  <c r="F7755" i="12"/>
  <c r="F7754" i="12"/>
  <c r="F7753" i="12"/>
  <c r="F7752" i="12"/>
  <c r="F7751" i="12"/>
  <c r="F7750" i="12"/>
  <c r="F7749" i="12"/>
  <c r="F7748" i="12"/>
  <c r="F7747" i="12"/>
  <c r="F7746" i="12"/>
  <c r="F7745" i="12"/>
  <c r="F7744" i="12"/>
  <c r="F7743" i="12"/>
  <c r="F7742" i="12"/>
  <c r="F7741" i="12"/>
  <c r="F7740" i="12"/>
  <c r="F7739" i="12"/>
  <c r="F7738" i="12"/>
  <c r="F7737" i="12"/>
  <c r="F7736" i="12"/>
  <c r="F7735" i="12"/>
  <c r="F7734" i="12"/>
  <c r="F7733" i="12"/>
  <c r="F7732" i="12"/>
  <c r="F7731" i="12"/>
  <c r="F7730" i="12"/>
  <c r="F7729" i="12"/>
  <c r="F7728" i="12"/>
  <c r="F7727" i="12"/>
  <c r="F7726" i="12"/>
  <c r="F7725" i="12"/>
  <c r="F7724" i="12"/>
  <c r="F7723" i="12"/>
  <c r="F7722" i="12"/>
  <c r="F7721" i="12"/>
  <c r="F7720" i="12"/>
  <c r="F7719" i="12"/>
  <c r="F7718" i="12"/>
  <c r="F7717" i="12"/>
  <c r="F7716" i="12"/>
  <c r="F7715" i="12"/>
  <c r="F7714" i="12"/>
  <c r="F7713" i="12"/>
  <c r="F7712" i="12"/>
  <c r="F7711" i="12"/>
  <c r="F7710" i="12"/>
  <c r="F7709" i="12"/>
  <c r="F7708" i="12"/>
  <c r="F7707" i="12"/>
  <c r="F7706" i="12"/>
  <c r="F7705" i="12"/>
  <c r="F7704" i="12"/>
  <c r="F7703" i="12"/>
  <c r="F7702" i="12"/>
  <c r="F7701" i="12"/>
  <c r="F7700" i="12"/>
  <c r="F7699" i="12"/>
  <c r="F7698" i="12"/>
  <c r="F7697" i="12"/>
  <c r="F7696" i="12"/>
  <c r="F7695" i="12"/>
  <c r="F7694" i="12"/>
  <c r="F7693" i="12"/>
  <c r="F7692" i="12"/>
  <c r="F7691" i="12"/>
  <c r="F7690" i="12"/>
  <c r="F7689" i="12"/>
  <c r="F7688" i="12"/>
  <c r="F7687" i="12"/>
  <c r="F7686" i="12"/>
  <c r="F7685" i="12"/>
  <c r="F7684" i="12"/>
  <c r="F7683" i="12"/>
  <c r="F7682" i="12"/>
  <c r="F7681" i="12"/>
  <c r="F7680" i="12"/>
  <c r="F7679" i="12"/>
  <c r="F7678" i="12"/>
  <c r="F7677" i="12"/>
  <c r="F7676" i="12"/>
  <c r="F7675" i="12"/>
  <c r="F7674" i="12"/>
  <c r="F7673" i="12"/>
  <c r="F7672" i="12"/>
  <c r="F7671" i="12"/>
  <c r="F7670" i="12"/>
  <c r="F7669" i="12"/>
  <c r="F7668" i="12"/>
  <c r="F7667" i="12"/>
  <c r="F7666" i="12"/>
  <c r="F7665" i="12"/>
  <c r="F7664" i="12"/>
  <c r="F7663" i="12"/>
  <c r="F7662" i="12"/>
  <c r="F7661" i="12"/>
  <c r="F7660" i="12"/>
  <c r="F7659" i="12"/>
  <c r="F7658" i="12"/>
  <c r="F7657" i="12"/>
  <c r="F7656" i="12"/>
  <c r="F7655" i="12"/>
  <c r="F7654" i="12"/>
  <c r="F7653" i="12"/>
  <c r="F7652" i="12"/>
  <c r="F7651" i="12"/>
  <c r="F7650" i="12"/>
  <c r="F7649" i="12"/>
  <c r="F7648" i="12"/>
  <c r="F7647" i="12"/>
  <c r="F7646" i="12"/>
  <c r="F7645" i="12"/>
  <c r="F7644" i="12"/>
  <c r="F7643" i="12"/>
  <c r="F7642" i="12"/>
  <c r="F7641" i="12"/>
  <c r="F7640" i="12"/>
  <c r="F7639" i="12"/>
  <c r="F7638" i="12"/>
  <c r="F7637" i="12"/>
  <c r="F7636" i="12"/>
  <c r="F7635" i="12"/>
  <c r="F7634" i="12"/>
  <c r="F7633" i="12"/>
  <c r="F7632" i="12"/>
  <c r="F7631" i="12"/>
  <c r="F7630" i="12"/>
  <c r="F7629" i="12"/>
  <c r="F7628" i="12"/>
  <c r="F7627" i="12"/>
  <c r="F7626" i="12"/>
  <c r="F7625" i="12"/>
  <c r="F7624" i="12"/>
  <c r="F7623" i="12"/>
  <c r="F7622" i="12"/>
  <c r="F7621" i="12"/>
  <c r="F7620" i="12"/>
  <c r="F7619" i="12"/>
  <c r="F7618" i="12"/>
  <c r="F7617" i="12"/>
  <c r="F7616" i="12"/>
  <c r="F7615" i="12"/>
  <c r="F7614" i="12"/>
  <c r="F7613" i="12"/>
  <c r="F7612" i="12"/>
  <c r="F7611" i="12"/>
  <c r="F7610" i="12"/>
  <c r="F7609" i="12"/>
  <c r="F7608" i="12"/>
  <c r="F7607" i="12"/>
  <c r="F7606" i="12"/>
  <c r="F7605" i="12"/>
  <c r="F7604" i="12"/>
  <c r="F7603" i="12"/>
  <c r="F7602" i="12"/>
  <c r="F7601" i="12"/>
  <c r="F7600" i="12"/>
  <c r="F7599" i="12"/>
  <c r="F7598" i="12"/>
  <c r="F7597" i="12"/>
  <c r="F7596" i="12"/>
  <c r="F7595" i="12"/>
  <c r="F7594" i="12"/>
  <c r="F7593" i="12"/>
  <c r="F7592" i="12"/>
  <c r="F7591" i="12"/>
  <c r="F7590" i="12"/>
  <c r="F7589" i="12"/>
  <c r="F7588" i="12"/>
  <c r="F7587" i="12"/>
  <c r="F7586" i="12"/>
  <c r="F7585" i="12"/>
  <c r="F7584" i="12"/>
  <c r="F7583" i="12"/>
  <c r="F7582" i="12"/>
  <c r="F7581" i="12"/>
  <c r="F7580" i="12"/>
  <c r="F7579" i="12"/>
  <c r="F7578" i="12"/>
  <c r="F7577" i="12"/>
  <c r="F7576" i="12"/>
  <c r="F7575" i="12"/>
  <c r="F7574" i="12"/>
  <c r="F7573" i="12"/>
  <c r="F7572" i="12"/>
  <c r="F7571" i="12"/>
  <c r="F7570" i="12"/>
  <c r="F7569" i="12"/>
  <c r="F7568" i="12"/>
  <c r="F7567" i="12"/>
  <c r="F7566" i="12"/>
  <c r="F7565" i="12"/>
  <c r="F7564" i="12"/>
  <c r="F7563" i="12"/>
  <c r="F7562" i="12"/>
  <c r="F7561" i="12"/>
  <c r="F7560" i="12"/>
  <c r="F7559" i="12"/>
  <c r="F7558" i="12"/>
  <c r="F7557" i="12"/>
  <c r="F7556" i="12"/>
  <c r="F7555" i="12"/>
  <c r="F7554" i="12"/>
  <c r="F7553" i="12"/>
  <c r="F7552" i="12"/>
  <c r="F7551" i="12"/>
  <c r="F7550" i="12"/>
  <c r="F7549" i="12"/>
  <c r="F7548" i="12"/>
  <c r="F7547" i="12"/>
  <c r="F7546" i="12"/>
  <c r="F7545" i="12"/>
  <c r="F7544" i="12"/>
  <c r="F7543" i="12"/>
  <c r="F7542" i="12"/>
  <c r="F7541" i="12"/>
  <c r="F7540" i="12"/>
  <c r="F7539" i="12"/>
  <c r="F7538" i="12"/>
  <c r="F7537" i="12"/>
  <c r="F7536" i="12"/>
  <c r="F7535" i="12"/>
  <c r="F7534" i="12"/>
  <c r="F7533" i="12"/>
  <c r="F7532" i="12"/>
  <c r="F7531" i="12"/>
  <c r="F7530" i="12"/>
  <c r="F7529" i="12"/>
  <c r="F7528" i="12"/>
  <c r="F7527" i="12"/>
  <c r="F7526" i="12"/>
  <c r="F7525" i="12"/>
  <c r="F7524" i="12"/>
  <c r="F7523" i="12"/>
  <c r="F7522" i="12"/>
  <c r="F7521" i="12"/>
  <c r="F7520" i="12"/>
  <c r="F7519" i="12"/>
  <c r="F7518" i="12"/>
  <c r="F7517" i="12"/>
  <c r="F7516" i="12"/>
  <c r="F7515" i="12"/>
  <c r="F7514" i="12"/>
  <c r="F7513" i="12"/>
  <c r="F7512" i="12"/>
  <c r="F7511" i="12"/>
  <c r="F7510" i="12"/>
  <c r="F7509" i="12"/>
  <c r="F7508" i="12"/>
  <c r="F7507" i="12"/>
  <c r="F7506" i="12"/>
  <c r="F7505" i="12"/>
  <c r="F7504" i="12"/>
  <c r="F7503" i="12"/>
  <c r="F7502" i="12"/>
  <c r="F7501" i="12"/>
  <c r="F7500" i="12"/>
  <c r="F7499" i="12"/>
  <c r="F7498" i="12"/>
  <c r="F7497" i="12"/>
  <c r="F7496" i="12"/>
  <c r="F7495" i="12"/>
  <c r="F7494" i="12"/>
  <c r="F7493" i="12"/>
  <c r="F7492" i="12"/>
  <c r="F7491" i="12"/>
  <c r="F7490" i="12"/>
  <c r="F7489" i="12"/>
  <c r="F7488" i="12"/>
  <c r="F7487" i="12"/>
  <c r="F7486" i="12"/>
  <c r="F7485" i="12"/>
  <c r="F7484" i="12"/>
  <c r="F7483" i="12"/>
  <c r="F7482" i="12"/>
  <c r="F7481" i="12"/>
  <c r="F7480" i="12"/>
  <c r="F7479" i="12"/>
  <c r="F7478" i="12"/>
  <c r="F7477" i="12"/>
  <c r="F7476" i="12"/>
  <c r="F7475" i="12"/>
  <c r="F7474" i="12"/>
  <c r="F7473" i="12"/>
  <c r="F7472" i="12"/>
  <c r="F7471" i="12"/>
  <c r="F7470" i="12"/>
  <c r="F7469" i="12"/>
  <c r="F7468" i="12"/>
  <c r="F7467" i="12"/>
  <c r="F7466" i="12"/>
  <c r="F7465" i="12"/>
  <c r="F7464" i="12"/>
  <c r="F7463" i="12"/>
  <c r="F7462" i="12"/>
  <c r="F7461" i="12"/>
  <c r="F7460" i="12"/>
  <c r="F7459" i="12"/>
  <c r="F7458" i="12"/>
  <c r="F7457" i="12"/>
  <c r="F7456" i="12"/>
  <c r="F7455" i="12"/>
  <c r="F7454" i="12"/>
  <c r="F7453" i="12"/>
  <c r="F7452" i="12"/>
  <c r="F7451" i="12"/>
  <c r="F7450" i="12"/>
  <c r="F7449" i="12"/>
  <c r="F7448" i="12"/>
  <c r="F7447" i="12"/>
  <c r="F7446" i="12"/>
  <c r="F7445" i="12"/>
  <c r="F7444" i="12"/>
  <c r="F7443" i="12"/>
  <c r="F7442" i="12"/>
  <c r="F7441" i="12"/>
  <c r="F7440" i="12"/>
  <c r="F7439" i="12"/>
  <c r="F7438" i="12"/>
  <c r="F7437" i="12"/>
  <c r="F7436" i="12"/>
  <c r="F7435" i="12"/>
  <c r="F7434" i="12"/>
  <c r="F7433" i="12"/>
  <c r="F7432" i="12"/>
  <c r="F7431" i="12"/>
  <c r="F7430" i="12"/>
  <c r="F7429" i="12"/>
  <c r="F7428" i="12"/>
  <c r="F7427" i="12"/>
  <c r="F7426" i="12"/>
  <c r="F7425" i="12"/>
  <c r="F7424" i="12"/>
  <c r="F7423" i="12"/>
  <c r="F7422" i="12"/>
  <c r="F7421" i="12"/>
  <c r="F7420" i="12"/>
  <c r="F7419" i="12"/>
  <c r="F7418" i="12"/>
  <c r="F7417" i="12"/>
  <c r="F7416" i="12"/>
  <c r="F7415" i="12"/>
  <c r="F7414" i="12"/>
  <c r="F7413" i="12"/>
  <c r="F7412" i="12"/>
  <c r="F7411" i="12"/>
  <c r="F7410" i="12"/>
  <c r="F7409" i="12"/>
  <c r="F7408" i="12"/>
  <c r="F7407" i="12"/>
  <c r="F7406" i="12"/>
  <c r="F7405" i="12"/>
  <c r="F7404" i="12"/>
  <c r="F7403" i="12"/>
  <c r="F7402" i="12"/>
  <c r="F7401" i="12"/>
  <c r="F7400" i="12"/>
  <c r="F7399" i="12"/>
  <c r="F7398" i="12"/>
  <c r="F7397" i="12"/>
  <c r="F7396" i="12"/>
  <c r="F7395" i="12"/>
  <c r="F7394" i="12"/>
  <c r="F7393" i="12"/>
  <c r="F7392" i="12"/>
  <c r="F7391" i="12"/>
  <c r="F7390" i="12"/>
  <c r="F7389" i="12"/>
  <c r="F7388" i="12"/>
  <c r="F7387" i="12"/>
  <c r="F7386" i="12"/>
  <c r="F7385" i="12"/>
  <c r="F7384" i="12"/>
  <c r="F7383" i="12"/>
  <c r="F7382" i="12"/>
  <c r="F7381" i="12"/>
  <c r="F7380" i="12"/>
  <c r="F7379" i="12"/>
  <c r="F7378" i="12"/>
  <c r="F7377" i="12"/>
  <c r="F7376" i="12"/>
  <c r="F7375" i="12"/>
  <c r="F7374" i="12"/>
  <c r="F7373" i="12"/>
  <c r="F7372" i="12"/>
  <c r="F7371" i="12"/>
  <c r="F7370" i="12"/>
  <c r="F7369" i="12"/>
  <c r="F7368" i="12"/>
  <c r="F7367" i="12"/>
  <c r="F7366" i="12"/>
  <c r="F7365" i="12"/>
  <c r="F7364" i="12"/>
  <c r="F7363" i="12"/>
  <c r="F7362" i="12"/>
  <c r="F7361" i="12"/>
  <c r="F7360" i="12"/>
  <c r="F7359" i="12"/>
  <c r="F7358" i="12"/>
  <c r="F7357" i="12"/>
  <c r="F7356" i="12"/>
  <c r="F7355" i="12"/>
  <c r="F7354" i="12"/>
  <c r="F7353" i="12"/>
  <c r="F7352" i="12"/>
  <c r="F7351" i="12"/>
  <c r="F7350" i="12"/>
  <c r="F7349" i="12"/>
  <c r="F7348" i="12"/>
  <c r="F7347" i="12"/>
  <c r="F7346" i="12"/>
  <c r="F7345" i="12"/>
  <c r="F7344" i="12"/>
  <c r="F7343" i="12"/>
  <c r="F7342" i="12"/>
  <c r="F7341" i="12"/>
  <c r="F7340" i="12"/>
  <c r="F7339" i="12"/>
  <c r="F7338" i="12"/>
  <c r="F7337" i="12"/>
  <c r="F7336" i="12"/>
  <c r="F7335" i="12"/>
  <c r="F7334" i="12"/>
  <c r="F7333" i="12"/>
  <c r="F7332" i="12"/>
  <c r="F7331" i="12"/>
  <c r="F7330" i="12"/>
  <c r="F7329" i="12"/>
  <c r="F7328" i="12"/>
  <c r="F7327" i="12"/>
  <c r="F7326" i="12"/>
  <c r="F7325" i="12"/>
  <c r="F7324" i="12"/>
  <c r="F7323" i="12"/>
  <c r="F7322" i="12"/>
  <c r="F7321" i="12"/>
  <c r="F7320" i="12"/>
  <c r="F7319" i="12"/>
  <c r="F7318" i="12"/>
  <c r="F7317" i="12"/>
  <c r="F7316" i="12"/>
  <c r="F7315" i="12"/>
  <c r="F7314" i="12"/>
  <c r="F7313" i="12"/>
  <c r="F7312" i="12"/>
  <c r="F7311" i="12"/>
  <c r="F7310" i="12"/>
  <c r="F7309" i="12"/>
  <c r="F7308" i="12"/>
  <c r="F7307" i="12"/>
  <c r="F7306" i="12"/>
  <c r="F7305" i="12"/>
  <c r="F7304" i="12"/>
  <c r="F7303" i="12"/>
  <c r="F7302" i="12"/>
  <c r="F7301" i="12"/>
  <c r="F7300" i="12"/>
  <c r="F7299" i="12"/>
  <c r="F7298" i="12"/>
  <c r="F7297" i="12"/>
  <c r="F7296" i="12"/>
  <c r="F7295" i="12"/>
  <c r="F7294" i="12"/>
  <c r="F7293" i="12"/>
  <c r="F7292" i="12"/>
  <c r="F7291" i="12"/>
  <c r="F7290" i="12"/>
  <c r="F7289" i="12"/>
  <c r="F7288" i="12"/>
  <c r="F7287" i="12"/>
  <c r="F7286" i="12"/>
  <c r="F7285" i="12"/>
  <c r="F7284" i="12"/>
  <c r="F7283" i="12"/>
  <c r="F7282" i="12"/>
  <c r="F7281" i="12"/>
  <c r="F7280" i="12"/>
  <c r="F7279" i="12"/>
  <c r="F7278" i="12"/>
  <c r="F7277" i="12"/>
  <c r="F7276" i="12"/>
  <c r="F7275" i="12"/>
  <c r="F7274" i="12"/>
  <c r="F7273" i="12"/>
  <c r="F7272" i="12"/>
  <c r="F7271" i="12"/>
  <c r="F7270" i="12"/>
  <c r="F7269" i="12"/>
  <c r="F7268" i="12"/>
  <c r="F7267" i="12"/>
  <c r="F7266" i="12"/>
  <c r="F7265" i="12"/>
  <c r="F7264" i="12"/>
  <c r="F7263" i="12"/>
  <c r="F7262" i="12"/>
  <c r="F7261" i="12"/>
  <c r="F7260" i="12"/>
  <c r="F7259" i="12"/>
  <c r="F7258" i="12"/>
  <c r="F7257" i="12"/>
  <c r="F7256" i="12"/>
  <c r="F7255" i="12"/>
  <c r="F7254" i="12"/>
  <c r="F7253" i="12"/>
  <c r="F7252" i="12"/>
  <c r="F7251" i="12"/>
  <c r="F7250" i="12"/>
  <c r="F7249" i="12"/>
  <c r="F7248" i="12"/>
  <c r="F7247" i="12"/>
  <c r="F7246" i="12"/>
  <c r="F7245" i="12"/>
  <c r="F7244" i="12"/>
  <c r="F7243" i="12"/>
  <c r="F7242" i="12"/>
  <c r="F7241" i="12"/>
  <c r="F7240" i="12"/>
  <c r="F7239" i="12"/>
  <c r="F7238" i="12"/>
  <c r="F7237" i="12"/>
  <c r="F7236" i="12"/>
  <c r="F7235" i="12"/>
  <c r="F7234" i="12"/>
  <c r="F7233" i="12"/>
  <c r="F7232" i="12"/>
  <c r="F7231" i="12"/>
  <c r="F7230" i="12"/>
  <c r="F7229" i="12"/>
  <c r="F7228" i="12"/>
  <c r="F7227" i="12"/>
  <c r="F7226" i="12"/>
  <c r="F7225" i="12"/>
  <c r="F7224" i="12"/>
  <c r="F7223" i="12"/>
  <c r="F7222" i="12"/>
  <c r="F7221" i="12"/>
  <c r="F7220" i="12"/>
  <c r="F7219" i="12"/>
  <c r="F7218" i="12"/>
  <c r="F7217" i="12"/>
  <c r="F7216" i="12"/>
  <c r="F7215" i="12"/>
  <c r="F7214" i="12"/>
  <c r="F7213" i="12"/>
  <c r="F7212" i="12"/>
  <c r="F7211" i="12"/>
  <c r="F7210" i="12"/>
  <c r="F7209" i="12"/>
  <c r="F7208" i="12"/>
  <c r="F7207" i="12"/>
  <c r="F7206" i="12"/>
  <c r="F7205" i="12"/>
  <c r="F7204" i="12"/>
  <c r="F7203" i="12"/>
  <c r="F7202" i="12"/>
  <c r="F7201" i="12"/>
  <c r="F7200" i="12"/>
  <c r="F7199" i="12"/>
  <c r="F7198" i="12"/>
  <c r="F7197" i="12"/>
  <c r="F7196" i="12"/>
  <c r="F7195" i="12"/>
  <c r="F7194" i="12"/>
  <c r="F7193" i="12"/>
  <c r="F7192" i="12"/>
  <c r="F7191" i="12"/>
  <c r="F7190" i="12"/>
  <c r="F7189" i="12"/>
  <c r="F7188" i="12"/>
  <c r="F7187" i="12"/>
  <c r="F7186" i="12"/>
  <c r="F7185" i="12"/>
  <c r="F7184" i="12"/>
  <c r="F7183" i="12"/>
  <c r="F7182" i="12"/>
  <c r="F7181" i="12"/>
  <c r="F7180" i="12"/>
  <c r="F7179" i="12"/>
  <c r="F7178" i="12"/>
  <c r="F7177" i="12"/>
  <c r="F7176" i="12"/>
  <c r="F7175" i="12"/>
  <c r="F7174" i="12"/>
  <c r="F7173" i="12"/>
  <c r="F7172" i="12"/>
  <c r="F7171" i="12"/>
  <c r="F7170" i="12"/>
  <c r="F7169" i="12"/>
  <c r="F7168" i="12"/>
  <c r="F7167" i="12"/>
  <c r="F7166" i="12"/>
  <c r="F7165" i="12"/>
  <c r="F7164" i="12"/>
  <c r="F7163" i="12"/>
  <c r="F7162" i="12"/>
  <c r="F7161" i="12"/>
  <c r="F7160" i="12"/>
  <c r="F7159" i="12"/>
  <c r="F7158" i="12"/>
  <c r="F7157" i="12"/>
  <c r="F7156" i="12"/>
  <c r="F7155" i="12"/>
  <c r="F7154" i="12"/>
  <c r="F7153" i="12"/>
  <c r="F7152" i="12"/>
  <c r="F7151" i="12"/>
  <c r="F7150" i="12"/>
  <c r="F7149" i="12"/>
  <c r="F7148" i="12"/>
  <c r="F7147" i="12"/>
  <c r="F7146" i="12"/>
  <c r="F7145" i="12"/>
  <c r="F7144" i="12"/>
  <c r="F7143" i="12"/>
  <c r="F7142" i="12"/>
  <c r="F7141" i="12"/>
  <c r="F7140" i="12"/>
  <c r="F7139" i="12"/>
  <c r="F7138" i="12"/>
  <c r="F7137" i="12"/>
  <c r="F7136" i="12"/>
  <c r="F7135" i="12"/>
  <c r="F7134" i="12"/>
  <c r="F7133" i="12"/>
  <c r="F7132" i="12"/>
  <c r="F7131" i="12"/>
  <c r="F7130" i="12"/>
  <c r="F7129" i="12"/>
  <c r="F7128" i="12"/>
  <c r="F7127" i="12"/>
  <c r="F7126" i="12"/>
  <c r="F7125" i="12"/>
  <c r="F7124" i="12"/>
  <c r="F7123" i="12"/>
  <c r="F7122" i="12"/>
  <c r="F7121" i="12"/>
  <c r="F7120" i="12"/>
  <c r="F7119" i="12"/>
  <c r="F7118" i="12"/>
  <c r="F7117" i="12"/>
  <c r="F7116" i="12"/>
  <c r="F7115" i="12"/>
  <c r="F7114" i="12"/>
  <c r="F7113" i="12"/>
  <c r="F7112" i="12"/>
  <c r="F7111" i="12"/>
  <c r="F7110" i="12"/>
  <c r="F7109" i="12"/>
  <c r="F7108" i="12"/>
  <c r="F7107" i="12"/>
  <c r="F7106" i="12"/>
  <c r="F7105" i="12"/>
  <c r="F7104" i="12"/>
  <c r="F7103" i="12"/>
  <c r="F7102" i="12"/>
  <c r="F7101" i="12"/>
  <c r="F7100" i="12"/>
  <c r="F7099" i="12"/>
  <c r="F7098" i="12"/>
  <c r="F7097" i="12"/>
  <c r="F7096" i="12"/>
  <c r="F7095" i="12"/>
  <c r="F7094" i="12"/>
  <c r="F7093" i="12"/>
  <c r="F7092" i="12"/>
  <c r="F7091" i="12"/>
  <c r="F7090" i="12"/>
  <c r="F7089" i="12"/>
  <c r="F7088" i="12"/>
  <c r="F7087" i="12"/>
  <c r="F7086" i="12"/>
  <c r="F7085" i="12"/>
  <c r="F7084" i="12"/>
  <c r="F7083" i="12"/>
  <c r="F7082" i="12"/>
  <c r="F7081" i="12"/>
  <c r="F7080" i="12"/>
  <c r="F7079" i="12"/>
  <c r="F7078" i="12"/>
  <c r="F7077" i="12"/>
  <c r="F7076" i="12"/>
  <c r="F7075" i="12"/>
  <c r="F7074" i="12"/>
  <c r="F7073" i="12"/>
  <c r="F7072" i="12"/>
  <c r="F7071" i="12"/>
  <c r="F7070" i="12"/>
  <c r="F7069" i="12"/>
  <c r="F7068" i="12"/>
  <c r="F7067" i="12"/>
  <c r="F7066" i="12"/>
  <c r="F7065" i="12"/>
  <c r="F7064" i="12"/>
  <c r="F7063" i="12"/>
  <c r="F7062" i="12"/>
  <c r="F7061" i="12"/>
  <c r="F7060" i="12"/>
  <c r="F7059" i="12"/>
  <c r="F7058" i="12"/>
  <c r="F7057" i="12"/>
  <c r="F7056" i="12"/>
  <c r="F7055" i="12"/>
  <c r="F7054" i="12"/>
  <c r="F7053" i="12"/>
  <c r="F7052" i="12"/>
  <c r="F7051" i="12"/>
  <c r="F7050" i="12"/>
  <c r="F7049" i="12"/>
  <c r="F7048" i="12"/>
  <c r="F7047" i="12"/>
  <c r="F7046" i="12"/>
  <c r="F7045" i="12"/>
  <c r="F7044" i="12"/>
  <c r="F7043" i="12"/>
  <c r="F7042" i="12"/>
  <c r="F7041" i="12"/>
  <c r="F7040" i="12"/>
  <c r="F7039" i="12"/>
  <c r="F7038" i="12"/>
  <c r="F7037" i="12"/>
  <c r="F7036" i="12"/>
  <c r="F7035" i="12"/>
  <c r="F7034" i="12"/>
  <c r="F7033" i="12"/>
  <c r="F7032" i="12"/>
  <c r="F7031" i="12"/>
  <c r="F7030" i="12"/>
  <c r="F7029" i="12"/>
  <c r="F7028" i="12"/>
  <c r="F7027" i="12"/>
  <c r="F7026" i="12"/>
  <c r="F7025" i="12"/>
  <c r="F7024" i="12"/>
  <c r="F7023" i="12"/>
  <c r="F7022" i="12"/>
  <c r="F7021" i="12"/>
  <c r="F7020" i="12"/>
  <c r="F7019" i="12"/>
  <c r="F7018" i="12"/>
  <c r="F7017" i="12"/>
  <c r="F7016" i="12"/>
  <c r="F7015" i="12"/>
  <c r="F7014" i="12"/>
  <c r="F7013" i="12"/>
  <c r="F7012" i="12"/>
  <c r="F7011" i="12"/>
  <c r="F7010" i="12"/>
  <c r="F7009" i="12"/>
  <c r="F7008" i="12"/>
  <c r="F7007" i="12"/>
  <c r="F7006" i="12"/>
  <c r="F7005" i="12"/>
  <c r="F7004" i="12"/>
  <c r="F7003" i="12"/>
  <c r="F7002" i="12"/>
  <c r="F7001" i="12"/>
  <c r="F7000" i="12"/>
  <c r="F6999" i="12"/>
  <c r="F6998" i="12"/>
  <c r="F6997" i="12"/>
  <c r="F6996" i="12"/>
  <c r="F6995" i="12"/>
  <c r="F6994" i="12"/>
  <c r="F6993" i="12"/>
  <c r="F6992" i="12"/>
  <c r="F6991" i="12"/>
  <c r="F6990" i="12"/>
  <c r="F6989" i="12"/>
  <c r="F6988" i="12"/>
  <c r="F6987" i="12"/>
  <c r="F6986" i="12"/>
  <c r="F6985" i="12"/>
  <c r="F6984" i="12"/>
  <c r="F6983" i="12"/>
  <c r="F6982" i="12"/>
  <c r="F6981" i="12"/>
  <c r="F6980" i="12"/>
  <c r="F6979" i="12"/>
  <c r="F6978" i="12"/>
  <c r="F6977" i="12"/>
  <c r="F6976" i="12"/>
  <c r="F6975" i="12"/>
  <c r="F6974" i="12"/>
  <c r="F6973" i="12"/>
  <c r="F6972" i="12"/>
  <c r="F6971" i="12"/>
  <c r="F6970" i="12"/>
  <c r="F6969" i="12"/>
  <c r="F6968" i="12"/>
  <c r="F6967" i="12"/>
  <c r="F6966" i="12"/>
  <c r="F6965" i="12"/>
  <c r="F6964" i="12"/>
  <c r="F6963" i="12"/>
  <c r="F6962" i="12"/>
  <c r="F6961" i="12"/>
  <c r="F6960" i="12"/>
  <c r="F6959" i="12"/>
  <c r="F6958" i="12"/>
  <c r="F6957" i="12"/>
  <c r="F6956" i="12"/>
  <c r="F6955" i="12"/>
  <c r="F6954" i="12"/>
  <c r="F6953" i="12"/>
  <c r="F6952" i="12"/>
  <c r="F6951" i="12"/>
  <c r="F6950" i="12"/>
  <c r="F6949" i="12"/>
  <c r="F6948" i="12"/>
  <c r="F6947" i="12"/>
  <c r="F6946" i="12"/>
  <c r="F6945" i="12"/>
  <c r="F6944" i="12"/>
  <c r="F6943" i="12"/>
  <c r="F6942" i="12"/>
  <c r="F6941" i="12"/>
  <c r="F6940" i="12"/>
  <c r="F6939" i="12"/>
  <c r="F6938" i="12"/>
  <c r="F6937" i="12"/>
  <c r="F6936" i="12"/>
  <c r="F6935" i="12"/>
  <c r="F6934" i="12"/>
  <c r="F6933" i="12"/>
  <c r="F6932" i="12"/>
  <c r="F6931" i="12"/>
  <c r="F6930" i="12"/>
  <c r="F6929" i="12"/>
  <c r="F6928" i="12"/>
  <c r="F6927" i="12"/>
  <c r="F6926" i="12"/>
  <c r="F6925" i="12"/>
  <c r="F6924" i="12"/>
  <c r="F6923" i="12"/>
  <c r="F6922" i="12"/>
  <c r="F6921" i="12"/>
  <c r="F6920" i="12"/>
  <c r="F6919" i="12"/>
  <c r="F6918" i="12"/>
  <c r="F6917" i="12"/>
  <c r="F6916" i="12"/>
  <c r="F6915" i="12"/>
  <c r="F6914" i="12"/>
  <c r="F6913" i="12"/>
  <c r="F6912" i="12"/>
  <c r="F6911" i="12"/>
  <c r="F6910" i="12"/>
  <c r="F6909" i="12"/>
  <c r="F6908" i="12"/>
  <c r="F6907" i="12"/>
  <c r="F6906" i="12"/>
  <c r="F6905" i="12"/>
  <c r="F6904" i="12"/>
  <c r="F6903" i="12"/>
  <c r="F6902" i="12"/>
  <c r="F6901" i="12"/>
  <c r="F6900" i="12"/>
  <c r="F6899" i="12"/>
  <c r="F6898" i="12"/>
  <c r="F6897" i="12"/>
  <c r="F6896" i="12"/>
  <c r="F6895" i="12"/>
  <c r="F6894" i="12"/>
  <c r="F6893" i="12"/>
  <c r="F6892" i="12"/>
  <c r="F6891" i="12"/>
  <c r="F6890" i="12"/>
  <c r="F6889" i="12"/>
  <c r="F6888" i="12"/>
  <c r="F6887" i="12"/>
  <c r="F6886" i="12"/>
  <c r="F6885" i="12"/>
  <c r="F6884" i="12"/>
  <c r="F6883" i="12"/>
  <c r="F6882" i="12"/>
  <c r="F6881" i="12"/>
  <c r="F6880" i="12"/>
  <c r="F6879" i="12"/>
  <c r="F6878" i="12"/>
  <c r="F6877" i="12"/>
  <c r="F6876" i="12"/>
  <c r="F6875" i="12"/>
  <c r="F6874" i="12"/>
  <c r="F6873" i="12"/>
  <c r="F6872" i="12"/>
  <c r="F6871" i="12"/>
  <c r="F6870" i="12"/>
  <c r="F6869" i="12"/>
  <c r="F6868" i="12"/>
  <c r="F6867" i="12"/>
  <c r="F6866" i="12"/>
  <c r="F6865" i="12"/>
  <c r="F6864" i="12"/>
  <c r="F6863" i="12"/>
  <c r="F6862" i="12"/>
  <c r="F6861" i="12"/>
  <c r="F6860" i="12"/>
  <c r="F6859" i="12"/>
  <c r="F6858" i="12"/>
  <c r="F6857" i="12"/>
  <c r="F6856" i="12"/>
  <c r="F6855" i="12"/>
  <c r="F6854" i="12"/>
  <c r="F6853" i="12"/>
  <c r="F6852" i="12"/>
  <c r="F6851" i="12"/>
  <c r="F6850" i="12"/>
  <c r="F6849" i="12"/>
  <c r="F6848" i="12"/>
  <c r="F6847" i="12"/>
  <c r="F6846" i="12"/>
  <c r="F6845" i="12"/>
  <c r="F6844" i="12"/>
  <c r="F6843" i="12"/>
  <c r="F6842" i="12"/>
  <c r="F6841" i="12"/>
  <c r="F6840" i="12"/>
  <c r="F6839" i="12"/>
  <c r="F6838" i="12"/>
  <c r="F6837" i="12"/>
  <c r="F6836" i="12"/>
  <c r="F6835" i="12"/>
  <c r="F6834" i="12"/>
  <c r="F6833" i="12"/>
  <c r="F6832" i="12"/>
  <c r="F6831" i="12"/>
  <c r="F6830" i="12"/>
  <c r="F6829" i="12"/>
  <c r="F6828" i="12"/>
  <c r="F6827" i="12"/>
  <c r="F6826" i="12"/>
  <c r="F6825" i="12"/>
  <c r="F6824" i="12"/>
  <c r="F6823" i="12"/>
  <c r="F6822" i="12"/>
  <c r="F6821" i="12"/>
  <c r="F6820" i="12"/>
  <c r="F6819" i="12"/>
  <c r="F6818" i="12"/>
  <c r="F6817" i="12"/>
  <c r="F6816" i="12"/>
  <c r="F6815" i="12"/>
  <c r="F6814" i="12"/>
  <c r="F6813" i="12"/>
  <c r="F6812" i="12"/>
  <c r="F6811" i="12"/>
  <c r="F6810" i="12"/>
  <c r="F6809" i="12"/>
  <c r="F6808" i="12"/>
  <c r="F6807" i="12"/>
  <c r="F6806" i="12"/>
  <c r="F6805" i="12"/>
  <c r="F6804" i="12"/>
  <c r="F6803" i="12"/>
  <c r="F6802" i="12"/>
  <c r="F6801" i="12"/>
  <c r="F6800" i="12"/>
  <c r="F6799" i="12"/>
  <c r="F6798" i="12"/>
  <c r="F6797" i="12"/>
  <c r="F6796" i="12"/>
  <c r="F6795" i="12"/>
  <c r="F6794" i="12"/>
  <c r="F6793" i="12"/>
  <c r="F6792" i="12"/>
  <c r="F6791" i="12"/>
  <c r="F6790" i="12"/>
  <c r="F6789" i="12"/>
  <c r="F6788" i="12"/>
  <c r="F6787" i="12"/>
  <c r="F6786" i="12"/>
  <c r="F6785" i="12"/>
  <c r="F6784" i="12"/>
  <c r="F6783" i="12"/>
  <c r="F6782" i="12"/>
  <c r="F6781" i="12"/>
  <c r="F6780" i="12"/>
  <c r="F6779" i="12"/>
  <c r="F6778" i="12"/>
  <c r="F6777" i="12"/>
  <c r="F6776" i="12"/>
  <c r="F6775" i="12"/>
  <c r="F6774" i="12"/>
  <c r="F6773" i="12"/>
  <c r="F6772" i="12"/>
  <c r="F6771" i="12"/>
  <c r="F6770" i="12"/>
  <c r="F6769" i="12"/>
  <c r="F6768" i="12"/>
  <c r="F6767" i="12"/>
  <c r="F6766" i="12"/>
  <c r="F6765" i="12"/>
  <c r="F6764" i="12"/>
  <c r="F6763" i="12"/>
  <c r="F6762" i="12"/>
  <c r="F6761" i="12"/>
  <c r="F6760" i="12"/>
  <c r="F6759" i="12"/>
  <c r="F6758" i="12"/>
  <c r="F6757" i="12"/>
  <c r="F6756" i="12"/>
  <c r="F6755" i="12"/>
  <c r="F6754" i="12"/>
  <c r="F6753" i="12"/>
  <c r="F6752" i="12"/>
  <c r="F6751" i="12"/>
  <c r="F6750" i="12"/>
  <c r="F6749" i="12"/>
  <c r="F6748" i="12"/>
  <c r="F6747" i="12"/>
  <c r="F6746" i="12"/>
  <c r="F6745" i="12"/>
  <c r="F6744" i="12"/>
  <c r="F6743" i="12"/>
  <c r="F6742" i="12"/>
  <c r="F6741" i="12"/>
  <c r="F6740" i="12"/>
  <c r="F6739" i="12"/>
  <c r="F6738" i="12"/>
  <c r="F6737" i="12"/>
  <c r="F6736" i="12"/>
  <c r="F6735" i="12"/>
  <c r="F6734" i="12"/>
  <c r="F6733" i="12"/>
  <c r="F6732" i="12"/>
  <c r="F6731" i="12"/>
  <c r="F6730" i="12"/>
  <c r="F6729" i="12"/>
  <c r="F6728" i="12"/>
  <c r="F6727" i="12"/>
  <c r="F6726" i="12"/>
  <c r="F6725" i="12"/>
  <c r="F6724" i="12"/>
  <c r="F6723" i="12"/>
  <c r="F6722" i="12"/>
  <c r="F6721" i="12"/>
  <c r="F6720" i="12"/>
  <c r="F6719" i="12"/>
  <c r="F6718" i="12"/>
  <c r="F6717" i="12"/>
  <c r="F6716" i="12"/>
  <c r="F6715" i="12"/>
  <c r="F6714" i="12"/>
  <c r="F6713" i="12"/>
  <c r="F6712" i="12"/>
  <c r="F6711" i="12"/>
  <c r="F6710" i="12"/>
  <c r="F6709" i="12"/>
  <c r="F6708" i="12"/>
  <c r="F6707" i="12"/>
  <c r="F6706" i="12"/>
  <c r="F6705" i="12"/>
  <c r="F6704" i="12"/>
  <c r="F6703" i="12"/>
  <c r="F6702" i="12"/>
  <c r="F6701" i="12"/>
  <c r="F6700" i="12"/>
  <c r="F6699" i="12"/>
  <c r="F6698" i="12"/>
  <c r="F6697" i="12"/>
  <c r="F6696" i="12"/>
  <c r="F6695" i="12"/>
  <c r="F6694" i="12"/>
  <c r="F6693" i="12"/>
  <c r="F6692" i="12"/>
  <c r="F6691" i="12"/>
  <c r="F6690" i="12"/>
  <c r="F6689" i="12"/>
  <c r="F6688" i="12"/>
  <c r="F6687" i="12"/>
  <c r="F6686" i="12"/>
  <c r="F6685" i="12"/>
  <c r="F6684" i="12"/>
  <c r="F6683" i="12"/>
  <c r="F6682" i="12"/>
  <c r="F6681" i="12"/>
  <c r="F6680" i="12"/>
  <c r="F6679" i="12"/>
  <c r="F6678" i="12"/>
  <c r="F6677" i="12"/>
  <c r="F6676" i="12"/>
  <c r="F6675" i="12"/>
  <c r="F6674" i="12"/>
  <c r="F6673" i="12"/>
  <c r="F6672" i="12"/>
  <c r="F6671" i="12"/>
  <c r="F6670" i="12"/>
  <c r="F6669" i="12"/>
  <c r="F6668" i="12"/>
  <c r="F6667" i="12"/>
  <c r="F6666" i="12"/>
  <c r="F6665" i="12"/>
  <c r="F6664" i="12"/>
  <c r="F6663" i="12"/>
  <c r="F6662" i="12"/>
  <c r="F6661" i="12"/>
  <c r="F6660" i="12"/>
  <c r="F6659" i="12"/>
  <c r="F6658" i="12"/>
  <c r="F6657" i="12"/>
  <c r="F6656" i="12"/>
  <c r="F6655" i="12"/>
  <c r="F6654" i="12"/>
  <c r="F6653" i="12"/>
  <c r="F6652" i="12"/>
  <c r="F6651" i="12"/>
  <c r="F6650" i="12"/>
  <c r="F6649" i="12"/>
  <c r="F6648" i="12"/>
  <c r="F6647" i="12"/>
  <c r="F6646" i="12"/>
  <c r="F6645" i="12"/>
  <c r="F6644" i="12"/>
  <c r="F6643" i="12"/>
  <c r="F6642" i="12"/>
  <c r="F6641" i="12"/>
  <c r="F6640" i="12"/>
  <c r="F6639" i="12"/>
  <c r="F6638" i="12"/>
  <c r="F6637" i="12"/>
  <c r="F6636" i="12"/>
  <c r="F6635" i="12"/>
  <c r="F6634" i="12"/>
  <c r="F6633" i="12"/>
  <c r="F6632" i="12"/>
  <c r="F6631" i="12"/>
  <c r="F6630" i="12"/>
  <c r="F6629" i="12"/>
  <c r="F6628" i="12"/>
  <c r="F6627" i="12"/>
  <c r="F6626" i="12"/>
  <c r="F6625" i="12"/>
  <c r="F6624" i="12"/>
  <c r="F6623" i="12"/>
  <c r="F6622" i="12"/>
  <c r="F6621" i="12"/>
  <c r="F6620" i="12"/>
  <c r="F6619" i="12"/>
  <c r="F6618" i="12"/>
  <c r="F6617" i="12"/>
  <c r="F6616" i="12"/>
  <c r="F6615" i="12"/>
  <c r="F6614" i="12"/>
  <c r="F6613" i="12"/>
  <c r="F6612" i="12"/>
  <c r="F6611" i="12"/>
  <c r="F6610" i="12"/>
  <c r="F6609" i="12"/>
  <c r="F6608" i="12"/>
  <c r="F6607" i="12"/>
  <c r="F6606" i="12"/>
  <c r="F6605" i="12"/>
  <c r="F6604" i="12"/>
  <c r="F6603" i="12"/>
  <c r="F6602" i="12"/>
  <c r="F6601" i="12"/>
  <c r="F6600" i="12"/>
  <c r="F6599" i="12"/>
  <c r="F6598" i="12"/>
  <c r="F6597" i="12"/>
  <c r="F6596" i="12"/>
  <c r="F6595" i="12"/>
  <c r="F6594" i="12"/>
  <c r="F6593" i="12"/>
  <c r="F6592" i="12"/>
  <c r="F6591" i="12"/>
  <c r="F6590" i="12"/>
  <c r="F6589" i="12"/>
  <c r="F6588" i="12"/>
  <c r="F6587" i="12"/>
  <c r="F6586" i="12"/>
  <c r="F6585" i="12"/>
  <c r="F6584" i="12"/>
  <c r="F6583" i="12"/>
  <c r="F6582" i="12"/>
  <c r="F6581" i="12"/>
  <c r="F6580" i="12"/>
  <c r="F6579" i="12"/>
  <c r="F6578" i="12"/>
  <c r="F6577" i="12"/>
  <c r="F6576" i="12"/>
  <c r="F6575" i="12"/>
  <c r="F6574" i="12"/>
  <c r="F6573" i="12"/>
  <c r="F6572" i="12"/>
  <c r="F6571" i="12"/>
  <c r="F6570" i="12"/>
  <c r="F6569" i="12"/>
  <c r="F6568" i="12"/>
  <c r="F6567" i="12"/>
  <c r="F6566" i="12"/>
  <c r="F6565" i="12"/>
  <c r="F6564" i="12"/>
  <c r="F6563" i="12"/>
  <c r="F6562" i="12"/>
  <c r="F6561" i="12"/>
  <c r="F6560" i="12"/>
  <c r="F6559" i="12"/>
  <c r="F6558" i="12"/>
  <c r="F6557" i="12"/>
  <c r="F6556" i="12"/>
  <c r="F6555" i="12"/>
  <c r="F6554" i="12"/>
  <c r="F6553" i="12"/>
  <c r="F6552" i="12"/>
  <c r="F6551" i="12"/>
  <c r="F6550" i="12"/>
  <c r="F6549" i="12"/>
  <c r="F6548" i="12"/>
  <c r="F6547" i="12"/>
  <c r="F6546" i="12"/>
  <c r="F6545" i="12"/>
  <c r="F6544" i="12"/>
  <c r="F6543" i="12"/>
  <c r="F6542" i="12"/>
  <c r="F6541" i="12"/>
  <c r="F6540" i="12"/>
  <c r="F6539" i="12"/>
  <c r="F6538" i="12"/>
  <c r="F6537" i="12"/>
  <c r="F6536" i="12"/>
  <c r="F6535" i="12"/>
  <c r="F6534" i="12"/>
  <c r="F6533" i="12"/>
  <c r="F6532" i="12"/>
  <c r="F6531" i="12"/>
  <c r="F6530" i="12"/>
  <c r="F6529" i="12"/>
  <c r="F6528" i="12"/>
  <c r="F6527" i="12"/>
  <c r="F6526" i="12"/>
  <c r="F6525" i="12"/>
  <c r="F6524" i="12"/>
  <c r="F6523" i="12"/>
  <c r="F6522" i="12"/>
  <c r="F6521" i="12"/>
  <c r="F6520" i="12"/>
  <c r="F6519" i="12"/>
  <c r="F6518" i="12"/>
  <c r="F6517" i="12"/>
  <c r="F6516" i="12"/>
  <c r="F6515" i="12"/>
  <c r="F6514" i="12"/>
  <c r="F6513" i="12"/>
  <c r="F6512" i="12"/>
  <c r="F6511" i="12"/>
  <c r="F6510" i="12"/>
  <c r="F6509" i="12"/>
  <c r="F6508" i="12"/>
  <c r="F6507" i="12"/>
  <c r="F6506" i="12"/>
  <c r="F6505" i="12"/>
  <c r="F6504" i="12"/>
  <c r="F6503" i="12"/>
  <c r="F6502" i="12"/>
  <c r="F6501" i="12"/>
  <c r="F6500" i="12"/>
  <c r="F6499" i="12"/>
  <c r="F6498" i="12"/>
  <c r="F6497" i="12"/>
  <c r="F6496" i="12"/>
  <c r="F6495" i="12"/>
  <c r="F6494" i="12"/>
  <c r="F6493" i="12"/>
  <c r="F6492" i="12"/>
  <c r="F6491" i="12"/>
  <c r="F6490" i="12"/>
  <c r="F6489" i="12"/>
  <c r="F6488" i="12"/>
  <c r="F6487" i="12"/>
  <c r="F6486" i="12"/>
  <c r="F6485" i="12"/>
  <c r="F6484" i="12"/>
  <c r="F6483" i="12"/>
  <c r="F6482" i="12"/>
  <c r="F6481" i="12"/>
  <c r="F6480" i="12"/>
  <c r="F6479" i="12"/>
  <c r="F6478" i="12"/>
  <c r="F6477" i="12"/>
  <c r="F6476" i="12"/>
  <c r="F6475" i="12"/>
  <c r="F6474" i="12"/>
  <c r="F6473" i="12"/>
  <c r="F6472" i="12"/>
  <c r="F6471" i="12"/>
  <c r="F6470" i="12"/>
  <c r="F6469" i="12"/>
  <c r="F6468" i="12"/>
  <c r="F6467" i="12"/>
  <c r="F6466" i="12"/>
  <c r="F6465" i="12"/>
  <c r="F6464" i="12"/>
  <c r="F6463" i="12"/>
  <c r="F6462" i="12"/>
  <c r="F6461" i="12"/>
  <c r="F6460" i="12"/>
  <c r="F6459" i="12"/>
  <c r="F6458" i="12"/>
  <c r="F6457" i="12"/>
  <c r="F6456" i="12"/>
  <c r="F6455" i="12"/>
  <c r="F6454" i="12"/>
  <c r="F6453" i="12"/>
  <c r="F6452" i="12"/>
  <c r="F6451" i="12"/>
  <c r="F6450" i="12"/>
  <c r="F6449" i="12"/>
  <c r="F6448" i="12"/>
  <c r="F6447" i="12"/>
  <c r="F6446" i="12"/>
  <c r="F6445" i="12"/>
  <c r="F6444" i="12"/>
  <c r="F6443" i="12"/>
  <c r="F6442" i="12"/>
  <c r="F6441" i="12"/>
  <c r="F6440" i="12"/>
  <c r="F6439" i="12"/>
  <c r="F6438" i="12"/>
  <c r="F6437" i="12"/>
  <c r="F6436" i="12"/>
  <c r="F6435" i="12"/>
  <c r="F6434" i="12"/>
  <c r="F6433" i="12"/>
  <c r="F6432" i="12"/>
  <c r="F6431" i="12"/>
  <c r="F6430" i="12"/>
  <c r="F6429" i="12"/>
  <c r="F6428" i="12"/>
  <c r="F6427" i="12"/>
  <c r="F6426" i="12"/>
  <c r="F6425" i="12"/>
  <c r="F6424" i="12"/>
  <c r="F6423" i="12"/>
  <c r="F6422" i="12"/>
  <c r="F6421" i="12"/>
  <c r="F6420" i="12"/>
  <c r="F6419" i="12"/>
  <c r="F6418" i="12"/>
  <c r="F6417" i="12"/>
  <c r="F6416" i="12"/>
  <c r="F6415" i="12"/>
  <c r="F6414" i="12"/>
  <c r="F6413" i="12"/>
  <c r="F6412" i="12"/>
  <c r="F6411" i="12"/>
  <c r="F6410" i="12"/>
  <c r="F6409" i="12"/>
  <c r="F6408" i="12"/>
  <c r="F6407" i="12"/>
  <c r="F6406" i="12"/>
  <c r="F6405" i="12"/>
  <c r="F6404" i="12"/>
  <c r="F6403" i="12"/>
  <c r="F6402" i="12"/>
  <c r="F6401" i="12"/>
  <c r="F6400" i="12"/>
  <c r="F6399" i="12"/>
  <c r="F6398" i="12"/>
  <c r="F6397" i="12"/>
  <c r="F6396" i="12"/>
  <c r="F6395" i="12"/>
  <c r="F6394" i="12"/>
  <c r="F6393" i="12"/>
  <c r="F6392" i="12"/>
  <c r="F6391" i="12"/>
  <c r="F6390" i="12"/>
  <c r="F6389" i="12"/>
  <c r="F6388" i="12"/>
  <c r="F6387" i="12"/>
  <c r="F6386" i="12"/>
  <c r="F6385" i="12"/>
  <c r="F6384" i="12"/>
  <c r="F6383" i="12"/>
  <c r="F6382" i="12"/>
  <c r="F6381" i="12"/>
  <c r="F6380" i="12"/>
  <c r="F6379" i="12"/>
  <c r="F6378" i="12"/>
  <c r="F6377" i="12"/>
  <c r="F6376" i="12"/>
  <c r="F6375" i="12"/>
  <c r="F6374" i="12"/>
  <c r="F6373" i="12"/>
  <c r="F6372" i="12"/>
  <c r="F6371" i="12"/>
  <c r="F6370" i="12"/>
  <c r="F6369" i="12"/>
  <c r="F6368" i="12"/>
  <c r="F6367" i="12"/>
  <c r="F6366" i="12"/>
  <c r="F6365" i="12"/>
  <c r="F6364" i="12"/>
  <c r="F6363" i="12"/>
  <c r="F6362" i="12"/>
  <c r="F6361" i="12"/>
  <c r="F6360" i="12"/>
  <c r="F6359" i="12"/>
  <c r="F6358" i="12"/>
  <c r="F6357" i="12"/>
  <c r="F6356" i="12"/>
  <c r="F6355" i="12"/>
  <c r="F6354" i="12"/>
  <c r="F6353" i="12"/>
  <c r="F6352" i="12"/>
  <c r="F6351" i="12"/>
  <c r="F6350" i="12"/>
  <c r="F6349" i="12"/>
  <c r="F6348" i="12"/>
  <c r="F6347" i="12"/>
  <c r="F6346" i="12"/>
  <c r="F6345" i="12"/>
  <c r="F6344" i="12"/>
  <c r="F6343" i="12"/>
  <c r="F6342" i="12"/>
  <c r="F6341" i="12"/>
  <c r="F6340" i="12"/>
  <c r="F6339" i="12"/>
  <c r="F6338" i="12"/>
  <c r="F6337" i="12"/>
  <c r="F6336" i="12"/>
  <c r="F6335" i="12"/>
  <c r="F6334" i="12"/>
  <c r="F6333" i="12"/>
  <c r="F6332" i="12"/>
  <c r="F6331" i="12"/>
  <c r="F6330" i="12"/>
  <c r="F6329" i="12"/>
  <c r="F6328" i="12"/>
  <c r="F6327" i="12"/>
  <c r="F6326" i="12"/>
  <c r="F6325" i="12"/>
  <c r="F6324" i="12"/>
  <c r="F6323" i="12"/>
  <c r="F6322" i="12"/>
  <c r="F6321" i="12"/>
  <c r="F6320" i="12"/>
  <c r="F6319" i="12"/>
  <c r="F6318" i="12"/>
  <c r="F6317" i="12"/>
  <c r="F6316" i="12"/>
  <c r="F6315" i="12"/>
  <c r="F6314" i="12"/>
  <c r="F6313" i="12"/>
  <c r="F6312" i="12"/>
  <c r="F6311" i="12"/>
  <c r="F6310" i="12"/>
  <c r="F6309" i="12"/>
  <c r="F6308" i="12"/>
  <c r="F6307" i="12"/>
  <c r="F6306" i="12"/>
  <c r="F6305" i="12"/>
  <c r="F6304" i="12"/>
  <c r="F6303" i="12"/>
  <c r="F6302" i="12"/>
  <c r="F6301" i="12"/>
  <c r="F6300" i="12"/>
  <c r="F6299" i="12"/>
  <c r="F6298" i="12"/>
  <c r="F6297" i="12"/>
  <c r="F6296" i="12"/>
  <c r="F6295" i="12"/>
  <c r="F6294" i="12"/>
  <c r="F6293" i="12"/>
  <c r="F6292" i="12"/>
  <c r="F6291" i="12"/>
  <c r="F6290" i="12"/>
  <c r="F6289" i="12"/>
  <c r="F6288" i="12"/>
  <c r="F6287" i="12"/>
  <c r="F6286" i="12"/>
  <c r="F6285" i="12"/>
  <c r="F6284" i="12"/>
  <c r="F6283" i="12"/>
  <c r="F6282" i="12"/>
  <c r="F6281" i="12"/>
  <c r="F6280" i="12"/>
  <c r="F6279" i="12"/>
  <c r="F6278" i="12"/>
  <c r="F6277" i="12"/>
  <c r="F6276" i="12"/>
  <c r="F6275" i="12"/>
  <c r="F6274" i="12"/>
  <c r="F6273" i="12"/>
  <c r="F6272" i="12"/>
  <c r="F6271" i="12"/>
  <c r="F6270" i="12"/>
  <c r="F6269" i="12"/>
  <c r="F6268" i="12"/>
  <c r="F6267" i="12"/>
  <c r="F6266" i="12"/>
  <c r="F6265" i="12"/>
  <c r="F6264" i="12"/>
  <c r="F6263" i="12"/>
  <c r="F6262" i="12"/>
  <c r="F6261" i="12"/>
  <c r="F6260" i="12"/>
  <c r="F6259" i="12"/>
  <c r="F6258" i="12"/>
  <c r="F6257" i="12"/>
  <c r="F6256" i="12"/>
  <c r="F6255" i="12"/>
  <c r="F6254" i="12"/>
  <c r="F6253" i="12"/>
  <c r="F6252" i="12"/>
  <c r="F6251" i="12"/>
  <c r="F6250" i="12"/>
  <c r="F6249" i="12"/>
  <c r="F6248" i="12"/>
  <c r="F6247" i="12"/>
  <c r="F6246" i="12"/>
  <c r="F6245" i="12"/>
  <c r="F6244" i="12"/>
  <c r="F6243" i="12"/>
  <c r="F6242" i="12"/>
  <c r="F6241" i="12"/>
  <c r="F6240" i="12"/>
  <c r="F6239" i="12"/>
  <c r="F6238" i="12"/>
  <c r="F6237" i="12"/>
  <c r="F6236" i="12"/>
  <c r="F6235" i="12"/>
  <c r="F6234" i="12"/>
  <c r="F6233" i="12"/>
  <c r="F6232" i="12"/>
  <c r="F6231" i="12"/>
  <c r="F6230" i="12"/>
  <c r="F6229" i="12"/>
  <c r="F6228" i="12"/>
  <c r="F6227" i="12"/>
  <c r="F6226" i="12"/>
  <c r="F6225" i="12"/>
  <c r="F6224" i="12"/>
  <c r="F6223" i="12"/>
  <c r="F6222" i="12"/>
  <c r="F6221" i="12"/>
  <c r="F6220" i="12"/>
  <c r="F6219" i="12"/>
  <c r="F6218" i="12"/>
  <c r="F6217" i="12"/>
  <c r="F6216" i="12"/>
  <c r="F6215" i="12"/>
  <c r="F6214" i="12"/>
  <c r="F6213" i="12"/>
  <c r="F6212" i="12"/>
  <c r="F6211" i="12"/>
  <c r="F6210" i="12"/>
  <c r="F6209" i="12"/>
  <c r="F6208" i="12"/>
  <c r="F6207" i="12"/>
  <c r="F6206" i="12"/>
  <c r="F6205" i="12"/>
  <c r="F6204" i="12"/>
  <c r="F6203" i="12"/>
  <c r="F6202" i="12"/>
  <c r="F6201" i="12"/>
  <c r="F6200" i="12"/>
  <c r="F6199" i="12"/>
  <c r="F6198" i="12"/>
  <c r="F6197" i="12"/>
  <c r="F6196" i="12"/>
  <c r="F6195" i="12"/>
  <c r="F6194" i="12"/>
  <c r="F6193" i="12"/>
  <c r="F6192" i="12"/>
  <c r="F6191" i="12"/>
  <c r="F6190" i="12"/>
  <c r="F6189" i="12"/>
  <c r="F6188" i="12"/>
  <c r="F6187" i="12"/>
  <c r="F6186" i="12"/>
  <c r="F6185" i="12"/>
  <c r="F6184" i="12"/>
  <c r="F6183" i="12"/>
  <c r="F6182" i="12"/>
  <c r="F6181" i="12"/>
  <c r="F6180" i="12"/>
  <c r="F6179" i="12"/>
  <c r="F6178" i="12"/>
  <c r="F6177" i="12"/>
  <c r="F6176" i="12"/>
  <c r="F6175" i="12"/>
  <c r="F6174" i="12"/>
  <c r="F6173" i="12"/>
  <c r="F6172" i="12"/>
  <c r="F6171" i="12"/>
  <c r="F6170" i="12"/>
  <c r="F6169" i="12"/>
  <c r="F6168" i="12"/>
  <c r="F6167" i="12"/>
  <c r="F6166" i="12"/>
  <c r="F6165" i="12"/>
  <c r="F6164" i="12"/>
  <c r="F6163" i="12"/>
  <c r="F6162" i="12"/>
  <c r="F6161" i="12"/>
  <c r="F6160" i="12"/>
  <c r="F6159" i="12"/>
  <c r="F6158" i="12"/>
  <c r="F6157" i="12"/>
  <c r="F6156" i="12"/>
  <c r="F6155" i="12"/>
  <c r="F6154" i="12"/>
  <c r="F6153" i="12"/>
  <c r="F6152" i="12"/>
  <c r="F6151" i="12"/>
  <c r="F6150" i="12"/>
  <c r="F6149" i="12"/>
  <c r="F6148" i="12"/>
  <c r="F6147" i="12"/>
  <c r="F6146" i="12"/>
  <c r="F6145" i="12"/>
  <c r="F6144" i="12"/>
  <c r="F6143" i="12"/>
  <c r="F6142" i="12"/>
  <c r="F6141" i="12"/>
  <c r="F6140" i="12"/>
  <c r="F6139" i="12"/>
  <c r="F6138" i="12"/>
  <c r="F6137" i="12"/>
  <c r="F6136" i="12"/>
  <c r="F6135" i="12"/>
  <c r="F6134" i="12"/>
  <c r="F6133" i="12"/>
  <c r="F6132" i="12"/>
  <c r="F6131" i="12"/>
  <c r="F6130" i="12"/>
  <c r="F6129" i="12"/>
  <c r="F6128" i="12"/>
  <c r="F6127" i="12"/>
  <c r="F6126" i="12"/>
  <c r="F6125" i="12"/>
  <c r="F6124" i="12"/>
  <c r="F6123" i="12"/>
  <c r="F6122" i="12"/>
  <c r="F6121" i="12"/>
  <c r="F6120" i="12"/>
  <c r="F6119" i="12"/>
  <c r="F6118" i="12"/>
  <c r="F6117" i="12"/>
  <c r="F6116" i="12"/>
  <c r="F6115" i="12"/>
  <c r="F6114" i="12"/>
  <c r="F6113" i="12"/>
  <c r="F6112" i="12"/>
  <c r="F6111" i="12"/>
  <c r="F6110" i="12"/>
  <c r="F6109" i="12"/>
  <c r="F6108" i="12"/>
  <c r="F6107" i="12"/>
  <c r="F6106" i="12"/>
  <c r="F6105" i="12"/>
  <c r="F6104" i="12"/>
  <c r="F6103" i="12"/>
  <c r="F6102" i="12"/>
  <c r="F6101" i="12"/>
  <c r="F6100" i="12"/>
  <c r="F6099" i="12"/>
  <c r="F6098" i="12"/>
  <c r="F6097" i="12"/>
  <c r="F6096" i="12"/>
  <c r="F6095" i="12"/>
  <c r="F6094" i="12"/>
  <c r="F6093" i="12"/>
  <c r="F6092" i="12"/>
  <c r="F6091" i="12"/>
  <c r="F6090" i="12"/>
  <c r="F6089" i="12"/>
  <c r="F6088" i="12"/>
  <c r="F6087" i="12"/>
  <c r="F6086" i="12"/>
  <c r="F6085" i="12"/>
  <c r="F6084" i="12"/>
  <c r="F6083" i="12"/>
  <c r="F6082" i="12"/>
  <c r="F6081" i="12"/>
  <c r="F6080" i="12"/>
  <c r="F6079" i="12"/>
  <c r="F6078" i="12"/>
  <c r="F6077" i="12"/>
  <c r="F6076" i="12"/>
  <c r="F6075" i="12"/>
  <c r="F6074" i="12"/>
  <c r="F6073" i="12"/>
  <c r="F6072" i="12"/>
  <c r="F6071" i="12"/>
  <c r="F6070" i="12"/>
  <c r="F6069" i="12"/>
  <c r="F6068" i="12"/>
  <c r="F6067" i="12"/>
  <c r="F6066" i="12"/>
  <c r="F6065" i="12"/>
  <c r="F6064" i="12"/>
  <c r="F6063" i="12"/>
  <c r="F6062" i="12"/>
  <c r="F6061" i="12"/>
  <c r="F6060" i="12"/>
  <c r="F6059" i="12"/>
  <c r="F6058" i="12"/>
  <c r="F6057" i="12"/>
  <c r="F6056" i="12"/>
  <c r="F6055" i="12"/>
  <c r="F6054" i="12"/>
  <c r="F6053" i="12"/>
  <c r="F6052" i="12"/>
  <c r="F6051" i="12"/>
  <c r="F6050" i="12"/>
  <c r="F6049" i="12"/>
  <c r="F6048" i="12"/>
  <c r="F6047" i="12"/>
  <c r="F6046" i="12"/>
  <c r="F6045" i="12"/>
  <c r="F6044" i="12"/>
  <c r="F6043" i="12"/>
  <c r="F6042" i="12"/>
  <c r="F6041" i="12"/>
  <c r="F6040" i="12"/>
  <c r="F6039" i="12"/>
  <c r="F6038" i="12"/>
  <c r="F6037" i="12"/>
  <c r="F6036" i="12"/>
  <c r="F6035" i="12"/>
  <c r="F6034" i="12"/>
  <c r="F6033" i="12"/>
  <c r="F6032" i="12"/>
  <c r="F6031" i="12"/>
  <c r="F6030" i="12"/>
  <c r="F6029" i="12"/>
  <c r="F6028" i="12"/>
  <c r="F6027" i="12"/>
  <c r="F6026" i="12"/>
  <c r="F6025" i="12"/>
  <c r="F6024" i="12"/>
  <c r="F6023" i="12"/>
  <c r="F6022" i="12"/>
  <c r="F6021" i="12"/>
  <c r="F6020" i="12"/>
  <c r="F6019" i="12"/>
  <c r="F6018" i="12"/>
  <c r="F6017" i="12"/>
  <c r="F6016" i="12"/>
  <c r="F6015" i="12"/>
  <c r="F6014" i="12"/>
  <c r="F6013" i="12"/>
  <c r="F6012" i="12"/>
  <c r="F6011" i="12"/>
  <c r="F6010" i="12"/>
  <c r="F6009" i="12"/>
  <c r="F6008" i="12"/>
  <c r="F6007" i="12"/>
  <c r="F6006" i="12"/>
  <c r="F6005" i="12"/>
  <c r="F6004" i="12"/>
  <c r="F6003" i="12"/>
  <c r="F6002" i="12"/>
  <c r="F6001" i="12"/>
  <c r="F6000" i="12"/>
  <c r="F5999" i="12"/>
  <c r="F5998" i="12"/>
  <c r="F5997" i="12"/>
  <c r="F5996" i="12"/>
  <c r="F5995" i="12"/>
  <c r="F5994" i="12"/>
  <c r="F5993" i="12"/>
  <c r="F5992" i="12"/>
  <c r="F5991" i="12"/>
  <c r="F5990" i="12"/>
  <c r="F5989" i="12"/>
  <c r="F5988" i="12"/>
  <c r="F5987" i="12"/>
  <c r="F5986" i="12"/>
  <c r="F5985" i="12"/>
  <c r="F5984" i="12"/>
  <c r="F5983" i="12"/>
  <c r="F5982" i="12"/>
  <c r="F5981" i="12"/>
  <c r="F5980" i="12"/>
  <c r="F5979" i="12"/>
  <c r="F5978" i="12"/>
  <c r="F5977" i="12"/>
  <c r="F5976" i="12"/>
  <c r="F5975" i="12"/>
  <c r="F5974" i="12"/>
  <c r="F5973" i="12"/>
  <c r="F5972" i="12"/>
  <c r="F5971" i="12"/>
  <c r="F5970" i="12"/>
  <c r="F5969" i="12"/>
  <c r="F5968" i="12"/>
  <c r="F5967" i="12"/>
  <c r="F5966" i="12"/>
  <c r="F5965" i="12"/>
  <c r="F5964" i="12"/>
  <c r="F5963" i="12"/>
  <c r="F5962" i="12"/>
  <c r="F5961" i="12"/>
  <c r="F5960" i="12"/>
  <c r="F5959" i="12"/>
  <c r="F5958" i="12"/>
  <c r="F5957" i="12"/>
  <c r="F5956" i="12"/>
  <c r="F5955" i="12"/>
  <c r="F5954" i="12"/>
  <c r="F5953" i="12"/>
  <c r="F5952" i="12"/>
  <c r="F5951" i="12"/>
  <c r="F5950" i="12"/>
  <c r="F5949" i="12"/>
  <c r="F5948" i="12"/>
  <c r="F5947" i="12"/>
  <c r="F5946" i="12"/>
  <c r="F5945" i="12"/>
  <c r="F5944" i="12"/>
  <c r="F5943" i="12"/>
  <c r="F5942" i="12"/>
  <c r="F5941" i="12"/>
  <c r="F5940" i="12"/>
  <c r="F5939" i="12"/>
  <c r="F5938" i="12"/>
  <c r="F5937" i="12"/>
  <c r="F5936" i="12"/>
  <c r="F5935" i="12"/>
  <c r="F5934" i="12"/>
  <c r="F5933" i="12"/>
  <c r="F5932" i="12"/>
  <c r="F5931" i="12"/>
  <c r="F5930" i="12"/>
  <c r="F5929" i="12"/>
  <c r="F5928" i="12"/>
  <c r="F5927" i="12"/>
  <c r="F5926" i="12"/>
  <c r="F5925" i="12"/>
  <c r="F5924" i="12"/>
  <c r="F5923" i="12"/>
  <c r="F5922" i="12"/>
  <c r="F5921" i="12"/>
  <c r="F5920" i="12"/>
  <c r="F5919" i="12"/>
  <c r="F5918" i="12"/>
  <c r="F5917" i="12"/>
  <c r="F5916" i="12"/>
  <c r="F5915" i="12"/>
  <c r="F5914" i="12"/>
  <c r="F5913" i="12"/>
  <c r="F5912" i="12"/>
  <c r="F5911" i="12"/>
  <c r="F5910" i="12"/>
  <c r="F5909" i="12"/>
  <c r="F5908" i="12"/>
  <c r="F5907" i="12"/>
  <c r="F5906" i="12"/>
  <c r="F5905" i="12"/>
  <c r="F5904" i="12"/>
  <c r="F5903" i="12"/>
  <c r="F5902" i="12"/>
  <c r="F5901" i="12"/>
  <c r="F5900" i="12"/>
  <c r="F5899" i="12"/>
  <c r="F5898" i="12"/>
  <c r="F5897" i="12"/>
  <c r="F5896" i="12"/>
  <c r="F5895" i="12"/>
  <c r="F5894" i="12"/>
  <c r="F5893" i="12"/>
  <c r="F5892" i="12"/>
  <c r="F5891" i="12"/>
  <c r="F5890" i="12"/>
  <c r="F5889" i="12"/>
  <c r="F5888" i="12"/>
  <c r="F5887" i="12"/>
  <c r="F5886" i="12"/>
  <c r="F5885" i="12"/>
  <c r="F5884" i="12"/>
  <c r="F5883" i="12"/>
  <c r="F5882" i="12"/>
  <c r="F5881" i="12"/>
  <c r="F5880" i="12"/>
  <c r="F5879" i="12"/>
  <c r="F5878" i="12"/>
  <c r="F5877" i="12"/>
  <c r="F5876" i="12"/>
  <c r="F5875" i="12"/>
  <c r="F5874" i="12"/>
  <c r="F5873" i="12"/>
  <c r="F5872" i="12"/>
  <c r="F5871" i="12"/>
  <c r="F5870" i="12"/>
  <c r="F5869" i="12"/>
  <c r="F5868" i="12"/>
  <c r="F5867" i="12"/>
  <c r="F5866" i="12"/>
  <c r="F5865" i="12"/>
  <c r="F5864" i="12"/>
  <c r="F5863" i="12"/>
  <c r="F5862" i="12"/>
  <c r="F5861" i="12"/>
  <c r="F5860" i="12"/>
  <c r="F5859" i="12"/>
  <c r="F5858" i="12"/>
  <c r="F5857" i="12"/>
  <c r="F5856" i="12"/>
  <c r="F5855" i="12"/>
  <c r="F5854" i="12"/>
  <c r="F5853" i="12"/>
  <c r="F5852" i="12"/>
  <c r="F5851" i="12"/>
  <c r="F5850" i="12"/>
  <c r="F5849" i="12"/>
  <c r="F5848" i="12"/>
  <c r="F5847" i="12"/>
  <c r="F5846" i="12"/>
  <c r="F5845" i="12"/>
  <c r="F5844" i="12"/>
  <c r="F5843" i="12"/>
  <c r="F5842" i="12"/>
  <c r="F5841" i="12"/>
  <c r="F5840" i="12"/>
  <c r="F5839" i="12"/>
  <c r="F5838" i="12"/>
  <c r="F5837" i="12"/>
  <c r="F5836" i="12"/>
  <c r="F5835" i="12"/>
  <c r="F5834" i="12"/>
  <c r="F5833" i="12"/>
  <c r="F5832" i="12"/>
  <c r="F5831" i="12"/>
  <c r="F5830" i="12"/>
  <c r="F5829" i="12"/>
  <c r="F5828" i="12"/>
  <c r="F5827" i="12"/>
  <c r="F5826" i="12"/>
  <c r="F5825" i="12"/>
  <c r="F5824" i="12"/>
  <c r="F5823" i="12"/>
  <c r="F5822" i="12"/>
  <c r="F5821" i="12"/>
  <c r="F5820" i="12"/>
  <c r="F5819" i="12"/>
  <c r="F5818" i="12"/>
  <c r="F5817" i="12"/>
  <c r="F5816" i="12"/>
  <c r="F5815" i="12"/>
  <c r="F5814" i="12"/>
  <c r="F5813" i="12"/>
  <c r="F5812" i="12"/>
  <c r="F5811" i="12"/>
  <c r="F5810" i="12"/>
  <c r="F5809" i="12"/>
  <c r="F5808" i="12"/>
  <c r="F5807" i="12"/>
  <c r="F5806" i="12"/>
  <c r="F5805" i="12"/>
  <c r="F5804" i="12"/>
  <c r="F5803" i="12"/>
  <c r="F5802" i="12"/>
  <c r="F5801" i="12"/>
  <c r="F5800" i="12"/>
  <c r="F5799" i="12"/>
  <c r="F5798" i="12"/>
  <c r="F5797" i="12"/>
  <c r="F5796" i="12"/>
  <c r="F5795" i="12"/>
  <c r="F5794" i="12"/>
  <c r="F5793" i="12"/>
  <c r="F5792" i="12"/>
  <c r="F5791" i="12"/>
  <c r="F5790" i="12"/>
  <c r="F5789" i="12"/>
  <c r="F5788" i="12"/>
  <c r="F5787" i="12"/>
  <c r="F5786" i="12"/>
  <c r="F5785" i="12"/>
  <c r="F5784" i="12"/>
  <c r="F5783" i="12"/>
  <c r="F5782" i="12"/>
  <c r="F5781" i="12"/>
  <c r="F5780" i="12"/>
  <c r="F5779" i="12"/>
  <c r="F5778" i="12"/>
  <c r="F5777" i="12"/>
  <c r="F5776" i="12"/>
  <c r="F5775" i="12"/>
  <c r="F5774" i="12"/>
  <c r="F5773" i="12"/>
  <c r="F5772" i="12"/>
  <c r="F5771" i="12"/>
  <c r="F5770" i="12"/>
  <c r="F5769" i="12"/>
  <c r="F5768" i="12"/>
  <c r="F5767" i="12"/>
  <c r="F5766" i="12"/>
  <c r="F5765" i="12"/>
  <c r="F5764" i="12"/>
  <c r="F5763" i="12"/>
  <c r="F5762" i="12"/>
  <c r="F5761" i="12"/>
  <c r="F5760" i="12"/>
  <c r="F5759" i="12"/>
  <c r="F5758" i="12"/>
  <c r="F5757" i="12"/>
  <c r="F5756" i="12"/>
  <c r="F5755" i="12"/>
  <c r="F5754" i="12"/>
  <c r="F5753" i="12"/>
  <c r="F5752" i="12"/>
  <c r="F5751" i="12"/>
  <c r="F5750" i="12"/>
  <c r="F5749" i="12"/>
  <c r="F5748" i="12"/>
  <c r="F5747" i="12"/>
  <c r="F5746" i="12"/>
  <c r="F5745" i="12"/>
  <c r="F5744" i="12"/>
  <c r="F5743" i="12"/>
  <c r="F5742" i="12"/>
  <c r="F5741" i="12"/>
  <c r="F5740" i="12"/>
  <c r="F5739" i="12"/>
  <c r="F5738" i="12"/>
  <c r="F5737" i="12"/>
  <c r="F5736" i="12"/>
  <c r="F5735" i="12"/>
  <c r="F5734" i="12"/>
  <c r="F5733" i="12"/>
  <c r="F5732" i="12"/>
  <c r="F5731" i="12"/>
  <c r="F5730" i="12"/>
  <c r="F5729" i="12"/>
  <c r="F5728" i="12"/>
  <c r="F5727" i="12"/>
  <c r="F5726" i="12"/>
  <c r="F5725" i="12"/>
  <c r="F5724" i="12"/>
  <c r="F5723" i="12"/>
  <c r="F5722" i="12"/>
  <c r="F5721" i="12"/>
  <c r="F5720" i="12"/>
  <c r="F5719" i="12"/>
  <c r="F5718" i="12"/>
  <c r="F5717" i="12"/>
  <c r="F5716" i="12"/>
  <c r="F5715" i="12"/>
  <c r="F5714" i="12"/>
  <c r="F5713" i="12"/>
  <c r="F5712" i="12"/>
  <c r="F5711" i="12"/>
  <c r="F5710" i="12"/>
  <c r="F5709" i="12"/>
  <c r="F5708" i="12"/>
  <c r="F5707" i="12"/>
  <c r="F5706" i="12"/>
  <c r="F5705" i="12"/>
  <c r="F5704" i="12"/>
  <c r="F5703" i="12"/>
  <c r="F5702" i="12"/>
  <c r="F5701" i="12"/>
  <c r="F5700" i="12"/>
  <c r="F5699" i="12"/>
  <c r="F5698" i="12"/>
  <c r="F5697" i="12"/>
  <c r="F5696" i="12"/>
  <c r="F5695" i="12"/>
  <c r="F5694" i="12"/>
  <c r="F5693" i="12"/>
  <c r="F5692" i="12"/>
  <c r="F5691" i="12"/>
  <c r="F5690" i="12"/>
  <c r="F5689" i="12"/>
  <c r="F5688" i="12"/>
  <c r="F5687" i="12"/>
  <c r="F5686" i="12"/>
  <c r="F5685" i="12"/>
  <c r="F5684" i="12"/>
  <c r="F5683" i="12"/>
  <c r="F5682" i="12"/>
  <c r="F5681" i="12"/>
  <c r="F5680" i="12"/>
  <c r="F5679" i="12"/>
  <c r="F5678" i="12"/>
  <c r="F5677" i="12"/>
  <c r="F5676" i="12"/>
  <c r="F5675" i="12"/>
  <c r="F5674" i="12"/>
  <c r="F5673" i="12"/>
  <c r="F5672" i="12"/>
  <c r="F5671" i="12"/>
  <c r="F5670" i="12"/>
  <c r="F5669" i="12"/>
  <c r="F5668" i="12"/>
  <c r="F5667" i="12"/>
  <c r="F5666" i="12"/>
  <c r="F5665" i="12"/>
  <c r="F5664" i="12"/>
  <c r="F5663" i="12"/>
  <c r="F5662" i="12"/>
  <c r="F5661" i="12"/>
  <c r="F5660" i="12"/>
  <c r="F5659" i="12"/>
  <c r="F5658" i="12"/>
  <c r="F5657" i="12"/>
  <c r="F5656" i="12"/>
  <c r="F5655" i="12"/>
  <c r="F5654" i="12"/>
  <c r="F5653" i="12"/>
  <c r="F5652" i="12"/>
  <c r="F5651" i="12"/>
  <c r="F5650" i="12"/>
  <c r="F5649" i="12"/>
  <c r="F5648" i="12"/>
  <c r="F5647" i="12"/>
  <c r="F5646" i="12"/>
  <c r="F5645" i="12"/>
  <c r="F5644" i="12"/>
  <c r="F5643" i="12"/>
  <c r="F5642" i="12"/>
  <c r="F5641" i="12"/>
  <c r="F5640" i="12"/>
  <c r="F5639" i="12"/>
  <c r="F5638" i="12"/>
  <c r="F5637" i="12"/>
  <c r="F5636" i="12"/>
  <c r="F5635" i="12"/>
  <c r="F5634" i="12"/>
  <c r="F5633" i="12"/>
  <c r="F5632" i="12"/>
  <c r="F5631" i="12"/>
  <c r="F5630" i="12"/>
  <c r="F5629" i="12"/>
  <c r="F5628" i="12"/>
  <c r="F5627" i="12"/>
  <c r="F5626" i="12"/>
  <c r="F5625" i="12"/>
  <c r="F5624" i="12"/>
  <c r="F5623" i="12"/>
  <c r="F5622" i="12"/>
  <c r="F5621" i="12"/>
  <c r="F5620" i="12"/>
  <c r="F5619" i="12"/>
  <c r="F5618" i="12"/>
  <c r="F5617" i="12"/>
  <c r="F5616" i="12"/>
  <c r="F5615" i="12"/>
  <c r="F5614" i="12"/>
  <c r="F5613" i="12"/>
  <c r="F5612" i="12"/>
  <c r="F5611" i="12"/>
  <c r="F5610" i="12"/>
  <c r="F5609" i="12"/>
  <c r="F5608" i="12"/>
  <c r="F5607" i="12"/>
  <c r="F5606" i="12"/>
  <c r="F5605" i="12"/>
  <c r="F5604" i="12"/>
  <c r="F5603" i="12"/>
  <c r="F5602" i="12"/>
  <c r="F5601" i="12"/>
  <c r="F5600" i="12"/>
  <c r="F5599" i="12"/>
  <c r="F5598" i="12"/>
  <c r="F5597" i="12"/>
  <c r="F5596" i="12"/>
  <c r="F5595" i="12"/>
  <c r="F5594" i="12"/>
  <c r="F5593" i="12"/>
  <c r="F5592" i="12"/>
  <c r="F5591" i="12"/>
  <c r="F5590" i="12"/>
  <c r="F5589" i="12"/>
  <c r="F5588" i="12"/>
  <c r="F5587" i="12"/>
  <c r="F5586" i="12"/>
  <c r="F5585" i="12"/>
  <c r="F5584" i="12"/>
  <c r="F5583" i="12"/>
  <c r="F5582" i="12"/>
  <c r="F5581" i="12"/>
  <c r="F5580" i="12"/>
  <c r="F5579" i="12"/>
  <c r="F5578" i="12"/>
  <c r="F5577" i="12"/>
  <c r="F5576" i="12"/>
  <c r="F5575" i="12"/>
  <c r="F5574" i="12"/>
  <c r="F5573" i="12"/>
  <c r="F5572" i="12"/>
  <c r="F5571" i="12"/>
  <c r="F5570" i="12"/>
  <c r="F5569" i="12"/>
  <c r="F5568" i="12"/>
  <c r="F5567" i="12"/>
  <c r="F5566" i="12"/>
  <c r="F5565" i="12"/>
  <c r="F5564" i="12"/>
  <c r="F5563" i="12"/>
  <c r="F5562" i="12"/>
  <c r="F5561" i="12"/>
  <c r="F5560" i="12"/>
  <c r="F5559" i="12"/>
  <c r="F5558" i="12"/>
  <c r="F5557" i="12"/>
  <c r="F5556" i="12"/>
  <c r="F5555" i="12"/>
  <c r="F5554" i="12"/>
  <c r="F5553" i="12"/>
  <c r="F5552" i="12"/>
  <c r="F5551" i="12"/>
  <c r="F5550" i="12"/>
  <c r="F5549" i="12"/>
  <c r="F5548" i="12"/>
  <c r="F5547" i="12"/>
  <c r="F5546" i="12"/>
  <c r="F5545" i="12"/>
  <c r="F5544" i="12"/>
  <c r="F5543" i="12"/>
  <c r="F5542" i="12"/>
  <c r="F5541" i="12"/>
  <c r="F5540" i="12"/>
  <c r="F5539" i="12"/>
  <c r="F5538" i="12"/>
  <c r="F5537" i="12"/>
  <c r="F5536" i="12"/>
  <c r="F5535" i="12"/>
  <c r="F5534" i="12"/>
  <c r="F5533" i="12"/>
  <c r="F5532" i="12"/>
  <c r="F5531" i="12"/>
  <c r="F5530" i="12"/>
  <c r="F5529" i="12"/>
  <c r="F5528" i="12"/>
  <c r="F5527" i="12"/>
  <c r="F5526" i="12"/>
  <c r="F5525" i="12"/>
  <c r="F5524" i="12"/>
  <c r="F5523" i="12"/>
  <c r="F5522" i="12"/>
  <c r="F5521" i="12"/>
  <c r="F5520" i="12"/>
  <c r="F5519" i="12"/>
  <c r="F5518" i="12"/>
  <c r="F5517" i="12"/>
  <c r="F5516" i="12"/>
  <c r="F5515" i="12"/>
  <c r="F5514" i="12"/>
  <c r="F5513" i="12"/>
  <c r="F5512" i="12"/>
  <c r="F5511" i="12"/>
  <c r="F5510" i="12"/>
  <c r="F5509" i="12"/>
  <c r="F5508" i="12"/>
  <c r="F5507" i="12"/>
  <c r="F5506" i="12"/>
  <c r="F5505" i="12"/>
  <c r="F5504" i="12"/>
  <c r="F5503" i="12"/>
  <c r="F5502" i="12"/>
  <c r="F5501" i="12"/>
  <c r="F5500" i="12"/>
  <c r="F5499" i="12"/>
  <c r="F5498" i="12"/>
  <c r="F5497" i="12"/>
  <c r="F5496" i="12"/>
  <c r="F5495" i="12"/>
  <c r="F5494" i="12"/>
  <c r="F5493" i="12"/>
  <c r="F5492" i="12"/>
  <c r="F5491" i="12"/>
  <c r="F5490" i="12"/>
  <c r="F5489" i="12"/>
  <c r="F5488" i="12"/>
  <c r="F5487" i="12"/>
  <c r="F5486" i="12"/>
  <c r="F5485" i="12"/>
  <c r="F5484" i="12"/>
  <c r="F5483" i="12"/>
  <c r="F5482" i="12"/>
  <c r="F5481" i="12"/>
  <c r="F5480" i="12"/>
  <c r="F5479" i="12"/>
  <c r="F5478" i="12"/>
  <c r="F5477" i="12"/>
  <c r="F5476" i="12"/>
  <c r="F5475" i="12"/>
  <c r="F5474" i="12"/>
  <c r="F5473" i="12"/>
  <c r="F5472" i="12"/>
  <c r="F5471" i="12"/>
  <c r="F5470" i="12"/>
  <c r="F5469" i="12"/>
  <c r="F5468" i="12"/>
  <c r="F5467" i="12"/>
  <c r="F5466" i="12"/>
  <c r="F5465" i="12"/>
  <c r="F5464" i="12"/>
  <c r="F5463" i="12"/>
  <c r="F5462" i="12"/>
  <c r="F5461" i="12"/>
  <c r="F5460" i="12"/>
  <c r="F5459" i="12"/>
  <c r="F5458" i="12"/>
  <c r="F5457" i="12"/>
  <c r="F5456" i="12"/>
  <c r="F5455" i="12"/>
  <c r="F5454" i="12"/>
  <c r="F5453" i="12"/>
  <c r="F5452" i="12"/>
  <c r="F5451" i="12"/>
  <c r="F5450" i="12"/>
  <c r="F5449" i="12"/>
  <c r="F5448" i="12"/>
  <c r="F5447" i="12"/>
  <c r="F5446" i="12"/>
  <c r="F5445" i="12"/>
  <c r="F5444" i="12"/>
  <c r="F5443" i="12"/>
  <c r="F5442" i="12"/>
  <c r="F5441" i="12"/>
  <c r="F5440" i="12"/>
  <c r="F5439" i="12"/>
  <c r="F5438" i="12"/>
  <c r="F5437" i="12"/>
  <c r="F5436" i="12"/>
  <c r="F5435" i="12"/>
  <c r="F5434" i="12"/>
  <c r="F5433" i="12"/>
  <c r="F5432" i="12"/>
  <c r="F5431" i="12"/>
  <c r="F5430" i="12"/>
  <c r="F5429" i="12"/>
  <c r="F5428" i="12"/>
  <c r="F5427" i="12"/>
  <c r="F5426" i="12"/>
  <c r="F5425" i="12"/>
  <c r="F5424" i="12"/>
  <c r="F5423" i="12"/>
  <c r="F5422" i="12"/>
  <c r="F5421" i="12"/>
  <c r="F5420" i="12"/>
  <c r="F5419" i="12"/>
  <c r="F5418" i="12"/>
  <c r="F5417" i="12"/>
  <c r="F5416" i="12"/>
  <c r="F5415" i="12"/>
  <c r="F5414" i="12"/>
  <c r="F5413" i="12"/>
  <c r="F5412" i="12"/>
  <c r="F5411" i="12"/>
  <c r="F5410" i="12"/>
  <c r="F5409" i="12"/>
  <c r="F5408" i="12"/>
  <c r="F5407" i="12"/>
  <c r="F5406" i="12"/>
  <c r="F5405" i="12"/>
  <c r="F5404" i="12"/>
  <c r="F5403" i="12"/>
  <c r="F5402" i="12"/>
  <c r="F5401" i="12"/>
  <c r="F5400" i="12"/>
  <c r="F5399" i="12"/>
  <c r="F5398" i="12"/>
  <c r="F5397" i="12"/>
  <c r="F5396" i="12"/>
  <c r="F5395" i="12"/>
  <c r="F5394" i="12"/>
  <c r="F5393" i="12"/>
  <c r="F5392" i="12"/>
  <c r="F5391" i="12"/>
  <c r="F5390" i="12"/>
  <c r="F5389" i="12"/>
  <c r="F5388" i="12"/>
  <c r="F5387" i="12"/>
  <c r="F5386" i="12"/>
  <c r="F5385" i="12"/>
  <c r="F5384" i="12"/>
  <c r="F5383" i="12"/>
  <c r="F5382" i="12"/>
  <c r="F5381" i="12"/>
  <c r="F5380" i="12"/>
  <c r="F5379" i="12"/>
  <c r="F5378" i="12"/>
  <c r="F5377" i="12"/>
  <c r="F5376" i="12"/>
  <c r="F5375" i="12"/>
  <c r="F5374" i="12"/>
  <c r="F5373" i="12"/>
  <c r="F5372" i="12"/>
  <c r="F5371" i="12"/>
  <c r="F5370" i="12"/>
  <c r="F5369" i="12"/>
  <c r="F5368" i="12"/>
  <c r="F5367" i="12"/>
  <c r="F5366" i="12"/>
  <c r="F5365" i="12"/>
  <c r="F5364" i="12"/>
  <c r="F5363" i="12"/>
  <c r="F5362" i="12"/>
  <c r="F5361" i="12"/>
  <c r="F5360" i="12"/>
  <c r="F5359" i="12"/>
  <c r="F5358" i="12"/>
  <c r="F5357" i="12"/>
  <c r="F5356" i="12"/>
  <c r="F5355" i="12"/>
  <c r="F5354" i="12"/>
  <c r="F5353" i="12"/>
  <c r="F5352" i="12"/>
  <c r="F5351" i="12"/>
  <c r="F5350" i="12"/>
  <c r="F5349" i="12"/>
  <c r="F5348" i="12"/>
  <c r="F5347" i="12"/>
  <c r="F5346" i="12"/>
  <c r="F5345" i="12"/>
  <c r="F5344" i="12"/>
  <c r="F5343" i="12"/>
  <c r="F5342" i="12"/>
  <c r="F5341" i="12"/>
  <c r="F5340" i="12"/>
  <c r="F5339" i="12"/>
  <c r="F5338" i="12"/>
  <c r="F5337" i="12"/>
  <c r="F5336" i="12"/>
  <c r="F5335" i="12"/>
  <c r="F5334" i="12"/>
  <c r="F5333" i="12"/>
  <c r="F5332" i="12"/>
  <c r="F5331" i="12"/>
  <c r="F5330" i="12"/>
  <c r="F5329" i="12"/>
  <c r="F5328" i="12"/>
  <c r="F5327" i="12"/>
  <c r="F5326" i="12"/>
  <c r="F5325" i="12"/>
  <c r="F5324" i="12"/>
  <c r="F5323" i="12"/>
  <c r="F5322" i="12"/>
  <c r="F5321" i="12"/>
  <c r="F5320" i="12"/>
  <c r="F5319" i="12"/>
  <c r="F5318" i="12"/>
  <c r="F5317" i="12"/>
  <c r="F5316" i="12"/>
  <c r="F5315" i="12"/>
  <c r="F5314" i="12"/>
  <c r="F5313" i="12"/>
  <c r="F5312" i="12"/>
  <c r="F5311" i="12"/>
  <c r="F5310" i="12"/>
  <c r="F5309" i="12"/>
  <c r="F5308" i="12"/>
  <c r="F5307" i="12"/>
  <c r="F5306" i="12"/>
  <c r="F5305" i="12"/>
  <c r="F5304" i="12"/>
  <c r="F5303" i="12"/>
  <c r="F5302" i="12"/>
  <c r="F5301" i="12"/>
  <c r="F5300" i="12"/>
  <c r="F5299" i="12"/>
  <c r="F5298" i="12"/>
  <c r="F5297" i="12"/>
  <c r="F5296" i="12"/>
  <c r="F5295" i="12"/>
  <c r="F5294" i="12"/>
  <c r="F5293" i="12"/>
  <c r="F5292" i="12"/>
  <c r="F5291" i="12"/>
  <c r="F5290" i="12"/>
  <c r="F5289" i="12"/>
  <c r="F5288" i="12"/>
  <c r="F5287" i="12"/>
  <c r="F5286" i="12"/>
  <c r="F5285" i="12"/>
  <c r="F5284" i="12"/>
  <c r="F5283" i="12"/>
  <c r="F5282" i="12"/>
  <c r="F5281" i="12"/>
  <c r="F5280" i="12"/>
  <c r="F5279" i="12"/>
  <c r="F5278" i="12"/>
  <c r="F5277" i="12"/>
  <c r="F5276" i="12"/>
  <c r="F5275" i="12"/>
  <c r="F5274" i="12"/>
  <c r="F5273" i="12"/>
  <c r="F5272" i="12"/>
  <c r="F5271" i="12"/>
  <c r="F5270" i="12"/>
  <c r="F5269" i="12"/>
  <c r="F5268" i="12"/>
  <c r="F5267" i="12"/>
  <c r="F5266" i="12"/>
  <c r="F5265" i="12"/>
  <c r="F5264" i="12"/>
  <c r="F5263" i="12"/>
  <c r="F5262" i="12"/>
  <c r="F5261" i="12"/>
  <c r="F5260" i="12"/>
  <c r="F5259" i="12"/>
  <c r="F5258" i="12"/>
  <c r="F5257" i="12"/>
  <c r="F5256" i="12"/>
  <c r="F5255" i="12"/>
  <c r="F5254" i="12"/>
  <c r="F5253" i="12"/>
  <c r="F5252" i="12"/>
  <c r="F5251" i="12"/>
  <c r="F5250" i="12"/>
  <c r="F5249" i="12"/>
  <c r="F5248" i="12"/>
  <c r="F5247" i="12"/>
  <c r="F5246" i="12"/>
  <c r="F5245" i="12"/>
  <c r="F5244" i="12"/>
  <c r="F5243" i="12"/>
  <c r="F5242" i="12"/>
  <c r="F5241" i="12"/>
  <c r="F5240" i="12"/>
  <c r="F5239" i="12"/>
  <c r="F5238" i="12"/>
  <c r="F5237" i="12"/>
  <c r="F5236" i="12"/>
  <c r="F5235" i="12"/>
  <c r="F5234" i="12"/>
  <c r="F5233" i="12"/>
  <c r="F5232" i="12"/>
  <c r="F5231" i="12"/>
  <c r="F5230" i="12"/>
  <c r="F5229" i="12"/>
  <c r="F5228" i="12"/>
  <c r="F5227" i="12"/>
  <c r="F5226" i="12"/>
  <c r="F5225" i="12"/>
  <c r="F5224" i="12"/>
  <c r="F5223" i="12"/>
  <c r="F5222" i="12"/>
  <c r="F5221" i="12"/>
  <c r="F5220" i="12"/>
  <c r="F5219" i="12"/>
  <c r="F5218" i="12"/>
  <c r="F5217" i="12"/>
  <c r="F5216" i="12"/>
  <c r="F5215" i="12"/>
  <c r="F5214" i="12"/>
  <c r="F5213" i="12"/>
  <c r="F5212" i="12"/>
  <c r="F5211" i="12"/>
  <c r="F5210" i="12"/>
  <c r="F5209" i="12"/>
  <c r="F5208" i="12"/>
  <c r="F5207" i="12"/>
  <c r="F5206" i="12"/>
  <c r="F5205" i="12"/>
  <c r="F5204" i="12"/>
  <c r="F5203" i="12"/>
  <c r="F5202" i="12"/>
  <c r="F5201" i="12"/>
  <c r="F5200" i="12"/>
  <c r="F5199" i="12"/>
  <c r="F5198" i="12"/>
  <c r="F5197" i="12"/>
  <c r="F5196" i="12"/>
  <c r="F5195" i="12"/>
  <c r="F5194" i="12"/>
  <c r="F5193" i="12"/>
  <c r="F5192" i="12"/>
  <c r="F5191" i="12"/>
  <c r="F5190" i="12"/>
  <c r="F5189" i="12"/>
  <c r="F5188" i="12"/>
  <c r="F5187" i="12"/>
  <c r="F5186" i="12"/>
  <c r="F5185" i="12"/>
  <c r="F5184" i="12"/>
  <c r="F5183" i="12"/>
  <c r="F5182" i="12"/>
  <c r="F5181" i="12"/>
  <c r="F5180" i="12"/>
  <c r="F5179" i="12"/>
  <c r="F5178" i="12"/>
  <c r="F5177" i="12"/>
  <c r="F5176" i="12"/>
  <c r="F5175" i="12"/>
  <c r="F5174" i="12"/>
  <c r="F5173" i="12"/>
  <c r="F5172" i="12"/>
  <c r="F5171" i="12"/>
  <c r="F5170" i="12"/>
  <c r="F5169" i="12"/>
  <c r="F5168" i="12"/>
  <c r="F5167" i="12"/>
  <c r="F5166" i="12"/>
  <c r="F5165" i="12"/>
  <c r="F5164" i="12"/>
  <c r="F5163" i="12"/>
  <c r="F5162" i="12"/>
  <c r="F5161" i="12"/>
  <c r="F5160" i="12"/>
  <c r="F5159" i="12"/>
  <c r="F5158" i="12"/>
  <c r="F5157" i="12"/>
  <c r="F5156" i="12"/>
  <c r="F5155" i="12"/>
  <c r="F5154" i="12"/>
  <c r="F5153" i="12"/>
  <c r="F5152" i="12"/>
  <c r="F5151" i="12"/>
  <c r="F5150" i="12"/>
  <c r="F5149" i="12"/>
  <c r="F5148" i="12"/>
  <c r="F5147" i="12"/>
  <c r="F5146" i="12"/>
  <c r="F5145" i="12"/>
  <c r="F5144" i="12"/>
  <c r="F5143" i="12"/>
  <c r="F5142" i="12"/>
  <c r="F5141" i="12"/>
  <c r="F5140" i="12"/>
  <c r="F5139" i="12"/>
  <c r="F5138" i="12"/>
  <c r="F5137" i="12"/>
  <c r="F5136" i="12"/>
  <c r="F5135" i="12"/>
  <c r="F5134" i="12"/>
  <c r="F5133" i="12"/>
  <c r="F5132" i="12"/>
  <c r="F5131" i="12"/>
  <c r="F5130" i="12"/>
  <c r="F5129" i="12"/>
  <c r="F5128" i="12"/>
  <c r="F5127" i="12"/>
  <c r="F5126" i="12"/>
  <c r="F5125" i="12"/>
  <c r="F5124" i="12"/>
  <c r="F5123" i="12"/>
  <c r="F5122" i="12"/>
  <c r="F5121" i="12"/>
  <c r="F5120" i="12"/>
  <c r="F5119" i="12"/>
  <c r="F5118" i="12"/>
  <c r="F5117" i="12"/>
  <c r="F5116" i="12"/>
  <c r="F5115" i="12"/>
  <c r="F5114" i="12"/>
  <c r="F5113" i="12"/>
  <c r="F5112" i="12"/>
  <c r="F5111" i="12"/>
  <c r="F5110" i="12"/>
  <c r="F5109" i="12"/>
  <c r="F5108" i="12"/>
  <c r="F5107" i="12"/>
  <c r="F5106" i="12"/>
  <c r="F5105" i="12"/>
  <c r="F5104" i="12"/>
  <c r="F5103" i="12"/>
  <c r="F5102" i="12"/>
  <c r="F5101" i="12"/>
  <c r="F5100" i="12"/>
  <c r="F5099" i="12"/>
  <c r="F5098" i="12"/>
  <c r="F5097" i="12"/>
  <c r="F5096" i="12"/>
  <c r="F5095" i="12"/>
  <c r="F5094" i="12"/>
  <c r="F5093" i="12"/>
  <c r="F5092" i="12"/>
  <c r="F5091" i="12"/>
  <c r="F5090" i="12"/>
  <c r="F5089" i="12"/>
  <c r="F5088" i="12"/>
  <c r="F5087" i="12"/>
  <c r="F5086" i="12"/>
  <c r="F5085" i="12"/>
  <c r="F5084" i="12"/>
  <c r="F5083" i="12"/>
  <c r="F5082" i="12"/>
  <c r="F5081" i="12"/>
  <c r="F5080" i="12"/>
  <c r="F5079" i="12"/>
  <c r="F5078" i="12"/>
  <c r="F5077" i="12"/>
  <c r="F5076" i="12"/>
  <c r="F5075" i="12"/>
  <c r="F5074" i="12"/>
  <c r="F5073" i="12"/>
  <c r="F5072" i="12"/>
  <c r="F5071" i="12"/>
  <c r="F5070" i="12"/>
  <c r="F5069" i="12"/>
  <c r="F5068" i="12"/>
  <c r="F5067" i="12"/>
  <c r="F5066" i="12"/>
  <c r="F5065" i="12"/>
  <c r="F5064" i="12"/>
  <c r="F5063" i="12"/>
  <c r="F5062" i="12"/>
  <c r="F5061" i="12"/>
  <c r="F5060" i="12"/>
  <c r="F5059" i="12"/>
  <c r="F5058" i="12"/>
  <c r="F5057" i="12"/>
  <c r="F5056" i="12"/>
  <c r="F5055" i="12"/>
  <c r="F5054" i="12"/>
  <c r="F5053" i="12"/>
  <c r="F5052" i="12"/>
  <c r="F5051" i="12"/>
  <c r="F5050" i="12"/>
  <c r="F5049" i="12"/>
  <c r="F5048" i="12"/>
  <c r="F5047" i="12"/>
  <c r="F5046" i="12"/>
  <c r="F5045" i="12"/>
  <c r="F5044" i="12"/>
  <c r="F5043" i="12"/>
  <c r="F5042" i="12"/>
  <c r="F5041" i="12"/>
  <c r="F5040" i="12"/>
  <c r="F5039" i="12"/>
  <c r="F5038" i="12"/>
  <c r="F5037" i="12"/>
  <c r="F5036" i="12"/>
  <c r="F5035" i="12"/>
  <c r="F5034" i="12"/>
  <c r="F5033" i="12"/>
  <c r="F5032" i="12"/>
  <c r="F5031" i="12"/>
  <c r="F5030" i="12"/>
  <c r="F5029" i="12"/>
  <c r="F5028" i="12"/>
  <c r="F5027" i="12"/>
  <c r="F5026" i="12"/>
  <c r="F5025" i="12"/>
  <c r="F5024" i="12"/>
  <c r="F5023" i="12"/>
  <c r="F5022" i="12"/>
  <c r="F5021" i="12"/>
  <c r="F5020" i="12"/>
  <c r="F5019" i="12"/>
  <c r="F5018" i="12"/>
  <c r="F5017" i="12"/>
  <c r="F5016" i="12"/>
  <c r="F5015" i="12"/>
  <c r="F5014" i="12"/>
  <c r="F5013" i="12"/>
  <c r="F5012" i="12"/>
  <c r="F5011" i="12"/>
  <c r="F5010" i="12"/>
  <c r="F5009" i="12"/>
  <c r="F5008" i="12"/>
  <c r="F5007" i="12"/>
  <c r="F5006" i="12"/>
  <c r="F5005" i="12"/>
  <c r="F5004" i="12"/>
  <c r="F5003" i="12"/>
  <c r="F5002" i="12"/>
  <c r="F5001" i="12"/>
  <c r="F5000" i="12"/>
  <c r="F4999" i="12"/>
  <c r="F4998" i="12"/>
  <c r="F4997" i="12"/>
  <c r="F4996" i="12"/>
  <c r="F4995" i="12"/>
  <c r="F4994" i="12"/>
  <c r="F4993" i="12"/>
  <c r="F4992" i="12"/>
  <c r="F4991" i="12"/>
  <c r="F4990" i="12"/>
  <c r="F4989" i="12"/>
  <c r="F4988" i="12"/>
  <c r="F4987" i="12"/>
  <c r="F4986" i="12"/>
  <c r="F4985" i="12"/>
  <c r="F4984" i="12"/>
  <c r="F4983" i="12"/>
  <c r="F4982" i="12"/>
  <c r="F4981" i="12"/>
  <c r="F4980" i="12"/>
  <c r="F4979" i="12"/>
  <c r="F4978" i="12"/>
  <c r="F4977" i="12"/>
  <c r="F4976" i="12"/>
  <c r="F4975" i="12"/>
  <c r="F4974" i="12"/>
  <c r="F4973" i="12"/>
  <c r="F4972" i="12"/>
  <c r="F4971" i="12"/>
  <c r="F4970" i="12"/>
  <c r="F4969" i="12"/>
  <c r="F4968" i="12"/>
  <c r="F4967" i="12"/>
  <c r="F4966" i="12"/>
  <c r="F4965" i="12"/>
  <c r="F4964" i="12"/>
  <c r="F4963" i="12"/>
  <c r="F4962" i="12"/>
  <c r="F4961" i="12"/>
  <c r="F4960" i="12"/>
  <c r="F4959" i="12"/>
  <c r="F4958" i="12"/>
  <c r="F4957" i="12"/>
  <c r="F4956" i="12"/>
  <c r="F4955" i="12"/>
  <c r="F4954" i="12"/>
  <c r="F4953" i="12"/>
  <c r="F4952" i="12"/>
  <c r="F4951" i="12"/>
  <c r="F4950" i="12"/>
  <c r="F4949" i="12"/>
  <c r="F4948" i="12"/>
  <c r="F4947" i="12"/>
  <c r="F4946" i="12"/>
  <c r="F4945" i="12"/>
  <c r="F4944" i="12"/>
  <c r="F4943" i="12"/>
  <c r="F4942" i="12"/>
  <c r="F4941" i="12"/>
  <c r="F4940" i="12"/>
  <c r="F4939" i="12"/>
  <c r="F4938" i="12"/>
  <c r="F4937" i="12"/>
  <c r="F4936" i="12"/>
  <c r="F4935" i="12"/>
  <c r="F4934" i="12"/>
  <c r="F4933" i="12"/>
  <c r="F4932" i="12"/>
  <c r="F4931" i="12"/>
  <c r="F4930" i="12"/>
  <c r="F4929" i="12"/>
  <c r="F4928" i="12"/>
  <c r="F4927" i="12"/>
  <c r="F4926" i="12"/>
  <c r="F4925" i="12"/>
  <c r="F4924" i="12"/>
  <c r="F4923" i="12"/>
  <c r="F4922" i="12"/>
  <c r="F4921" i="12"/>
  <c r="F4920" i="12"/>
  <c r="F4919" i="12"/>
  <c r="F4918" i="12"/>
  <c r="F4917" i="12"/>
  <c r="F4916" i="12"/>
  <c r="F4915" i="12"/>
  <c r="F4914" i="12"/>
  <c r="F4913" i="12"/>
  <c r="F4912" i="12"/>
  <c r="F4911" i="12"/>
  <c r="F4910" i="12"/>
  <c r="F4909" i="12"/>
  <c r="F4908" i="12"/>
  <c r="F4907" i="12"/>
  <c r="F4906" i="12"/>
  <c r="F4905" i="12"/>
  <c r="F4904" i="12"/>
  <c r="F4903" i="12"/>
  <c r="F4902" i="12"/>
  <c r="F4901" i="12"/>
  <c r="F4900" i="12"/>
  <c r="F4899" i="12"/>
  <c r="F4898" i="12"/>
  <c r="F4897" i="12"/>
  <c r="F4896" i="12"/>
  <c r="F4895" i="12"/>
  <c r="F4894" i="12"/>
  <c r="F4893" i="12"/>
  <c r="F4892" i="12"/>
  <c r="F4891" i="12"/>
  <c r="F4890" i="12"/>
  <c r="F4889" i="12"/>
  <c r="F4888" i="12"/>
  <c r="F4887" i="12"/>
  <c r="F4886" i="12"/>
  <c r="F4885" i="12"/>
  <c r="F4884" i="12"/>
  <c r="F4883" i="12"/>
  <c r="F4882" i="12"/>
  <c r="F4881" i="12"/>
  <c r="F4880" i="12"/>
  <c r="F4879" i="12"/>
  <c r="F4878" i="12"/>
  <c r="F4877" i="12"/>
  <c r="F4876" i="12"/>
  <c r="F4875" i="12"/>
  <c r="F4874" i="12"/>
  <c r="F4873" i="12"/>
  <c r="F4872" i="12"/>
  <c r="F4871" i="12"/>
  <c r="F4870" i="12"/>
  <c r="F4869" i="12"/>
  <c r="F4868" i="12"/>
  <c r="F4867" i="12"/>
  <c r="F4866" i="12"/>
  <c r="F4865" i="12"/>
  <c r="F4864" i="12"/>
  <c r="F4863" i="12"/>
  <c r="F4862" i="12"/>
  <c r="F4861" i="12"/>
  <c r="F4860" i="12"/>
  <c r="F4859" i="12"/>
  <c r="F4858" i="12"/>
  <c r="F4857" i="12"/>
  <c r="F4856" i="12"/>
  <c r="F4855" i="12"/>
  <c r="F4854" i="12"/>
  <c r="F4853" i="12"/>
  <c r="F4852" i="12"/>
  <c r="F4851" i="12"/>
  <c r="F4850" i="12"/>
  <c r="F4849" i="12"/>
  <c r="F4848" i="12"/>
  <c r="F4847" i="12"/>
  <c r="F4846" i="12"/>
  <c r="F4845" i="12"/>
  <c r="F4844" i="12"/>
  <c r="F4843" i="12"/>
  <c r="F4842" i="12"/>
  <c r="F4841" i="12"/>
  <c r="F4840" i="12"/>
  <c r="F4839" i="12"/>
  <c r="F4838" i="12"/>
  <c r="F4837" i="12"/>
  <c r="F4836" i="12"/>
  <c r="F4835" i="12"/>
  <c r="F4834" i="12"/>
  <c r="F4833" i="12"/>
  <c r="F4832" i="12"/>
  <c r="F4831" i="12"/>
  <c r="F4830" i="12"/>
  <c r="F4829" i="12"/>
  <c r="F4828" i="12"/>
  <c r="F4827" i="12"/>
  <c r="F4826" i="12"/>
  <c r="F4825" i="12"/>
  <c r="F4824" i="12"/>
  <c r="F4823" i="12"/>
  <c r="F4822" i="12"/>
  <c r="F4821" i="12"/>
  <c r="F4820" i="12"/>
  <c r="F4819" i="12"/>
  <c r="F4818" i="12"/>
  <c r="F4817" i="12"/>
  <c r="F4816" i="12"/>
  <c r="F4815" i="12"/>
  <c r="F4814" i="12"/>
  <c r="F4813" i="12"/>
  <c r="F4812" i="12"/>
  <c r="F4811" i="12"/>
  <c r="F4810" i="12"/>
  <c r="F4809" i="12"/>
  <c r="F4808" i="12"/>
  <c r="F4807" i="12"/>
  <c r="F4806" i="12"/>
  <c r="F4805" i="12"/>
  <c r="F4804" i="12"/>
  <c r="F4803" i="12"/>
  <c r="F4802" i="12"/>
  <c r="F4801" i="12"/>
  <c r="F4800" i="12"/>
  <c r="F4799" i="12"/>
  <c r="F4798" i="12"/>
  <c r="F4797" i="12"/>
  <c r="F4796" i="12"/>
  <c r="F4795" i="12"/>
  <c r="F4794" i="12"/>
  <c r="F4793" i="12"/>
  <c r="F4792" i="12"/>
  <c r="F4791" i="12"/>
  <c r="F4790" i="12"/>
  <c r="F4789" i="12"/>
  <c r="F4788" i="12"/>
  <c r="F4787" i="12"/>
  <c r="F4786" i="12"/>
  <c r="F4785" i="12"/>
  <c r="F4784" i="12"/>
  <c r="F4783" i="12"/>
  <c r="F4782" i="12"/>
  <c r="F4781" i="12"/>
  <c r="F4780" i="12"/>
  <c r="F4779" i="12"/>
  <c r="F4778" i="12"/>
  <c r="F4777" i="12"/>
  <c r="F4776" i="12"/>
  <c r="F4775" i="12"/>
  <c r="F4774" i="12"/>
  <c r="F4773" i="12"/>
  <c r="F4772" i="12"/>
  <c r="F4771" i="12"/>
  <c r="F4770" i="12"/>
  <c r="F4769" i="12"/>
  <c r="F4768" i="12"/>
  <c r="F4767" i="12"/>
  <c r="F4766" i="12"/>
  <c r="F4765" i="12"/>
  <c r="F4764" i="12"/>
  <c r="F4763" i="12"/>
  <c r="F4762" i="12"/>
  <c r="F4761" i="12"/>
  <c r="F4760" i="12"/>
  <c r="F4759" i="12"/>
  <c r="F4758" i="12"/>
  <c r="F4757" i="12"/>
  <c r="F4756" i="12"/>
  <c r="F4755" i="12"/>
  <c r="F4754" i="12"/>
  <c r="F4753" i="12"/>
  <c r="F4752" i="12"/>
  <c r="F4751" i="12"/>
  <c r="F4750" i="12"/>
  <c r="F4749" i="12"/>
  <c r="F4748" i="12"/>
  <c r="F4747" i="12"/>
  <c r="F4746" i="12"/>
  <c r="F4745" i="12"/>
  <c r="F4744" i="12"/>
  <c r="F4743" i="12"/>
  <c r="F4742" i="12"/>
  <c r="F4741" i="12"/>
  <c r="F4740" i="12"/>
  <c r="F4739" i="12"/>
  <c r="F4738" i="12"/>
  <c r="F4737" i="12"/>
  <c r="F4736" i="12"/>
  <c r="F4735" i="12"/>
  <c r="F4734" i="12"/>
  <c r="F4733" i="12"/>
  <c r="F4732" i="12"/>
  <c r="F4731" i="12"/>
  <c r="F4730" i="12"/>
  <c r="F4729" i="12"/>
  <c r="F4728" i="12"/>
  <c r="F4727" i="12"/>
  <c r="F4726" i="12"/>
  <c r="F4725" i="12"/>
  <c r="F4724" i="12"/>
  <c r="F4723" i="12"/>
  <c r="F4722" i="12"/>
  <c r="F4721" i="12"/>
  <c r="F4720" i="12"/>
  <c r="F4719" i="12"/>
  <c r="F4718" i="12"/>
  <c r="F4717" i="12"/>
  <c r="F4716" i="12"/>
  <c r="F4715" i="12"/>
  <c r="F4714" i="12"/>
  <c r="F4713" i="12"/>
  <c r="F4712" i="12"/>
  <c r="F4711" i="12"/>
  <c r="F4710" i="12"/>
  <c r="F4709" i="12"/>
  <c r="F4708" i="12"/>
  <c r="F4707" i="12"/>
  <c r="F4706" i="12"/>
  <c r="F4705" i="12"/>
  <c r="F4704" i="12"/>
  <c r="F4703" i="12"/>
  <c r="F4702" i="12"/>
  <c r="F4701" i="12"/>
  <c r="F4700" i="12"/>
  <c r="F4699" i="12"/>
  <c r="F4698" i="12"/>
  <c r="F4697" i="12"/>
  <c r="F4696" i="12"/>
  <c r="F4695" i="12"/>
  <c r="F4694" i="12"/>
  <c r="F4693" i="12"/>
  <c r="F4692" i="12"/>
  <c r="F4691" i="12"/>
  <c r="F4690" i="12"/>
  <c r="F4689" i="12"/>
  <c r="F4688" i="12"/>
  <c r="F4687" i="12"/>
  <c r="F4686" i="12"/>
  <c r="F4685" i="12"/>
  <c r="F4684" i="12"/>
  <c r="F4683" i="12"/>
  <c r="F4682" i="12"/>
  <c r="F4681" i="12"/>
  <c r="F4680" i="12"/>
  <c r="F4679" i="12"/>
  <c r="F4678" i="12"/>
  <c r="F4677" i="12"/>
  <c r="F4676" i="12"/>
  <c r="F4675" i="12"/>
  <c r="F4674" i="12"/>
  <c r="F4673" i="12"/>
  <c r="F4672" i="12"/>
  <c r="F4671" i="12"/>
  <c r="F4670" i="12"/>
  <c r="F4669" i="12"/>
  <c r="F4668" i="12"/>
  <c r="F4667" i="12"/>
  <c r="F4666" i="12"/>
  <c r="F4665" i="12"/>
  <c r="F4664" i="12"/>
  <c r="F4663" i="12"/>
  <c r="F4662" i="12"/>
  <c r="F4661" i="12"/>
  <c r="F4660" i="12"/>
  <c r="F4659" i="12"/>
  <c r="F4658" i="12"/>
  <c r="F4657" i="12"/>
  <c r="F4656" i="12"/>
  <c r="F4655" i="12"/>
  <c r="F4654" i="12"/>
  <c r="F4653" i="12"/>
  <c r="F4652" i="12"/>
  <c r="F4651" i="12"/>
  <c r="F4650" i="12"/>
  <c r="F4649" i="12"/>
  <c r="F4648" i="12"/>
  <c r="F4647" i="12"/>
  <c r="F4646" i="12"/>
  <c r="F4645" i="12"/>
  <c r="F4644" i="12"/>
  <c r="F4643" i="12"/>
  <c r="F4642" i="12"/>
  <c r="F4641" i="12"/>
  <c r="F4640" i="12"/>
  <c r="F4639" i="12"/>
  <c r="F4638" i="12"/>
  <c r="F4637" i="12"/>
  <c r="F4636" i="12"/>
  <c r="F4635" i="12"/>
  <c r="F4634" i="12"/>
  <c r="F4633" i="12"/>
  <c r="F4632" i="12"/>
  <c r="F4631" i="12"/>
  <c r="F4630" i="12"/>
  <c r="F4629" i="12"/>
  <c r="F4628" i="12"/>
  <c r="F4627" i="12"/>
  <c r="F4626" i="12"/>
  <c r="F4625" i="12"/>
  <c r="F4624" i="12"/>
  <c r="F4623" i="12"/>
  <c r="F4622" i="12"/>
  <c r="F4621" i="12"/>
  <c r="F4620" i="12"/>
  <c r="F4619" i="12"/>
  <c r="F4618" i="12"/>
  <c r="F4617" i="12"/>
  <c r="F4616" i="12"/>
  <c r="F4615" i="12"/>
  <c r="F4614" i="12"/>
  <c r="F4613" i="12"/>
  <c r="F4612" i="12"/>
  <c r="F4611" i="12"/>
  <c r="F4610" i="12"/>
  <c r="F4609" i="12"/>
  <c r="F4608" i="12"/>
  <c r="F4607" i="12"/>
  <c r="F4606" i="12"/>
  <c r="F4605" i="12"/>
  <c r="F4604" i="12"/>
  <c r="F4603" i="12"/>
  <c r="F4602" i="12"/>
  <c r="F4601" i="12"/>
  <c r="F4600" i="12"/>
  <c r="F4599" i="12"/>
  <c r="F4598" i="12"/>
  <c r="F4597" i="12"/>
  <c r="F4596" i="12"/>
  <c r="F4595" i="12"/>
  <c r="F4594" i="12"/>
  <c r="F4593" i="12"/>
  <c r="F4592" i="12"/>
  <c r="F4591" i="12"/>
  <c r="F4590" i="12"/>
  <c r="F4589" i="12"/>
  <c r="F4588" i="12"/>
  <c r="F4587" i="12"/>
  <c r="F4586" i="12"/>
  <c r="F4585" i="12"/>
  <c r="F4584" i="12"/>
  <c r="F4583" i="12"/>
  <c r="F4582" i="12"/>
  <c r="F4581" i="12"/>
  <c r="F4580" i="12"/>
  <c r="F4579" i="12"/>
  <c r="F4578" i="12"/>
  <c r="F4577" i="12"/>
  <c r="F4576" i="12"/>
  <c r="F4575" i="12"/>
  <c r="F4574" i="12"/>
  <c r="F4573" i="12"/>
  <c r="F4572" i="12"/>
  <c r="F4571" i="12"/>
  <c r="F4570" i="12"/>
  <c r="F4569" i="12"/>
  <c r="F4568" i="12"/>
  <c r="F4567" i="12"/>
  <c r="F4566" i="12"/>
  <c r="F4565" i="12"/>
  <c r="F4564" i="12"/>
  <c r="F4563" i="12"/>
  <c r="F4562" i="12"/>
  <c r="F4561" i="12"/>
  <c r="F4560" i="12"/>
  <c r="F4559" i="12"/>
  <c r="F4558" i="12"/>
  <c r="F4557" i="12"/>
  <c r="F4556" i="12"/>
  <c r="F4555" i="12"/>
  <c r="F4554" i="12"/>
  <c r="F4553" i="12"/>
  <c r="F4552" i="12"/>
  <c r="F4551" i="12"/>
  <c r="F4550" i="12"/>
  <c r="F4549" i="12"/>
  <c r="F4548" i="12"/>
  <c r="F4547" i="12"/>
  <c r="F4546" i="12"/>
  <c r="F4545" i="12"/>
  <c r="F4544" i="12"/>
  <c r="F4543" i="12"/>
  <c r="F4542" i="12"/>
  <c r="F4541" i="12"/>
  <c r="F4540" i="12"/>
  <c r="F4539" i="12"/>
  <c r="F4538" i="12"/>
  <c r="F4537" i="12"/>
  <c r="F4536" i="12"/>
  <c r="F4535" i="12"/>
  <c r="F4534" i="12"/>
  <c r="F4533" i="12"/>
  <c r="F4532" i="12"/>
  <c r="F4531" i="12"/>
  <c r="F4530" i="12"/>
  <c r="F4529" i="12"/>
  <c r="F4528" i="12"/>
  <c r="F4527" i="12"/>
  <c r="F4526" i="12"/>
  <c r="F4525" i="12"/>
  <c r="F4524" i="12"/>
  <c r="F4523" i="12"/>
  <c r="F4522" i="12"/>
  <c r="F4521" i="12"/>
  <c r="F4520" i="12"/>
  <c r="F4519" i="12"/>
  <c r="F4518" i="12"/>
  <c r="F4517" i="12"/>
  <c r="F4516" i="12"/>
  <c r="F4515" i="12"/>
  <c r="F4514" i="12"/>
  <c r="F4513" i="12"/>
  <c r="F4512" i="12"/>
  <c r="F4511" i="12"/>
  <c r="F4510" i="12"/>
  <c r="F4509" i="12"/>
  <c r="F4508" i="12"/>
  <c r="F4507" i="12"/>
  <c r="F4506" i="12"/>
  <c r="F4505" i="12"/>
  <c r="F4504" i="12"/>
  <c r="F4503" i="12"/>
  <c r="F4502" i="12"/>
  <c r="F4501" i="12"/>
  <c r="F4500" i="12"/>
  <c r="F4499" i="12"/>
  <c r="F4498" i="12"/>
  <c r="F4497" i="12"/>
  <c r="F4496" i="12"/>
  <c r="F4495" i="12"/>
  <c r="F4494" i="12"/>
  <c r="F4493" i="12"/>
  <c r="F4492" i="12"/>
  <c r="F4491" i="12"/>
  <c r="F4490" i="12"/>
  <c r="F4489" i="12"/>
  <c r="F4488" i="12"/>
  <c r="F4487" i="12"/>
  <c r="F4486" i="12"/>
  <c r="F4485" i="12"/>
  <c r="F4484" i="12"/>
  <c r="F4483" i="12"/>
  <c r="F4482" i="12"/>
  <c r="F4481" i="12"/>
  <c r="F4480" i="12"/>
  <c r="F4479" i="12"/>
  <c r="F4478" i="12"/>
  <c r="F4477" i="12"/>
  <c r="F4476" i="12"/>
  <c r="F4475" i="12"/>
  <c r="F4474" i="12"/>
  <c r="F4473" i="12"/>
  <c r="F4472" i="12"/>
  <c r="F4471" i="12"/>
  <c r="F4470" i="12"/>
  <c r="F4469" i="12"/>
  <c r="F4468" i="12"/>
  <c r="F4467" i="12"/>
  <c r="F4466" i="12"/>
  <c r="F4465" i="12"/>
  <c r="F4464" i="12"/>
  <c r="F4463" i="12"/>
  <c r="F4462" i="12"/>
  <c r="F4461" i="12"/>
  <c r="F4460" i="12"/>
  <c r="F4459" i="12"/>
  <c r="F4458" i="12"/>
  <c r="F4457" i="12"/>
  <c r="F4456" i="12"/>
  <c r="F4455" i="12"/>
  <c r="F4454" i="12"/>
  <c r="F4453" i="12"/>
  <c r="F4452" i="12"/>
  <c r="F4451" i="12"/>
  <c r="F4450" i="12"/>
  <c r="F4449" i="12"/>
  <c r="F4448" i="12"/>
  <c r="F4447" i="12"/>
  <c r="F4446" i="12"/>
  <c r="F4445" i="12"/>
  <c r="F4444" i="12"/>
  <c r="F4443" i="12"/>
  <c r="F4442" i="12"/>
  <c r="F4441" i="12"/>
  <c r="F4440" i="12"/>
  <c r="F4439" i="12"/>
  <c r="F4438" i="12"/>
  <c r="F4437" i="12"/>
  <c r="F4436" i="12"/>
  <c r="F4435" i="12"/>
  <c r="F4434" i="12"/>
  <c r="F4433" i="12"/>
  <c r="F4432" i="12"/>
  <c r="F4431" i="12"/>
  <c r="F4430" i="12"/>
  <c r="F4429" i="12"/>
  <c r="F4428" i="12"/>
  <c r="F4427" i="12"/>
  <c r="F4426" i="12"/>
  <c r="F4425" i="12"/>
  <c r="F4424" i="12"/>
  <c r="F4423" i="12"/>
  <c r="F4422" i="12"/>
  <c r="F4421" i="12"/>
  <c r="F4420" i="12"/>
  <c r="F4419" i="12"/>
  <c r="F4418" i="12"/>
  <c r="F4417" i="12"/>
  <c r="F4416" i="12"/>
  <c r="F4415" i="12"/>
  <c r="F4414" i="12"/>
  <c r="F4413" i="12"/>
  <c r="F4412" i="12"/>
  <c r="F4411" i="12"/>
  <c r="F4410" i="12"/>
  <c r="F4409" i="12"/>
  <c r="F4408" i="12"/>
  <c r="F4407" i="12"/>
  <c r="F4406" i="12"/>
  <c r="F4405" i="12"/>
  <c r="F4404" i="12"/>
  <c r="F4403" i="12"/>
  <c r="F4402" i="12"/>
  <c r="F4401" i="12"/>
  <c r="F4400" i="12"/>
  <c r="F4399" i="12"/>
  <c r="F4398" i="12"/>
  <c r="F4397" i="12"/>
  <c r="F4396" i="12"/>
  <c r="F4395" i="12"/>
  <c r="F4394" i="12"/>
  <c r="F4393" i="12"/>
  <c r="F4392" i="12"/>
  <c r="F4391" i="12"/>
  <c r="F4390" i="12"/>
  <c r="F4389" i="12"/>
  <c r="F4388" i="12"/>
  <c r="F4387" i="12"/>
  <c r="F4386" i="12"/>
  <c r="F4385" i="12"/>
  <c r="F4384" i="12"/>
  <c r="F4383" i="12"/>
  <c r="F4382" i="12"/>
  <c r="F4381" i="12"/>
  <c r="F4380" i="12"/>
  <c r="F4379" i="12"/>
  <c r="F4378" i="12"/>
  <c r="F4377" i="12"/>
  <c r="F4376" i="12"/>
  <c r="F4375" i="12"/>
  <c r="F4374" i="12"/>
  <c r="F4373" i="12"/>
  <c r="F4372" i="12"/>
  <c r="F4371" i="12"/>
  <c r="F4370" i="12"/>
  <c r="F4369" i="12"/>
  <c r="F4368" i="12"/>
  <c r="F4367" i="12"/>
  <c r="F4366" i="12"/>
  <c r="F4365" i="12"/>
  <c r="F4364" i="12"/>
  <c r="F4363" i="12"/>
  <c r="F4362" i="12"/>
  <c r="F4361" i="12"/>
  <c r="F4360" i="12"/>
  <c r="F4359" i="12"/>
  <c r="F4358" i="12"/>
  <c r="F4357" i="12"/>
  <c r="F4356" i="12"/>
  <c r="F4355" i="12"/>
  <c r="F4354" i="12"/>
  <c r="F4353" i="12"/>
  <c r="F4352" i="12"/>
  <c r="F4351" i="12"/>
  <c r="F4350" i="12"/>
  <c r="F4349" i="12"/>
  <c r="F4348" i="12"/>
  <c r="F4347" i="12"/>
  <c r="F4346" i="12"/>
  <c r="F4345" i="12"/>
  <c r="F4344" i="12"/>
  <c r="F4343" i="12"/>
  <c r="F4342" i="12"/>
  <c r="F4341" i="12"/>
  <c r="F4340" i="12"/>
  <c r="F4339" i="12"/>
  <c r="F4338" i="12"/>
  <c r="F4337" i="12"/>
  <c r="F4336" i="12"/>
  <c r="F4335" i="12"/>
  <c r="F4334" i="12"/>
  <c r="F4333" i="12"/>
  <c r="F4332" i="12"/>
  <c r="F4331" i="12"/>
  <c r="F4330" i="12"/>
  <c r="F4329" i="12"/>
  <c r="F4328" i="12"/>
  <c r="F4327" i="12"/>
  <c r="F4326" i="12"/>
  <c r="F4325" i="12"/>
  <c r="F4324" i="12"/>
  <c r="F4323" i="12"/>
  <c r="F4322" i="12"/>
  <c r="F4321" i="12"/>
  <c r="F4320" i="12"/>
  <c r="F4319" i="12"/>
  <c r="F4318" i="12"/>
  <c r="F4317" i="12"/>
  <c r="F4316" i="12"/>
  <c r="F4315" i="12"/>
  <c r="F4314" i="12"/>
  <c r="F4313" i="12"/>
  <c r="F4312" i="12"/>
  <c r="F4311" i="12"/>
  <c r="F4310" i="12"/>
  <c r="F4309" i="12"/>
  <c r="F4308" i="12"/>
  <c r="F4307" i="12"/>
  <c r="F4306" i="12"/>
  <c r="F4305" i="12"/>
  <c r="F4304" i="12"/>
  <c r="F4303" i="12"/>
  <c r="F4302" i="12"/>
  <c r="F4301" i="12"/>
  <c r="F4300" i="12"/>
  <c r="F4299" i="12"/>
  <c r="F4298" i="12"/>
  <c r="F4297" i="12"/>
  <c r="F4296" i="12"/>
  <c r="F4295" i="12"/>
  <c r="F4294" i="12"/>
  <c r="F4293" i="12"/>
  <c r="F4292" i="12"/>
  <c r="F4291" i="12"/>
  <c r="F4290" i="12"/>
  <c r="F4289" i="12"/>
  <c r="F4288" i="12"/>
  <c r="F4287" i="12"/>
  <c r="F4286" i="12"/>
  <c r="F4285" i="12"/>
  <c r="F4284" i="12"/>
  <c r="F4283" i="12"/>
  <c r="F4282" i="12"/>
  <c r="F4281" i="12"/>
  <c r="F4280" i="12"/>
  <c r="F4279" i="12"/>
  <c r="F4278" i="12"/>
  <c r="F4277" i="12"/>
  <c r="F4276" i="12"/>
  <c r="F4275" i="12"/>
  <c r="F4274" i="12"/>
  <c r="F4273" i="12"/>
  <c r="F4272" i="12"/>
  <c r="F4271" i="12"/>
  <c r="F4270" i="12"/>
  <c r="F4269" i="12"/>
  <c r="F4268" i="12"/>
  <c r="F4267" i="12"/>
  <c r="F4266" i="12"/>
  <c r="F4265" i="12"/>
  <c r="F4264" i="12"/>
  <c r="F4263" i="12"/>
  <c r="F4262" i="12"/>
  <c r="F4261" i="12"/>
  <c r="F4260" i="12"/>
  <c r="F4259" i="12"/>
  <c r="F4258" i="12"/>
  <c r="F4257" i="12"/>
  <c r="F4256" i="12"/>
  <c r="F4255" i="12"/>
  <c r="F4254" i="12"/>
  <c r="F4253" i="12"/>
  <c r="F4252" i="12"/>
  <c r="F4251" i="12"/>
  <c r="F4250" i="12"/>
  <c r="F4249" i="12"/>
  <c r="F4248" i="12"/>
  <c r="F4247" i="12"/>
  <c r="F4246" i="12"/>
  <c r="F4245" i="12"/>
  <c r="F4244" i="12"/>
  <c r="F4243" i="12"/>
  <c r="F4242" i="12"/>
  <c r="F4241" i="12"/>
  <c r="F4240" i="12"/>
  <c r="F4239" i="12"/>
  <c r="F4238" i="12"/>
  <c r="F4237" i="12"/>
  <c r="F4236" i="12"/>
  <c r="F4235" i="12"/>
  <c r="F4234" i="12"/>
  <c r="F4233" i="12"/>
  <c r="F4232" i="12"/>
  <c r="F4231" i="12"/>
  <c r="F4230" i="12"/>
  <c r="F4229" i="12"/>
  <c r="F4228" i="12"/>
  <c r="F4227" i="12"/>
  <c r="F4226" i="12"/>
  <c r="F4225" i="12"/>
  <c r="F4224" i="12"/>
  <c r="F4223" i="12"/>
  <c r="F4222" i="12"/>
  <c r="F4221" i="12"/>
  <c r="F4220" i="12"/>
  <c r="F4219" i="12"/>
  <c r="F4218" i="12"/>
  <c r="F4217" i="12"/>
  <c r="F4216" i="12"/>
  <c r="F4215" i="12"/>
  <c r="F4214" i="12"/>
  <c r="F4213" i="12"/>
  <c r="F4212" i="12"/>
  <c r="F4211" i="12"/>
  <c r="F4210" i="12"/>
  <c r="F4209" i="12"/>
  <c r="F4208" i="12"/>
  <c r="F4207" i="12"/>
  <c r="F4206" i="12"/>
  <c r="F4205" i="12"/>
  <c r="F4204" i="12"/>
  <c r="F4203" i="12"/>
  <c r="F4202" i="12"/>
  <c r="F4201" i="12"/>
  <c r="F4200" i="12"/>
  <c r="F4199" i="12"/>
  <c r="F4198" i="12"/>
  <c r="F4197" i="12"/>
  <c r="F4196" i="12"/>
  <c r="F4195" i="12"/>
  <c r="F4194" i="12"/>
  <c r="F4193" i="12"/>
  <c r="F4192" i="12"/>
  <c r="F4191" i="12"/>
  <c r="F4190" i="12"/>
  <c r="F4189" i="12"/>
  <c r="F4188" i="12"/>
  <c r="F4187" i="12"/>
  <c r="F4186" i="12"/>
  <c r="F4185" i="12"/>
  <c r="F4184" i="12"/>
  <c r="F4183" i="12"/>
  <c r="F4182" i="12"/>
  <c r="F4181" i="12"/>
  <c r="F4180" i="12"/>
  <c r="F4179" i="12"/>
  <c r="F4178" i="12"/>
  <c r="F4177" i="12"/>
  <c r="F4176" i="12"/>
  <c r="F4175" i="12"/>
  <c r="F4174" i="12"/>
  <c r="F4173" i="12"/>
  <c r="F4172" i="12"/>
  <c r="F4171" i="12"/>
  <c r="F4170" i="12"/>
  <c r="F4169" i="12"/>
  <c r="F4168" i="12"/>
  <c r="F4167" i="12"/>
  <c r="F4166" i="12"/>
  <c r="F4165" i="12"/>
  <c r="F4164" i="12"/>
  <c r="F4163" i="12"/>
  <c r="F4162" i="12"/>
  <c r="F4161" i="12"/>
  <c r="F4160" i="12"/>
  <c r="F4159" i="12"/>
  <c r="F4158" i="12"/>
  <c r="F4157" i="12"/>
  <c r="F4156" i="12"/>
  <c r="F4155" i="12"/>
  <c r="F4154" i="12"/>
  <c r="F4153" i="12"/>
  <c r="F4152" i="12"/>
  <c r="F4151" i="12"/>
  <c r="F4150" i="12"/>
  <c r="F4149" i="12"/>
  <c r="F4148" i="12"/>
  <c r="F4147" i="12"/>
  <c r="F4146" i="12"/>
  <c r="F4145" i="12"/>
  <c r="F4144" i="12"/>
  <c r="F4143" i="12"/>
  <c r="F4142" i="12"/>
  <c r="F4141" i="12"/>
  <c r="F4140" i="12"/>
  <c r="F4139" i="12"/>
  <c r="F4138" i="12"/>
  <c r="F4137" i="12"/>
  <c r="F4136" i="12"/>
  <c r="F4135" i="12"/>
  <c r="F4134" i="12"/>
  <c r="F4133" i="12"/>
  <c r="F4132" i="12"/>
  <c r="F4131" i="12"/>
  <c r="F4130" i="12"/>
  <c r="F4129" i="12"/>
  <c r="F4128" i="12"/>
  <c r="F4127" i="12"/>
  <c r="F4126" i="12"/>
  <c r="F4125" i="12"/>
  <c r="F4124" i="12"/>
  <c r="F4123" i="12"/>
  <c r="F4122" i="12"/>
  <c r="F4121" i="12"/>
  <c r="F4120" i="12"/>
  <c r="F4119" i="12"/>
  <c r="F4118" i="12"/>
  <c r="F4117" i="12"/>
  <c r="F4116" i="12"/>
  <c r="F4115" i="12"/>
  <c r="F4114" i="12"/>
  <c r="F4113" i="12"/>
  <c r="F4112" i="12"/>
  <c r="F4111" i="12"/>
  <c r="F4110" i="12"/>
  <c r="F4109" i="12"/>
  <c r="F4108" i="12"/>
  <c r="F4107" i="12"/>
  <c r="F4106" i="12"/>
  <c r="F4105" i="12"/>
  <c r="F4104" i="12"/>
  <c r="F4103" i="12"/>
  <c r="F4102" i="12"/>
  <c r="F4101" i="12"/>
  <c r="F4100" i="12"/>
  <c r="F4099" i="12"/>
  <c r="F4098" i="12"/>
  <c r="F4097" i="12"/>
  <c r="F4096" i="12"/>
  <c r="F4095" i="12"/>
  <c r="F4094" i="12"/>
  <c r="F4093" i="12"/>
  <c r="F4092" i="12"/>
  <c r="F4091" i="12"/>
  <c r="F4090" i="12"/>
  <c r="F4089" i="12"/>
  <c r="F4088" i="12"/>
  <c r="F4087" i="12"/>
  <c r="F4086" i="12"/>
  <c r="F4085" i="12"/>
  <c r="F4084" i="12"/>
  <c r="F4083" i="12"/>
  <c r="F4082" i="12"/>
  <c r="F4081" i="12"/>
  <c r="F4080" i="12"/>
  <c r="F4079" i="12"/>
  <c r="F4078" i="12"/>
  <c r="F4077" i="12"/>
  <c r="F4076" i="12"/>
  <c r="F4075" i="12"/>
  <c r="F4074" i="12"/>
  <c r="F4073" i="12"/>
  <c r="F4072" i="12"/>
  <c r="F4071" i="12"/>
  <c r="F4070" i="12"/>
  <c r="F4069" i="12"/>
  <c r="F4068" i="12"/>
  <c r="F4067" i="12"/>
  <c r="F4066" i="12"/>
  <c r="F4065" i="12"/>
  <c r="F4064" i="12"/>
  <c r="F4063" i="12"/>
  <c r="F4062" i="12"/>
  <c r="F4061" i="12"/>
  <c r="F4060" i="12"/>
  <c r="F4059" i="12"/>
  <c r="F4058" i="12"/>
  <c r="F4057" i="12"/>
  <c r="F4056" i="12"/>
  <c r="F4055" i="12"/>
  <c r="F4054" i="12"/>
  <c r="F4053" i="12"/>
  <c r="F4052" i="12"/>
  <c r="F4051" i="12"/>
  <c r="F4050" i="12"/>
  <c r="F4049" i="12"/>
  <c r="F4048" i="12"/>
  <c r="F4047" i="12"/>
  <c r="F4046" i="12"/>
  <c r="F4045" i="12"/>
  <c r="F4044" i="12"/>
  <c r="F4043" i="12"/>
  <c r="F4042" i="12"/>
  <c r="F4041" i="12"/>
  <c r="F4040" i="12"/>
  <c r="F4039" i="12"/>
  <c r="F4038" i="12"/>
  <c r="F4037" i="12"/>
  <c r="F4036" i="12"/>
  <c r="F4035" i="12"/>
  <c r="F4034" i="12"/>
  <c r="F4033" i="12"/>
  <c r="F4032" i="12"/>
  <c r="F4031" i="12"/>
  <c r="F4030" i="12"/>
  <c r="F4029" i="12"/>
  <c r="F4028" i="12"/>
  <c r="F4027" i="12"/>
  <c r="F4026" i="12"/>
  <c r="F4025" i="12"/>
  <c r="F4024" i="12"/>
  <c r="F4023" i="12"/>
  <c r="F4022" i="12"/>
  <c r="F4021" i="12"/>
  <c r="F4020" i="12"/>
  <c r="F4019" i="12"/>
  <c r="F4018" i="12"/>
  <c r="F4017" i="12"/>
  <c r="F4016" i="12"/>
  <c r="F4015" i="12"/>
  <c r="F4014" i="12"/>
  <c r="F4013" i="12"/>
  <c r="F4012" i="12"/>
  <c r="F4011" i="12"/>
  <c r="F4010" i="12"/>
  <c r="F4009" i="12"/>
  <c r="F4008" i="12"/>
  <c r="F4007" i="12"/>
  <c r="F4006" i="12"/>
  <c r="F4005" i="12"/>
  <c r="F4004" i="12"/>
  <c r="F4003" i="12"/>
  <c r="F4002" i="12"/>
  <c r="F4001" i="12"/>
  <c r="F4000" i="12"/>
  <c r="F3999" i="12"/>
  <c r="F3998" i="12"/>
  <c r="F3997" i="12"/>
  <c r="F3996" i="12"/>
  <c r="F3995" i="12"/>
  <c r="F3994" i="12"/>
  <c r="F3993" i="12"/>
  <c r="F3992" i="12"/>
  <c r="F3991" i="12"/>
  <c r="F3990" i="12"/>
  <c r="F3989" i="12"/>
  <c r="F3988" i="12"/>
  <c r="F3987" i="12"/>
  <c r="F3986" i="12"/>
  <c r="F3985" i="12"/>
  <c r="F3984" i="12"/>
  <c r="F3983" i="12"/>
  <c r="F3982" i="12"/>
  <c r="F3981" i="12"/>
  <c r="F3980" i="12"/>
  <c r="F3979" i="12"/>
  <c r="F3978" i="12"/>
  <c r="F3977" i="12"/>
  <c r="F3976" i="12"/>
  <c r="F3975" i="12"/>
  <c r="F3974" i="12"/>
  <c r="F3973" i="12"/>
  <c r="F3972" i="12"/>
  <c r="F3971" i="12"/>
  <c r="F3970" i="12"/>
  <c r="F3969" i="12"/>
  <c r="F3968" i="12"/>
  <c r="F3967" i="12"/>
  <c r="F3966" i="12"/>
  <c r="F3965" i="12"/>
  <c r="F3964" i="12"/>
  <c r="F3963" i="12"/>
  <c r="F3962" i="12"/>
  <c r="F3961" i="12"/>
  <c r="F3960" i="12"/>
  <c r="F3959" i="12"/>
  <c r="F3958" i="12"/>
  <c r="F3957" i="12"/>
  <c r="F3956" i="12"/>
  <c r="F3955" i="12"/>
  <c r="F3954" i="12"/>
  <c r="F3953" i="12"/>
  <c r="F3952" i="12"/>
  <c r="F3951" i="12"/>
  <c r="F3950" i="12"/>
  <c r="F3949" i="12"/>
  <c r="F3948" i="12"/>
  <c r="F3947" i="12"/>
  <c r="F3946" i="12"/>
  <c r="F3945" i="12"/>
  <c r="F3944" i="12"/>
  <c r="F3943" i="12"/>
  <c r="F3942" i="12"/>
  <c r="F3941" i="12"/>
  <c r="F3940" i="12"/>
  <c r="F3939" i="12"/>
  <c r="F3938" i="12"/>
  <c r="F3937" i="12"/>
  <c r="F3936" i="12"/>
  <c r="F3935" i="12"/>
  <c r="F3934" i="12"/>
  <c r="F3933" i="12"/>
  <c r="F3932" i="12"/>
  <c r="F3931" i="12"/>
  <c r="F3930" i="12"/>
  <c r="F3929" i="12"/>
  <c r="F3928" i="12"/>
  <c r="F3927" i="12"/>
  <c r="F3926" i="12"/>
  <c r="F3925" i="12"/>
  <c r="F3924" i="12"/>
  <c r="F3923" i="12"/>
  <c r="F3922" i="12"/>
  <c r="F3921" i="12"/>
  <c r="F3920" i="12"/>
  <c r="F3919" i="12"/>
  <c r="F3918" i="12"/>
  <c r="F3917" i="12"/>
  <c r="F3916" i="12"/>
  <c r="F3915" i="12"/>
  <c r="F3914" i="12"/>
  <c r="F3913" i="12"/>
  <c r="F3912" i="12"/>
  <c r="F3911" i="12"/>
  <c r="F3910" i="12"/>
  <c r="F3909" i="12"/>
  <c r="F3908" i="12"/>
  <c r="F3907" i="12"/>
  <c r="F3906" i="12"/>
  <c r="F3905" i="12"/>
  <c r="F3904" i="12"/>
  <c r="F3903" i="12"/>
  <c r="F3902" i="12"/>
  <c r="F3901" i="12"/>
  <c r="F3900" i="12"/>
  <c r="F3899" i="12"/>
  <c r="F3898" i="12"/>
  <c r="F3897" i="12"/>
  <c r="F3896" i="12"/>
  <c r="F3895" i="12"/>
  <c r="F3894" i="12"/>
  <c r="F3893" i="12"/>
  <c r="F3892" i="12"/>
  <c r="F3891" i="12"/>
  <c r="F3890" i="12"/>
  <c r="F3889" i="12"/>
  <c r="F3888" i="12"/>
  <c r="F3887" i="12"/>
  <c r="F3886" i="12"/>
  <c r="F3885" i="12"/>
  <c r="F3884" i="12"/>
  <c r="F3883" i="12"/>
  <c r="F3882" i="12"/>
  <c r="F3881" i="12"/>
  <c r="F3880" i="12"/>
  <c r="F3879" i="12"/>
  <c r="F3878" i="12"/>
  <c r="F3877" i="12"/>
  <c r="F3876" i="12"/>
  <c r="F3875" i="12"/>
  <c r="F3874" i="12"/>
  <c r="F3873" i="12"/>
  <c r="F3872" i="12"/>
  <c r="F3871" i="12"/>
  <c r="F3870" i="12"/>
  <c r="F3869" i="12"/>
  <c r="F3868" i="12"/>
  <c r="F3867" i="12"/>
  <c r="F3866" i="12"/>
  <c r="F3865" i="12"/>
  <c r="F3864" i="12"/>
  <c r="F3863" i="12"/>
  <c r="F3862" i="12"/>
  <c r="F3861" i="12"/>
  <c r="F3860" i="12"/>
  <c r="F3859" i="12"/>
  <c r="F3858" i="12"/>
  <c r="F3857" i="12"/>
  <c r="F3856" i="12"/>
  <c r="F3855" i="12"/>
  <c r="F3854" i="12"/>
  <c r="F3853" i="12"/>
  <c r="F3852" i="12"/>
  <c r="F3851" i="12"/>
  <c r="F3850" i="12"/>
  <c r="F3849" i="12"/>
  <c r="F3848" i="12"/>
  <c r="F3847" i="12"/>
  <c r="F3846" i="12"/>
  <c r="F3845" i="12"/>
  <c r="F3844" i="12"/>
  <c r="F3843" i="12"/>
  <c r="F3842" i="12"/>
  <c r="F3841" i="12"/>
  <c r="F3840" i="12"/>
  <c r="F3839" i="12"/>
  <c r="F3838" i="12"/>
  <c r="F3837" i="12"/>
  <c r="F3836" i="12"/>
  <c r="F3835" i="12"/>
  <c r="F3834" i="12"/>
  <c r="F3833" i="12"/>
  <c r="F3832" i="12"/>
  <c r="F3831" i="12"/>
  <c r="F3830" i="12"/>
  <c r="F3829" i="12"/>
  <c r="F3828" i="12"/>
  <c r="F3827" i="12"/>
  <c r="F3826" i="12"/>
  <c r="F3825" i="12"/>
  <c r="F3824" i="12"/>
  <c r="F3823" i="12"/>
  <c r="F3822" i="12"/>
  <c r="F3821" i="12"/>
  <c r="F3820" i="12"/>
  <c r="F3819" i="12"/>
  <c r="F3818" i="12"/>
  <c r="F3817" i="12"/>
  <c r="F3816" i="12"/>
  <c r="F3815" i="12"/>
  <c r="F3814" i="12"/>
  <c r="F3813" i="12"/>
  <c r="F3812" i="12"/>
  <c r="F3811" i="12"/>
  <c r="F3810" i="12"/>
  <c r="F3809" i="12"/>
  <c r="F3808" i="12"/>
  <c r="F3807" i="12"/>
  <c r="F3806" i="12"/>
  <c r="F3805" i="12"/>
  <c r="F3804" i="12"/>
  <c r="F3803" i="12"/>
  <c r="F3802" i="12"/>
  <c r="F3801" i="12"/>
  <c r="F3800" i="12"/>
  <c r="F3799" i="12"/>
  <c r="F3798" i="12"/>
  <c r="F3797" i="12"/>
  <c r="F3796" i="12"/>
  <c r="F3795" i="12"/>
  <c r="F3794" i="12"/>
  <c r="F3793" i="12"/>
  <c r="F3792" i="12"/>
  <c r="F3791" i="12"/>
  <c r="F3790" i="12"/>
  <c r="F3789" i="12"/>
  <c r="F3788" i="12"/>
  <c r="F3787" i="12"/>
  <c r="F3786" i="12"/>
  <c r="F3785" i="12"/>
  <c r="F3784" i="12"/>
  <c r="F3783" i="12"/>
  <c r="F3782" i="12"/>
  <c r="F3781" i="12"/>
  <c r="F3780" i="12"/>
  <c r="F3779" i="12"/>
  <c r="F3778" i="12"/>
  <c r="F3777" i="12"/>
  <c r="F3776" i="12"/>
  <c r="F3775" i="12"/>
  <c r="F3774" i="12"/>
  <c r="F3773" i="12"/>
  <c r="F3772" i="12"/>
  <c r="F3771" i="12"/>
  <c r="F3770" i="12"/>
  <c r="F3769" i="12"/>
  <c r="F3768" i="12"/>
  <c r="F3767" i="12"/>
  <c r="F3766" i="12"/>
  <c r="F3765" i="12"/>
  <c r="F3764" i="12"/>
  <c r="F3763" i="12"/>
  <c r="F3762" i="12"/>
  <c r="F3761" i="12"/>
  <c r="F3760" i="12"/>
  <c r="F3759" i="12"/>
  <c r="F3758" i="12"/>
  <c r="F3757" i="12"/>
  <c r="F3756" i="12"/>
  <c r="F3755" i="12"/>
  <c r="F3754" i="12"/>
  <c r="F3753" i="12"/>
  <c r="F3752" i="12"/>
  <c r="F3751" i="12"/>
  <c r="F3750" i="12"/>
  <c r="F3749" i="12"/>
  <c r="F3748" i="12"/>
  <c r="F3747" i="12"/>
  <c r="F3746" i="12"/>
  <c r="F3745" i="12"/>
  <c r="F3744" i="12"/>
  <c r="F3743" i="12"/>
  <c r="F3742" i="12"/>
  <c r="F3741" i="12"/>
  <c r="F3740" i="12"/>
  <c r="F3739" i="12"/>
  <c r="F3738" i="12"/>
  <c r="F3737" i="12"/>
  <c r="F3736" i="12"/>
  <c r="F3735" i="12"/>
  <c r="F3734" i="12"/>
  <c r="F3733" i="12"/>
  <c r="F3732" i="12"/>
  <c r="F3731" i="12"/>
  <c r="F3730" i="12"/>
  <c r="F3729" i="12"/>
  <c r="F3728" i="12"/>
  <c r="F3727" i="12"/>
  <c r="F3726" i="12"/>
  <c r="F3725" i="12"/>
  <c r="F3724" i="12"/>
  <c r="F3723" i="12"/>
  <c r="F3722" i="12"/>
  <c r="F3721" i="12"/>
  <c r="F3720" i="12"/>
  <c r="F3719" i="12"/>
  <c r="F3718" i="12"/>
  <c r="F3717" i="12"/>
  <c r="F3716" i="12"/>
  <c r="F3715" i="12"/>
  <c r="F3714" i="12"/>
  <c r="F3713" i="12"/>
  <c r="F3712" i="12"/>
  <c r="F3711" i="12"/>
  <c r="F3710" i="12"/>
  <c r="F3709" i="12"/>
  <c r="F3708" i="12"/>
  <c r="F3707" i="12"/>
  <c r="F3706" i="12"/>
  <c r="F3705" i="12"/>
  <c r="F3704" i="12"/>
  <c r="F3703" i="12"/>
  <c r="F3702" i="12"/>
  <c r="F3701" i="12"/>
  <c r="F3700" i="12"/>
  <c r="F3699" i="12"/>
  <c r="F3698" i="12"/>
  <c r="F3697" i="12"/>
  <c r="F3696" i="12"/>
  <c r="F3695" i="12"/>
  <c r="F3694" i="12"/>
  <c r="F3693" i="12"/>
  <c r="F3692" i="12"/>
  <c r="F3691" i="12"/>
  <c r="F3690" i="12"/>
  <c r="F3689" i="12"/>
  <c r="F3688" i="12"/>
  <c r="F3687" i="12"/>
  <c r="F3686" i="12"/>
  <c r="F3685" i="12"/>
  <c r="F3684" i="12"/>
  <c r="F3683" i="12"/>
  <c r="F3682" i="12"/>
  <c r="F3681" i="12"/>
  <c r="F3680" i="12"/>
  <c r="F3679" i="12"/>
  <c r="F3678" i="12"/>
  <c r="F3677" i="12"/>
  <c r="F3676" i="12"/>
  <c r="F3675" i="12"/>
  <c r="F3674" i="12"/>
  <c r="F3673" i="12"/>
  <c r="F3672" i="12"/>
  <c r="F3671" i="12"/>
  <c r="F3670" i="12"/>
  <c r="F3669" i="12"/>
  <c r="F3668" i="12"/>
  <c r="F3667" i="12"/>
  <c r="F3666" i="12"/>
  <c r="F3665" i="12"/>
  <c r="F3664" i="12"/>
  <c r="F3663" i="12"/>
  <c r="F3662" i="12"/>
  <c r="F3661" i="12"/>
  <c r="F3660" i="12"/>
  <c r="F3659" i="12"/>
  <c r="F3658" i="12"/>
  <c r="F3657" i="12"/>
  <c r="F3656" i="12"/>
  <c r="F3655" i="12"/>
  <c r="F3654" i="12"/>
  <c r="F3653" i="12"/>
  <c r="F3652" i="12"/>
  <c r="F3651" i="12"/>
  <c r="F3650" i="12"/>
  <c r="F3649" i="12"/>
  <c r="F3648" i="12"/>
  <c r="F3647" i="12"/>
  <c r="F3646" i="12"/>
  <c r="F3645" i="12"/>
  <c r="F3644" i="12"/>
  <c r="F3643" i="12"/>
  <c r="F3642" i="12"/>
  <c r="F3641" i="12"/>
  <c r="F3640" i="12"/>
  <c r="F3639" i="12"/>
  <c r="F3638" i="12"/>
  <c r="F3637" i="12"/>
  <c r="F3636" i="12"/>
  <c r="F3635" i="12"/>
  <c r="F3634" i="12"/>
  <c r="F3633" i="12"/>
  <c r="F3632" i="12"/>
  <c r="F3631" i="12"/>
  <c r="F3630" i="12"/>
  <c r="F3629" i="12"/>
  <c r="F3628" i="12"/>
  <c r="F3627" i="12"/>
  <c r="F3626" i="12"/>
  <c r="F3625" i="12"/>
  <c r="F3624" i="12"/>
  <c r="F3623" i="12"/>
  <c r="F3622" i="12"/>
  <c r="F3621" i="12"/>
  <c r="F3620" i="12"/>
  <c r="F3619" i="12"/>
  <c r="F3618" i="12"/>
  <c r="F3617" i="12"/>
  <c r="F3616" i="12"/>
  <c r="F3615" i="12"/>
  <c r="F3614" i="12"/>
  <c r="F3613" i="12"/>
  <c r="F3612" i="12"/>
  <c r="F3611" i="12"/>
  <c r="F3610" i="12"/>
  <c r="F3609" i="12"/>
  <c r="F3608" i="12"/>
  <c r="F3607" i="12"/>
  <c r="F3606" i="12"/>
  <c r="F3605" i="12"/>
  <c r="F3604" i="12"/>
  <c r="F3603" i="12"/>
  <c r="F3602" i="12"/>
  <c r="F3601" i="12"/>
  <c r="F3600" i="12"/>
  <c r="F3599" i="12"/>
  <c r="F3598" i="12"/>
  <c r="F3597" i="12"/>
  <c r="F3596" i="12"/>
  <c r="F3595" i="12"/>
  <c r="F3594" i="12"/>
  <c r="F3593" i="12"/>
  <c r="F3592" i="12"/>
  <c r="F3591" i="12"/>
  <c r="F3590" i="12"/>
  <c r="F3589" i="12"/>
  <c r="F3588" i="12"/>
  <c r="F3587" i="12"/>
  <c r="F3586" i="12"/>
  <c r="F3585" i="12"/>
  <c r="F3584" i="12"/>
  <c r="F3583" i="12"/>
  <c r="F3582" i="12"/>
  <c r="F3581" i="12"/>
  <c r="F3580" i="12"/>
  <c r="F3579" i="12"/>
  <c r="F3578" i="12"/>
  <c r="F3577" i="12"/>
  <c r="F3576" i="12"/>
  <c r="F3575" i="12"/>
  <c r="F3574" i="12"/>
  <c r="F3573" i="12"/>
  <c r="F3572" i="12"/>
  <c r="F3571" i="12"/>
  <c r="F3570" i="12"/>
  <c r="F3569" i="12"/>
  <c r="F3568" i="12"/>
  <c r="F3567" i="12"/>
  <c r="F3566" i="12"/>
  <c r="F3565" i="12"/>
  <c r="F3564" i="12"/>
  <c r="F3563" i="12"/>
  <c r="F3562" i="12"/>
  <c r="F3561" i="12"/>
  <c r="F3560" i="12"/>
  <c r="F3559" i="12"/>
  <c r="F3558" i="12"/>
  <c r="F3557" i="12"/>
  <c r="F3556" i="12"/>
  <c r="F3555" i="12"/>
  <c r="F3554" i="12"/>
  <c r="F3553" i="12"/>
  <c r="F3552" i="12"/>
  <c r="F3551" i="12"/>
  <c r="F3550" i="12"/>
  <c r="F3549" i="12"/>
  <c r="F3548" i="12"/>
  <c r="F3547" i="12"/>
  <c r="F3546" i="12"/>
  <c r="F3545" i="12"/>
  <c r="F3544" i="12"/>
  <c r="F3543" i="12"/>
  <c r="F3542" i="12"/>
  <c r="F3541" i="12"/>
  <c r="F3540" i="12"/>
  <c r="F3539" i="12"/>
  <c r="F3538" i="12"/>
  <c r="F3537" i="12"/>
  <c r="F3536" i="12"/>
  <c r="F3535" i="12"/>
  <c r="F3534" i="12"/>
  <c r="F3533" i="12"/>
  <c r="F3532" i="12"/>
  <c r="F3531" i="12"/>
  <c r="F3530" i="12"/>
  <c r="F3529" i="12"/>
  <c r="F3528" i="12"/>
  <c r="F3527" i="12"/>
  <c r="F3526" i="12"/>
  <c r="F3525" i="12"/>
  <c r="F3524" i="12"/>
  <c r="F3523" i="12"/>
  <c r="F3522" i="12"/>
  <c r="F3521" i="12"/>
  <c r="F3520" i="12"/>
  <c r="F3519" i="12"/>
  <c r="F3518" i="12"/>
  <c r="F3517" i="12"/>
  <c r="F3516" i="12"/>
  <c r="F3515" i="12"/>
  <c r="F3514" i="12"/>
  <c r="F3513" i="12"/>
  <c r="F3512" i="12"/>
  <c r="F3511" i="12"/>
  <c r="F3510" i="12"/>
  <c r="F3509" i="12"/>
  <c r="F3508" i="12"/>
  <c r="F3507" i="12"/>
  <c r="F3506" i="12"/>
  <c r="F3505" i="12"/>
  <c r="F3504" i="12"/>
  <c r="F3503" i="12"/>
  <c r="F3502" i="12"/>
  <c r="F3501" i="12"/>
  <c r="F3500" i="12"/>
  <c r="F3499" i="12"/>
  <c r="F3498" i="12"/>
  <c r="F3497" i="12"/>
  <c r="F3496" i="12"/>
  <c r="F3495" i="12"/>
  <c r="F3494" i="12"/>
  <c r="F3493" i="12"/>
  <c r="F3492" i="12"/>
  <c r="F3491" i="12"/>
  <c r="F3490" i="12"/>
  <c r="F3489" i="12"/>
  <c r="F3488" i="12"/>
  <c r="F3487" i="12"/>
  <c r="F3486" i="12"/>
  <c r="F3485" i="12"/>
  <c r="F3484" i="12"/>
  <c r="F3483" i="12"/>
  <c r="F3482" i="12"/>
  <c r="F3481" i="12"/>
  <c r="F3480" i="12"/>
  <c r="F3479" i="12"/>
  <c r="F3478" i="12"/>
  <c r="F3477" i="12"/>
  <c r="F3476" i="12"/>
  <c r="F3475" i="12"/>
  <c r="F3474" i="12"/>
  <c r="F3473" i="12"/>
  <c r="F3472" i="12"/>
  <c r="F3471" i="12"/>
  <c r="F3470" i="12"/>
  <c r="F3469" i="12"/>
  <c r="F3468" i="12"/>
  <c r="F3467" i="12"/>
  <c r="F3466" i="12"/>
  <c r="F3465" i="12"/>
  <c r="F3464" i="12"/>
  <c r="F3463" i="12"/>
  <c r="F3462" i="12"/>
  <c r="F3461" i="12"/>
  <c r="F3460" i="12"/>
  <c r="F3459" i="12"/>
  <c r="F3458" i="12"/>
  <c r="F3457" i="12"/>
  <c r="F3456" i="12"/>
  <c r="F3455" i="12"/>
  <c r="F3454" i="12"/>
  <c r="F3453" i="12"/>
  <c r="F3452" i="12"/>
  <c r="F3451" i="12"/>
  <c r="F3450" i="12"/>
  <c r="F3449" i="12"/>
  <c r="F3448" i="12"/>
  <c r="F3447" i="12"/>
  <c r="F3446" i="12"/>
  <c r="F3445" i="12"/>
  <c r="F3444" i="12"/>
  <c r="F3443" i="12"/>
  <c r="F3442" i="12"/>
  <c r="F3441" i="12"/>
  <c r="F3440" i="12"/>
  <c r="F3439" i="12"/>
  <c r="F3438" i="12"/>
  <c r="F3437" i="12"/>
  <c r="F3436" i="12"/>
  <c r="F3435" i="12"/>
  <c r="F3434" i="12"/>
  <c r="F3433" i="12"/>
  <c r="F3432" i="12"/>
  <c r="F3431" i="12"/>
  <c r="F3430" i="12"/>
  <c r="F3429" i="12"/>
  <c r="F3428" i="12"/>
  <c r="F3427" i="12"/>
  <c r="F3426" i="12"/>
  <c r="F3425" i="12"/>
  <c r="F3424" i="12"/>
  <c r="F3423" i="12"/>
  <c r="F3422" i="12"/>
  <c r="F3421" i="12"/>
  <c r="F3420" i="12"/>
  <c r="F3419" i="12"/>
  <c r="F3418" i="12"/>
  <c r="F3417" i="12"/>
  <c r="F3416" i="12"/>
  <c r="F3415" i="12"/>
  <c r="F3414" i="12"/>
  <c r="F3413" i="12"/>
  <c r="F3412" i="12"/>
  <c r="F3411" i="12"/>
  <c r="F3410" i="12"/>
  <c r="F3409" i="12"/>
  <c r="F3408" i="12"/>
  <c r="F3407" i="12"/>
  <c r="F3406" i="12"/>
  <c r="F3405" i="12"/>
  <c r="F3404" i="12"/>
  <c r="F3403" i="12"/>
  <c r="F3402" i="12"/>
  <c r="F3401" i="12"/>
  <c r="F3400" i="12"/>
  <c r="F3399" i="12"/>
  <c r="F3398" i="12"/>
  <c r="F3397" i="12"/>
  <c r="F3396" i="12"/>
  <c r="F3395" i="12"/>
  <c r="F3394" i="12"/>
  <c r="F3393" i="12"/>
  <c r="F3392" i="12"/>
  <c r="F3391" i="12"/>
  <c r="F3390" i="12"/>
  <c r="F3389" i="12"/>
  <c r="F3388" i="12"/>
  <c r="F3387" i="12"/>
  <c r="F3386" i="12"/>
  <c r="F3385" i="12"/>
  <c r="F3384" i="12"/>
  <c r="F3383" i="12"/>
  <c r="F3382" i="12"/>
  <c r="F3381" i="12"/>
  <c r="F3380" i="12"/>
  <c r="F3379" i="12"/>
  <c r="F3378" i="12"/>
  <c r="F3377" i="12"/>
  <c r="F3376" i="12"/>
  <c r="F3375" i="12"/>
  <c r="F3374" i="12"/>
  <c r="F3373" i="12"/>
  <c r="F3372" i="12"/>
  <c r="F3371" i="12"/>
  <c r="F3370" i="12"/>
  <c r="F3369" i="12"/>
  <c r="F3368" i="12"/>
  <c r="F3367" i="12"/>
  <c r="F3366" i="12"/>
  <c r="F3365" i="12"/>
  <c r="F3364" i="12"/>
  <c r="F3363" i="12"/>
  <c r="F3362" i="12"/>
  <c r="F3361" i="12"/>
  <c r="F3360" i="12"/>
  <c r="F3359" i="12"/>
  <c r="F3358" i="12"/>
  <c r="F3357" i="12"/>
  <c r="F3356" i="12"/>
  <c r="F3355" i="12"/>
  <c r="F3354" i="12"/>
  <c r="F3353" i="12"/>
  <c r="F3352" i="12"/>
  <c r="F3351" i="12"/>
  <c r="F3350" i="12"/>
  <c r="F3349" i="12"/>
  <c r="F3348" i="12"/>
  <c r="F3347" i="12"/>
  <c r="F3346" i="12"/>
  <c r="F3345" i="12"/>
  <c r="F3344" i="12"/>
  <c r="F3343" i="12"/>
  <c r="F3342" i="12"/>
  <c r="F3341" i="12"/>
  <c r="F3340" i="12"/>
  <c r="F3339" i="12"/>
  <c r="F3338" i="12"/>
  <c r="F3337" i="12"/>
  <c r="F3336" i="12"/>
  <c r="F3335" i="12"/>
  <c r="F3334" i="12"/>
  <c r="F3333" i="12"/>
  <c r="F3332" i="12"/>
  <c r="F3331" i="12"/>
  <c r="F3330" i="12"/>
  <c r="F3329" i="12"/>
  <c r="F3328" i="12"/>
  <c r="F3327" i="12"/>
  <c r="F3326" i="12"/>
  <c r="F3325" i="12"/>
  <c r="F3324" i="12"/>
  <c r="F3323" i="12"/>
  <c r="F3322" i="12"/>
  <c r="F3321" i="12"/>
  <c r="F3320" i="12"/>
  <c r="F3319" i="12"/>
  <c r="F3318" i="12"/>
  <c r="F3317" i="12"/>
  <c r="F3316" i="12"/>
  <c r="F3315" i="12"/>
  <c r="F3314" i="12"/>
  <c r="F3313" i="12"/>
  <c r="F3312" i="12"/>
  <c r="F3311" i="12"/>
  <c r="F3310" i="12"/>
  <c r="F3309" i="12"/>
  <c r="F3308" i="12"/>
  <c r="F3307" i="12"/>
  <c r="F3306" i="12"/>
  <c r="F3305" i="12"/>
  <c r="F3304" i="12"/>
  <c r="F3303" i="12"/>
  <c r="F3302" i="12"/>
  <c r="F3301" i="12"/>
  <c r="F3300" i="12"/>
  <c r="F3299" i="12"/>
  <c r="F3298" i="12"/>
  <c r="F3297" i="12"/>
  <c r="F3296" i="12"/>
  <c r="F3295" i="12"/>
  <c r="F3294" i="12"/>
  <c r="F3293" i="12"/>
  <c r="F3292" i="12"/>
  <c r="F3291" i="12"/>
  <c r="F3290" i="12"/>
  <c r="F3289" i="12"/>
  <c r="F3288" i="12"/>
  <c r="F3287" i="12"/>
  <c r="F3286" i="12"/>
  <c r="F3285" i="12"/>
  <c r="F3284" i="12"/>
  <c r="F3283" i="12"/>
  <c r="F3282" i="12"/>
  <c r="F3281" i="12"/>
  <c r="F3280" i="12"/>
  <c r="F3279" i="12"/>
  <c r="F3278" i="12"/>
  <c r="F3277" i="12"/>
  <c r="F3276" i="12"/>
  <c r="F3275" i="12"/>
  <c r="F3274" i="12"/>
  <c r="F3273" i="12"/>
  <c r="F3272" i="12"/>
  <c r="F3271" i="12"/>
  <c r="F3270" i="12"/>
  <c r="F3269" i="12"/>
  <c r="F3268" i="12"/>
  <c r="F3267" i="12"/>
  <c r="F3266" i="12"/>
  <c r="F3265" i="12"/>
  <c r="F3264" i="12"/>
  <c r="F3263" i="12"/>
  <c r="F3262" i="12"/>
  <c r="F3261" i="12"/>
  <c r="F3260" i="12"/>
  <c r="F3259" i="12"/>
  <c r="F3258" i="12"/>
  <c r="F3257" i="12"/>
  <c r="F3256" i="12"/>
  <c r="F3255" i="12"/>
  <c r="F3254" i="12"/>
  <c r="F3253" i="12"/>
  <c r="F3252" i="12"/>
  <c r="F3251" i="12"/>
  <c r="F3250" i="12"/>
  <c r="F3249" i="12"/>
  <c r="F3248" i="12"/>
  <c r="F3247" i="12"/>
  <c r="F3246" i="12"/>
  <c r="F3245" i="12"/>
  <c r="F3244" i="12"/>
  <c r="F3243" i="12"/>
  <c r="F3242" i="12"/>
  <c r="F3241" i="12"/>
  <c r="F3240" i="12"/>
  <c r="F3239" i="12"/>
  <c r="F3238" i="12"/>
  <c r="F3237" i="12"/>
  <c r="F3236" i="12"/>
  <c r="F3235" i="12"/>
  <c r="F3234" i="12"/>
  <c r="F3233" i="12"/>
  <c r="F3232" i="12"/>
  <c r="F3231" i="12"/>
  <c r="F3230" i="12"/>
  <c r="F3229" i="12"/>
  <c r="F3228" i="12"/>
  <c r="F3227" i="12"/>
  <c r="F3226" i="12"/>
  <c r="F3225" i="12"/>
  <c r="F3224" i="12"/>
  <c r="F3223" i="12"/>
  <c r="F3222" i="12"/>
  <c r="F3221" i="12"/>
  <c r="F3220" i="12"/>
  <c r="F3219" i="12"/>
  <c r="F3218" i="12"/>
  <c r="F3217" i="12"/>
  <c r="F3216" i="12"/>
  <c r="F3215" i="12"/>
  <c r="F3214" i="12"/>
  <c r="F3213" i="12"/>
  <c r="F3212" i="12"/>
  <c r="F3211" i="12"/>
  <c r="F3210" i="12"/>
  <c r="F3209" i="12"/>
  <c r="F3208" i="12"/>
  <c r="F3207" i="12"/>
  <c r="F3206" i="12"/>
  <c r="F3205" i="12"/>
  <c r="F3204" i="12"/>
  <c r="F3203" i="12"/>
  <c r="F3202" i="12"/>
  <c r="F3201" i="12"/>
  <c r="F3200" i="12"/>
  <c r="F3199" i="12"/>
  <c r="F3198" i="12"/>
  <c r="F3197" i="12"/>
  <c r="F3196" i="12"/>
  <c r="F3195" i="12"/>
  <c r="F3194" i="12"/>
  <c r="F3193" i="12"/>
  <c r="F3192" i="12"/>
  <c r="F3191" i="12"/>
  <c r="F3190" i="12"/>
  <c r="F3189" i="12"/>
  <c r="F3188" i="12"/>
  <c r="F3187" i="12"/>
  <c r="F3186" i="12"/>
  <c r="F3185" i="12"/>
  <c r="F3184" i="12"/>
  <c r="F3183" i="12"/>
  <c r="F3182" i="12"/>
  <c r="F3181" i="12"/>
  <c r="F3180" i="12"/>
  <c r="F3179" i="12"/>
  <c r="F3178" i="12"/>
  <c r="F3177" i="12"/>
  <c r="F3176" i="12"/>
  <c r="F3175" i="12"/>
  <c r="F3174" i="12"/>
  <c r="F3173" i="12"/>
  <c r="F3172" i="12"/>
  <c r="F3171" i="12"/>
  <c r="F3170" i="12"/>
  <c r="F3169" i="12"/>
  <c r="F3168" i="12"/>
  <c r="F3167" i="12"/>
  <c r="F3166" i="12"/>
  <c r="F3165" i="12"/>
  <c r="F3164" i="12"/>
  <c r="F3163" i="12"/>
  <c r="F3162" i="12"/>
  <c r="F3161" i="12"/>
  <c r="F3160" i="12"/>
  <c r="F3159" i="12"/>
  <c r="F3158" i="12"/>
  <c r="F3157" i="12"/>
  <c r="F3156" i="12"/>
  <c r="F3155" i="12"/>
  <c r="F3154" i="12"/>
  <c r="F3153" i="12"/>
  <c r="F3152" i="12"/>
  <c r="F3151" i="12"/>
  <c r="F3150" i="12"/>
  <c r="F3149" i="12"/>
  <c r="F3148" i="12"/>
  <c r="F3147" i="12"/>
  <c r="F3146" i="12"/>
  <c r="F3145" i="12"/>
  <c r="F3144" i="12"/>
  <c r="F3143" i="12"/>
  <c r="F3142" i="12"/>
  <c r="F3141" i="12"/>
  <c r="F3140" i="12"/>
  <c r="F3139" i="12"/>
  <c r="F3138" i="12"/>
  <c r="F3137" i="12"/>
  <c r="F3136" i="12"/>
  <c r="F3135" i="12"/>
  <c r="F3134" i="12"/>
  <c r="F3133" i="12"/>
  <c r="F3132" i="12"/>
  <c r="F3131" i="12"/>
  <c r="F3130" i="12"/>
  <c r="F3129" i="12"/>
  <c r="F3128" i="12"/>
  <c r="F3127" i="12"/>
  <c r="F3126" i="12"/>
  <c r="F3125" i="12"/>
  <c r="F3124" i="12"/>
  <c r="F3123" i="12"/>
  <c r="F3122" i="12"/>
  <c r="F3121" i="12"/>
  <c r="F3120" i="12"/>
  <c r="F3119" i="12"/>
  <c r="F3118" i="12"/>
  <c r="F3117" i="12"/>
  <c r="F3116" i="12"/>
  <c r="F3115" i="12"/>
  <c r="F3114" i="12"/>
  <c r="F3113" i="12"/>
  <c r="F3112" i="12"/>
  <c r="F3111" i="12"/>
  <c r="F3110" i="12"/>
  <c r="F3109" i="12"/>
  <c r="F3108" i="12"/>
  <c r="F3107" i="12"/>
  <c r="F3106" i="12"/>
  <c r="F3105" i="12"/>
  <c r="F3104" i="12"/>
  <c r="F3103" i="12"/>
  <c r="F3102" i="12"/>
  <c r="F3101" i="12"/>
  <c r="F3100" i="12"/>
  <c r="F3099" i="12"/>
  <c r="F3098" i="12"/>
  <c r="F3097" i="12"/>
  <c r="F3096" i="12"/>
  <c r="F3095" i="12"/>
  <c r="F3094" i="12"/>
  <c r="F3093" i="12"/>
  <c r="F3092" i="12"/>
  <c r="F3091" i="12"/>
  <c r="F3090" i="12"/>
  <c r="F3089" i="12"/>
  <c r="F3088" i="12"/>
  <c r="F3087" i="12"/>
  <c r="F3086" i="12"/>
  <c r="F3085" i="12"/>
  <c r="F3084" i="12"/>
  <c r="F3083" i="12"/>
  <c r="F3082" i="12"/>
  <c r="F3081" i="12"/>
  <c r="F3080" i="12"/>
  <c r="F3079" i="12"/>
  <c r="F3078" i="12"/>
  <c r="F3077" i="12"/>
  <c r="F3076" i="12"/>
  <c r="F3075" i="12"/>
  <c r="F3074" i="12"/>
  <c r="F3073" i="12"/>
  <c r="F3072" i="12"/>
  <c r="F3071" i="12"/>
  <c r="F3070" i="12"/>
  <c r="F3069" i="12"/>
  <c r="F3068" i="12"/>
  <c r="F3067" i="12"/>
  <c r="F3066" i="12"/>
  <c r="F3065" i="12"/>
  <c r="F3064" i="12"/>
  <c r="F3063" i="12"/>
  <c r="F3062" i="12"/>
  <c r="F3061" i="12"/>
  <c r="F3060" i="12"/>
  <c r="F3059" i="12"/>
  <c r="F3058" i="12"/>
  <c r="F3057" i="12"/>
  <c r="F3056" i="12"/>
  <c r="F3055" i="12"/>
  <c r="F3054" i="12"/>
  <c r="F3053" i="12"/>
  <c r="F3052" i="12"/>
  <c r="F3051" i="12"/>
  <c r="F3050" i="12"/>
  <c r="F3049" i="12"/>
  <c r="F3048" i="12"/>
  <c r="F3047" i="12"/>
  <c r="F3046" i="12"/>
  <c r="F3045" i="12"/>
  <c r="F3044" i="12"/>
  <c r="F3043" i="12"/>
  <c r="F3042" i="12"/>
  <c r="F3041" i="12"/>
  <c r="F3040" i="12"/>
  <c r="F3039" i="12"/>
  <c r="F3038" i="12"/>
  <c r="F3037" i="12"/>
  <c r="F3036" i="12"/>
  <c r="F3035" i="12"/>
  <c r="F3034" i="12"/>
  <c r="F3033" i="12"/>
  <c r="F3032" i="12"/>
  <c r="F3031" i="12"/>
  <c r="F3030" i="12"/>
  <c r="F3029" i="12"/>
  <c r="F3028" i="12"/>
  <c r="F3027" i="12"/>
  <c r="F3026" i="12"/>
  <c r="F3025" i="12"/>
  <c r="F3024" i="12"/>
  <c r="F3023" i="12"/>
  <c r="F3022" i="12"/>
  <c r="F3021" i="12"/>
  <c r="F3020" i="12"/>
  <c r="F3019" i="12"/>
  <c r="F3018" i="12"/>
  <c r="F3017" i="12"/>
  <c r="F3016" i="12"/>
  <c r="F3015" i="12"/>
  <c r="F3014" i="12"/>
  <c r="F3013" i="12"/>
  <c r="F3012" i="12"/>
  <c r="F3011" i="12"/>
  <c r="F3010" i="12"/>
  <c r="F3009" i="12"/>
  <c r="F3008" i="12"/>
  <c r="F3007" i="12"/>
  <c r="F3006" i="12"/>
  <c r="F3005" i="12"/>
  <c r="F3004" i="12"/>
  <c r="F3003" i="12"/>
  <c r="F3002" i="12"/>
  <c r="F3001" i="12"/>
  <c r="F3000" i="12"/>
  <c r="F2999" i="12"/>
  <c r="F2998" i="12"/>
  <c r="F2997" i="12"/>
  <c r="F2996" i="12"/>
  <c r="F2995" i="12"/>
  <c r="F2994" i="12"/>
  <c r="F2993" i="12"/>
  <c r="F2992" i="12"/>
  <c r="F2991" i="12"/>
  <c r="F2990" i="12"/>
  <c r="F2989" i="12"/>
  <c r="F2988" i="12"/>
  <c r="F2987" i="12"/>
  <c r="F2986" i="12"/>
  <c r="F2985" i="12"/>
  <c r="F2984" i="12"/>
  <c r="F2983" i="12"/>
  <c r="F2982" i="12"/>
  <c r="F2981" i="12"/>
  <c r="F2980" i="12"/>
  <c r="F2979" i="12"/>
  <c r="F2978" i="12"/>
  <c r="F2977" i="12"/>
  <c r="F2976" i="12"/>
  <c r="F2975" i="12"/>
  <c r="F2974" i="12"/>
  <c r="F2973" i="12"/>
  <c r="F2972" i="12"/>
  <c r="F2971" i="12"/>
  <c r="F2970" i="12"/>
  <c r="F2969" i="12"/>
  <c r="F2968" i="12"/>
  <c r="F2967" i="12"/>
  <c r="F2966" i="12"/>
  <c r="F2965" i="12"/>
  <c r="F2964" i="12"/>
  <c r="F2963" i="12"/>
  <c r="F2962" i="12"/>
  <c r="F2961" i="12"/>
  <c r="F2960" i="12"/>
  <c r="F2959" i="12"/>
  <c r="F2958" i="12"/>
  <c r="F2957" i="12"/>
  <c r="F2956" i="12"/>
  <c r="F2955" i="12"/>
  <c r="F2954" i="12"/>
  <c r="F2953" i="12"/>
  <c r="F2952" i="12"/>
  <c r="F2951" i="12"/>
  <c r="F2950" i="12"/>
  <c r="F2949" i="12"/>
  <c r="F2948" i="12"/>
  <c r="F2947" i="12"/>
  <c r="F2946" i="12"/>
  <c r="F2945" i="12"/>
  <c r="F2944" i="12"/>
  <c r="F2943" i="12"/>
  <c r="F2942" i="12"/>
  <c r="F2941" i="12"/>
  <c r="F2940" i="12"/>
  <c r="F2939" i="12"/>
  <c r="F2938" i="12"/>
  <c r="F2937" i="12"/>
  <c r="F2936" i="12"/>
  <c r="F2935" i="12"/>
  <c r="F2934" i="12"/>
  <c r="F2933" i="12"/>
  <c r="F2932" i="12"/>
  <c r="F2931" i="12"/>
  <c r="F2930" i="12"/>
  <c r="F2929" i="12"/>
  <c r="F2928" i="12"/>
  <c r="F2927" i="12"/>
  <c r="F2926" i="12"/>
  <c r="F2925" i="12"/>
  <c r="F2924" i="12"/>
  <c r="F2923" i="12"/>
  <c r="F2922" i="12"/>
  <c r="F2921" i="12"/>
  <c r="F2920" i="12"/>
  <c r="F2919" i="12"/>
  <c r="F2918" i="12"/>
  <c r="F2917" i="12"/>
  <c r="F2916" i="12"/>
  <c r="F2915" i="12"/>
  <c r="F2914" i="12"/>
  <c r="F2913" i="12"/>
  <c r="F2912" i="12"/>
  <c r="F2911" i="12"/>
  <c r="F2910" i="12"/>
  <c r="F2909" i="12"/>
  <c r="F2908" i="12"/>
  <c r="F2907" i="12"/>
  <c r="F2906" i="12"/>
  <c r="F2905" i="12"/>
  <c r="F2904" i="12"/>
  <c r="F2903" i="12"/>
  <c r="F2902" i="12"/>
  <c r="F2901" i="12"/>
  <c r="F2900" i="12"/>
  <c r="F2899" i="12"/>
  <c r="F2898" i="12"/>
  <c r="F2897" i="12"/>
  <c r="F2896" i="12"/>
  <c r="F2895" i="12"/>
  <c r="F2894" i="12"/>
  <c r="F2893" i="12"/>
  <c r="F2892" i="12"/>
  <c r="F2891" i="12"/>
  <c r="F2890" i="12"/>
  <c r="F2889" i="12"/>
  <c r="F2888" i="12"/>
  <c r="F2887" i="12"/>
  <c r="F2886" i="12"/>
  <c r="F2885" i="12"/>
  <c r="F2884" i="12"/>
  <c r="F2883" i="12"/>
  <c r="F2882" i="12"/>
  <c r="F2881" i="12"/>
  <c r="F2880" i="12"/>
  <c r="F2879" i="12"/>
  <c r="F2878" i="12"/>
  <c r="F2877" i="12"/>
  <c r="F2876" i="12"/>
  <c r="F2875" i="12"/>
  <c r="F2874" i="12"/>
  <c r="F2873" i="12"/>
  <c r="F2872" i="12"/>
  <c r="F2871" i="12"/>
  <c r="F2870" i="12"/>
  <c r="F2869" i="12"/>
  <c r="F2868" i="12"/>
  <c r="F2867" i="12"/>
  <c r="F2866" i="12"/>
  <c r="F2865" i="12"/>
  <c r="F2864" i="12"/>
  <c r="F2863" i="12"/>
  <c r="F2862" i="12"/>
  <c r="F2861" i="12"/>
  <c r="F2860" i="12"/>
  <c r="F2859" i="12"/>
  <c r="F2858" i="12"/>
  <c r="F2857" i="12"/>
  <c r="F2856" i="12"/>
  <c r="F2855" i="12"/>
  <c r="F2854" i="12"/>
  <c r="F2853" i="12"/>
  <c r="F2852" i="12"/>
  <c r="F2851" i="12"/>
  <c r="F2850" i="12"/>
  <c r="F2849" i="12"/>
  <c r="F2848" i="12"/>
  <c r="F2847" i="12"/>
  <c r="F2846" i="12"/>
  <c r="F2845" i="12"/>
  <c r="F2844" i="12"/>
  <c r="F2843" i="12"/>
  <c r="F2842" i="12"/>
  <c r="F2841" i="12"/>
  <c r="F2840" i="12"/>
  <c r="F2839" i="12"/>
  <c r="F2838" i="12"/>
  <c r="F2837" i="12"/>
  <c r="F2836" i="12"/>
  <c r="F2835" i="12"/>
  <c r="F2834" i="12"/>
  <c r="F2833" i="12"/>
  <c r="F2832" i="12"/>
  <c r="F2831" i="12"/>
  <c r="F2830" i="12"/>
  <c r="F2829" i="12"/>
  <c r="F2828" i="12"/>
  <c r="F2827" i="12"/>
  <c r="F2826" i="12"/>
  <c r="F2825" i="12"/>
  <c r="F2824" i="12"/>
  <c r="F2823" i="12"/>
  <c r="F2822" i="12"/>
  <c r="F2821" i="12"/>
  <c r="F2820" i="12"/>
  <c r="F2819" i="12"/>
  <c r="F2818" i="12"/>
  <c r="F2817" i="12"/>
  <c r="F2816" i="12"/>
  <c r="F2815" i="12"/>
  <c r="F2814" i="12"/>
  <c r="F2813" i="12"/>
  <c r="F2812" i="12"/>
  <c r="F2811" i="12"/>
  <c r="F2810" i="12"/>
  <c r="F2809" i="12"/>
  <c r="F2808" i="12"/>
  <c r="F2807" i="12"/>
  <c r="F2806" i="12"/>
  <c r="F2805" i="12"/>
  <c r="F2804" i="12"/>
  <c r="F2803" i="12"/>
  <c r="F2802" i="12"/>
  <c r="F2801" i="12"/>
  <c r="F2800" i="12"/>
  <c r="F2799" i="12"/>
  <c r="F2798" i="12"/>
  <c r="F2797" i="12"/>
  <c r="F2796" i="12"/>
  <c r="F2795" i="12"/>
  <c r="F2794" i="12"/>
  <c r="F2793" i="12"/>
  <c r="F2792" i="12"/>
  <c r="F2791" i="12"/>
  <c r="F2790" i="12"/>
  <c r="F2789" i="12"/>
  <c r="F2788" i="12"/>
  <c r="F2787" i="12"/>
  <c r="F2786" i="12"/>
  <c r="F2785" i="12"/>
  <c r="F2784" i="12"/>
  <c r="F2783" i="12"/>
  <c r="F2782" i="12"/>
  <c r="F2781" i="12"/>
  <c r="F2780" i="12"/>
  <c r="F2779" i="12"/>
  <c r="F2778" i="12"/>
  <c r="F2777" i="12"/>
  <c r="F2776" i="12"/>
  <c r="F2775" i="12"/>
  <c r="F2774" i="12"/>
  <c r="F2773" i="12"/>
  <c r="F2772" i="12"/>
  <c r="F2771" i="12"/>
  <c r="F2770" i="12"/>
  <c r="F2769" i="12"/>
  <c r="F2768" i="12"/>
  <c r="F2767" i="12"/>
  <c r="F2766" i="12"/>
  <c r="F2765" i="12"/>
  <c r="F2764" i="12"/>
  <c r="F2763" i="12"/>
  <c r="F2762" i="12"/>
  <c r="F2761" i="12"/>
  <c r="F2760" i="12"/>
  <c r="F2759" i="12"/>
  <c r="F2758" i="12"/>
  <c r="F2757" i="12"/>
  <c r="F2756" i="12"/>
  <c r="F2755" i="12"/>
  <c r="F2754" i="12"/>
  <c r="F2753" i="12"/>
  <c r="F2752" i="12"/>
  <c r="F2751" i="12"/>
  <c r="F2750" i="12"/>
  <c r="F2749" i="12"/>
  <c r="F2748" i="12"/>
  <c r="F2747" i="12"/>
  <c r="F2746" i="12"/>
  <c r="F2745" i="12"/>
  <c r="F2744" i="12"/>
  <c r="F2743" i="12"/>
  <c r="F2742" i="12"/>
  <c r="F2741" i="12"/>
  <c r="F2740" i="12"/>
  <c r="F2739" i="12"/>
  <c r="F2738" i="12"/>
  <c r="F2737" i="12"/>
  <c r="F2736" i="12"/>
  <c r="F2735" i="12"/>
  <c r="F2734" i="12"/>
  <c r="F2733" i="12"/>
  <c r="F2732" i="12"/>
  <c r="F2731" i="12"/>
  <c r="F2730" i="12"/>
  <c r="F2729" i="12"/>
  <c r="F2728" i="12"/>
  <c r="F2727" i="12"/>
  <c r="F2726" i="12"/>
  <c r="F2725" i="12"/>
  <c r="F2724" i="12"/>
  <c r="F2723" i="12"/>
  <c r="F2722" i="12"/>
  <c r="F2721" i="12"/>
  <c r="F2720" i="12"/>
  <c r="F2719" i="12"/>
  <c r="F2718" i="12"/>
  <c r="F2717" i="12"/>
  <c r="F2716" i="12"/>
  <c r="F2715" i="12"/>
  <c r="F2714" i="12"/>
  <c r="F2713" i="12"/>
  <c r="F2712" i="12"/>
  <c r="F2711" i="12"/>
  <c r="F2710" i="12"/>
  <c r="F2709" i="12"/>
  <c r="F2708" i="12"/>
  <c r="F2707" i="12"/>
  <c r="F2706" i="12"/>
  <c r="F2705" i="12"/>
  <c r="F2704" i="12"/>
  <c r="F2703" i="12"/>
  <c r="F2702" i="12"/>
  <c r="F2701" i="12"/>
  <c r="F2700" i="12"/>
  <c r="F2699" i="12"/>
  <c r="F2698" i="12"/>
  <c r="F2697" i="12"/>
  <c r="F2696" i="12"/>
  <c r="F2695" i="12"/>
  <c r="F2694" i="12"/>
  <c r="F2693" i="12"/>
  <c r="F2692" i="12"/>
  <c r="F2691" i="12"/>
  <c r="F2690" i="12"/>
  <c r="F2689" i="12"/>
  <c r="F2688" i="12"/>
  <c r="F2687" i="12"/>
  <c r="F2686" i="12"/>
  <c r="F2685" i="12"/>
  <c r="F2684" i="12"/>
  <c r="F2683" i="12"/>
  <c r="F2682" i="12"/>
  <c r="F2681" i="12"/>
  <c r="F2680" i="12"/>
  <c r="F2679" i="12"/>
  <c r="F2678" i="12"/>
  <c r="F2677" i="12"/>
  <c r="F2676" i="12"/>
  <c r="F2675" i="12"/>
  <c r="F2674" i="12"/>
  <c r="F2673" i="12"/>
  <c r="F2672" i="12"/>
  <c r="F2671" i="12"/>
  <c r="F2670" i="12"/>
  <c r="F2669" i="12"/>
  <c r="F2668" i="12"/>
  <c r="F2667" i="12"/>
  <c r="F2666" i="12"/>
  <c r="F2665" i="12"/>
  <c r="F2664" i="12"/>
  <c r="F2663" i="12"/>
  <c r="F2662" i="12"/>
  <c r="F2661" i="12"/>
  <c r="F2660" i="12"/>
  <c r="F2659" i="12"/>
  <c r="F2658" i="12"/>
  <c r="F2657" i="12"/>
  <c r="F2656" i="12"/>
  <c r="F2655" i="12"/>
  <c r="F2654" i="12"/>
  <c r="F2653" i="12"/>
  <c r="F2652" i="12"/>
  <c r="F2651" i="12"/>
  <c r="F2650" i="12"/>
  <c r="F2649" i="12"/>
  <c r="F2648" i="12"/>
  <c r="F2647" i="12"/>
  <c r="F2646" i="12"/>
  <c r="F2645" i="12"/>
  <c r="F2644" i="12"/>
  <c r="F2643" i="12"/>
  <c r="F2642" i="12"/>
  <c r="F2641" i="12"/>
  <c r="F2640" i="12"/>
  <c r="F2639" i="12"/>
  <c r="F2638" i="12"/>
  <c r="F2637" i="12"/>
  <c r="F2636" i="12"/>
  <c r="F2635" i="12"/>
  <c r="F2634" i="12"/>
  <c r="F2633" i="12"/>
  <c r="F2632" i="12"/>
  <c r="F2631" i="12"/>
  <c r="F2630" i="12"/>
  <c r="F2629" i="12"/>
  <c r="F2628" i="12"/>
  <c r="F2627" i="12"/>
  <c r="F2626" i="12"/>
  <c r="F2625" i="12"/>
  <c r="F2624" i="12"/>
  <c r="F2623" i="12"/>
  <c r="F2622" i="12"/>
  <c r="F2621" i="12"/>
  <c r="F2620" i="12"/>
  <c r="F2619" i="12"/>
  <c r="F2618" i="12"/>
  <c r="F2617" i="12"/>
  <c r="F2616" i="12"/>
  <c r="F2615" i="12"/>
  <c r="F2614" i="12"/>
  <c r="F2613" i="12"/>
  <c r="F2612" i="12"/>
  <c r="F2611" i="12"/>
  <c r="F2610" i="12"/>
  <c r="F2609" i="12"/>
  <c r="F2608" i="12"/>
  <c r="F2607" i="12"/>
  <c r="F2606" i="12"/>
  <c r="F2605" i="12"/>
  <c r="F2604" i="12"/>
  <c r="F2603" i="12"/>
  <c r="F2602" i="12"/>
  <c r="F2601" i="12"/>
  <c r="F2600" i="12"/>
  <c r="F2599" i="12"/>
  <c r="F2598" i="12"/>
  <c r="F2597" i="12"/>
  <c r="F2596" i="12"/>
  <c r="F2595" i="12"/>
  <c r="F2594" i="12"/>
  <c r="F2593" i="12"/>
  <c r="F2592" i="12"/>
  <c r="F2591" i="12"/>
  <c r="F2590" i="12"/>
  <c r="F2589" i="12"/>
  <c r="F2588" i="12"/>
  <c r="F2587" i="12"/>
  <c r="F2586" i="12"/>
  <c r="F2585" i="12"/>
  <c r="F2584" i="12"/>
  <c r="F2583" i="12"/>
  <c r="F2582" i="12"/>
  <c r="F2581" i="12"/>
  <c r="F2580" i="12"/>
  <c r="F2579" i="12"/>
  <c r="F2578" i="12"/>
  <c r="F2577" i="12"/>
  <c r="F2576" i="12"/>
  <c r="F2575" i="12"/>
  <c r="F2574" i="12"/>
  <c r="F2573" i="12"/>
  <c r="F2572" i="12"/>
  <c r="F2571" i="12"/>
  <c r="F2570" i="12"/>
  <c r="F2569" i="12"/>
  <c r="F2568" i="12"/>
  <c r="F2567" i="12"/>
  <c r="F2566" i="12"/>
  <c r="F2565" i="12"/>
  <c r="F2564" i="12"/>
  <c r="F2563" i="12"/>
  <c r="F2562" i="12"/>
  <c r="F2561" i="12"/>
  <c r="F2560" i="12"/>
  <c r="F2559" i="12"/>
  <c r="F2558" i="12"/>
  <c r="F2557" i="12"/>
  <c r="F2556" i="12"/>
  <c r="F2555" i="12"/>
  <c r="F2554" i="12"/>
  <c r="F2553" i="12"/>
  <c r="F2552" i="12"/>
  <c r="F2551" i="12"/>
  <c r="F2550" i="12"/>
  <c r="F2549" i="12"/>
  <c r="F2548" i="12"/>
  <c r="F2547" i="12"/>
  <c r="F2546" i="12"/>
  <c r="F2545" i="12"/>
  <c r="F2544" i="12"/>
  <c r="F2543" i="12"/>
  <c r="F2542" i="12"/>
  <c r="F2541" i="12"/>
  <c r="F2540" i="12"/>
  <c r="F2539" i="12"/>
  <c r="F2538" i="12"/>
  <c r="F2537" i="12"/>
  <c r="F2536" i="12"/>
  <c r="F2535" i="12"/>
  <c r="F2534" i="12"/>
  <c r="F2533" i="12"/>
  <c r="F2532" i="12"/>
  <c r="F2531" i="12"/>
  <c r="F2530" i="12"/>
  <c r="F2529" i="12"/>
  <c r="F2528" i="12"/>
  <c r="F2527" i="12"/>
  <c r="F2526" i="12"/>
  <c r="F2525" i="12"/>
  <c r="F2524" i="12"/>
  <c r="F2523" i="12"/>
  <c r="F2522" i="12"/>
  <c r="F2521" i="12"/>
  <c r="F2520" i="12"/>
  <c r="F2519" i="12"/>
  <c r="F2518" i="12"/>
  <c r="F2517" i="12"/>
  <c r="F2516" i="12"/>
  <c r="F2515" i="12"/>
  <c r="F2514" i="12"/>
  <c r="F2513" i="12"/>
  <c r="F2512" i="12"/>
  <c r="F2511" i="12"/>
  <c r="F2510" i="12"/>
  <c r="F2509" i="12"/>
  <c r="F2508" i="12"/>
  <c r="F2507" i="12"/>
  <c r="F2506" i="12"/>
  <c r="F2505" i="12"/>
  <c r="F2504" i="12"/>
  <c r="F2503" i="12"/>
  <c r="F2502" i="12"/>
  <c r="F2501" i="12"/>
  <c r="F2500" i="12"/>
  <c r="F2499" i="12"/>
  <c r="F2498" i="12"/>
  <c r="F2497" i="12"/>
  <c r="F2496" i="12"/>
  <c r="F2495" i="12"/>
  <c r="F2494" i="12"/>
  <c r="F2493" i="12"/>
  <c r="F2492" i="12"/>
  <c r="F2491" i="12"/>
  <c r="F2490" i="12"/>
  <c r="F2489" i="12"/>
  <c r="F2488" i="12"/>
  <c r="F2487" i="12"/>
  <c r="F2486" i="12"/>
  <c r="F2485" i="12"/>
  <c r="F2484" i="12"/>
  <c r="F2483" i="12"/>
  <c r="F2482" i="12"/>
  <c r="F2481" i="12"/>
  <c r="F2480" i="12"/>
  <c r="F2479" i="12"/>
  <c r="F2478" i="12"/>
  <c r="F2477" i="12"/>
  <c r="F2476" i="12"/>
  <c r="F2475" i="12"/>
  <c r="F2474" i="12"/>
  <c r="F2473" i="12"/>
  <c r="F2472" i="12"/>
  <c r="F2471" i="12"/>
  <c r="F2470" i="12"/>
  <c r="F2469" i="12"/>
  <c r="F2468" i="12"/>
  <c r="F2467" i="12"/>
  <c r="F2466" i="12"/>
  <c r="F2465" i="12"/>
  <c r="F2464" i="12"/>
  <c r="F2463" i="12"/>
  <c r="F2462" i="12"/>
  <c r="F2461" i="12"/>
  <c r="F2460" i="12"/>
  <c r="F2459" i="12"/>
  <c r="F2458" i="12"/>
  <c r="F2457" i="12"/>
  <c r="F2456" i="12"/>
  <c r="F2455" i="12"/>
  <c r="F2454" i="12"/>
  <c r="F2453" i="12"/>
  <c r="F2452" i="12"/>
  <c r="F2451" i="12"/>
  <c r="F2450" i="12"/>
  <c r="F2449" i="12"/>
  <c r="F2448" i="12"/>
  <c r="F2447" i="12"/>
  <c r="F2446" i="12"/>
  <c r="F2445" i="12"/>
  <c r="F2444" i="12"/>
  <c r="F2443" i="12"/>
  <c r="F2442" i="12"/>
  <c r="F2441" i="12"/>
  <c r="F2440" i="12"/>
  <c r="F2439" i="12"/>
  <c r="F2438" i="12"/>
  <c r="F2437" i="12"/>
  <c r="F2436" i="12"/>
  <c r="F2435" i="12"/>
  <c r="F2434" i="12"/>
  <c r="F2433" i="12"/>
  <c r="F2432" i="12"/>
  <c r="F2431" i="12"/>
  <c r="F2430" i="12"/>
  <c r="F2429" i="12"/>
  <c r="F2428" i="12"/>
  <c r="F2427" i="12"/>
  <c r="F2426" i="12"/>
  <c r="F2425" i="12"/>
  <c r="F2424" i="12"/>
  <c r="F2423" i="12"/>
  <c r="F2422" i="12"/>
  <c r="F2421" i="12"/>
  <c r="F2420" i="12"/>
  <c r="F2419" i="12"/>
  <c r="F2418" i="12"/>
  <c r="F2417" i="12"/>
  <c r="F2416" i="12"/>
  <c r="F2415" i="12"/>
  <c r="F2414" i="12"/>
  <c r="F2413" i="12"/>
  <c r="F2412" i="12"/>
  <c r="F2411" i="12"/>
  <c r="F2410" i="12"/>
  <c r="F2409" i="12"/>
  <c r="F2408" i="12"/>
  <c r="F2407" i="12"/>
  <c r="F2406" i="12"/>
  <c r="F2405" i="12"/>
  <c r="F2404" i="12"/>
  <c r="F2403" i="12"/>
  <c r="F2402" i="12"/>
  <c r="F2401" i="12"/>
  <c r="F2400" i="12"/>
  <c r="F2399" i="12"/>
  <c r="F2398" i="12"/>
  <c r="F2397" i="12"/>
  <c r="F2396" i="12"/>
  <c r="F2395" i="12"/>
  <c r="F2394" i="12"/>
  <c r="F2393" i="12"/>
  <c r="F2392" i="12"/>
  <c r="F2391" i="12"/>
  <c r="F2390" i="12"/>
  <c r="F2389" i="12"/>
  <c r="F2388" i="12"/>
  <c r="F2387" i="12"/>
  <c r="F2386" i="12"/>
  <c r="F2385" i="12"/>
  <c r="F2384" i="12"/>
  <c r="F2383" i="12"/>
  <c r="F2382" i="12"/>
  <c r="F2381" i="12"/>
  <c r="F2380" i="12"/>
  <c r="F2379" i="12"/>
  <c r="F2378" i="12"/>
  <c r="F2377" i="12"/>
  <c r="F2376" i="12"/>
  <c r="F2375" i="12"/>
  <c r="F2374" i="12"/>
  <c r="F2373" i="12"/>
  <c r="F2372" i="12"/>
  <c r="F2371" i="12"/>
  <c r="F2370" i="12"/>
  <c r="F2369" i="12"/>
  <c r="F2368" i="12"/>
  <c r="F2367" i="12"/>
  <c r="F2366" i="12"/>
  <c r="F2365" i="12"/>
  <c r="F2364" i="12"/>
  <c r="F2363" i="12"/>
  <c r="F2362" i="12"/>
  <c r="F2361" i="12"/>
  <c r="F2360" i="12"/>
  <c r="F2359" i="12"/>
  <c r="F2358" i="12"/>
  <c r="F2357" i="12"/>
  <c r="F2356" i="12"/>
  <c r="F2355" i="12"/>
  <c r="F2354" i="12"/>
  <c r="F2353" i="12"/>
  <c r="F2352" i="12"/>
  <c r="F2351" i="12"/>
  <c r="F2350" i="12"/>
  <c r="F2349" i="12"/>
  <c r="F2348" i="12"/>
  <c r="F2347" i="12"/>
  <c r="F2346" i="12"/>
  <c r="F2345" i="12"/>
  <c r="F2344" i="12"/>
  <c r="F2343" i="12"/>
  <c r="F2342" i="12"/>
  <c r="F2341" i="12"/>
  <c r="F2340" i="12"/>
  <c r="F2339" i="12"/>
  <c r="F2338" i="12"/>
  <c r="F2337" i="12"/>
  <c r="F2336" i="12"/>
  <c r="F2335" i="12"/>
  <c r="F2334" i="12"/>
  <c r="F2333" i="12"/>
  <c r="F2332" i="12"/>
  <c r="F2331" i="12"/>
  <c r="F2330" i="12"/>
  <c r="F2329" i="12"/>
  <c r="F2328" i="12"/>
  <c r="F2327" i="12"/>
  <c r="F2326" i="12"/>
  <c r="F2325" i="12"/>
  <c r="F2324" i="12"/>
  <c r="F2323" i="12"/>
  <c r="F2322" i="12"/>
  <c r="F2321" i="12"/>
  <c r="F2320" i="12"/>
  <c r="F2319" i="12"/>
  <c r="F2318" i="12"/>
  <c r="F2317" i="12"/>
  <c r="F2316" i="12"/>
  <c r="F2315" i="12"/>
  <c r="F2314" i="12"/>
  <c r="F2313" i="12"/>
  <c r="F2312" i="12"/>
  <c r="F2311" i="12"/>
  <c r="F2310" i="12"/>
  <c r="F2309" i="12"/>
  <c r="F2308" i="12"/>
  <c r="F2307" i="12"/>
  <c r="F2306" i="12"/>
  <c r="F2305" i="12"/>
  <c r="F2304" i="12"/>
  <c r="F2303" i="12"/>
  <c r="F2302" i="12"/>
  <c r="F2301" i="12"/>
  <c r="F2300" i="12"/>
  <c r="F2299" i="12"/>
  <c r="F2298" i="12"/>
  <c r="F2297" i="12"/>
  <c r="F2296" i="12"/>
  <c r="F2295" i="12"/>
  <c r="F2294" i="12"/>
  <c r="F2293" i="12"/>
  <c r="F2292" i="12"/>
  <c r="F2291" i="12"/>
  <c r="F2290" i="12"/>
  <c r="F2289" i="12"/>
  <c r="F2288" i="12"/>
  <c r="F2287" i="12"/>
  <c r="F2286" i="12"/>
  <c r="F2285" i="12"/>
  <c r="F2284" i="12"/>
  <c r="F2283" i="12"/>
  <c r="F2282" i="12"/>
  <c r="F2281" i="12"/>
  <c r="F2280" i="12"/>
  <c r="F2279" i="12"/>
  <c r="F2278" i="12"/>
  <c r="F2277" i="12"/>
  <c r="F2276" i="12"/>
  <c r="F2275" i="12"/>
  <c r="F2274" i="12"/>
  <c r="F2273" i="12"/>
  <c r="F2272" i="12"/>
  <c r="F2271" i="12"/>
  <c r="F2270" i="12"/>
  <c r="F2269" i="12"/>
  <c r="F2268" i="12"/>
  <c r="F2267" i="12"/>
  <c r="F2266" i="12"/>
  <c r="F2265" i="12"/>
  <c r="F2264" i="12"/>
  <c r="F2263" i="12"/>
  <c r="F2262" i="12"/>
  <c r="F2261" i="12"/>
  <c r="F2260" i="12"/>
  <c r="F2259" i="12"/>
  <c r="F2258" i="12"/>
  <c r="F2257" i="12"/>
  <c r="F2256" i="12"/>
  <c r="F2255" i="12"/>
  <c r="F2254" i="12"/>
  <c r="F2253" i="12"/>
  <c r="F2252" i="12"/>
  <c r="F2251" i="12"/>
  <c r="F2250" i="12"/>
  <c r="F2249" i="12"/>
  <c r="F2248" i="12"/>
  <c r="F2247" i="12"/>
  <c r="F2246" i="12"/>
  <c r="F2245" i="12"/>
  <c r="F2244" i="12"/>
  <c r="F2243" i="12"/>
  <c r="F2242" i="12"/>
  <c r="F2241" i="12"/>
  <c r="F2240" i="12"/>
  <c r="F2239" i="12"/>
  <c r="F2238" i="12"/>
  <c r="F2237" i="12"/>
  <c r="F2236" i="12"/>
  <c r="F2235" i="12"/>
  <c r="F2234" i="12"/>
  <c r="F2233" i="12"/>
  <c r="F2232" i="12"/>
  <c r="F2231" i="12"/>
  <c r="F2230" i="12"/>
  <c r="F2229" i="12"/>
  <c r="F2228" i="12"/>
  <c r="F2227" i="12"/>
  <c r="F2226" i="12"/>
  <c r="F2225" i="12"/>
  <c r="F2224" i="12"/>
  <c r="F2223" i="12"/>
  <c r="F2222" i="12"/>
  <c r="F2221" i="12"/>
  <c r="F2220" i="12"/>
  <c r="F2219" i="12"/>
  <c r="F2218" i="12"/>
  <c r="F2217" i="12"/>
  <c r="F2216" i="12"/>
  <c r="F2215" i="12"/>
  <c r="F2214" i="12"/>
  <c r="F2213" i="12"/>
  <c r="F2212" i="12"/>
  <c r="F2211" i="12"/>
  <c r="F2210" i="12"/>
  <c r="F2209" i="12"/>
  <c r="F2208" i="12"/>
  <c r="F2207" i="12"/>
  <c r="F2206" i="12"/>
  <c r="F2205" i="12"/>
  <c r="F2204" i="12"/>
  <c r="F2203" i="12"/>
  <c r="F2202" i="12"/>
  <c r="F2201" i="12"/>
  <c r="F2200" i="12"/>
  <c r="F2199" i="12"/>
  <c r="F2198" i="12"/>
  <c r="F2197" i="12"/>
  <c r="F2196" i="12"/>
  <c r="F2195" i="12"/>
  <c r="F2194" i="12"/>
  <c r="F2193" i="12"/>
  <c r="F2192" i="12"/>
  <c r="F2191" i="12"/>
  <c r="F2190" i="12"/>
  <c r="F2189" i="12"/>
  <c r="F2188" i="12"/>
  <c r="F2187" i="12"/>
  <c r="F2186" i="12"/>
  <c r="F2185" i="12"/>
  <c r="F2184" i="12"/>
  <c r="F2183" i="12"/>
  <c r="F2182" i="12"/>
  <c r="F2181" i="12"/>
  <c r="F2180" i="12"/>
  <c r="F2179" i="12"/>
  <c r="F2178" i="12"/>
  <c r="F2177" i="12"/>
  <c r="F2176" i="12"/>
  <c r="F2175" i="12"/>
  <c r="F2174" i="12"/>
  <c r="F2173" i="12"/>
  <c r="F2172" i="12"/>
  <c r="F2171" i="12"/>
  <c r="F2170" i="12"/>
  <c r="F2169" i="12"/>
  <c r="F2168" i="12"/>
  <c r="F2167" i="12"/>
  <c r="F2166" i="12"/>
  <c r="F2165" i="12"/>
  <c r="F2164" i="12"/>
  <c r="F2163" i="12"/>
  <c r="F2162" i="12"/>
  <c r="F2161" i="12"/>
  <c r="F2160" i="12"/>
  <c r="F2159" i="12"/>
  <c r="F2158" i="12"/>
  <c r="F2157" i="12"/>
  <c r="F2156" i="12"/>
  <c r="F2155" i="12"/>
  <c r="F2154" i="12"/>
  <c r="F2153" i="12"/>
  <c r="F2152" i="12"/>
  <c r="F2151" i="12"/>
  <c r="F2150" i="12"/>
  <c r="F2149" i="12"/>
  <c r="F2148" i="12"/>
  <c r="F2147" i="12"/>
  <c r="F2146" i="12"/>
  <c r="F2145" i="12"/>
  <c r="F2144" i="12"/>
  <c r="F2143" i="12"/>
  <c r="F2142" i="12"/>
  <c r="F2141" i="12"/>
  <c r="F2140" i="12"/>
  <c r="F2139" i="12"/>
  <c r="F2138" i="12"/>
  <c r="F2137" i="12"/>
  <c r="F2136" i="12"/>
  <c r="F2135" i="12"/>
  <c r="F2134" i="12"/>
  <c r="F2133" i="12"/>
  <c r="F2132" i="12"/>
  <c r="F2131" i="12"/>
  <c r="F2130" i="12"/>
  <c r="F2129" i="12"/>
  <c r="F2128" i="12"/>
  <c r="F2127" i="12"/>
  <c r="F2126" i="12"/>
  <c r="F2125" i="12"/>
  <c r="F2124" i="12"/>
  <c r="F2123" i="12"/>
  <c r="F2122" i="12"/>
  <c r="F2121" i="12"/>
  <c r="F2120" i="12"/>
  <c r="F2119" i="12"/>
  <c r="F2118" i="12"/>
  <c r="F2117" i="12"/>
  <c r="F2116" i="12"/>
  <c r="F2115" i="12"/>
  <c r="F2114" i="12"/>
  <c r="F2113" i="12"/>
  <c r="F2112" i="12"/>
  <c r="F2111" i="12"/>
  <c r="F2110" i="12"/>
  <c r="F2109" i="12"/>
  <c r="F2108" i="12"/>
  <c r="F2107" i="12"/>
  <c r="F2106" i="12"/>
  <c r="F2105" i="12"/>
  <c r="F2104" i="12"/>
  <c r="F2103" i="12"/>
  <c r="F2102" i="12"/>
  <c r="F2101" i="12"/>
  <c r="F2100" i="12"/>
  <c r="F2099" i="12"/>
  <c r="F2098" i="12"/>
  <c r="F2097" i="12"/>
  <c r="F2096" i="12"/>
  <c r="F2095" i="12"/>
  <c r="F2094" i="12"/>
  <c r="F2093" i="12"/>
  <c r="F2092" i="12"/>
  <c r="F2091" i="12"/>
  <c r="F2090" i="12"/>
  <c r="F2089" i="12"/>
  <c r="F2088" i="12"/>
  <c r="F2087" i="12"/>
  <c r="F2086" i="12"/>
  <c r="F2085" i="12"/>
  <c r="F2084" i="12"/>
  <c r="F2083" i="12"/>
  <c r="F2082" i="12"/>
  <c r="F2081" i="12"/>
  <c r="F2080" i="12"/>
  <c r="F2079" i="12"/>
  <c r="F2078" i="12"/>
  <c r="F2077" i="12"/>
  <c r="F2076" i="12"/>
  <c r="F2075" i="12"/>
  <c r="F2074" i="12"/>
  <c r="F2073" i="12"/>
  <c r="F2072" i="12"/>
  <c r="F2071" i="12"/>
  <c r="F2070" i="12"/>
  <c r="F2069" i="12"/>
  <c r="F2068" i="12"/>
  <c r="F2067" i="12"/>
  <c r="F2066" i="12"/>
  <c r="F2065" i="12"/>
  <c r="F2064" i="12"/>
  <c r="F2063" i="12"/>
  <c r="F2062" i="12"/>
  <c r="F2061" i="12"/>
  <c r="F2060" i="12"/>
  <c r="F2059" i="12"/>
  <c r="F2058" i="12"/>
  <c r="F2057" i="12"/>
  <c r="F2056" i="12"/>
  <c r="F2055" i="12"/>
  <c r="F2054" i="12"/>
  <c r="F2053" i="12"/>
  <c r="F2052" i="12"/>
  <c r="F2051" i="12"/>
  <c r="F2050" i="12"/>
  <c r="F2049" i="12"/>
  <c r="F2048" i="12"/>
  <c r="F2047" i="12"/>
  <c r="F2046" i="12"/>
  <c r="F2045" i="12"/>
  <c r="F2044" i="12"/>
  <c r="F2043" i="12"/>
  <c r="F2042" i="12"/>
  <c r="F2041" i="12"/>
  <c r="F2040" i="12"/>
  <c r="F2039" i="12"/>
  <c r="F2038" i="12"/>
  <c r="F2037" i="12"/>
  <c r="F2036" i="12"/>
  <c r="F2035" i="12"/>
  <c r="F2034" i="12"/>
  <c r="F2033" i="12"/>
  <c r="F2032" i="12"/>
  <c r="F2031" i="12"/>
  <c r="F2030" i="12"/>
  <c r="F2029" i="12"/>
  <c r="F2028" i="12"/>
  <c r="F2027" i="12"/>
  <c r="F2026" i="12"/>
  <c r="F2025" i="12"/>
  <c r="F2024" i="12"/>
  <c r="F2023" i="12"/>
  <c r="F2022" i="12"/>
  <c r="F2021" i="12"/>
  <c r="F2020" i="12"/>
  <c r="F2019" i="12"/>
  <c r="F2018" i="12"/>
  <c r="F2017" i="12"/>
  <c r="F2016" i="12"/>
  <c r="F2015" i="12"/>
  <c r="F2014" i="12"/>
  <c r="F2013" i="12"/>
  <c r="F2012" i="12"/>
  <c r="F2011" i="12"/>
  <c r="F2010" i="12"/>
  <c r="F2009" i="12"/>
  <c r="F2008" i="12"/>
  <c r="F2007" i="12"/>
  <c r="F2006" i="12"/>
  <c r="F2005" i="12"/>
  <c r="F2004" i="12"/>
  <c r="F2003" i="12"/>
  <c r="F2002" i="12"/>
  <c r="F2001" i="12"/>
  <c r="F2000" i="12"/>
  <c r="F1999" i="12"/>
  <c r="F1998" i="12"/>
  <c r="F1997" i="12"/>
  <c r="F1996" i="12"/>
  <c r="F1995" i="12"/>
  <c r="F1994" i="12"/>
  <c r="F1993" i="12"/>
  <c r="F1992" i="12"/>
  <c r="F1991" i="12"/>
  <c r="F1990" i="12"/>
  <c r="F1989" i="12"/>
  <c r="F1988" i="12"/>
  <c r="F1987" i="12"/>
  <c r="F1986" i="12"/>
  <c r="F1985" i="12"/>
  <c r="F1984" i="12"/>
  <c r="F1983" i="12"/>
  <c r="F1982" i="12"/>
  <c r="F1981" i="12"/>
  <c r="F1980" i="12"/>
  <c r="F1979" i="12"/>
  <c r="F1978" i="12"/>
  <c r="F1977" i="12"/>
  <c r="F1976" i="12"/>
  <c r="F1975" i="12"/>
  <c r="F1974" i="12"/>
  <c r="F1973" i="12"/>
  <c r="F1972" i="12"/>
  <c r="F1971" i="12"/>
  <c r="F1970" i="12"/>
  <c r="F1969" i="12"/>
  <c r="F1968" i="12"/>
  <c r="F1967" i="12"/>
  <c r="F1966" i="12"/>
  <c r="F1965" i="12"/>
  <c r="F1964" i="12"/>
  <c r="F1963" i="12"/>
  <c r="F1962" i="12"/>
  <c r="F1961" i="12"/>
  <c r="F1960" i="12"/>
  <c r="F1959" i="12"/>
  <c r="F1958" i="12"/>
  <c r="F1957" i="12"/>
  <c r="F1956" i="12"/>
  <c r="F1955" i="12"/>
  <c r="F1954" i="12"/>
  <c r="F1953" i="12"/>
  <c r="F1952" i="12"/>
  <c r="F1951" i="12"/>
  <c r="F1950" i="12"/>
  <c r="F1949" i="12"/>
  <c r="F1948" i="12"/>
  <c r="F1947" i="12"/>
  <c r="F1946" i="12"/>
  <c r="F1945" i="12"/>
  <c r="F1944" i="12"/>
  <c r="F1943" i="12"/>
  <c r="F1942" i="12"/>
  <c r="F1941" i="12"/>
  <c r="F1940" i="12"/>
  <c r="F1939" i="12"/>
  <c r="F1938" i="12"/>
  <c r="F1937" i="12"/>
  <c r="F1936" i="12"/>
  <c r="F1935" i="12"/>
  <c r="F1934" i="12"/>
  <c r="F1933" i="12"/>
  <c r="F1932" i="12"/>
  <c r="F1931" i="12"/>
  <c r="F1930" i="12"/>
  <c r="F1929" i="12"/>
  <c r="F1928" i="12"/>
  <c r="F1927" i="12"/>
  <c r="F1926" i="12"/>
  <c r="F1925" i="12"/>
  <c r="F1924" i="12"/>
  <c r="F1923" i="12"/>
  <c r="F1922" i="12"/>
  <c r="F1921" i="12"/>
  <c r="F1920" i="12"/>
  <c r="F1919" i="12"/>
  <c r="F1918" i="12"/>
  <c r="F1917" i="12"/>
  <c r="F1916" i="12"/>
  <c r="F1915" i="12"/>
  <c r="F1914" i="12"/>
  <c r="F1913" i="12"/>
  <c r="F1912" i="12"/>
  <c r="F1911" i="12"/>
  <c r="F1910" i="12"/>
  <c r="F1909" i="12"/>
  <c r="F1908" i="12"/>
  <c r="F1907" i="12"/>
  <c r="F1906" i="12"/>
  <c r="F1905" i="12"/>
  <c r="F1904" i="12"/>
  <c r="F1903" i="12"/>
  <c r="F1902" i="12"/>
  <c r="F1901" i="12"/>
  <c r="F1900" i="12"/>
  <c r="F1899" i="12"/>
  <c r="F1898" i="12"/>
  <c r="F1897" i="12"/>
  <c r="F1896" i="12"/>
  <c r="F1895" i="12"/>
  <c r="F1894" i="12"/>
  <c r="F1893" i="12"/>
  <c r="F1892" i="12"/>
  <c r="F1891" i="12"/>
  <c r="F1890" i="12"/>
  <c r="F1889" i="12"/>
  <c r="F1888" i="12"/>
  <c r="F1887" i="12"/>
  <c r="F1886" i="12"/>
  <c r="F1885" i="12"/>
  <c r="F1884" i="12"/>
  <c r="F1883" i="12"/>
  <c r="F1882" i="12"/>
  <c r="F1881" i="12"/>
  <c r="F1880" i="12"/>
  <c r="F1879" i="12"/>
  <c r="F1878" i="12"/>
  <c r="F1877" i="12"/>
  <c r="F1876" i="12"/>
  <c r="F1875" i="12"/>
  <c r="F1874" i="12"/>
  <c r="F1873" i="12"/>
  <c r="F1872" i="12"/>
  <c r="F1871" i="12"/>
  <c r="F1870" i="12"/>
  <c r="F1869" i="12"/>
  <c r="F1868" i="12"/>
  <c r="F1867" i="12"/>
  <c r="F1866" i="12"/>
  <c r="F1865" i="12"/>
  <c r="F1864" i="12"/>
  <c r="F1863" i="12"/>
  <c r="F1862" i="12"/>
  <c r="F1861" i="12"/>
  <c r="F1860" i="12"/>
  <c r="F1859" i="12"/>
  <c r="F1858" i="12"/>
  <c r="F1857" i="12"/>
  <c r="F1856" i="12"/>
  <c r="F1855" i="12"/>
  <c r="F1854" i="12"/>
  <c r="F1853" i="12"/>
  <c r="F1852" i="12"/>
  <c r="F1851" i="12"/>
  <c r="F1850" i="12"/>
  <c r="F1849" i="12"/>
  <c r="F1848" i="12"/>
  <c r="F1847" i="12"/>
  <c r="F1846" i="12"/>
  <c r="F1845" i="12"/>
  <c r="F1844" i="12"/>
  <c r="F1843" i="12"/>
  <c r="F1842" i="12"/>
  <c r="F1841" i="12"/>
  <c r="F1840" i="12"/>
  <c r="F1839" i="12"/>
  <c r="F1838" i="12"/>
  <c r="F1837" i="12"/>
  <c r="F1836" i="12"/>
  <c r="F1835" i="12"/>
  <c r="F1834" i="12"/>
  <c r="F1833" i="12"/>
  <c r="F1832" i="12"/>
  <c r="F1831" i="12"/>
  <c r="F1830" i="12"/>
  <c r="F1829" i="12"/>
  <c r="F1828" i="12"/>
  <c r="F1827" i="12"/>
  <c r="F1826" i="12"/>
  <c r="F1825" i="12"/>
  <c r="F1824" i="12"/>
  <c r="F1823" i="12"/>
  <c r="F1822" i="12"/>
  <c r="F1821" i="12"/>
  <c r="F1820" i="12"/>
  <c r="F1819" i="12"/>
  <c r="F1818" i="12"/>
  <c r="F1817" i="12"/>
  <c r="F1816" i="12"/>
  <c r="F1815" i="12"/>
  <c r="F1814" i="12"/>
  <c r="F1813" i="12"/>
  <c r="F1812" i="12"/>
  <c r="F1811" i="12"/>
  <c r="F1810" i="12"/>
  <c r="F1809" i="12"/>
  <c r="F1808" i="12"/>
  <c r="F1807" i="12"/>
  <c r="F1806" i="12"/>
  <c r="F1805" i="12"/>
  <c r="F1804" i="12"/>
  <c r="F1803" i="12"/>
  <c r="F1802" i="12"/>
  <c r="F1801" i="12"/>
  <c r="F1800" i="12"/>
  <c r="F1799" i="12"/>
  <c r="F1798" i="12"/>
  <c r="F1797" i="12"/>
  <c r="F1796" i="12"/>
  <c r="F1795" i="12"/>
  <c r="F1794" i="12"/>
  <c r="F1793" i="12"/>
  <c r="F1792" i="12"/>
  <c r="F1791" i="12"/>
  <c r="F1790" i="12"/>
  <c r="F1789" i="12"/>
  <c r="F1788" i="12"/>
  <c r="F1787" i="12"/>
  <c r="F1786" i="12"/>
  <c r="F1785" i="12"/>
  <c r="F1784" i="12"/>
  <c r="F1783" i="12"/>
  <c r="F1782" i="12"/>
  <c r="F1781" i="12"/>
  <c r="F1780" i="12"/>
  <c r="F1779" i="12"/>
  <c r="F1778" i="12"/>
  <c r="F1777" i="12"/>
  <c r="F1776" i="12"/>
  <c r="F1775" i="12"/>
  <c r="F1774" i="12"/>
  <c r="F1773" i="12"/>
  <c r="F1772" i="12"/>
  <c r="F1771" i="12"/>
  <c r="F1770" i="12"/>
  <c r="F1769" i="12"/>
  <c r="F1768" i="12"/>
  <c r="F1767" i="12"/>
  <c r="F1766" i="12"/>
  <c r="F1765" i="12"/>
  <c r="F1764" i="12"/>
  <c r="F1763" i="12"/>
  <c r="F1762" i="12"/>
  <c r="F1761" i="12"/>
  <c r="F1760" i="12"/>
  <c r="F1759" i="12"/>
  <c r="F1758" i="12"/>
  <c r="F1757" i="12"/>
  <c r="F1756" i="12"/>
  <c r="F1755" i="12"/>
  <c r="F1754" i="12"/>
  <c r="F1753" i="12"/>
  <c r="F1752" i="12"/>
  <c r="F1751" i="12"/>
  <c r="F1750" i="12"/>
  <c r="F1749" i="12"/>
  <c r="F1748" i="12"/>
  <c r="F1747" i="12"/>
  <c r="F1746" i="12"/>
  <c r="F1745" i="12"/>
  <c r="F1744" i="12"/>
  <c r="F1743" i="12"/>
  <c r="F1742" i="12"/>
  <c r="F1741" i="12"/>
  <c r="F1740" i="12"/>
  <c r="F1739" i="12"/>
  <c r="F1738" i="12"/>
  <c r="F1737" i="12"/>
  <c r="F1736" i="12"/>
  <c r="F1735" i="12"/>
  <c r="F1734" i="12"/>
  <c r="F1733" i="12"/>
  <c r="F1732" i="12"/>
  <c r="F1731" i="12"/>
  <c r="F1730" i="12"/>
  <c r="F1729" i="12"/>
  <c r="F1728" i="12"/>
  <c r="F1727" i="12"/>
  <c r="F1726" i="12"/>
  <c r="F1725" i="12"/>
  <c r="F1724" i="12"/>
  <c r="F1723" i="12"/>
  <c r="F1722" i="12"/>
  <c r="F1721" i="12"/>
  <c r="F1720" i="12"/>
  <c r="F1719" i="12"/>
  <c r="F1718" i="12"/>
  <c r="F1717" i="12"/>
  <c r="F1716" i="12"/>
  <c r="F1715" i="12"/>
  <c r="F1714" i="12"/>
  <c r="F1713" i="12"/>
  <c r="F1712" i="12"/>
  <c r="F1711" i="12"/>
  <c r="F1710" i="12"/>
  <c r="F1709" i="12"/>
  <c r="F1708" i="12"/>
  <c r="F1707" i="12"/>
  <c r="F1706" i="12"/>
  <c r="F1705" i="12"/>
  <c r="F1704" i="12"/>
  <c r="F1703" i="12"/>
  <c r="F1702" i="12"/>
  <c r="F1701" i="12"/>
  <c r="F1700" i="12"/>
  <c r="F1699" i="12"/>
  <c r="F1698" i="12"/>
  <c r="F1697" i="12"/>
  <c r="F1696" i="12"/>
  <c r="F1695" i="12"/>
  <c r="F1694" i="12"/>
  <c r="F1693" i="12"/>
  <c r="F1692" i="12"/>
  <c r="F1691" i="12"/>
  <c r="F1690" i="12"/>
  <c r="F1689" i="12"/>
  <c r="F1688" i="12"/>
  <c r="F1687" i="12"/>
  <c r="F1686" i="12"/>
  <c r="F1685" i="12"/>
  <c r="F1684" i="12"/>
  <c r="F1683" i="12"/>
  <c r="F1682" i="12"/>
  <c r="F1681" i="12"/>
  <c r="F1680" i="12"/>
  <c r="F1679" i="12"/>
  <c r="F1678" i="12"/>
  <c r="F1677" i="12"/>
  <c r="F1676" i="12"/>
  <c r="F1675" i="12"/>
  <c r="F1674" i="12"/>
  <c r="F1673" i="12"/>
  <c r="F1672" i="12"/>
  <c r="F1671" i="12"/>
  <c r="F1670" i="12"/>
  <c r="F1669" i="12"/>
  <c r="F1668" i="12"/>
  <c r="F1667" i="12"/>
  <c r="F1666" i="12"/>
  <c r="F1665" i="12"/>
  <c r="F1664" i="12"/>
  <c r="F1663" i="12"/>
  <c r="F1662" i="12"/>
  <c r="F1661" i="12"/>
  <c r="F1660" i="12"/>
  <c r="F1659" i="12"/>
  <c r="F1658" i="12"/>
  <c r="F1657" i="12"/>
  <c r="F1656" i="12"/>
  <c r="F1655" i="12"/>
  <c r="F1654" i="12"/>
  <c r="F1653" i="12"/>
  <c r="F1652" i="12"/>
  <c r="F1651" i="12"/>
  <c r="F1650" i="12"/>
  <c r="F1649" i="12"/>
  <c r="F1648" i="12"/>
  <c r="F1647" i="12"/>
  <c r="F1646" i="12"/>
  <c r="F1645" i="12"/>
  <c r="F1644" i="12"/>
  <c r="F1643" i="12"/>
  <c r="F1642" i="12"/>
  <c r="F1641" i="12"/>
  <c r="F1640" i="12"/>
  <c r="F1639" i="12"/>
  <c r="F1638" i="12"/>
  <c r="F1637" i="12"/>
  <c r="F1636" i="12"/>
  <c r="F1635" i="12"/>
  <c r="F1634" i="12"/>
  <c r="F1633" i="12"/>
  <c r="F1632" i="12"/>
  <c r="F1631" i="12"/>
  <c r="F1630" i="12"/>
  <c r="F1629" i="12"/>
  <c r="F1628" i="12"/>
  <c r="F1627" i="12"/>
  <c r="F1626" i="12"/>
  <c r="F1625" i="12"/>
  <c r="F1624" i="12"/>
  <c r="F1623" i="12"/>
  <c r="F1622" i="12"/>
  <c r="F1621" i="12"/>
  <c r="F1620" i="12"/>
  <c r="F1619" i="12"/>
  <c r="F1618" i="12"/>
  <c r="F1617" i="12"/>
  <c r="F1616" i="12"/>
  <c r="F1615" i="12"/>
  <c r="F1614" i="12"/>
  <c r="F1613" i="12"/>
  <c r="F1612" i="12"/>
  <c r="F1611" i="12"/>
  <c r="F1610" i="12"/>
  <c r="F1609" i="12"/>
  <c r="F1608" i="12"/>
  <c r="F1607" i="12"/>
  <c r="F1606" i="12"/>
  <c r="F1605" i="12"/>
  <c r="F1604" i="12"/>
  <c r="F1603" i="12"/>
  <c r="F1602" i="12"/>
  <c r="F1601" i="12"/>
  <c r="F1600" i="12"/>
  <c r="F1599" i="12"/>
  <c r="F1598" i="12"/>
  <c r="F1597" i="12"/>
  <c r="F1596" i="12"/>
  <c r="F1595" i="12"/>
  <c r="F1594" i="12"/>
  <c r="F1593" i="12"/>
  <c r="F1592" i="12"/>
  <c r="F1591" i="12"/>
  <c r="F1590" i="12"/>
  <c r="F1589" i="12"/>
  <c r="F1588" i="12"/>
  <c r="F1587" i="12"/>
  <c r="F1586" i="12"/>
  <c r="F1585" i="12"/>
  <c r="F1584" i="12"/>
  <c r="F1583" i="12"/>
  <c r="F1582" i="12"/>
  <c r="F1581" i="12"/>
  <c r="F1580" i="12"/>
  <c r="F1579" i="12"/>
  <c r="F1578" i="12"/>
  <c r="F1577" i="12"/>
  <c r="F1576" i="12"/>
  <c r="F1575" i="12"/>
  <c r="F1574" i="12"/>
  <c r="F1573" i="12"/>
  <c r="F1572" i="12"/>
  <c r="F1571" i="12"/>
  <c r="F1570" i="12"/>
  <c r="F1569" i="12"/>
  <c r="F1568" i="12"/>
  <c r="F1567" i="12"/>
  <c r="F1566" i="12"/>
  <c r="F1565" i="12"/>
  <c r="F1564" i="12"/>
  <c r="F1563" i="12"/>
  <c r="F1562" i="12"/>
  <c r="F1561" i="12"/>
  <c r="F1560" i="12"/>
  <c r="F1559" i="12"/>
  <c r="F1558" i="12"/>
  <c r="F1557" i="12"/>
  <c r="F1556" i="12"/>
  <c r="F1555" i="12"/>
  <c r="F1554" i="12"/>
  <c r="F1553" i="12"/>
  <c r="F1552" i="12"/>
  <c r="F1551" i="12"/>
  <c r="F1550" i="12"/>
  <c r="F1549" i="12"/>
  <c r="F1548" i="12"/>
  <c r="F1547" i="12"/>
  <c r="F1546" i="12"/>
  <c r="F1545" i="12"/>
  <c r="F1544" i="12"/>
  <c r="F1543" i="12"/>
  <c r="F1542" i="12"/>
  <c r="F1541" i="12"/>
  <c r="F1540" i="12"/>
  <c r="F1539" i="12"/>
  <c r="F1538" i="12"/>
  <c r="F1537" i="12"/>
  <c r="F1536" i="12"/>
  <c r="F1535" i="12"/>
  <c r="F1534" i="12"/>
  <c r="F1533" i="12"/>
  <c r="F1532" i="12"/>
  <c r="F1531" i="12"/>
  <c r="F1530" i="12"/>
  <c r="F1529" i="12"/>
  <c r="F1528" i="12"/>
  <c r="F1527" i="12"/>
  <c r="F1526" i="12"/>
  <c r="F1525" i="12"/>
  <c r="F1524" i="12"/>
  <c r="F1523" i="12"/>
  <c r="F1522" i="12"/>
  <c r="F1521" i="12"/>
  <c r="F1520" i="12"/>
  <c r="F1519" i="12"/>
  <c r="F1518" i="12"/>
  <c r="F1517" i="12"/>
  <c r="F1516" i="12"/>
  <c r="F1515" i="12"/>
  <c r="F1514" i="12"/>
  <c r="F1513" i="12"/>
  <c r="F1512" i="12"/>
  <c r="F1511" i="12"/>
  <c r="F1510" i="12"/>
  <c r="F1509" i="12"/>
  <c r="F1508" i="12"/>
  <c r="F1507" i="12"/>
  <c r="F1506" i="12"/>
  <c r="F1505" i="12"/>
  <c r="F1504" i="12"/>
  <c r="F1503" i="12"/>
  <c r="F1502" i="12"/>
  <c r="F1501" i="12"/>
  <c r="F1500" i="12"/>
  <c r="F1499" i="12"/>
  <c r="F1498" i="12"/>
  <c r="F1497" i="12"/>
  <c r="F1496" i="12"/>
  <c r="F1495" i="12"/>
  <c r="F1494" i="12"/>
  <c r="F1493" i="12"/>
  <c r="F1492" i="12"/>
  <c r="F1491" i="12"/>
  <c r="F1490" i="12"/>
  <c r="F1489" i="12"/>
  <c r="F1488" i="12"/>
  <c r="F1487" i="12"/>
  <c r="F1486" i="12"/>
  <c r="F1485" i="12"/>
  <c r="F1484" i="12"/>
  <c r="F1483" i="12"/>
  <c r="F1482" i="12"/>
  <c r="F1481" i="12"/>
  <c r="F1480" i="12"/>
  <c r="F1479" i="12"/>
  <c r="F1478" i="12"/>
  <c r="F1477" i="12"/>
  <c r="F1476" i="12"/>
  <c r="F1475" i="12"/>
  <c r="F1474" i="12"/>
  <c r="F1473" i="12"/>
  <c r="F1472" i="12"/>
  <c r="F1471" i="12"/>
  <c r="F1470" i="12"/>
  <c r="F1469" i="12"/>
  <c r="F1468" i="12"/>
  <c r="F1467" i="12"/>
  <c r="F1466" i="12"/>
  <c r="F1465" i="12"/>
  <c r="F1464" i="12"/>
  <c r="F1463" i="12"/>
  <c r="F1462" i="12"/>
  <c r="F1461" i="12"/>
  <c r="F1460" i="12"/>
  <c r="F1459" i="12"/>
  <c r="F1458" i="12"/>
  <c r="F1457" i="12"/>
  <c r="F1456" i="12"/>
  <c r="F1455" i="12"/>
  <c r="F1454" i="12"/>
  <c r="F1453" i="12"/>
  <c r="F1452" i="12"/>
  <c r="F1451" i="12"/>
  <c r="F1450" i="12"/>
  <c r="F1449" i="12"/>
  <c r="F1448" i="12"/>
  <c r="F1447" i="12"/>
  <c r="F1446" i="12"/>
  <c r="F1445" i="12"/>
  <c r="F1444" i="12"/>
  <c r="F1443" i="12"/>
  <c r="F1442" i="12"/>
  <c r="F1441" i="12"/>
  <c r="F1440" i="12"/>
  <c r="F1439" i="12"/>
  <c r="F1438" i="12"/>
  <c r="F1437" i="12"/>
  <c r="F1436" i="12"/>
  <c r="F1435" i="12"/>
  <c r="F1434" i="12"/>
  <c r="F1433" i="12"/>
  <c r="F1432" i="12"/>
  <c r="F1431" i="12"/>
  <c r="F1430" i="12"/>
  <c r="F1429" i="12"/>
  <c r="F1428" i="12"/>
  <c r="F1427" i="12"/>
  <c r="F1426" i="12"/>
  <c r="F1425" i="12"/>
  <c r="F1424" i="12"/>
  <c r="F1423" i="12"/>
  <c r="F1422" i="12"/>
  <c r="F1421" i="12"/>
  <c r="F1420" i="12"/>
  <c r="F1419" i="12"/>
  <c r="F1418" i="12"/>
  <c r="F1417" i="12"/>
  <c r="F1416" i="12"/>
  <c r="F1415" i="12"/>
  <c r="F1414" i="12"/>
  <c r="F1413" i="12"/>
  <c r="F1412" i="12"/>
  <c r="F1411" i="12"/>
  <c r="F1410" i="12"/>
  <c r="F1409" i="12"/>
  <c r="F1408" i="12"/>
  <c r="F1407" i="12"/>
  <c r="F1406" i="12"/>
  <c r="F1405" i="12"/>
  <c r="F1404" i="12"/>
  <c r="F1403" i="12"/>
  <c r="F1402" i="12"/>
  <c r="F1401" i="12"/>
  <c r="F1400" i="12"/>
  <c r="F1399" i="12"/>
  <c r="F1398" i="12"/>
  <c r="F1397" i="12"/>
  <c r="F1396" i="12"/>
  <c r="F1395" i="12"/>
  <c r="F1394" i="12"/>
  <c r="F1393" i="12"/>
  <c r="F1392" i="12"/>
  <c r="F1391" i="12"/>
  <c r="F1390" i="12"/>
  <c r="F1389" i="12"/>
  <c r="F1388" i="12"/>
  <c r="F1387" i="12"/>
  <c r="F1386" i="12"/>
  <c r="F1385" i="12"/>
  <c r="F1384" i="12"/>
  <c r="F1383" i="12"/>
  <c r="F1382" i="12"/>
  <c r="F1381" i="12"/>
  <c r="F1380" i="12"/>
  <c r="F1379" i="12"/>
  <c r="F1378" i="12"/>
  <c r="F1377" i="12"/>
  <c r="F1376" i="12"/>
  <c r="F1375" i="12"/>
  <c r="F1374" i="12"/>
  <c r="F1373" i="12"/>
  <c r="F1372" i="12"/>
  <c r="F1371" i="12"/>
  <c r="F1370" i="12"/>
  <c r="F1369" i="12"/>
  <c r="F1368" i="12"/>
  <c r="F1367" i="12"/>
  <c r="F1366" i="12"/>
  <c r="F1365" i="12"/>
  <c r="F1364" i="12"/>
  <c r="F1363" i="12"/>
  <c r="F1362" i="12"/>
  <c r="F1361" i="12"/>
  <c r="F1360" i="12"/>
  <c r="F1359" i="12"/>
  <c r="F1358" i="12"/>
  <c r="F1357" i="12"/>
  <c r="F1356" i="12"/>
  <c r="F1355" i="12"/>
  <c r="F1354" i="12"/>
  <c r="F1353" i="12"/>
  <c r="F1352" i="12"/>
  <c r="F1351" i="12"/>
  <c r="F1350" i="12"/>
  <c r="F1349" i="12"/>
  <c r="F1348" i="12"/>
  <c r="F1347" i="12"/>
  <c r="F1346" i="12"/>
  <c r="F1345" i="12"/>
  <c r="F1344" i="12"/>
  <c r="F1343" i="12"/>
  <c r="F1342" i="12"/>
  <c r="F1341" i="12"/>
  <c r="F1340" i="12"/>
  <c r="F1339" i="12"/>
  <c r="F1338" i="12"/>
  <c r="F1337" i="12"/>
  <c r="F1336" i="12"/>
  <c r="F1335" i="12"/>
  <c r="F1334" i="12"/>
  <c r="F1333" i="12"/>
  <c r="F1332" i="12"/>
  <c r="F1331" i="12"/>
  <c r="F1330" i="12"/>
  <c r="F1329" i="12"/>
  <c r="F1328" i="12"/>
  <c r="F1327" i="12"/>
  <c r="F1326" i="12"/>
  <c r="F1325" i="12"/>
  <c r="F1324" i="12"/>
  <c r="F1323" i="12"/>
  <c r="F1322" i="12"/>
  <c r="F1321" i="12"/>
  <c r="F1320" i="12"/>
  <c r="F1319" i="12"/>
  <c r="F1318" i="12"/>
  <c r="F1317" i="12"/>
  <c r="F1316" i="12"/>
  <c r="F1315" i="12"/>
  <c r="F1314" i="12"/>
  <c r="F1313" i="12"/>
  <c r="F1312" i="12"/>
  <c r="F1311" i="12"/>
  <c r="F1310" i="12"/>
  <c r="F1309" i="12"/>
  <c r="F1308" i="12"/>
  <c r="F1307" i="12"/>
  <c r="F1306" i="12"/>
  <c r="F1305" i="12"/>
  <c r="F1304" i="12"/>
  <c r="F1303" i="12"/>
  <c r="F1302" i="12"/>
  <c r="F1301" i="12"/>
  <c r="F1300" i="12"/>
  <c r="F1299" i="12"/>
  <c r="F1298" i="12"/>
  <c r="F1297" i="12"/>
  <c r="F1296" i="12"/>
  <c r="F1295" i="12"/>
  <c r="F1294" i="12"/>
  <c r="F1293" i="12"/>
  <c r="F1292" i="12"/>
  <c r="F1291" i="12"/>
  <c r="F1290" i="12"/>
  <c r="F1289" i="12"/>
  <c r="F1288" i="12"/>
  <c r="F1287" i="12"/>
  <c r="F1286" i="12"/>
  <c r="F1285" i="12"/>
  <c r="F1284" i="12"/>
  <c r="F1283" i="12"/>
  <c r="F1282" i="12"/>
  <c r="F1281" i="12"/>
  <c r="F1280" i="12"/>
  <c r="F1279" i="12"/>
  <c r="F1278" i="12"/>
  <c r="F1277" i="12"/>
  <c r="F1276" i="12"/>
  <c r="F1275" i="12"/>
  <c r="F1274" i="12"/>
  <c r="F1273" i="12"/>
  <c r="F1272" i="12"/>
  <c r="F1271" i="12"/>
  <c r="F1270" i="12"/>
  <c r="F1269" i="12"/>
  <c r="F1268" i="12"/>
  <c r="F1267" i="12"/>
  <c r="F1266" i="12"/>
  <c r="F1265" i="12"/>
  <c r="F1264" i="12"/>
  <c r="F1263" i="12"/>
  <c r="F1262" i="12"/>
  <c r="F1261" i="12"/>
  <c r="F1260" i="12"/>
  <c r="F1259" i="12"/>
  <c r="F1258" i="12"/>
  <c r="F1257" i="12"/>
  <c r="F1256" i="12"/>
  <c r="F1255" i="12"/>
  <c r="F1254" i="12"/>
  <c r="F1253" i="12"/>
  <c r="F1252" i="12"/>
  <c r="F1251" i="12"/>
  <c r="F1250" i="12"/>
  <c r="F1249" i="12"/>
  <c r="F1248" i="12"/>
  <c r="F1247" i="12"/>
  <c r="F1246" i="12"/>
  <c r="F1245" i="12"/>
  <c r="F1244" i="12"/>
  <c r="F1243" i="12"/>
  <c r="F1242" i="12"/>
  <c r="F1241" i="12"/>
  <c r="F1240" i="12"/>
  <c r="F1239" i="12"/>
  <c r="F1238" i="12"/>
  <c r="F1237" i="12"/>
  <c r="F1236" i="12"/>
  <c r="F1235" i="12"/>
  <c r="F1234" i="12"/>
  <c r="F1233" i="12"/>
  <c r="F1232" i="12"/>
  <c r="F1231" i="12"/>
  <c r="F1230" i="12"/>
  <c r="F1229" i="12"/>
  <c r="F1228" i="12"/>
  <c r="F1227" i="12"/>
  <c r="F1226" i="12"/>
  <c r="F1225" i="12"/>
  <c r="F1224" i="12"/>
  <c r="F1223" i="12"/>
  <c r="F1222" i="12"/>
  <c r="F1221" i="12"/>
  <c r="F1220" i="12"/>
  <c r="F1219" i="12"/>
  <c r="F1218" i="12"/>
  <c r="F1217" i="12"/>
  <c r="F1216" i="12"/>
  <c r="F1215" i="12"/>
  <c r="F1214" i="12"/>
  <c r="F1213" i="12"/>
  <c r="F1212" i="12"/>
  <c r="F1211" i="12"/>
  <c r="F1210" i="12"/>
  <c r="F1209" i="12"/>
  <c r="F1208" i="12"/>
  <c r="F1207" i="12"/>
  <c r="F1206" i="12"/>
  <c r="F1205" i="12"/>
  <c r="F1204" i="12"/>
  <c r="F1203" i="12"/>
  <c r="F1202" i="12"/>
  <c r="F1201" i="12"/>
  <c r="F1200" i="12"/>
  <c r="F1199" i="12"/>
  <c r="F1198" i="12"/>
  <c r="F1197" i="12"/>
  <c r="F1196" i="12"/>
  <c r="F1195" i="12"/>
  <c r="F1194" i="12"/>
  <c r="F1193" i="12"/>
  <c r="F1192" i="12"/>
  <c r="F1191" i="12"/>
  <c r="F1190" i="12"/>
  <c r="F1189" i="12"/>
  <c r="F1188" i="12"/>
  <c r="F1187" i="12"/>
  <c r="F1186" i="12"/>
  <c r="F1185" i="12"/>
  <c r="F1184" i="12"/>
  <c r="F1183" i="12"/>
  <c r="F1182" i="12"/>
  <c r="F1181" i="12"/>
  <c r="F1180" i="12"/>
  <c r="F1179" i="12"/>
  <c r="F1178" i="12"/>
  <c r="F1177" i="12"/>
  <c r="F1176" i="12"/>
  <c r="F1175" i="12"/>
  <c r="F1174" i="12"/>
  <c r="F1173" i="12"/>
  <c r="F1172" i="12"/>
  <c r="F1171" i="12"/>
  <c r="F1170" i="12"/>
  <c r="F1169" i="12"/>
  <c r="F1168" i="12"/>
  <c r="F1167" i="12"/>
  <c r="F1166" i="12"/>
  <c r="F1165" i="12"/>
  <c r="F1164" i="12"/>
  <c r="F1163" i="12"/>
  <c r="F1162" i="12"/>
  <c r="F1161" i="12"/>
  <c r="F1160" i="12"/>
  <c r="F1159" i="12"/>
  <c r="F1158" i="12"/>
  <c r="F1157" i="12"/>
  <c r="F1156" i="12"/>
  <c r="F1155" i="12"/>
  <c r="F1154" i="12"/>
  <c r="F1153" i="12"/>
  <c r="F1152" i="12"/>
  <c r="F1151" i="12"/>
  <c r="F1150" i="12"/>
  <c r="F1149" i="12"/>
  <c r="F1148" i="12"/>
  <c r="F1147" i="12"/>
  <c r="F1146" i="12"/>
  <c r="F1145" i="12"/>
  <c r="F1144" i="12"/>
  <c r="F1143" i="12"/>
  <c r="F1142" i="12"/>
  <c r="F1141" i="12"/>
  <c r="F1140" i="12"/>
  <c r="F1139" i="12"/>
  <c r="F1138" i="12"/>
  <c r="F1137" i="12"/>
  <c r="F1136" i="12"/>
  <c r="F1135" i="12"/>
  <c r="F1134" i="12"/>
  <c r="F1133" i="12"/>
  <c r="F1132" i="12"/>
  <c r="F1131" i="12"/>
  <c r="F1130" i="12"/>
  <c r="F1129" i="12"/>
  <c r="F1128" i="12"/>
  <c r="F1127" i="12"/>
  <c r="F1126" i="12"/>
  <c r="F1125" i="12"/>
  <c r="F1124" i="12"/>
  <c r="F1123" i="12"/>
  <c r="F1122" i="12"/>
  <c r="F1121" i="12"/>
  <c r="F1120" i="12"/>
  <c r="F1119" i="12"/>
  <c r="F1118" i="12"/>
  <c r="F1117" i="12"/>
  <c r="F1116" i="12"/>
  <c r="F1115" i="12"/>
  <c r="F1114" i="12"/>
  <c r="F1113" i="12"/>
  <c r="F1112" i="12"/>
  <c r="F1111" i="12"/>
  <c r="F1110" i="12"/>
  <c r="F1109" i="12"/>
  <c r="F1108" i="12"/>
  <c r="F1107" i="12"/>
  <c r="F1106" i="12"/>
  <c r="F1105" i="12"/>
  <c r="F1104" i="12"/>
  <c r="F1103" i="12"/>
  <c r="F1102" i="12"/>
  <c r="F1101" i="12"/>
  <c r="F1100" i="12"/>
  <c r="F1099" i="12"/>
  <c r="F1098" i="12"/>
  <c r="F1097" i="12"/>
  <c r="F1096" i="12"/>
  <c r="F1095" i="12"/>
  <c r="F1094" i="12"/>
  <c r="F1093" i="12"/>
  <c r="F1092" i="12"/>
  <c r="F1091" i="12"/>
  <c r="F1090" i="12"/>
  <c r="F1089" i="12"/>
  <c r="F1088" i="12"/>
  <c r="F1087" i="12"/>
  <c r="F1086" i="12"/>
  <c r="F1085" i="12"/>
  <c r="F1084" i="12"/>
  <c r="F1083" i="12"/>
  <c r="F1082" i="12"/>
  <c r="F1081" i="12"/>
  <c r="F1080" i="12"/>
  <c r="F1079" i="12"/>
  <c r="F1078" i="12"/>
  <c r="F1077" i="12"/>
  <c r="F1076" i="12"/>
  <c r="F1075" i="12"/>
  <c r="F1074" i="12"/>
  <c r="F1073" i="12"/>
  <c r="F1072" i="12"/>
  <c r="F1071" i="12"/>
  <c r="F1070" i="12"/>
  <c r="F1069" i="12"/>
  <c r="F1068" i="12"/>
  <c r="F1067" i="12"/>
  <c r="F1066" i="12"/>
  <c r="F1065" i="12"/>
  <c r="F1064" i="12"/>
  <c r="F1063" i="12"/>
  <c r="F1062" i="12"/>
  <c r="F1061" i="12"/>
  <c r="F1060" i="12"/>
  <c r="F1059" i="12"/>
  <c r="F1058" i="12"/>
  <c r="F1057" i="12"/>
  <c r="F1056" i="12"/>
  <c r="F1055" i="12"/>
  <c r="F1054" i="12"/>
  <c r="F1053" i="12"/>
  <c r="F1052" i="12"/>
  <c r="F1051" i="12"/>
  <c r="F1050" i="12"/>
  <c r="F1049" i="12"/>
  <c r="F1048" i="12"/>
  <c r="F1047" i="12"/>
  <c r="F1046" i="12"/>
  <c r="F1045" i="12"/>
  <c r="F1044" i="12"/>
  <c r="F1043" i="12"/>
  <c r="F1042" i="12"/>
  <c r="F1041" i="12"/>
  <c r="F1040" i="12"/>
  <c r="F1039" i="12"/>
  <c r="F1038" i="12"/>
  <c r="F1037" i="12"/>
  <c r="F1036" i="12"/>
  <c r="F1035" i="12"/>
  <c r="F1034" i="12"/>
  <c r="F1033" i="12"/>
  <c r="F1032" i="12"/>
  <c r="F1031" i="12"/>
  <c r="F1030" i="12"/>
  <c r="F1029" i="12"/>
  <c r="F1028" i="12"/>
  <c r="F1027" i="12"/>
  <c r="F1026" i="12"/>
  <c r="F1025" i="12"/>
  <c r="F1024" i="12"/>
  <c r="F1023" i="12"/>
  <c r="F1022" i="12"/>
  <c r="F1021" i="12"/>
  <c r="F1020" i="12"/>
  <c r="F1019" i="12"/>
  <c r="F1018" i="12"/>
  <c r="F1017" i="12"/>
  <c r="F1016" i="12"/>
  <c r="F1015" i="12"/>
  <c r="F1014" i="12"/>
  <c r="F1013" i="12"/>
  <c r="F1012" i="12"/>
  <c r="F1011" i="12"/>
  <c r="F1010" i="12"/>
  <c r="F1009" i="12"/>
  <c r="F1008" i="12"/>
  <c r="F1007" i="12"/>
  <c r="F1006" i="12"/>
  <c r="F1005" i="12"/>
  <c r="F1004" i="12"/>
  <c r="F1003" i="12"/>
  <c r="F1002" i="12"/>
  <c r="F1001" i="12"/>
  <c r="F1000" i="12"/>
  <c r="F999" i="12"/>
  <c r="F998" i="12"/>
  <c r="F997" i="12"/>
  <c r="F996" i="12"/>
  <c r="F995" i="12"/>
  <c r="F994" i="12"/>
  <c r="F993" i="12"/>
  <c r="F992" i="12"/>
  <c r="F991" i="12"/>
  <c r="F990" i="12"/>
  <c r="F989" i="12"/>
  <c r="F988" i="12"/>
  <c r="F987" i="12"/>
  <c r="F986" i="12"/>
  <c r="F985" i="12"/>
  <c r="F984" i="12"/>
  <c r="F983" i="12"/>
  <c r="F982" i="12"/>
  <c r="F981" i="12"/>
  <c r="F980" i="12"/>
  <c r="F979" i="12"/>
  <c r="F978" i="12"/>
  <c r="F977" i="12"/>
  <c r="F976" i="12"/>
  <c r="F975" i="12"/>
  <c r="F974" i="12"/>
  <c r="F973" i="12"/>
  <c r="F972" i="12"/>
  <c r="F971" i="12"/>
  <c r="F970" i="12"/>
  <c r="F969" i="12"/>
  <c r="F968" i="12"/>
  <c r="F967" i="12"/>
  <c r="F966" i="12"/>
  <c r="F965" i="12"/>
  <c r="F964" i="12"/>
  <c r="F963" i="12"/>
  <c r="F962" i="12"/>
  <c r="F961" i="12"/>
  <c r="F960" i="12"/>
  <c r="F959" i="12"/>
  <c r="F958" i="12"/>
  <c r="F957" i="12"/>
  <c r="F956" i="12"/>
  <c r="F955" i="12"/>
  <c r="F954" i="12"/>
  <c r="F953" i="12"/>
  <c r="F952" i="12"/>
  <c r="F951" i="12"/>
  <c r="F950" i="12"/>
  <c r="F949" i="12"/>
  <c r="F948" i="12"/>
  <c r="F947" i="12"/>
  <c r="F946" i="12"/>
  <c r="F945" i="12"/>
  <c r="F944" i="12"/>
  <c r="F943" i="12"/>
  <c r="F942" i="12"/>
  <c r="F941" i="12"/>
  <c r="F940" i="12"/>
  <c r="F939" i="12"/>
  <c r="F938" i="12"/>
  <c r="F937" i="12"/>
  <c r="F936" i="12"/>
  <c r="F935" i="12"/>
  <c r="F934" i="12"/>
  <c r="F933" i="12"/>
  <c r="F932" i="12"/>
  <c r="F931" i="12"/>
  <c r="F930" i="12"/>
  <c r="F929" i="12"/>
  <c r="F928" i="12"/>
  <c r="F927" i="12"/>
  <c r="F926" i="12"/>
  <c r="F925" i="12"/>
  <c r="F924" i="12"/>
  <c r="F923" i="12"/>
  <c r="F922" i="12"/>
  <c r="F921" i="12"/>
  <c r="F920" i="12"/>
  <c r="F919" i="12"/>
  <c r="F918" i="12"/>
  <c r="F917" i="12"/>
  <c r="F916" i="12"/>
  <c r="F915" i="12"/>
  <c r="F914" i="12"/>
  <c r="F913" i="12"/>
  <c r="F912" i="12"/>
  <c r="F911" i="12"/>
  <c r="F910" i="12"/>
  <c r="F909" i="12"/>
  <c r="F908" i="12"/>
  <c r="F907" i="12"/>
  <c r="F906" i="12"/>
  <c r="F905" i="12"/>
  <c r="F904" i="12"/>
  <c r="F903" i="12"/>
  <c r="F902" i="12"/>
  <c r="F901" i="12"/>
  <c r="F900" i="12"/>
  <c r="F899" i="12"/>
  <c r="F898" i="12"/>
  <c r="F897" i="12"/>
  <c r="F896" i="12"/>
  <c r="F895" i="12"/>
  <c r="F894" i="12"/>
  <c r="F893" i="12"/>
  <c r="F892" i="12"/>
  <c r="F891" i="12"/>
  <c r="F890" i="12"/>
  <c r="F889" i="12"/>
  <c r="F888" i="12"/>
  <c r="F887" i="12"/>
  <c r="F886" i="12"/>
  <c r="F885" i="12"/>
  <c r="F884" i="12"/>
  <c r="F883" i="12"/>
  <c r="F882" i="12"/>
  <c r="F881" i="12"/>
  <c r="F880" i="12"/>
  <c r="F879" i="12"/>
  <c r="F878" i="12"/>
  <c r="F877" i="12"/>
  <c r="F876" i="12"/>
  <c r="F875" i="12"/>
  <c r="F874" i="12"/>
  <c r="F873" i="12"/>
  <c r="F872" i="12"/>
  <c r="F871" i="12"/>
  <c r="F870" i="12"/>
  <c r="F869" i="12"/>
  <c r="F868" i="12"/>
  <c r="F867" i="12"/>
  <c r="F866" i="12"/>
  <c r="F865" i="12"/>
  <c r="F864" i="12"/>
  <c r="F863" i="12"/>
  <c r="F862" i="12"/>
  <c r="F861" i="12"/>
  <c r="F860" i="12"/>
  <c r="F859" i="12"/>
  <c r="F858" i="12"/>
  <c r="F857" i="12"/>
  <c r="F856" i="12"/>
  <c r="F855" i="12"/>
  <c r="F854" i="12"/>
  <c r="F853" i="12"/>
  <c r="F852" i="12"/>
  <c r="F851" i="12"/>
  <c r="F850" i="12"/>
  <c r="F849" i="12"/>
  <c r="F848" i="12"/>
  <c r="F847" i="12"/>
  <c r="F846" i="12"/>
  <c r="F845" i="12"/>
  <c r="F844" i="12"/>
  <c r="F843" i="12"/>
  <c r="F842" i="12"/>
  <c r="F841" i="12"/>
  <c r="F840" i="12"/>
  <c r="F839" i="12"/>
  <c r="F838" i="12"/>
  <c r="F837" i="12"/>
  <c r="F836" i="12"/>
  <c r="F835" i="12"/>
  <c r="F834" i="12"/>
  <c r="F833" i="12"/>
  <c r="F832" i="12"/>
  <c r="F831" i="12"/>
  <c r="F830" i="12"/>
  <c r="F829" i="12"/>
  <c r="F828" i="12"/>
  <c r="F827" i="12"/>
  <c r="F826" i="12"/>
  <c r="F825" i="12"/>
  <c r="F824" i="12"/>
  <c r="F823" i="12"/>
  <c r="F822" i="12"/>
  <c r="F821" i="12"/>
  <c r="F820" i="12"/>
  <c r="F819" i="12"/>
  <c r="F818" i="12"/>
  <c r="F817" i="12"/>
  <c r="F816" i="12"/>
  <c r="F815" i="12"/>
  <c r="F814" i="12"/>
  <c r="F813" i="12"/>
  <c r="F812" i="12"/>
  <c r="F811" i="12"/>
  <c r="F810" i="12"/>
  <c r="F809" i="12"/>
  <c r="F808" i="12"/>
  <c r="F807" i="12"/>
  <c r="F806" i="12"/>
  <c r="F805" i="12"/>
  <c r="F804" i="12"/>
  <c r="F803" i="12"/>
  <c r="F802" i="12"/>
  <c r="F801" i="12"/>
  <c r="F800" i="12"/>
  <c r="F799" i="12"/>
  <c r="F798" i="12"/>
  <c r="F797" i="12"/>
  <c r="F796" i="12"/>
  <c r="F795" i="12"/>
  <c r="F794" i="12"/>
  <c r="F793" i="12"/>
  <c r="F792" i="12"/>
  <c r="F791" i="12"/>
  <c r="F790" i="12"/>
  <c r="F789" i="12"/>
  <c r="F788" i="12"/>
  <c r="F787" i="12"/>
  <c r="F786" i="12"/>
  <c r="F785" i="12"/>
  <c r="F784" i="12"/>
  <c r="F783" i="12"/>
  <c r="F782" i="12"/>
  <c r="F781" i="12"/>
  <c r="F780" i="12"/>
  <c r="F779" i="12"/>
  <c r="F778" i="12"/>
  <c r="F777" i="12"/>
  <c r="F776" i="12"/>
  <c r="F775" i="12"/>
  <c r="F774" i="12"/>
  <c r="F773" i="12"/>
  <c r="F772" i="12"/>
  <c r="F771" i="12"/>
  <c r="F770" i="12"/>
  <c r="F769" i="12"/>
  <c r="F768" i="12"/>
  <c r="F767" i="12"/>
  <c r="F766" i="12"/>
  <c r="F765" i="12"/>
  <c r="F764" i="12"/>
  <c r="F763" i="12"/>
  <c r="F762" i="12"/>
  <c r="F761" i="12"/>
  <c r="F760" i="12"/>
  <c r="F759" i="12"/>
  <c r="F758" i="12"/>
  <c r="F757" i="12"/>
  <c r="F756" i="12"/>
  <c r="F755" i="12"/>
  <c r="F754" i="12"/>
  <c r="F753" i="12"/>
  <c r="F752" i="12"/>
  <c r="F751" i="12"/>
  <c r="F750" i="12"/>
  <c r="F749" i="12"/>
  <c r="F748" i="12"/>
  <c r="F747" i="12"/>
  <c r="F746" i="12"/>
  <c r="F745" i="12"/>
  <c r="F744" i="12"/>
  <c r="F743" i="12"/>
  <c r="F742" i="12"/>
  <c r="F741" i="12"/>
  <c r="F740" i="12"/>
  <c r="F739" i="12"/>
  <c r="F738" i="12"/>
  <c r="F737" i="12"/>
  <c r="F736" i="12"/>
  <c r="F735" i="12"/>
  <c r="F734" i="12"/>
  <c r="F733" i="12"/>
  <c r="F732" i="12"/>
  <c r="F731" i="12"/>
  <c r="F730" i="12"/>
  <c r="F729" i="12"/>
  <c r="F728" i="12"/>
  <c r="F727" i="12"/>
  <c r="F726" i="12"/>
  <c r="F725" i="12"/>
  <c r="F724" i="12"/>
  <c r="F723" i="12"/>
  <c r="F722" i="12"/>
  <c r="F721" i="12"/>
  <c r="F720" i="12"/>
  <c r="F719" i="12"/>
  <c r="F718" i="12"/>
  <c r="F717" i="12"/>
  <c r="F716" i="12"/>
  <c r="F715" i="12"/>
  <c r="F714" i="12"/>
  <c r="F713" i="12"/>
  <c r="F712" i="12"/>
  <c r="F711" i="12"/>
  <c r="F710" i="12"/>
  <c r="F709" i="12"/>
  <c r="F708" i="12"/>
  <c r="F707" i="12"/>
  <c r="F706" i="12"/>
  <c r="F705" i="12"/>
  <c r="F704" i="12"/>
  <c r="F703" i="12"/>
  <c r="F702" i="12"/>
  <c r="F701" i="12"/>
  <c r="F700" i="12"/>
  <c r="F699" i="12"/>
  <c r="F698" i="12"/>
  <c r="F697" i="12"/>
  <c r="F696" i="12"/>
  <c r="F695" i="12"/>
  <c r="F694" i="12"/>
  <c r="F693" i="12"/>
  <c r="F692" i="12"/>
  <c r="F691" i="12"/>
  <c r="F690" i="12"/>
  <c r="F689" i="12"/>
  <c r="F688" i="12"/>
  <c r="F687" i="12"/>
  <c r="F686" i="12"/>
  <c r="F685" i="12"/>
  <c r="F684" i="12"/>
  <c r="F683" i="12"/>
  <c r="F682" i="12"/>
  <c r="F681" i="12"/>
  <c r="F680" i="12"/>
  <c r="F679" i="12"/>
  <c r="F678" i="12"/>
  <c r="F677" i="12"/>
  <c r="F676" i="12"/>
  <c r="F675" i="12"/>
  <c r="F674" i="12"/>
  <c r="F673" i="12"/>
  <c r="F672" i="12"/>
  <c r="F671" i="12"/>
  <c r="F670" i="12"/>
  <c r="F669" i="12"/>
  <c r="F668" i="12"/>
  <c r="F667" i="12"/>
  <c r="F666" i="12"/>
  <c r="F665" i="12"/>
  <c r="F664" i="12"/>
  <c r="F663" i="12"/>
  <c r="F662" i="12"/>
  <c r="F661" i="12"/>
  <c r="F660" i="12"/>
  <c r="F659" i="12"/>
  <c r="F658" i="12"/>
  <c r="F657" i="12"/>
  <c r="F656" i="12"/>
  <c r="F655" i="12"/>
  <c r="F654" i="12"/>
  <c r="F653" i="12"/>
  <c r="F652" i="12"/>
  <c r="F651" i="12"/>
  <c r="F650" i="12"/>
  <c r="F649" i="12"/>
  <c r="F648" i="12"/>
  <c r="F647" i="12"/>
  <c r="F646" i="12"/>
  <c r="F645" i="12"/>
  <c r="F644" i="12"/>
  <c r="F643" i="12"/>
  <c r="F642" i="12"/>
  <c r="F641" i="12"/>
  <c r="F640" i="12"/>
  <c r="F639" i="12"/>
  <c r="F638" i="12"/>
  <c r="F637" i="12"/>
  <c r="F636" i="12"/>
  <c r="F635" i="12"/>
  <c r="F634" i="12"/>
  <c r="F633" i="12"/>
  <c r="F632" i="12"/>
  <c r="F631" i="12"/>
  <c r="F630" i="12"/>
  <c r="F629" i="12"/>
  <c r="F628" i="12"/>
  <c r="F627" i="12"/>
  <c r="F626" i="12"/>
  <c r="F625" i="12"/>
  <c r="F624" i="12"/>
  <c r="F623" i="12"/>
  <c r="F622" i="12"/>
  <c r="F621" i="12"/>
  <c r="F620" i="12"/>
  <c r="F619" i="12"/>
  <c r="F618" i="12"/>
  <c r="F617" i="12"/>
  <c r="F616" i="12"/>
  <c r="F615" i="12"/>
  <c r="F614" i="12"/>
  <c r="F613" i="12"/>
  <c r="F612" i="12"/>
  <c r="F611" i="12"/>
  <c r="F610" i="12"/>
  <c r="F609" i="12"/>
  <c r="F608" i="12"/>
  <c r="F607" i="12"/>
  <c r="F606" i="12"/>
  <c r="F605" i="12"/>
  <c r="F604" i="12"/>
  <c r="F603" i="12"/>
  <c r="F602" i="12"/>
  <c r="F601" i="12"/>
  <c r="F600" i="12"/>
  <c r="F599" i="12"/>
  <c r="F598" i="12"/>
  <c r="F597" i="12"/>
  <c r="F596" i="12"/>
  <c r="F595" i="12"/>
  <c r="F594" i="12"/>
  <c r="F593" i="12"/>
  <c r="F592" i="12"/>
  <c r="F591" i="12"/>
  <c r="F590" i="12"/>
  <c r="F589" i="12"/>
  <c r="F588" i="12"/>
  <c r="F587" i="12"/>
  <c r="F586" i="12"/>
  <c r="F585" i="12"/>
  <c r="F584" i="12"/>
  <c r="F583" i="12"/>
  <c r="F582" i="12"/>
  <c r="F581" i="12"/>
  <c r="F580" i="12"/>
  <c r="F579" i="12"/>
  <c r="F578" i="12"/>
  <c r="F577" i="12"/>
  <c r="F576" i="12"/>
  <c r="F575" i="12"/>
  <c r="F574" i="12"/>
  <c r="F573" i="12"/>
  <c r="F572" i="12"/>
  <c r="F571" i="12"/>
  <c r="F570" i="12"/>
  <c r="F569" i="12"/>
  <c r="F568" i="12"/>
  <c r="F567" i="12"/>
  <c r="F566" i="12"/>
  <c r="F565" i="12"/>
  <c r="F564" i="12"/>
  <c r="F563" i="12"/>
  <c r="F562" i="12"/>
  <c r="F561" i="12"/>
  <c r="F560" i="12"/>
  <c r="F559" i="12"/>
  <c r="F558" i="12"/>
  <c r="F557" i="12"/>
  <c r="F556" i="12"/>
  <c r="F555" i="12"/>
  <c r="F554" i="12"/>
  <c r="F553" i="12"/>
  <c r="F552" i="12"/>
  <c r="F551" i="12"/>
  <c r="F550" i="12"/>
  <c r="F549" i="12"/>
  <c r="F548" i="12"/>
  <c r="F547" i="12"/>
  <c r="F546" i="12"/>
  <c r="F545" i="12"/>
  <c r="F544" i="12"/>
  <c r="F543" i="12"/>
  <c r="F542" i="12"/>
  <c r="F541" i="12"/>
  <c r="F540" i="12"/>
  <c r="F539" i="12"/>
  <c r="F538" i="12"/>
  <c r="F537" i="12"/>
  <c r="F536" i="12"/>
  <c r="F535" i="12"/>
  <c r="F534" i="12"/>
  <c r="F533" i="12"/>
  <c r="F532" i="12"/>
  <c r="F531" i="12"/>
  <c r="F530" i="12"/>
  <c r="F529" i="12"/>
  <c r="F528" i="12"/>
  <c r="F527" i="12"/>
  <c r="F526" i="12"/>
  <c r="F525" i="12"/>
  <c r="F524" i="12"/>
  <c r="F523" i="12"/>
  <c r="F522" i="12"/>
  <c r="F521" i="12"/>
  <c r="F520" i="12"/>
  <c r="F519" i="12"/>
  <c r="F518" i="12"/>
  <c r="F517" i="12"/>
  <c r="F516" i="12"/>
  <c r="F515" i="12"/>
  <c r="F514" i="12"/>
  <c r="F513" i="12"/>
  <c r="F512" i="12"/>
  <c r="F511" i="12"/>
  <c r="F510" i="12"/>
  <c r="F509" i="12"/>
  <c r="F508" i="12"/>
  <c r="F507" i="12"/>
  <c r="F506" i="12"/>
  <c r="F505" i="12"/>
  <c r="F504" i="12"/>
  <c r="F503" i="12"/>
  <c r="F502" i="12"/>
  <c r="F501" i="12"/>
  <c r="F500" i="12"/>
  <c r="F499" i="12"/>
  <c r="F498" i="12"/>
  <c r="F497" i="12"/>
  <c r="F496" i="12"/>
  <c r="F495" i="12"/>
  <c r="F494" i="12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C37" i="10"/>
  <c r="C35" i="10"/>
  <c r="L27" i="10"/>
  <c r="K27" i="10"/>
  <c r="J27" i="10"/>
  <c r="J22" i="9" s="1"/>
  <c r="I27" i="10"/>
  <c r="H27" i="10"/>
  <c r="G22" i="10"/>
  <c r="H20" i="10" s="1"/>
  <c r="I20" i="10" s="1"/>
  <c r="J20" i="10" s="1"/>
  <c r="K20" i="10" s="1"/>
  <c r="L20" i="10" s="1"/>
  <c r="D19" i="10"/>
  <c r="G18" i="10"/>
  <c r="G19" i="10" s="1"/>
  <c r="F18" i="10"/>
  <c r="E18" i="10"/>
  <c r="E19" i="10" s="1"/>
  <c r="D18" i="10"/>
  <c r="C18" i="10"/>
  <c r="G13" i="10"/>
  <c r="F13" i="10"/>
  <c r="E13" i="10"/>
  <c r="D13" i="10"/>
  <c r="C13" i="10"/>
  <c r="B9" i="10"/>
  <c r="G7" i="10"/>
  <c r="F7" i="10"/>
  <c r="E7" i="10"/>
  <c r="D7" i="10"/>
  <c r="C7" i="10"/>
  <c r="B7" i="10"/>
  <c r="G6" i="10"/>
  <c r="F6" i="10"/>
  <c r="E6" i="10"/>
  <c r="D6" i="10"/>
  <c r="C6" i="10"/>
  <c r="B6" i="10"/>
  <c r="G3" i="10"/>
  <c r="F3" i="10"/>
  <c r="E3" i="10"/>
  <c r="D3" i="10"/>
  <c r="C3" i="10"/>
  <c r="I35" i="9"/>
  <c r="I36" i="9" s="1"/>
  <c r="C35" i="9"/>
  <c r="I31" i="9" s="1"/>
  <c r="I33" i="9"/>
  <c r="C33" i="9"/>
  <c r="I32" i="9"/>
  <c r="L22" i="9"/>
  <c r="K22" i="9"/>
  <c r="I22" i="9"/>
  <c r="H22" i="9"/>
  <c r="C15" i="9"/>
  <c r="G11" i="9"/>
  <c r="F11" i="9"/>
  <c r="E11" i="9"/>
  <c r="D11" i="9"/>
  <c r="C11" i="9"/>
  <c r="B9" i="9"/>
  <c r="G7" i="9"/>
  <c r="F7" i="9"/>
  <c r="E7" i="9"/>
  <c r="D7" i="9"/>
  <c r="C7" i="9"/>
  <c r="B7" i="9"/>
  <c r="G6" i="9"/>
  <c r="F6" i="9"/>
  <c r="E6" i="9"/>
  <c r="D6" i="9"/>
  <c r="C6" i="9"/>
  <c r="B6" i="9"/>
  <c r="G3" i="9"/>
  <c r="F3" i="9"/>
  <c r="E3" i="9"/>
  <c r="D3" i="9"/>
  <c r="C3" i="9"/>
  <c r="G26" i="8"/>
  <c r="G22" i="8"/>
  <c r="F22" i="8"/>
  <c r="E22" i="8"/>
  <c r="D22" i="8"/>
  <c r="C22" i="8"/>
  <c r="H13" i="8"/>
  <c r="F10" i="8"/>
  <c r="F9" i="8"/>
  <c r="F8" i="8"/>
  <c r="F7" i="8"/>
  <c r="D7" i="8"/>
  <c r="D4" i="8"/>
  <c r="D5" i="8" s="1"/>
  <c r="D6" i="8" s="1"/>
  <c r="D3" i="8"/>
  <c r="D2" i="8"/>
  <c r="F114" i="7"/>
  <c r="F11" i="10" s="1"/>
  <c r="G113" i="7"/>
  <c r="F113" i="7"/>
  <c r="E113" i="7"/>
  <c r="D113" i="7"/>
  <c r="C113" i="7"/>
  <c r="G112" i="7"/>
  <c r="G114" i="7" s="1"/>
  <c r="G11" i="10" s="1"/>
  <c r="F112" i="7"/>
  <c r="E112" i="7"/>
  <c r="E114" i="7" s="1"/>
  <c r="D112" i="7"/>
  <c r="C112" i="7"/>
  <c r="C114" i="7" s="1"/>
  <c r="D111" i="7"/>
  <c r="E100" i="7"/>
  <c r="D100" i="7"/>
  <c r="C100" i="7"/>
  <c r="E95" i="7"/>
  <c r="C95" i="7"/>
  <c r="G92" i="7"/>
  <c r="F92" i="7"/>
  <c r="G91" i="7"/>
  <c r="F91" i="7"/>
  <c r="F95" i="7" s="1"/>
  <c r="E91" i="7"/>
  <c r="D91" i="7"/>
  <c r="D95" i="7" s="1"/>
  <c r="C91" i="7"/>
  <c r="L87" i="7"/>
  <c r="H87" i="7"/>
  <c r="L85" i="7"/>
  <c r="K85" i="7"/>
  <c r="H85" i="7"/>
  <c r="L84" i="7"/>
  <c r="L83" i="7" s="1"/>
  <c r="K84" i="7"/>
  <c r="K87" i="7" s="1"/>
  <c r="J84" i="7"/>
  <c r="I84" i="7"/>
  <c r="H84" i="7"/>
  <c r="H83" i="7" s="1"/>
  <c r="K83" i="7"/>
  <c r="G78" i="7"/>
  <c r="F78" i="7"/>
  <c r="E78" i="7"/>
  <c r="D78" i="7"/>
  <c r="K56" i="7"/>
  <c r="K57" i="7" s="1"/>
  <c r="J56" i="7"/>
  <c r="I56" i="7"/>
  <c r="H51" i="7"/>
  <c r="H56" i="7" s="1"/>
  <c r="H59" i="7" s="1"/>
  <c r="G51" i="7"/>
  <c r="F51" i="7"/>
  <c r="E51" i="7"/>
  <c r="D51" i="7"/>
  <c r="G53" i="7" s="1"/>
  <c r="C51" i="7"/>
  <c r="G50" i="7"/>
  <c r="F50" i="7"/>
  <c r="E50" i="7"/>
  <c r="D50" i="7"/>
  <c r="G37" i="7"/>
  <c r="F37" i="7"/>
  <c r="E37" i="7"/>
  <c r="D37" i="7"/>
  <c r="G39" i="7" s="1"/>
  <c r="H37" i="7" s="1"/>
  <c r="C37" i="7"/>
  <c r="G36" i="7"/>
  <c r="F36" i="7"/>
  <c r="E36" i="7"/>
  <c r="D36" i="7"/>
  <c r="G21" i="7"/>
  <c r="H21" i="7" s="1"/>
  <c r="F21" i="7"/>
  <c r="E21" i="7"/>
  <c r="G19" i="7"/>
  <c r="G4" i="10" s="1"/>
  <c r="G5" i="10" s="1"/>
  <c r="G8" i="10" s="1"/>
  <c r="F19" i="7"/>
  <c r="F4" i="10" s="1"/>
  <c r="E19" i="7"/>
  <c r="D19" i="7"/>
  <c r="C19" i="7"/>
  <c r="L15" i="7"/>
  <c r="K15" i="7"/>
  <c r="L12" i="7"/>
  <c r="K12" i="7"/>
  <c r="J12" i="7"/>
  <c r="J15" i="7" s="1"/>
  <c r="I12" i="7"/>
  <c r="I15" i="7" s="1"/>
  <c r="H12" i="7"/>
  <c r="G8" i="7"/>
  <c r="F8" i="7"/>
  <c r="E8" i="7"/>
  <c r="D8" i="7"/>
  <c r="B65" i="6"/>
  <c r="B52" i="6" s="1"/>
  <c r="B53" i="6" s="1"/>
  <c r="G62" i="6"/>
  <c r="G52" i="6" s="1"/>
  <c r="G53" i="6" s="1"/>
  <c r="B62" i="6"/>
  <c r="B59" i="6"/>
  <c r="G57" i="6"/>
  <c r="G55" i="6"/>
  <c r="G51" i="6"/>
  <c r="M45" i="6"/>
  <c r="G45" i="6"/>
  <c r="B45" i="6"/>
  <c r="B47" i="6" s="1"/>
  <c r="M44" i="6"/>
  <c r="F44" i="6"/>
  <c r="F46" i="6" s="1"/>
  <c r="M43" i="6"/>
  <c r="G43" i="6"/>
  <c r="M42" i="6"/>
  <c r="G42" i="6"/>
  <c r="G44" i="6" s="1"/>
  <c r="G46" i="6" s="1"/>
  <c r="G39" i="6" s="1"/>
  <c r="M40" i="6"/>
  <c r="H9" i="6" s="1"/>
  <c r="H13" i="6" s="1"/>
  <c r="B40" i="6"/>
  <c r="M39" i="6"/>
  <c r="H31" i="6"/>
  <c r="K26" i="6"/>
  <c r="I26" i="6"/>
  <c r="K24" i="6"/>
  <c r="I24" i="6"/>
  <c r="K22" i="6"/>
  <c r="K21" i="6"/>
  <c r="F14" i="6"/>
  <c r="E13" i="6"/>
  <c r="L9" i="6"/>
  <c r="J9" i="6"/>
  <c r="I9" i="6"/>
  <c r="I13" i="6" s="1"/>
  <c r="F9" i="6"/>
  <c r="L8" i="6"/>
  <c r="L13" i="6" s="1"/>
  <c r="G21" i="6" s="1"/>
  <c r="G27" i="6" s="1"/>
  <c r="K8" i="6"/>
  <c r="J8" i="6"/>
  <c r="I8" i="6"/>
  <c r="H8" i="6"/>
  <c r="F44" i="5"/>
  <c r="E44" i="5"/>
  <c r="D44" i="5"/>
  <c r="C44" i="5"/>
  <c r="B44" i="5"/>
  <c r="F43" i="5"/>
  <c r="F45" i="5" s="1"/>
  <c r="E36" i="5"/>
  <c r="F23" i="5"/>
  <c r="D10" i="5" s="1"/>
  <c r="F22" i="5"/>
  <c r="C30" i="9" s="1"/>
  <c r="E22" i="5"/>
  <c r="D22" i="5"/>
  <c r="C22" i="5"/>
  <c r="B22" i="5"/>
  <c r="F20" i="5"/>
  <c r="E20" i="5"/>
  <c r="E21" i="5" s="1"/>
  <c r="F23" i="8" s="1"/>
  <c r="D20" i="5"/>
  <c r="C20" i="5"/>
  <c r="B20" i="5"/>
  <c r="F19" i="5"/>
  <c r="E19" i="5"/>
  <c r="D19" i="5"/>
  <c r="C19" i="5"/>
  <c r="C21" i="5" s="1"/>
  <c r="B19" i="5"/>
  <c r="F18" i="5"/>
  <c r="F21" i="5" s="1"/>
  <c r="E18" i="5"/>
  <c r="D18" i="5"/>
  <c r="C18" i="5"/>
  <c r="B18" i="5"/>
  <c r="D4" i="5"/>
  <c r="C24" i="4"/>
  <c r="F20" i="4"/>
  <c r="F24" i="4" s="1"/>
  <c r="F3" i="4" s="1"/>
  <c r="F4" i="4" s="1"/>
  <c r="E20" i="4"/>
  <c r="E24" i="4" s="1"/>
  <c r="E3" i="4" s="1"/>
  <c r="E4" i="4" s="1"/>
  <c r="D20" i="4"/>
  <c r="E63" i="7" s="1"/>
  <c r="C20" i="4"/>
  <c r="D63" i="7" s="1"/>
  <c r="D94" i="7" s="1"/>
  <c r="B20" i="4"/>
  <c r="C63" i="7" s="1"/>
  <c r="F7" i="4"/>
  <c r="E7" i="4"/>
  <c r="D7" i="4"/>
  <c r="C7" i="4"/>
  <c r="B7" i="4"/>
  <c r="F5" i="4"/>
  <c r="C5" i="4"/>
  <c r="C4" i="4"/>
  <c r="C6" i="4" s="1"/>
  <c r="C8" i="4" s="1"/>
  <c r="C3" i="4"/>
  <c r="F46" i="3"/>
  <c r="F47" i="3" s="1"/>
  <c r="F36" i="3"/>
  <c r="F37" i="3" s="1"/>
  <c r="L14" i="6" s="1"/>
  <c r="E36" i="3"/>
  <c r="E37" i="3" s="1"/>
  <c r="F35" i="3"/>
  <c r="F34" i="3" s="1"/>
  <c r="E35" i="3"/>
  <c r="E34" i="3" s="1"/>
  <c r="D35" i="3"/>
  <c r="C35" i="3"/>
  <c r="B35" i="3"/>
  <c r="D34" i="3"/>
  <c r="C34" i="3"/>
  <c r="B34" i="3"/>
  <c r="C31" i="3"/>
  <c r="B31" i="3"/>
  <c r="D25" i="3"/>
  <c r="C25" i="3"/>
  <c r="B25" i="3"/>
  <c r="G24" i="3"/>
  <c r="F24" i="3"/>
  <c r="G104" i="7" s="1"/>
  <c r="E24" i="3"/>
  <c r="F104" i="7" s="1"/>
  <c r="F105" i="7" s="1"/>
  <c r="D24" i="3"/>
  <c r="E104" i="7" s="1"/>
  <c r="C24" i="3"/>
  <c r="D104" i="7" s="1"/>
  <c r="B24" i="3"/>
  <c r="C104" i="7" s="1"/>
  <c r="F22" i="3"/>
  <c r="E22" i="3"/>
  <c r="D22" i="3"/>
  <c r="C22" i="3"/>
  <c r="F21" i="3"/>
  <c r="G102" i="7" s="1"/>
  <c r="E21" i="3"/>
  <c r="F102" i="7" s="1"/>
  <c r="F103" i="7" s="1"/>
  <c r="D21" i="3"/>
  <c r="E102" i="7" s="1"/>
  <c r="E103" i="7" s="1"/>
  <c r="C21" i="3"/>
  <c r="D102" i="7" s="1"/>
  <c r="D103" i="7" s="1"/>
  <c r="B21" i="3"/>
  <c r="B20" i="3"/>
  <c r="F19" i="3"/>
  <c r="E19" i="3"/>
  <c r="D19" i="3"/>
  <c r="D20" i="3" s="1"/>
  <c r="D26" i="3" s="1"/>
  <c r="C19" i="3"/>
  <c r="C20" i="3" s="1"/>
  <c r="B19" i="3"/>
  <c r="D16" i="3"/>
  <c r="B15" i="3"/>
  <c r="F11" i="3"/>
  <c r="F7" i="3"/>
  <c r="J14" i="6" s="1"/>
  <c r="C7" i="3"/>
  <c r="D6" i="3"/>
  <c r="C6" i="3"/>
  <c r="B6" i="3"/>
  <c r="D69" i="2"/>
  <c r="D61" i="2"/>
  <c r="D53" i="2"/>
  <c r="D51" i="2"/>
  <c r="D43" i="2"/>
  <c r="D42" i="2"/>
  <c r="D35" i="2"/>
  <c r="D34" i="2"/>
  <c r="E23" i="2"/>
  <c r="C23" i="2"/>
  <c r="F22" i="2"/>
  <c r="E22" i="2"/>
  <c r="D22" i="2"/>
  <c r="C22" i="2"/>
  <c r="B22" i="2"/>
  <c r="F21" i="2"/>
  <c r="E21" i="2"/>
  <c r="D21" i="2"/>
  <c r="C21" i="2"/>
  <c r="B21" i="2"/>
  <c r="F13" i="2"/>
  <c r="E13" i="2"/>
  <c r="F12" i="2"/>
  <c r="E12" i="2"/>
  <c r="D12" i="2"/>
  <c r="C12" i="2"/>
  <c r="B12" i="2"/>
  <c r="F10" i="2"/>
  <c r="E10" i="2"/>
  <c r="D10" i="2"/>
  <c r="C10" i="2"/>
  <c r="B10" i="2"/>
  <c r="F9" i="2"/>
  <c r="E9" i="2"/>
  <c r="D9" i="2"/>
  <c r="C9" i="2"/>
  <c r="B9" i="2"/>
  <c r="C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D4" i="2"/>
  <c r="C4" i="2"/>
  <c r="B4" i="2"/>
  <c r="F3" i="2"/>
  <c r="E3" i="2"/>
  <c r="D3" i="2"/>
  <c r="C3" i="2"/>
  <c r="B3" i="2"/>
  <c r="F2" i="2"/>
  <c r="E2" i="2"/>
  <c r="D2" i="2"/>
  <c r="C2" i="2"/>
  <c r="B2" i="2"/>
  <c r="G124" i="1"/>
  <c r="F124" i="1"/>
  <c r="E124" i="1"/>
  <c r="D124" i="1"/>
  <c r="C124" i="1"/>
  <c r="G119" i="1"/>
  <c r="F119" i="1"/>
  <c r="E119" i="1"/>
  <c r="D119" i="1"/>
  <c r="C119" i="1"/>
  <c r="G113" i="1"/>
  <c r="F113" i="1"/>
  <c r="E113" i="1"/>
  <c r="D113" i="1"/>
  <c r="C113" i="1"/>
  <c r="G101" i="1"/>
  <c r="G106" i="1" s="1"/>
  <c r="F101" i="1"/>
  <c r="F106" i="1" s="1"/>
  <c r="E101" i="1"/>
  <c r="C101" i="1"/>
  <c r="G95" i="1"/>
  <c r="F95" i="1"/>
  <c r="E95" i="1"/>
  <c r="D95" i="1"/>
  <c r="D101" i="1" s="1"/>
  <c r="C95" i="1"/>
  <c r="E73" i="1"/>
  <c r="D73" i="1"/>
  <c r="G72" i="1"/>
  <c r="F72" i="1"/>
  <c r="E72" i="1"/>
  <c r="D72" i="1"/>
  <c r="C72" i="1"/>
  <c r="B30" i="3" s="1"/>
  <c r="G66" i="1"/>
  <c r="F16" i="3" s="1"/>
  <c r="F66" i="1"/>
  <c r="E14" i="3" s="1"/>
  <c r="E66" i="1"/>
  <c r="D66" i="1"/>
  <c r="C16" i="3" s="1"/>
  <c r="C66" i="1"/>
  <c r="B16" i="3" s="1"/>
  <c r="I60" i="1"/>
  <c r="G58" i="1"/>
  <c r="F10" i="3" s="1"/>
  <c r="F58" i="1"/>
  <c r="E58" i="1"/>
  <c r="D58" i="1"/>
  <c r="C58" i="1"/>
  <c r="G50" i="1"/>
  <c r="F50" i="1"/>
  <c r="E50" i="1"/>
  <c r="D14" i="3" s="1"/>
  <c r="D50" i="1"/>
  <c r="C50" i="1"/>
  <c r="B14" i="3" s="1"/>
  <c r="H45" i="1"/>
  <c r="G43" i="1"/>
  <c r="F43" i="1"/>
  <c r="E43" i="1"/>
  <c r="E51" i="1" s="1"/>
  <c r="D66" i="2" s="1"/>
  <c r="D43" i="1"/>
  <c r="C43" i="1"/>
  <c r="C51" i="1" s="1"/>
  <c r="F25" i="1"/>
  <c r="E24" i="2" s="1"/>
  <c r="G24" i="1"/>
  <c r="G25" i="1" s="1"/>
  <c r="F24" i="2" s="1"/>
  <c r="F24" i="1"/>
  <c r="E24" i="1"/>
  <c r="D23" i="2" s="1"/>
  <c r="D24" i="1"/>
  <c r="C24" i="1"/>
  <c r="B23" i="2" s="1"/>
  <c r="G16" i="1"/>
  <c r="E14" i="1"/>
  <c r="D14" i="1"/>
  <c r="E12" i="1"/>
  <c r="D11" i="2" s="1"/>
  <c r="D12" i="1"/>
  <c r="G9" i="1"/>
  <c r="E9" i="1"/>
  <c r="D11" i="3" s="1"/>
  <c r="D9" i="1"/>
  <c r="C9" i="1"/>
  <c r="C111" i="7" s="1"/>
  <c r="G5" i="1"/>
  <c r="F5" i="1"/>
  <c r="I4" i="1"/>
  <c r="F8" i="11"/>
  <c r="C6" i="11"/>
  <c r="M5" i="11"/>
  <c r="C5" i="11"/>
  <c r="E9" i="10" l="1"/>
  <c r="E9" i="9"/>
  <c r="E65" i="7"/>
  <c r="E13" i="9"/>
  <c r="E64" i="7"/>
  <c r="E94" i="7"/>
  <c r="B66" i="2"/>
  <c r="B58" i="2"/>
  <c r="B50" i="2"/>
  <c r="B34" i="2"/>
  <c r="B64" i="2"/>
  <c r="B56" i="2"/>
  <c r="B48" i="2"/>
  <c r="B40" i="2"/>
  <c r="B51" i="2"/>
  <c r="B43" i="2"/>
  <c r="B35" i="2"/>
  <c r="B67" i="2"/>
  <c r="B59" i="2"/>
  <c r="B41" i="2"/>
  <c r="B70" i="2"/>
  <c r="B62" i="2"/>
  <c r="B54" i="2"/>
  <c r="B46" i="2"/>
  <c r="B38" i="2"/>
  <c r="B65" i="2"/>
  <c r="B57" i="2"/>
  <c r="B49" i="2"/>
  <c r="C33" i="8"/>
  <c r="B55" i="2"/>
  <c r="B63" i="2"/>
  <c r="B53" i="2"/>
  <c r="B44" i="2"/>
  <c r="B61" i="2"/>
  <c r="B68" i="2"/>
  <c r="B47" i="2"/>
  <c r="B37" i="2"/>
  <c r="B9" i="3"/>
  <c r="B45" i="2"/>
  <c r="B36" i="2"/>
  <c r="B60" i="2"/>
  <c r="B39" i="2"/>
  <c r="B52" i="2"/>
  <c r="B69" i="2"/>
  <c r="H49" i="7"/>
  <c r="H42" i="7"/>
  <c r="I37" i="7"/>
  <c r="J37" i="7" s="1"/>
  <c r="K37" i="7" s="1"/>
  <c r="L37" i="7" s="1"/>
  <c r="L42" i="7"/>
  <c r="K42" i="7"/>
  <c r="J42" i="7"/>
  <c r="I42" i="7"/>
  <c r="F6" i="4"/>
  <c r="F8" i="4" s="1"/>
  <c r="I21" i="6"/>
  <c r="I23" i="6"/>
  <c r="C31" i="9"/>
  <c r="G23" i="8"/>
  <c r="G24" i="8" s="1"/>
  <c r="E23" i="5"/>
  <c r="G9" i="6"/>
  <c r="M9" i="6" s="1"/>
  <c r="N9" i="6"/>
  <c r="C4" i="9"/>
  <c r="C21" i="7"/>
  <c r="G23" i="7" s="1"/>
  <c r="C4" i="10"/>
  <c r="J57" i="7"/>
  <c r="J55" i="7"/>
  <c r="J59" i="7"/>
  <c r="I85" i="7"/>
  <c r="I83" i="7"/>
  <c r="I87" i="7"/>
  <c r="D29" i="3"/>
  <c r="D72" i="2"/>
  <c r="E35" i="8"/>
  <c r="D79" i="7"/>
  <c r="C10" i="4"/>
  <c r="D21" i="7"/>
  <c r="D4" i="10"/>
  <c r="D5" i="10" s="1"/>
  <c r="D8" i="10" s="1"/>
  <c r="D10" i="10" s="1"/>
  <c r="D4" i="9"/>
  <c r="D20" i="7"/>
  <c r="D101" i="7"/>
  <c r="H26" i="7"/>
  <c r="I21" i="7"/>
  <c r="J21" i="7" s="1"/>
  <c r="K21" i="7" s="1"/>
  <c r="L21" i="7" s="1"/>
  <c r="L26" i="7"/>
  <c r="K26" i="7"/>
  <c r="J85" i="7"/>
  <c r="J83" i="7"/>
  <c r="J87" i="7"/>
  <c r="C5" i="9"/>
  <c r="C8" i="9" s="1"/>
  <c r="C10" i="9" s="1"/>
  <c r="C12" i="9" s="1"/>
  <c r="E16" i="3"/>
  <c r="G16" i="3" s="1"/>
  <c r="E34" i="8"/>
  <c r="D57" i="2"/>
  <c r="C11" i="2"/>
  <c r="J12" i="1"/>
  <c r="E20" i="3"/>
  <c r="G20" i="3" s="1"/>
  <c r="F100" i="7"/>
  <c r="F101" i="7" s="1"/>
  <c r="F106" i="7" s="1"/>
  <c r="G103" i="7"/>
  <c r="H102" i="7"/>
  <c r="I102" i="7" s="1"/>
  <c r="J102" i="7" s="1"/>
  <c r="K102" i="7" s="1"/>
  <c r="L102" i="7" s="1"/>
  <c r="C26" i="3"/>
  <c r="G34" i="3"/>
  <c r="F37" i="5"/>
  <c r="C36" i="5"/>
  <c r="E37" i="5"/>
  <c r="D37" i="5"/>
  <c r="F38" i="5"/>
  <c r="C37" i="5"/>
  <c r="E38" i="5"/>
  <c r="B37" i="5"/>
  <c r="F36" i="5"/>
  <c r="D23" i="8"/>
  <c r="C23" i="5"/>
  <c r="E43" i="5"/>
  <c r="E45" i="5" s="1"/>
  <c r="C105" i="7"/>
  <c r="D5" i="9"/>
  <c r="D8" i="9" s="1"/>
  <c r="D10" i="9" s="1"/>
  <c r="D12" i="9" s="1"/>
  <c r="C5" i="10"/>
  <c r="C8" i="10" s="1"/>
  <c r="E6" i="4"/>
  <c r="E8" i="4" s="1"/>
  <c r="H13" i="7"/>
  <c r="H11" i="7"/>
  <c r="H15" i="7"/>
  <c r="H7" i="7" s="1"/>
  <c r="D34" i="8"/>
  <c r="C57" i="2"/>
  <c r="G111" i="7"/>
  <c r="G115" i="7" s="1"/>
  <c r="F31" i="3"/>
  <c r="G12" i="1"/>
  <c r="F11" i="2" s="1"/>
  <c r="C14" i="3"/>
  <c r="C15" i="3"/>
  <c r="C49" i="2"/>
  <c r="E30" i="3"/>
  <c r="E10" i="3"/>
  <c r="F41" i="8" s="1"/>
  <c r="D43" i="5"/>
  <c r="D45" i="5" s="1"/>
  <c r="D38" i="5" s="1"/>
  <c r="E106" i="1"/>
  <c r="E15" i="3"/>
  <c r="K14" i="6"/>
  <c r="G41" i="8"/>
  <c r="C30" i="3"/>
  <c r="G30" i="3" s="1"/>
  <c r="F8" i="2"/>
  <c r="G6" i="3"/>
  <c r="F20" i="3"/>
  <c r="G100" i="7"/>
  <c r="H100" i="7" s="1"/>
  <c r="I100" i="7" s="1"/>
  <c r="J100" i="7" s="1"/>
  <c r="K100" i="7" s="1"/>
  <c r="L100" i="7" s="1"/>
  <c r="E5" i="4"/>
  <c r="D9" i="5"/>
  <c r="D11" i="5" s="1"/>
  <c r="G10" i="7"/>
  <c r="C101" i="7"/>
  <c r="C106" i="7" s="1"/>
  <c r="D105" i="7"/>
  <c r="C13" i="2"/>
  <c r="C23" i="3"/>
  <c r="C36" i="3"/>
  <c r="C37" i="3" s="1"/>
  <c r="C8" i="3"/>
  <c r="C29" i="3"/>
  <c r="D74" i="1"/>
  <c r="C73" i="2" s="1"/>
  <c r="D35" i="8"/>
  <c r="D25" i="1"/>
  <c r="C24" i="2" s="1"/>
  <c r="B43" i="5"/>
  <c r="B45" i="5" s="1"/>
  <c r="B38" i="5" s="1"/>
  <c r="C106" i="1"/>
  <c r="F14" i="3"/>
  <c r="G14" i="3" s="1"/>
  <c r="F15" i="3"/>
  <c r="D30" i="3"/>
  <c r="D45" i="2"/>
  <c r="B71" i="2"/>
  <c r="C10" i="3"/>
  <c r="D41" i="8" s="1"/>
  <c r="C13" i="9"/>
  <c r="C94" i="7"/>
  <c r="C93" i="7" s="1"/>
  <c r="C14" i="9" s="1"/>
  <c r="C9" i="10"/>
  <c r="C9" i="9"/>
  <c r="C65" i="7"/>
  <c r="B21" i="5"/>
  <c r="I26" i="7"/>
  <c r="H57" i="7"/>
  <c r="H55" i="7"/>
  <c r="D24" i="8"/>
  <c r="C34" i="8"/>
  <c r="D23" i="3"/>
  <c r="D36" i="3"/>
  <c r="D37" i="3" s="1"/>
  <c r="D8" i="3"/>
  <c r="E25" i="1"/>
  <c r="D24" i="2" s="1"/>
  <c r="E74" i="1"/>
  <c r="D73" i="2" s="1"/>
  <c r="D51" i="1"/>
  <c r="F9" i="1"/>
  <c r="E4" i="2"/>
  <c r="E6" i="3"/>
  <c r="D64" i="2"/>
  <c r="D56" i="2"/>
  <c r="D48" i="2"/>
  <c r="D40" i="2"/>
  <c r="D70" i="2"/>
  <c r="D62" i="2"/>
  <c r="D54" i="2"/>
  <c r="D46" i="2"/>
  <c r="D38" i="2"/>
  <c r="D41" i="2"/>
  <c r="D55" i="2"/>
  <c r="D47" i="2"/>
  <c r="D39" i="2"/>
  <c r="E33" i="8"/>
  <c r="D65" i="2"/>
  <c r="D49" i="2"/>
  <c r="D68" i="2"/>
  <c r="D60" i="2"/>
  <c r="D52" i="2"/>
  <c r="D44" i="2"/>
  <c r="D36" i="2"/>
  <c r="D71" i="2"/>
  <c r="D63" i="2"/>
  <c r="F4" i="2"/>
  <c r="F6" i="3"/>
  <c r="I14" i="6" s="1"/>
  <c r="K12" i="1"/>
  <c r="F51" i="1"/>
  <c r="E42" i="2"/>
  <c r="C43" i="5"/>
  <c r="C45" i="5" s="1"/>
  <c r="C38" i="5" s="1"/>
  <c r="D106" i="1"/>
  <c r="F23" i="2"/>
  <c r="D37" i="2"/>
  <c r="D58" i="2"/>
  <c r="D67" i="2"/>
  <c r="D10" i="3"/>
  <c r="E41" i="8" s="1"/>
  <c r="G35" i="3"/>
  <c r="D9" i="10"/>
  <c r="D9" i="9"/>
  <c r="D65" i="7"/>
  <c r="D13" i="9"/>
  <c r="J13" i="6"/>
  <c r="K23" i="6"/>
  <c r="K25" i="6" s="1"/>
  <c r="K27" i="6" s="1"/>
  <c r="K9" i="6"/>
  <c r="J26" i="7"/>
  <c r="F63" i="7"/>
  <c r="D92" i="7"/>
  <c r="D93" i="7" s="1"/>
  <c r="D14" i="9" s="1"/>
  <c r="C11" i="10"/>
  <c r="C115" i="7"/>
  <c r="D8" i="8"/>
  <c r="F5" i="10"/>
  <c r="F8" i="10" s="1"/>
  <c r="I57" i="7"/>
  <c r="I59" i="7"/>
  <c r="I55" i="7"/>
  <c r="E115" i="7"/>
  <c r="E11" i="10"/>
  <c r="F73" i="1"/>
  <c r="B42" i="2"/>
  <c r="C12" i="1"/>
  <c r="B11" i="3"/>
  <c r="B7" i="3"/>
  <c r="B8" i="2"/>
  <c r="G51" i="1"/>
  <c r="C65" i="2"/>
  <c r="F30" i="3"/>
  <c r="G73" i="1"/>
  <c r="D13" i="2"/>
  <c r="D50" i="2"/>
  <c r="D59" i="2"/>
  <c r="C72" i="2"/>
  <c r="C11" i="3"/>
  <c r="B22" i="3"/>
  <c r="G22" i="3" s="1"/>
  <c r="G21" i="3"/>
  <c r="C102" i="7"/>
  <c r="C103" i="7" s="1"/>
  <c r="D5" i="4"/>
  <c r="D24" i="4"/>
  <c r="D3" i="4" s="1"/>
  <c r="D4" i="4" s="1"/>
  <c r="D6" i="4" s="1"/>
  <c r="D8" i="4" s="1"/>
  <c r="D21" i="5"/>
  <c r="D36" i="5"/>
  <c r="K13" i="6"/>
  <c r="B39" i="6"/>
  <c r="F8" i="6"/>
  <c r="F13" i="6" s="1"/>
  <c r="D64" i="7"/>
  <c r="G95" i="7"/>
  <c r="H91" i="7"/>
  <c r="I91" i="7" s="1"/>
  <c r="J91" i="7" s="1"/>
  <c r="K91" i="7" s="1"/>
  <c r="L91" i="7" s="1"/>
  <c r="F24" i="8"/>
  <c r="E105" i="7"/>
  <c r="G63" i="7"/>
  <c r="D9" i="3"/>
  <c r="D15" i="3"/>
  <c r="G15" i="3" s="1"/>
  <c r="D31" i="3"/>
  <c r="B24" i="4"/>
  <c r="B3" i="4" s="1"/>
  <c r="B4" i="4" s="1"/>
  <c r="B6" i="4" s="1"/>
  <c r="B8" i="4" s="1"/>
  <c r="E20" i="7"/>
  <c r="L56" i="7"/>
  <c r="E101" i="7"/>
  <c r="E106" i="7" s="1"/>
  <c r="G105" i="7"/>
  <c r="E111" i="7"/>
  <c r="D114" i="7"/>
  <c r="G19" i="3"/>
  <c r="E25" i="3"/>
  <c r="E26" i="3" s="1"/>
  <c r="F20" i="7"/>
  <c r="K59" i="7"/>
  <c r="F25" i="3"/>
  <c r="F26" i="3" s="1"/>
  <c r="B5" i="4"/>
  <c r="G20" i="7"/>
  <c r="I51" i="7"/>
  <c r="J51" i="7" s="1"/>
  <c r="K51" i="7" s="1"/>
  <c r="L51" i="7" s="1"/>
  <c r="K55" i="7"/>
  <c r="G101" i="7"/>
  <c r="G106" i="7" s="1"/>
  <c r="G107" i="7" s="1"/>
  <c r="G15" i="9" s="1"/>
  <c r="F19" i="10"/>
  <c r="E4" i="9"/>
  <c r="E5" i="9" s="1"/>
  <c r="E8" i="9" s="1"/>
  <c r="E4" i="10"/>
  <c r="E5" i="10" s="1"/>
  <c r="E8" i="10" s="1"/>
  <c r="E10" i="10" s="1"/>
  <c r="E12" i="10" s="1"/>
  <c r="E14" i="10" s="1"/>
  <c r="E20" i="10" s="1"/>
  <c r="C73" i="1"/>
  <c r="D8" i="2"/>
  <c r="D7" i="3"/>
  <c r="E92" i="7"/>
  <c r="E93" i="7" s="1"/>
  <c r="E14" i="9" s="1"/>
  <c r="F4" i="9"/>
  <c r="F5" i="9" s="1"/>
  <c r="F8" i="9" s="1"/>
  <c r="G4" i="9"/>
  <c r="G5" i="9" s="1"/>
  <c r="G8" i="9" s="1"/>
  <c r="E42" i="8" l="1"/>
  <c r="G31" i="3"/>
  <c r="F8" i="3"/>
  <c r="F70" i="2"/>
  <c r="F62" i="2"/>
  <c r="F54" i="2"/>
  <c r="F46" i="2"/>
  <c r="F38" i="2"/>
  <c r="G33" i="8"/>
  <c r="F68" i="2"/>
  <c r="F60" i="2"/>
  <c r="F52" i="2"/>
  <c r="F44" i="2"/>
  <c r="F36" i="2"/>
  <c r="F69" i="2"/>
  <c r="F61" i="2"/>
  <c r="F63" i="2"/>
  <c r="F55" i="2"/>
  <c r="F47" i="2"/>
  <c r="F39" i="2"/>
  <c r="F53" i="2"/>
  <c r="F45" i="2"/>
  <c r="F66" i="2"/>
  <c r="F58" i="2"/>
  <c r="F50" i="2"/>
  <c r="F34" i="2"/>
  <c r="F37" i="2"/>
  <c r="F67" i="2"/>
  <c r="F43" i="2"/>
  <c r="F59" i="2"/>
  <c r="F41" i="2"/>
  <c r="F40" i="2"/>
  <c r="F56" i="2"/>
  <c r="F51" i="2"/>
  <c r="F57" i="2"/>
  <c r="F48" i="2"/>
  <c r="F35" i="2"/>
  <c r="F64" i="2"/>
  <c r="J43" i="7"/>
  <c r="J41" i="7"/>
  <c r="J45" i="7"/>
  <c r="C79" i="7"/>
  <c r="B10" i="4"/>
  <c r="E67" i="2"/>
  <c r="E59" i="2"/>
  <c r="E51" i="2"/>
  <c r="E43" i="2"/>
  <c r="E35" i="2"/>
  <c r="F33" i="8"/>
  <c r="E41" i="2"/>
  <c r="E58" i="2"/>
  <c r="E50" i="2"/>
  <c r="E68" i="2"/>
  <c r="E60" i="2"/>
  <c r="E52" i="2"/>
  <c r="E44" i="2"/>
  <c r="E36" i="2"/>
  <c r="E34" i="2"/>
  <c r="E63" i="2"/>
  <c r="E55" i="2"/>
  <c r="E47" i="2"/>
  <c r="E39" i="2"/>
  <c r="E66" i="2"/>
  <c r="E46" i="2"/>
  <c r="E37" i="2"/>
  <c r="E56" i="2"/>
  <c r="E8" i="3"/>
  <c r="E54" i="2"/>
  <c r="E45" i="2"/>
  <c r="E69" i="2"/>
  <c r="E62" i="2"/>
  <c r="E53" i="2"/>
  <c r="E70" i="2"/>
  <c r="E61" i="2"/>
  <c r="E40" i="2"/>
  <c r="E48" i="2"/>
  <c r="E23" i="3"/>
  <c r="E64" i="2"/>
  <c r="E38" i="2"/>
  <c r="F23" i="3"/>
  <c r="F34" i="8"/>
  <c r="F9" i="3"/>
  <c r="G9" i="3" s="1"/>
  <c r="E10" i="4"/>
  <c r="F79" i="7"/>
  <c r="F65" i="2"/>
  <c r="C16" i="9"/>
  <c r="H27" i="7"/>
  <c r="H25" i="7"/>
  <c r="H29" i="7"/>
  <c r="K43" i="7"/>
  <c r="K41" i="7"/>
  <c r="K45" i="7"/>
  <c r="I13" i="7"/>
  <c r="L13" i="7"/>
  <c r="K13" i="7"/>
  <c r="J13" i="7"/>
  <c r="G93" i="7"/>
  <c r="G14" i="9" s="1"/>
  <c r="H92" i="7"/>
  <c r="E79" i="7"/>
  <c r="D10" i="4"/>
  <c r="I27" i="7"/>
  <c r="I25" i="7"/>
  <c r="I29" i="7"/>
  <c r="C10" i="10"/>
  <c r="C12" i="10" s="1"/>
  <c r="C14" i="10" s="1"/>
  <c r="C20" i="10" s="1"/>
  <c r="C42" i="8" s="1"/>
  <c r="D106" i="7"/>
  <c r="D107" i="7" s="1"/>
  <c r="D15" i="9" s="1"/>
  <c r="D16" i="9" s="1"/>
  <c r="L41" i="7"/>
  <c r="L45" i="7"/>
  <c r="L43" i="7"/>
  <c r="E23" i="8"/>
  <c r="E24" i="8" s="1"/>
  <c r="D23" i="5"/>
  <c r="E57" i="2"/>
  <c r="F24" i="7"/>
  <c r="E31" i="5"/>
  <c r="B30" i="5"/>
  <c r="D31" i="5"/>
  <c r="F29" i="5"/>
  <c r="N14" i="6" s="1"/>
  <c r="F32" i="5"/>
  <c r="C31" i="5"/>
  <c r="E29" i="5"/>
  <c r="E32" i="5"/>
  <c r="B31" i="5"/>
  <c r="D29" i="5"/>
  <c r="B29" i="5"/>
  <c r="D32" i="5"/>
  <c r="F30" i="5"/>
  <c r="C29" i="5"/>
  <c r="C32" i="5"/>
  <c r="E30" i="5"/>
  <c r="B32" i="5"/>
  <c r="F31" i="5"/>
  <c r="M14" i="6" s="1"/>
  <c r="D30" i="5"/>
  <c r="C30" i="5"/>
  <c r="G14" i="6"/>
  <c r="H43" i="7"/>
  <c r="H41" i="7"/>
  <c r="H45" i="7"/>
  <c r="H35" i="7" s="1"/>
  <c r="B11" i="2"/>
  <c r="I12" i="1"/>
  <c r="C14" i="1"/>
  <c r="D3" i="12"/>
  <c r="C24" i="10"/>
  <c r="B29" i="3"/>
  <c r="B72" i="2"/>
  <c r="C74" i="1"/>
  <c r="B73" i="2" s="1"/>
  <c r="C35" i="8"/>
  <c r="D11" i="10"/>
  <c r="D12" i="10" s="1"/>
  <c r="D14" i="10" s="1"/>
  <c r="D20" i="10" s="1"/>
  <c r="D42" i="8" s="1"/>
  <c r="D115" i="7"/>
  <c r="I49" i="7"/>
  <c r="G9" i="9"/>
  <c r="G10" i="9" s="1"/>
  <c r="G12" i="9" s="1"/>
  <c r="G16" i="9" s="1"/>
  <c r="G13" i="9"/>
  <c r="G64" i="7"/>
  <c r="G94" i="7"/>
  <c r="G9" i="10"/>
  <c r="G10" i="10" s="1"/>
  <c r="G12" i="10" s="1"/>
  <c r="G14" i="10" s="1"/>
  <c r="G20" i="10" s="1"/>
  <c r="G42" i="8" s="1"/>
  <c r="G43" i="8" s="1"/>
  <c r="G44" i="8" s="1"/>
  <c r="C25" i="10" s="1"/>
  <c r="I39" i="10" s="1"/>
  <c r="G65" i="7"/>
  <c r="H7" i="9"/>
  <c r="H7" i="10"/>
  <c r="E107" i="7"/>
  <c r="E15" i="9" s="1"/>
  <c r="G8" i="6"/>
  <c r="G13" i="6" s="1"/>
  <c r="N8" i="6"/>
  <c r="N13" i="6" s="1"/>
  <c r="I20" i="6" s="1"/>
  <c r="I22" i="6" s="1"/>
  <c r="I25" i="6" s="1"/>
  <c r="I27" i="6" s="1"/>
  <c r="I29" i="6" s="1"/>
  <c r="M8" i="6"/>
  <c r="M13" i="6" s="1"/>
  <c r="J27" i="7"/>
  <c r="J25" i="7"/>
  <c r="J29" i="7"/>
  <c r="E71" i="2"/>
  <c r="F111" i="7"/>
  <c r="F115" i="7" s="1"/>
  <c r="G116" i="7" s="1"/>
  <c r="H115" i="7" s="1"/>
  <c r="I115" i="7" s="1"/>
  <c r="J115" i="7" s="1"/>
  <c r="K115" i="7" s="1"/>
  <c r="L115" i="7" s="1"/>
  <c r="E31" i="3"/>
  <c r="E9" i="3"/>
  <c r="E7" i="3"/>
  <c r="G7" i="3" s="1"/>
  <c r="F12" i="1"/>
  <c r="E11" i="3"/>
  <c r="G11" i="3" s="1"/>
  <c r="E8" i="2"/>
  <c r="G25" i="3"/>
  <c r="E49" i="2"/>
  <c r="H3" i="10"/>
  <c r="H3" i="9"/>
  <c r="H103" i="7"/>
  <c r="H95" i="7"/>
  <c r="K27" i="7"/>
  <c r="K25" i="7"/>
  <c r="K29" i="7"/>
  <c r="I7" i="7"/>
  <c r="F10" i="4"/>
  <c r="G79" i="7"/>
  <c r="F42" i="2"/>
  <c r="G35" i="8"/>
  <c r="F72" i="2"/>
  <c r="F29" i="3"/>
  <c r="H14" i="6" s="1"/>
  <c r="G74" i="1"/>
  <c r="F73" i="2" s="1"/>
  <c r="E10" i="9"/>
  <c r="E12" i="9" s="1"/>
  <c r="F71" i="2"/>
  <c r="F13" i="9"/>
  <c r="F9" i="9"/>
  <c r="F10" i="9" s="1"/>
  <c r="F12" i="9" s="1"/>
  <c r="F16" i="9" s="1"/>
  <c r="F94" i="7"/>
  <c r="F93" i="7" s="1"/>
  <c r="F14" i="9" s="1"/>
  <c r="F9" i="10"/>
  <c r="F10" i="10" s="1"/>
  <c r="F12" i="10" s="1"/>
  <c r="F14" i="10" s="1"/>
  <c r="F20" i="10" s="1"/>
  <c r="F65" i="7"/>
  <c r="G67" i="7" s="1"/>
  <c r="H65" i="7" s="1"/>
  <c r="F64" i="7"/>
  <c r="C23" i="8"/>
  <c r="C24" i="8" s="1"/>
  <c r="G25" i="8" s="1"/>
  <c r="G27" i="8" s="1"/>
  <c r="B23" i="5"/>
  <c r="F49" i="2"/>
  <c r="L55" i="7"/>
  <c r="L59" i="7"/>
  <c r="L57" i="7"/>
  <c r="G34" i="8"/>
  <c r="G36" i="8" s="1"/>
  <c r="C20" i="9" s="1"/>
  <c r="F74" i="1"/>
  <c r="E73" i="2" s="1"/>
  <c r="F35" i="8"/>
  <c r="E72" i="2"/>
  <c r="E29" i="3"/>
  <c r="C69" i="2"/>
  <c r="C61" i="2"/>
  <c r="C53" i="2"/>
  <c r="C45" i="2"/>
  <c r="C37" i="2"/>
  <c r="C67" i="2"/>
  <c r="C59" i="2"/>
  <c r="C51" i="2"/>
  <c r="C43" i="2"/>
  <c r="C35" i="2"/>
  <c r="C62" i="2"/>
  <c r="C46" i="2"/>
  <c r="C38" i="2"/>
  <c r="C36" i="2"/>
  <c r="C70" i="2"/>
  <c r="C54" i="2"/>
  <c r="C9" i="3"/>
  <c r="D33" i="8"/>
  <c r="C41" i="2"/>
  <c r="C68" i="2"/>
  <c r="C60" i="2"/>
  <c r="C52" i="2"/>
  <c r="C44" i="2"/>
  <c r="C63" i="2"/>
  <c r="C42" i="2"/>
  <c r="C47" i="2"/>
  <c r="C64" i="2"/>
  <c r="C55" i="2"/>
  <c r="C71" i="2"/>
  <c r="C50" i="2"/>
  <c r="C58" i="2"/>
  <c r="C48" i="2"/>
  <c r="C34" i="2"/>
  <c r="C66" i="2"/>
  <c r="C40" i="2"/>
  <c r="C39" i="2"/>
  <c r="C56" i="2"/>
  <c r="B26" i="3"/>
  <c r="G26" i="3" s="1"/>
  <c r="K11" i="7"/>
  <c r="J11" i="7"/>
  <c r="I11" i="7"/>
  <c r="L11" i="7"/>
  <c r="F107" i="7"/>
  <c r="F15" i="9" s="1"/>
  <c r="E65" i="2"/>
  <c r="L25" i="7"/>
  <c r="L29" i="7"/>
  <c r="L27" i="7"/>
  <c r="I43" i="7"/>
  <c r="I41" i="7"/>
  <c r="I45" i="7"/>
  <c r="I35" i="7" s="1"/>
  <c r="K70" i="7" l="1"/>
  <c r="J70" i="7"/>
  <c r="I70" i="7"/>
  <c r="H70" i="7"/>
  <c r="I65" i="7"/>
  <c r="J65" i="7" s="1"/>
  <c r="K65" i="7" s="1"/>
  <c r="L65" i="7" s="1"/>
  <c r="L70" i="7"/>
  <c r="F42" i="8"/>
  <c r="G21" i="10"/>
  <c r="H23" i="9"/>
  <c r="L23" i="9"/>
  <c r="K23" i="9"/>
  <c r="J23" i="9"/>
  <c r="L31" i="9"/>
  <c r="I23" i="9"/>
  <c r="G29" i="3"/>
  <c r="H6" i="10"/>
  <c r="H6" i="9"/>
  <c r="G81" i="7"/>
  <c r="E11" i="2"/>
  <c r="L12" i="1"/>
  <c r="I7" i="9"/>
  <c r="I7" i="10"/>
  <c r="L28" i="10"/>
  <c r="L36" i="10"/>
  <c r="K28" i="10"/>
  <c r="J28" i="10"/>
  <c r="H28" i="10"/>
  <c r="I28" i="10"/>
  <c r="I6" i="10"/>
  <c r="I6" i="9"/>
  <c r="I92" i="7"/>
  <c r="I33" i="6"/>
  <c r="E4" i="11" s="1"/>
  <c r="F4" i="11" s="1"/>
  <c r="D4" i="11"/>
  <c r="I40" i="10"/>
  <c r="I41" i="10" s="1"/>
  <c r="I38" i="10"/>
  <c r="I37" i="10" s="1"/>
  <c r="F41" i="3"/>
  <c r="F42" i="3" s="1"/>
  <c r="B10" i="3"/>
  <c r="B23" i="3"/>
  <c r="G23" i="3" s="1"/>
  <c r="I47" i="1"/>
  <c r="B36" i="3"/>
  <c r="B8" i="3"/>
  <c r="G8" i="3" s="1"/>
  <c r="B13" i="2"/>
  <c r="C25" i="1"/>
  <c r="B24" i="2" s="1"/>
  <c r="B36" i="5"/>
  <c r="E16" i="9"/>
  <c r="I3" i="10"/>
  <c r="I95" i="7"/>
  <c r="I3" i="9"/>
  <c r="I103" i="7"/>
  <c r="J7" i="7"/>
  <c r="K31" i="9" l="1"/>
  <c r="J31" i="9" s="1"/>
  <c r="M31" i="9"/>
  <c r="N31" i="9" s="1"/>
  <c r="J95" i="7"/>
  <c r="J3" i="9"/>
  <c r="J3" i="10"/>
  <c r="J103" i="7"/>
  <c r="K7" i="7"/>
  <c r="J49" i="7"/>
  <c r="B37" i="3"/>
  <c r="G37" i="3" s="1"/>
  <c r="G36" i="3"/>
  <c r="H69" i="7"/>
  <c r="H73" i="7"/>
  <c r="H63" i="7" s="1"/>
  <c r="H71" i="7"/>
  <c r="L71" i="7"/>
  <c r="L69" i="7"/>
  <c r="L73" i="7"/>
  <c r="J19" i="7"/>
  <c r="J92" i="7"/>
  <c r="M36" i="10"/>
  <c r="N36" i="10" s="1"/>
  <c r="K36" i="10"/>
  <c r="J36" i="10" s="1"/>
  <c r="J35" i="7"/>
  <c r="J71" i="7"/>
  <c r="J73" i="7"/>
  <c r="J63" i="7" s="1"/>
  <c r="J69" i="7"/>
  <c r="I73" i="7"/>
  <c r="I63" i="7" s="1"/>
  <c r="I71" i="7"/>
  <c r="I69" i="7"/>
  <c r="C41" i="8"/>
  <c r="G10" i="3"/>
  <c r="K73" i="7"/>
  <c r="K63" i="7" s="1"/>
  <c r="K71" i="7"/>
  <c r="K69" i="7"/>
  <c r="I13" i="9" l="1"/>
  <c r="I94" i="7"/>
  <c r="I93" i="7" s="1"/>
  <c r="I14" i="9" s="1"/>
  <c r="I9" i="10"/>
  <c r="I9" i="9"/>
  <c r="I19" i="7"/>
  <c r="J101" i="7"/>
  <c r="J105" i="7"/>
  <c r="J4" i="9"/>
  <c r="J5" i="9" s="1"/>
  <c r="J8" i="9" s="1"/>
  <c r="J10" i="9" s="1"/>
  <c r="J4" i="10"/>
  <c r="J5" i="10" s="1"/>
  <c r="J8" i="10" s="1"/>
  <c r="J10" i="10" s="1"/>
  <c r="K13" i="9"/>
  <c r="K94" i="7"/>
  <c r="K9" i="10"/>
  <c r="K9" i="9"/>
  <c r="H13" i="9"/>
  <c r="H94" i="7"/>
  <c r="H93" i="7" s="1"/>
  <c r="H14" i="9" s="1"/>
  <c r="H9" i="10"/>
  <c r="H9" i="9"/>
  <c r="H19" i="7"/>
  <c r="J7" i="10"/>
  <c r="J7" i="9"/>
  <c r="J93" i="7"/>
  <c r="J14" i="9" s="1"/>
  <c r="K92" i="7"/>
  <c r="J6" i="10"/>
  <c r="J6" i="9"/>
  <c r="J9" i="10"/>
  <c r="J13" i="9"/>
  <c r="J94" i="7"/>
  <c r="J9" i="9"/>
  <c r="K95" i="7"/>
  <c r="L7" i="7"/>
  <c r="K3" i="9"/>
  <c r="K103" i="7"/>
  <c r="K3" i="10"/>
  <c r="K49" i="7"/>
  <c r="K19" i="7"/>
  <c r="K35" i="7"/>
  <c r="J11" i="9" l="1"/>
  <c r="J12" i="9" s="1"/>
  <c r="J111" i="7"/>
  <c r="J114" i="7" s="1"/>
  <c r="J11" i="10" s="1"/>
  <c r="J13" i="10"/>
  <c r="J12" i="10"/>
  <c r="J14" i="10" s="1"/>
  <c r="J18" i="10" s="1"/>
  <c r="J29" i="10" s="1"/>
  <c r="K6" i="9"/>
  <c r="K6" i="10"/>
  <c r="I101" i="7"/>
  <c r="I106" i="7" s="1"/>
  <c r="I105" i="7"/>
  <c r="I4" i="9"/>
  <c r="I5" i="9" s="1"/>
  <c r="I8" i="9" s="1"/>
  <c r="I10" i="9" s="1"/>
  <c r="I4" i="10"/>
  <c r="I5" i="10" s="1"/>
  <c r="I8" i="10" s="1"/>
  <c r="I10" i="10" s="1"/>
  <c r="K4" i="9"/>
  <c r="K105" i="7"/>
  <c r="K4" i="10"/>
  <c r="K101" i="7"/>
  <c r="K106" i="7" s="1"/>
  <c r="K107" i="7" s="1"/>
  <c r="K15" i="9" s="1"/>
  <c r="L103" i="7"/>
  <c r="L95" i="7"/>
  <c r="L3" i="9"/>
  <c r="L3" i="10"/>
  <c r="L35" i="7"/>
  <c r="L49" i="7"/>
  <c r="L63" i="7"/>
  <c r="K93" i="7"/>
  <c r="K14" i="9" s="1"/>
  <c r="L92" i="7"/>
  <c r="J106" i="7"/>
  <c r="K7" i="9"/>
  <c r="K7" i="10"/>
  <c r="K5" i="10"/>
  <c r="K8" i="10" s="1"/>
  <c r="K10" i="10" s="1"/>
  <c r="H101" i="7"/>
  <c r="H4" i="10"/>
  <c r="H5" i="10" s="1"/>
  <c r="H8" i="10" s="1"/>
  <c r="H10" i="10" s="1"/>
  <c r="H105" i="7"/>
  <c r="H4" i="9"/>
  <c r="H5" i="9" s="1"/>
  <c r="H8" i="9" s="1"/>
  <c r="H10" i="9" s="1"/>
  <c r="K5" i="9"/>
  <c r="K13" i="10" l="1"/>
  <c r="L7" i="10"/>
  <c r="L7" i="9"/>
  <c r="H13" i="10"/>
  <c r="L13" i="9"/>
  <c r="L94" i="7"/>
  <c r="L93" i="7" s="1"/>
  <c r="L14" i="9" s="1"/>
  <c r="L9" i="10"/>
  <c r="L9" i="9"/>
  <c r="L6" i="9"/>
  <c r="L6" i="10"/>
  <c r="I13" i="10"/>
  <c r="H106" i="7"/>
  <c r="H107" i="7" s="1"/>
  <c r="H15" i="9" s="1"/>
  <c r="L19" i="7"/>
  <c r="K8" i="9"/>
  <c r="K10" i="9" s="1"/>
  <c r="J107" i="7"/>
  <c r="J15" i="9" s="1"/>
  <c r="J16" i="9" s="1"/>
  <c r="J24" i="9" s="1"/>
  <c r="I111" i="7"/>
  <c r="I114" i="7" s="1"/>
  <c r="I11" i="10" s="1"/>
  <c r="I12" i="10" s="1"/>
  <c r="I14" i="10" s="1"/>
  <c r="I18" i="10" s="1"/>
  <c r="I29" i="10" s="1"/>
  <c r="I12" i="9"/>
  <c r="I11" i="9"/>
  <c r="H111" i="7"/>
  <c r="H114" i="7" s="1"/>
  <c r="H11" i="10" s="1"/>
  <c r="H12" i="10" s="1"/>
  <c r="H14" i="10" s="1"/>
  <c r="H18" i="10" s="1"/>
  <c r="H29" i="10" s="1"/>
  <c r="H11" i="9"/>
  <c r="H12" i="9" s="1"/>
  <c r="H16" i="9" s="1"/>
  <c r="H24" i="9" s="1"/>
  <c r="K11" i="9" l="1"/>
  <c r="K12" i="9" s="1"/>
  <c r="K16" i="9" s="1"/>
  <c r="K24" i="9" s="1"/>
  <c r="K111" i="7"/>
  <c r="K114" i="7" s="1"/>
  <c r="K11" i="10" s="1"/>
  <c r="K12" i="10" s="1"/>
  <c r="K14" i="10" s="1"/>
  <c r="K18" i="10" s="1"/>
  <c r="K29" i="10" s="1"/>
  <c r="I107" i="7"/>
  <c r="I15" i="9" s="1"/>
  <c r="I16" i="9" s="1"/>
  <c r="I24" i="9" s="1"/>
  <c r="L4" i="10"/>
  <c r="L5" i="10" s="1"/>
  <c r="L8" i="10" s="1"/>
  <c r="L10" i="10" s="1"/>
  <c r="L4" i="9"/>
  <c r="L5" i="9" s="1"/>
  <c r="L8" i="9" s="1"/>
  <c r="L10" i="9" s="1"/>
  <c r="L101" i="7"/>
  <c r="L106" i="7" s="1"/>
  <c r="L107" i="7" s="1"/>
  <c r="L15" i="9" s="1"/>
  <c r="L105" i="7"/>
  <c r="L13" i="10" l="1"/>
  <c r="L12" i="9"/>
  <c r="L16" i="9" s="1"/>
  <c r="L11" i="9"/>
  <c r="L111" i="7"/>
  <c r="L114" i="7" s="1"/>
  <c r="L11" i="10" s="1"/>
  <c r="L12" i="10" s="1"/>
  <c r="L14" i="10" s="1"/>
  <c r="L18" i="10" s="1"/>
  <c r="L30" i="10" l="1"/>
  <c r="C33" i="10" s="1"/>
  <c r="L29" i="10"/>
  <c r="C32" i="10" s="1"/>
  <c r="L25" i="9"/>
  <c r="C28" i="9" s="1"/>
  <c r="L24" i="9"/>
  <c r="C27" i="9" s="1"/>
  <c r="C29" i="9" l="1"/>
  <c r="C32" i="9" s="1"/>
  <c r="C34" i="9" s="1"/>
  <c r="C34" i="10"/>
  <c r="C36" i="10" s="1"/>
  <c r="C38" i="10" l="1"/>
  <c r="E6" i="11" s="1"/>
  <c r="F6" i="11" s="1"/>
  <c r="I36" i="10"/>
  <c r="D6" i="11"/>
  <c r="C36" i="9"/>
  <c r="E5" i="11" s="1"/>
  <c r="F5" i="11" s="1"/>
  <c r="D5" i="11"/>
  <c r="F7" i="11" s="1"/>
  <c r="D2" i="12" l="1"/>
  <c r="F9" i="11"/>
  <c r="H10010" i="12" l="1"/>
  <c r="H10006" i="12"/>
  <c r="H10002" i="12"/>
  <c r="H9998" i="12"/>
  <c r="H9994" i="12"/>
  <c r="H9990" i="12"/>
  <c r="H9986" i="12"/>
  <c r="H9982" i="12"/>
  <c r="H9978" i="12"/>
  <c r="H9974" i="12"/>
  <c r="H9970" i="12"/>
  <c r="H9966" i="12"/>
  <c r="H9962" i="12"/>
  <c r="H9958" i="12"/>
  <c r="H9954" i="12"/>
  <c r="H9950" i="12"/>
  <c r="H9946" i="12"/>
  <c r="H9942" i="12"/>
  <c r="H9938" i="12"/>
  <c r="H9934" i="12"/>
  <c r="H9930" i="12"/>
  <c r="H9926" i="12"/>
  <c r="H9922" i="12"/>
  <c r="H9918" i="12"/>
  <c r="H9914" i="12"/>
  <c r="H9910" i="12"/>
  <c r="H9906" i="12"/>
  <c r="H9902" i="12"/>
  <c r="H9898" i="12"/>
  <c r="H9894" i="12"/>
  <c r="H9890" i="12"/>
  <c r="H9886" i="12"/>
  <c r="H9882" i="12"/>
  <c r="H9878" i="12"/>
  <c r="H9874" i="12"/>
  <c r="H9870" i="12"/>
  <c r="H9866" i="12"/>
  <c r="H9862" i="12"/>
  <c r="H9858" i="12"/>
  <c r="H9854" i="12"/>
  <c r="H9850" i="12"/>
  <c r="H9846" i="12"/>
  <c r="H9842" i="12"/>
  <c r="H9838" i="12"/>
  <c r="H9834" i="12"/>
  <c r="H9830" i="12"/>
  <c r="H9826" i="12"/>
  <c r="H9822" i="12"/>
  <c r="H9818" i="12"/>
  <c r="H9814" i="12"/>
  <c r="H9810" i="12"/>
  <c r="H9806" i="12"/>
  <c r="H9802" i="12"/>
  <c r="H9798" i="12"/>
  <c r="H9794" i="12"/>
  <c r="H9790" i="12"/>
  <c r="H9786" i="12"/>
  <c r="H9782" i="12"/>
  <c r="H9778" i="12"/>
  <c r="H9774" i="12"/>
  <c r="H9770" i="12"/>
  <c r="H9766" i="12"/>
  <c r="H9762" i="12"/>
  <c r="H9758" i="12"/>
  <c r="H9754" i="12"/>
  <c r="H9750" i="12"/>
  <c r="H9746" i="12"/>
  <c r="H9742" i="12"/>
  <c r="H9738" i="12"/>
  <c r="H9734" i="12"/>
  <c r="H9730" i="12"/>
  <c r="H9726" i="12"/>
  <c r="H9722" i="12"/>
  <c r="H9718" i="12"/>
  <c r="H9714" i="12"/>
  <c r="H9710" i="12"/>
  <c r="H9706" i="12"/>
  <c r="H9702" i="12"/>
  <c r="H9698" i="12"/>
  <c r="H9694" i="12"/>
  <c r="H9690" i="12"/>
  <c r="H9686" i="12"/>
  <c r="H9682" i="12"/>
  <c r="H9678" i="12"/>
  <c r="H9674" i="12"/>
  <c r="H10009" i="12"/>
  <c r="H10005" i="12"/>
  <c r="H10001" i="12"/>
  <c r="H9997" i="12"/>
  <c r="H9993" i="12"/>
  <c r="H9989" i="12"/>
  <c r="H9985" i="12"/>
  <c r="H9981" i="12"/>
  <c r="H9977" i="12"/>
  <c r="H9973" i="12"/>
  <c r="H9969" i="12"/>
  <c r="H9965" i="12"/>
  <c r="H9961" i="12"/>
  <c r="H9957" i="12"/>
  <c r="H9953" i="12"/>
  <c r="H9949" i="12"/>
  <c r="H9945" i="12"/>
  <c r="H9941" i="12"/>
  <c r="H9937" i="12"/>
  <c r="H9933" i="12"/>
  <c r="H9929" i="12"/>
  <c r="H9925" i="12"/>
  <c r="H9921" i="12"/>
  <c r="H9917" i="12"/>
  <c r="H9913" i="12"/>
  <c r="H9909" i="12"/>
  <c r="H9905" i="12"/>
  <c r="H9901" i="12"/>
  <c r="H9897" i="12"/>
  <c r="H9893" i="12"/>
  <c r="H9889" i="12"/>
  <c r="H9885" i="12"/>
  <c r="H9881" i="12"/>
  <c r="H9877" i="12"/>
  <c r="H9873" i="12"/>
  <c r="H9869" i="12"/>
  <c r="H9865" i="12"/>
  <c r="H9861" i="12"/>
  <c r="H9857" i="12"/>
  <c r="H9853" i="12"/>
  <c r="H9849" i="12"/>
  <c r="H9845" i="12"/>
  <c r="H9841" i="12"/>
  <c r="H9837" i="12"/>
  <c r="H9833" i="12"/>
  <c r="H9829" i="12"/>
  <c r="H9825" i="12"/>
  <c r="H9821" i="12"/>
  <c r="H9817" i="12"/>
  <c r="H9813" i="12"/>
  <c r="H9809" i="12"/>
  <c r="H9805" i="12"/>
  <c r="H9801" i="12"/>
  <c r="H9797" i="12"/>
  <c r="H9793" i="12"/>
  <c r="H9789" i="12"/>
  <c r="H9785" i="12"/>
  <c r="H9781" i="12"/>
  <c r="H9777" i="12"/>
  <c r="H9773" i="12"/>
  <c r="H9769" i="12"/>
  <c r="H9765" i="12"/>
  <c r="H9761" i="12"/>
  <c r="H9757" i="12"/>
  <c r="H9753" i="12"/>
  <c r="H9749" i="12"/>
  <c r="H9745" i="12"/>
  <c r="H9741" i="12"/>
  <c r="H9737" i="12"/>
  <c r="H9733" i="12"/>
  <c r="H9729" i="12"/>
  <c r="H9725" i="12"/>
  <c r="H9721" i="12"/>
  <c r="H9717" i="12"/>
  <c r="H9713" i="12"/>
  <c r="H9709" i="12"/>
  <c r="H9705" i="12"/>
  <c r="H9701" i="12"/>
  <c r="H9697" i="12"/>
  <c r="H9693" i="12"/>
  <c r="H9689" i="12"/>
  <c r="H9685" i="12"/>
  <c r="H9681" i="12"/>
  <c r="H9677" i="12"/>
  <c r="H9673" i="12"/>
  <c r="H10004" i="12"/>
  <c r="H9999" i="12"/>
  <c r="H9988" i="12"/>
  <c r="H9983" i="12"/>
  <c r="H9972" i="12"/>
  <c r="H9967" i="12"/>
  <c r="H9956" i="12"/>
  <c r="H9951" i="12"/>
  <c r="H9940" i="12"/>
  <c r="H9935" i="12"/>
  <c r="H9924" i="12"/>
  <c r="H9919" i="12"/>
  <c r="H9908" i="12"/>
  <c r="H9903" i="12"/>
  <c r="H9892" i="12"/>
  <c r="H9887" i="12"/>
  <c r="H9876" i="12"/>
  <c r="H9871" i="12"/>
  <c r="H9860" i="12"/>
  <c r="H9855" i="12"/>
  <c r="H9844" i="12"/>
  <c r="H9839" i="12"/>
  <c r="H9828" i="12"/>
  <c r="H9823" i="12"/>
  <c r="H9812" i="12"/>
  <c r="H9807" i="12"/>
  <c r="H9796" i="12"/>
  <c r="H9791" i="12"/>
  <c r="H9780" i="12"/>
  <c r="H9775" i="12"/>
  <c r="H9764" i="12"/>
  <c r="H9759" i="12"/>
  <c r="H9748" i="12"/>
  <c r="H9743" i="12"/>
  <c r="H9732" i="12"/>
  <c r="H9727" i="12"/>
  <c r="H9716" i="12"/>
  <c r="H9711" i="12"/>
  <c r="H9700" i="12"/>
  <c r="H9695" i="12"/>
  <c r="H9684" i="12"/>
  <c r="H9679" i="12"/>
  <c r="H9669" i="12"/>
  <c r="H9665" i="12"/>
  <c r="H9661" i="12"/>
  <c r="H9657" i="12"/>
  <c r="H9653" i="12"/>
  <c r="H9649" i="12"/>
  <c r="H9645" i="12"/>
  <c r="H9641" i="12"/>
  <c r="H9637" i="12"/>
  <c r="H9633" i="12"/>
  <c r="H9629" i="12"/>
  <c r="H9625" i="12"/>
  <c r="H9621" i="12"/>
  <c r="H9617" i="12"/>
  <c r="H9613" i="12"/>
  <c r="H9609" i="12"/>
  <c r="H9605" i="12"/>
  <c r="H9601" i="12"/>
  <c r="H9597" i="12"/>
  <c r="H9593" i="12"/>
  <c r="H10008" i="12"/>
  <c r="H10003" i="12"/>
  <c r="H9992" i="12"/>
  <c r="H9987" i="12"/>
  <c r="H9976" i="12"/>
  <c r="H9971" i="12"/>
  <c r="H9960" i="12"/>
  <c r="H9955" i="12"/>
  <c r="H9944" i="12"/>
  <c r="H9939" i="12"/>
  <c r="H9928" i="12"/>
  <c r="H9923" i="12"/>
  <c r="H9912" i="12"/>
  <c r="H9907" i="12"/>
  <c r="H9896" i="12"/>
  <c r="H9891" i="12"/>
  <c r="H9880" i="12"/>
  <c r="H9875" i="12"/>
  <c r="H9864" i="12"/>
  <c r="H9859" i="12"/>
  <c r="H9848" i="12"/>
  <c r="H9843" i="12"/>
  <c r="H9832" i="12"/>
  <c r="H9827" i="12"/>
  <c r="H9816" i="12"/>
  <c r="H9811" i="12"/>
  <c r="H9800" i="12"/>
  <c r="H9795" i="12"/>
  <c r="H9784" i="12"/>
  <c r="H9779" i="12"/>
  <c r="H9768" i="12"/>
  <c r="H9763" i="12"/>
  <c r="H9752" i="12"/>
  <c r="H9747" i="12"/>
  <c r="H9736" i="12"/>
  <c r="H9731" i="12"/>
  <c r="H9720" i="12"/>
  <c r="H9715" i="12"/>
  <c r="H9704" i="12"/>
  <c r="H9699" i="12"/>
  <c r="H9688" i="12"/>
  <c r="H9683" i="12"/>
  <c r="H9672" i="12"/>
  <c r="H9668" i="12"/>
  <c r="H9664" i="12"/>
  <c r="H9660" i="12"/>
  <c r="H9656" i="12"/>
  <c r="H9652" i="12"/>
  <c r="H9648" i="12"/>
  <c r="H9644" i="12"/>
  <c r="H9640" i="12"/>
  <c r="H9636" i="12"/>
  <c r="H9632" i="12"/>
  <c r="H9628" i="12"/>
  <c r="H9624" i="12"/>
  <c r="H9620" i="12"/>
  <c r="H9616" i="12"/>
  <c r="H9612" i="12"/>
  <c r="H9608" i="12"/>
  <c r="H9604" i="12"/>
  <c r="H9600" i="12"/>
  <c r="H9596" i="12"/>
  <c r="H9592" i="12"/>
  <c r="H9588" i="12"/>
  <c r="H9584" i="12"/>
  <c r="H9580" i="12"/>
  <c r="H9576" i="12"/>
  <c r="H9572" i="12"/>
  <c r="H9568" i="12"/>
  <c r="H9564" i="12"/>
  <c r="H9560" i="12"/>
  <c r="H9556" i="12"/>
  <c r="H9552" i="12"/>
  <c r="H9548" i="12"/>
  <c r="H9544" i="12"/>
  <c r="H9540" i="12"/>
  <c r="H9536" i="12"/>
  <c r="H9532" i="12"/>
  <c r="H9528" i="12"/>
  <c r="H9524" i="12"/>
  <c r="H9520" i="12"/>
  <c r="H9516" i="12"/>
  <c r="H9512" i="12"/>
  <c r="H9508" i="12"/>
  <c r="H9504" i="12"/>
  <c r="H9500" i="12"/>
  <c r="H9496" i="12"/>
  <c r="H9492" i="12"/>
  <c r="H9488" i="12"/>
  <c r="H9484" i="12"/>
  <c r="H9480" i="12"/>
  <c r="H9476" i="12"/>
  <c r="H9472" i="12"/>
  <c r="H9468" i="12"/>
  <c r="H9464" i="12"/>
  <c r="H9460" i="12"/>
  <c r="H9456" i="12"/>
  <c r="H9452" i="12"/>
  <c r="H9448" i="12"/>
  <c r="H9444" i="12"/>
  <c r="H9440" i="12"/>
  <c r="H9436" i="12"/>
  <c r="H9432" i="12"/>
  <c r="H9428" i="12"/>
  <c r="H9424" i="12"/>
  <c r="H9420" i="12"/>
  <c r="H9416" i="12"/>
  <c r="H9412" i="12"/>
  <c r="H9408" i="12"/>
  <c r="H9404" i="12"/>
  <c r="H9400" i="12"/>
  <c r="H9396" i="12"/>
  <c r="H9392" i="12"/>
  <c r="H9388" i="12"/>
  <c r="H9384" i="12"/>
  <c r="H9380" i="12"/>
  <c r="H9376" i="12"/>
  <c r="H9372" i="12"/>
  <c r="H9368" i="12"/>
  <c r="H9364" i="12"/>
  <c r="H9360" i="12"/>
  <c r="H9356" i="12"/>
  <c r="H9352" i="12"/>
  <c r="H9348" i="12"/>
  <c r="H9344" i="12"/>
  <c r="H9340" i="12"/>
  <c r="H9336" i="12"/>
  <c r="H9332" i="12"/>
  <c r="H9328" i="12"/>
  <c r="H9324" i="12"/>
  <c r="H9320" i="12"/>
  <c r="H9316" i="12"/>
  <c r="H9312" i="12"/>
  <c r="H9308" i="12"/>
  <c r="H9304" i="12"/>
  <c r="H9300" i="12"/>
  <c r="H9296" i="12"/>
  <c r="H9292" i="12"/>
  <c r="H9288" i="12"/>
  <c r="H9284" i="12"/>
  <c r="H9280" i="12"/>
  <c r="H9276" i="12"/>
  <c r="H9272" i="12"/>
  <c r="H9268" i="12"/>
  <c r="H9264" i="12"/>
  <c r="H9260" i="12"/>
  <c r="H9256" i="12"/>
  <c r="H9252" i="12"/>
  <c r="H9248" i="12"/>
  <c r="H9244" i="12"/>
  <c r="H9240" i="12"/>
  <c r="H9236" i="12"/>
  <c r="H9232" i="12"/>
  <c r="H9228" i="12"/>
  <c r="H9224" i="12"/>
  <c r="H9220" i="12"/>
  <c r="H9216" i="12"/>
  <c r="H9212" i="12"/>
  <c r="H9208" i="12"/>
  <c r="H9204" i="12"/>
  <c r="H9200" i="12"/>
  <c r="H9196" i="12"/>
  <c r="H9192" i="12"/>
  <c r="H9188" i="12"/>
  <c r="H9184" i="12"/>
  <c r="H9180" i="12"/>
  <c r="H9176" i="12"/>
  <c r="H9172" i="12"/>
  <c r="H9168" i="12"/>
  <c r="H9164" i="12"/>
  <c r="H10007" i="12"/>
  <c r="H9670" i="12"/>
  <c r="H9659" i="12"/>
  <c r="H9654" i="12"/>
  <c r="H9643" i="12"/>
  <c r="H9638" i="12"/>
  <c r="H9627" i="12"/>
  <c r="H9622" i="12"/>
  <c r="H9611" i="12"/>
  <c r="H9606" i="12"/>
  <c r="H9595" i="12"/>
  <c r="H9590" i="12"/>
  <c r="H9581" i="12"/>
  <c r="H9567" i="12"/>
  <c r="H9558" i="12"/>
  <c r="H9549" i="12"/>
  <c r="H9535" i="12"/>
  <c r="H9526" i="12"/>
  <c r="H9517" i="12"/>
  <c r="H9503" i="12"/>
  <c r="H9494" i="12"/>
  <c r="H9485" i="12"/>
  <c r="H9471" i="12"/>
  <c r="H9462" i="12"/>
  <c r="H9453" i="12"/>
  <c r="H9439" i="12"/>
  <c r="H9430" i="12"/>
  <c r="H9421" i="12"/>
  <c r="H9407" i="12"/>
  <c r="H9398" i="12"/>
  <c r="H9389" i="12"/>
  <c r="H9375" i="12"/>
  <c r="H9366" i="12"/>
  <c r="H9357" i="12"/>
  <c r="H9343" i="12"/>
  <c r="H9334" i="12"/>
  <c r="H9325" i="12"/>
  <c r="H9311" i="12"/>
  <c r="H9302" i="12"/>
  <c r="H9293" i="12"/>
  <c r="H9279" i="12"/>
  <c r="H9270" i="12"/>
  <c r="H9261" i="12"/>
  <c r="H9247" i="12"/>
  <c r="H9238" i="12"/>
  <c r="H9229" i="12"/>
  <c r="H9215" i="12"/>
  <c r="H9206" i="12"/>
  <c r="H9197" i="12"/>
  <c r="H9183" i="12"/>
  <c r="H9174" i="12"/>
  <c r="H9165" i="12"/>
  <c r="H9995" i="12"/>
  <c r="H9963" i="12"/>
  <c r="H9931" i="12"/>
  <c r="H9899" i="12"/>
  <c r="H9867" i="12"/>
  <c r="H9835" i="12"/>
  <c r="H9803" i="12"/>
  <c r="H9771" i="12"/>
  <c r="H9739" i="12"/>
  <c r="H9707" i="12"/>
  <c r="H9675" i="12"/>
  <c r="H9585" i="12"/>
  <c r="H9571" i="12"/>
  <c r="H9562" i="12"/>
  <c r="H9553" i="12"/>
  <c r="H9539" i="12"/>
  <c r="H9530" i="12"/>
  <c r="H9521" i="12"/>
  <c r="H9507" i="12"/>
  <c r="H9498" i="12"/>
  <c r="H9489" i="12"/>
  <c r="H9475" i="12"/>
  <c r="H9466" i="12"/>
  <c r="H9457" i="12"/>
  <c r="H9443" i="12"/>
  <c r="H9434" i="12"/>
  <c r="H9425" i="12"/>
  <c r="H9411" i="12"/>
  <c r="H9402" i="12"/>
  <c r="H9393" i="12"/>
  <c r="H9379" i="12"/>
  <c r="H9370" i="12"/>
  <c r="H9361" i="12"/>
  <c r="H9347" i="12"/>
  <c r="H9338" i="12"/>
  <c r="H9329" i="12"/>
  <c r="H9315" i="12"/>
  <c r="H9306" i="12"/>
  <c r="H9297" i="12"/>
  <c r="H9283" i="12"/>
  <c r="H9274" i="12"/>
  <c r="H9265" i="12"/>
  <c r="H9251" i="12"/>
  <c r="H9242" i="12"/>
  <c r="H9233" i="12"/>
  <c r="H9219" i="12"/>
  <c r="H9210" i="12"/>
  <c r="H9201" i="12"/>
  <c r="H9187" i="12"/>
  <c r="H9178" i="12"/>
  <c r="H9169" i="12"/>
  <c r="H9160" i="12"/>
  <c r="H9156" i="12"/>
  <c r="H9152" i="12"/>
  <c r="H9148" i="12"/>
  <c r="H9144" i="12"/>
  <c r="H9140" i="12"/>
  <c r="H9136" i="12"/>
  <c r="H9132" i="12"/>
  <c r="H9128" i="12"/>
  <c r="H9124" i="12"/>
  <c r="H9120" i="12"/>
  <c r="H9116" i="12"/>
  <c r="H9112" i="12"/>
  <c r="H9108" i="12"/>
  <c r="H9104" i="12"/>
  <c r="H9100" i="12"/>
  <c r="H9096" i="12"/>
  <c r="H9092" i="12"/>
  <c r="H9088" i="12"/>
  <c r="H9084" i="12"/>
  <c r="H9080" i="12"/>
  <c r="H9076" i="12"/>
  <c r="H9072" i="12"/>
  <c r="H9068" i="12"/>
  <c r="H9064" i="12"/>
  <c r="H9060" i="12"/>
  <c r="H9056" i="12"/>
  <c r="H9052" i="12"/>
  <c r="H9048" i="12"/>
  <c r="H9044" i="12"/>
  <c r="H9040" i="12"/>
  <c r="H9036" i="12"/>
  <c r="H9032" i="12"/>
  <c r="H9028" i="12"/>
  <c r="H10000" i="12"/>
  <c r="H9975" i="12"/>
  <c r="H9968" i="12"/>
  <c r="H9943" i="12"/>
  <c r="H9936" i="12"/>
  <c r="H9911" i="12"/>
  <c r="H9904" i="12"/>
  <c r="H9879" i="12"/>
  <c r="H9872" i="12"/>
  <c r="H9847" i="12"/>
  <c r="H9840" i="12"/>
  <c r="H9815" i="12"/>
  <c r="H9808" i="12"/>
  <c r="H9783" i="12"/>
  <c r="H9776" i="12"/>
  <c r="H9751" i="12"/>
  <c r="H9744" i="12"/>
  <c r="H9719" i="12"/>
  <c r="H9712" i="12"/>
  <c r="H9687" i="12"/>
  <c r="H9680" i="12"/>
  <c r="H9663" i="12"/>
  <c r="H9658" i="12"/>
  <c r="H9647" i="12"/>
  <c r="H9642" i="12"/>
  <c r="H9631" i="12"/>
  <c r="H9626" i="12"/>
  <c r="H9615" i="12"/>
  <c r="H9610" i="12"/>
  <c r="H9599" i="12"/>
  <c r="H9594" i="12"/>
  <c r="H9589" i="12"/>
  <c r="H9575" i="12"/>
  <c r="H9566" i="12"/>
  <c r="H9557" i="12"/>
  <c r="H9543" i="12"/>
  <c r="H9534" i="12"/>
  <c r="H9525" i="12"/>
  <c r="H9511" i="12"/>
  <c r="H9502" i="12"/>
  <c r="H9493" i="12"/>
  <c r="H9479" i="12"/>
  <c r="H9470" i="12"/>
  <c r="H9461" i="12"/>
  <c r="H9447" i="12"/>
  <c r="H9438" i="12"/>
  <c r="H9429" i="12"/>
  <c r="H9415" i="12"/>
  <c r="H9406" i="12"/>
  <c r="H9397" i="12"/>
  <c r="H9383" i="12"/>
  <c r="H9374" i="12"/>
  <c r="H9365" i="12"/>
  <c r="H9351" i="12"/>
  <c r="H9342" i="12"/>
  <c r="H9333" i="12"/>
  <c r="H9319" i="12"/>
  <c r="H9310" i="12"/>
  <c r="H9301" i="12"/>
  <c r="H9287" i="12"/>
  <c r="H9278" i="12"/>
  <c r="H9269" i="12"/>
  <c r="H9255" i="12"/>
  <c r="H9246" i="12"/>
  <c r="H9237" i="12"/>
  <c r="H9223" i="12"/>
  <c r="H9214" i="12"/>
  <c r="H9205" i="12"/>
  <c r="H9191" i="12"/>
  <c r="H9182" i="12"/>
  <c r="H9173" i="12"/>
  <c r="H9667" i="12"/>
  <c r="H9662" i="12"/>
  <c r="H9651" i="12"/>
  <c r="H9646" i="12"/>
  <c r="H9635" i="12"/>
  <c r="H9630" i="12"/>
  <c r="H9619" i="12"/>
  <c r="H9614" i="12"/>
  <c r="H9603" i="12"/>
  <c r="H9598" i="12"/>
  <c r="H9583" i="12"/>
  <c r="H9574" i="12"/>
  <c r="H9565" i="12"/>
  <c r="H9551" i="12"/>
  <c r="H9542" i="12"/>
  <c r="H9533" i="12"/>
  <c r="H9519" i="12"/>
  <c r="H9510" i="12"/>
  <c r="H9501" i="12"/>
  <c r="H9487" i="12"/>
  <c r="H9478" i="12"/>
  <c r="H9469" i="12"/>
  <c r="H9455" i="12"/>
  <c r="H9446" i="12"/>
  <c r="H9437" i="12"/>
  <c r="H9423" i="12"/>
  <c r="H9414" i="12"/>
  <c r="H9405" i="12"/>
  <c r="H9391" i="12"/>
  <c r="H9382" i="12"/>
  <c r="H9373" i="12"/>
  <c r="H9359" i="12"/>
  <c r="H9350" i="12"/>
  <c r="H9341" i="12"/>
  <c r="H9327" i="12"/>
  <c r="H9318" i="12"/>
  <c r="H9309" i="12"/>
  <c r="H9295" i="12"/>
  <c r="H9286" i="12"/>
  <c r="H9277" i="12"/>
  <c r="H9263" i="12"/>
  <c r="H9979" i="12"/>
  <c r="H9947" i="12"/>
  <c r="H9915" i="12"/>
  <c r="H9883" i="12"/>
  <c r="H9851" i="12"/>
  <c r="H9819" i="12"/>
  <c r="H9787" i="12"/>
  <c r="H9755" i="12"/>
  <c r="H9723" i="12"/>
  <c r="H9691" i="12"/>
  <c r="H9587" i="12"/>
  <c r="H9578" i="12"/>
  <c r="H9569" i="12"/>
  <c r="H9555" i="12"/>
  <c r="H9546" i="12"/>
  <c r="H9537" i="12"/>
  <c r="H9523" i="12"/>
  <c r="H9514" i="12"/>
  <c r="H9505" i="12"/>
  <c r="H9491" i="12"/>
  <c r="H9482" i="12"/>
  <c r="H9473" i="12"/>
  <c r="H9459" i="12"/>
  <c r="H9450" i="12"/>
  <c r="H9441" i="12"/>
  <c r="H9427" i="12"/>
  <c r="H9418" i="12"/>
  <c r="H9409" i="12"/>
  <c r="H9395" i="12"/>
  <c r="H9386" i="12"/>
  <c r="H9377" i="12"/>
  <c r="H9363" i="12"/>
  <c r="H9354" i="12"/>
  <c r="H9345" i="12"/>
  <c r="H9331" i="12"/>
  <c r="H9322" i="12"/>
  <c r="H9313" i="12"/>
  <c r="H9299" i="12"/>
  <c r="H9290" i="12"/>
  <c r="H9281" i="12"/>
  <c r="H9267" i="12"/>
  <c r="H9258" i="12"/>
  <c r="H9249" i="12"/>
  <c r="H9235" i="12"/>
  <c r="H9226" i="12"/>
  <c r="H9217" i="12"/>
  <c r="H9959" i="12"/>
  <c r="H9952" i="12"/>
  <c r="H9895" i="12"/>
  <c r="H9888" i="12"/>
  <c r="H9831" i="12"/>
  <c r="H9824" i="12"/>
  <c r="H9767" i="12"/>
  <c r="H9760" i="12"/>
  <c r="H9703" i="12"/>
  <c r="H9696" i="12"/>
  <c r="H9639" i="12"/>
  <c r="H9618" i="12"/>
  <c r="H9577" i="12"/>
  <c r="H9527" i="12"/>
  <c r="H9483" i="12"/>
  <c r="H9477" i="12"/>
  <c r="H9458" i="12"/>
  <c r="H9433" i="12"/>
  <c r="H9358" i="12"/>
  <c r="H9346" i="12"/>
  <c r="H9339" i="12"/>
  <c r="H9321" i="12"/>
  <c r="H9271" i="12"/>
  <c r="H9253" i="12"/>
  <c r="H9241" i="12"/>
  <c r="H9218" i="12"/>
  <c r="H9195" i="12"/>
  <c r="H9190" i="12"/>
  <c r="H9185" i="12"/>
  <c r="H9179" i="12"/>
  <c r="H9158" i="12"/>
  <c r="H9149" i="12"/>
  <c r="H9135" i="12"/>
  <c r="H9126" i="12"/>
  <c r="H9117" i="12"/>
  <c r="H9103" i="12"/>
  <c r="H9094" i="12"/>
  <c r="H9085" i="12"/>
  <c r="H9071" i="12"/>
  <c r="H9062" i="12"/>
  <c r="H9053" i="12"/>
  <c r="H9039" i="12"/>
  <c r="H9030" i="12"/>
  <c r="H9980" i="12"/>
  <c r="H9916" i="12"/>
  <c r="H9852" i="12"/>
  <c r="H9788" i="12"/>
  <c r="H9724" i="12"/>
  <c r="H9582" i="12"/>
  <c r="H9570" i="12"/>
  <c r="H9563" i="12"/>
  <c r="H9545" i="12"/>
  <c r="H9495" i="12"/>
  <c r="H9451" i="12"/>
  <c r="H9445" i="12"/>
  <c r="H9426" i="12"/>
  <c r="H9401" i="12"/>
  <c r="H9326" i="12"/>
  <c r="H9314" i="12"/>
  <c r="H9307" i="12"/>
  <c r="H9289" i="12"/>
  <c r="H9234" i="12"/>
  <c r="H9211" i="12"/>
  <c r="H9167" i="12"/>
  <c r="H9162" i="12"/>
  <c r="H9153" i="12"/>
  <c r="H9139" i="12"/>
  <c r="H9130" i="12"/>
  <c r="H9121" i="12"/>
  <c r="H9107" i="12"/>
  <c r="H9098" i="12"/>
  <c r="H9089" i="12"/>
  <c r="H9075" i="12"/>
  <c r="H9066" i="12"/>
  <c r="H9057" i="12"/>
  <c r="H9043" i="12"/>
  <c r="H9034" i="12"/>
  <c r="H9025" i="12"/>
  <c r="H9021" i="12"/>
  <c r="H9017" i="12"/>
  <c r="H9013" i="12"/>
  <c r="H9009" i="12"/>
  <c r="H9005" i="12"/>
  <c r="H9001" i="12"/>
  <c r="H8997" i="12"/>
  <c r="H8993" i="12"/>
  <c r="H8989" i="12"/>
  <c r="H8985" i="12"/>
  <c r="H8981" i="12"/>
  <c r="H8977" i="12"/>
  <c r="H8973" i="12"/>
  <c r="H8969" i="12"/>
  <c r="H8965" i="12"/>
  <c r="H8961" i="12"/>
  <c r="H8957" i="12"/>
  <c r="H8953" i="12"/>
  <c r="H8949" i="12"/>
  <c r="H8945" i="12"/>
  <c r="H8941" i="12"/>
  <c r="H8937" i="12"/>
  <c r="H8933" i="12"/>
  <c r="H8929" i="12"/>
  <c r="H8925" i="12"/>
  <c r="H8921" i="12"/>
  <c r="H8917" i="12"/>
  <c r="H8913" i="12"/>
  <c r="H8909" i="12"/>
  <c r="H8905" i="12"/>
  <c r="H8901" i="12"/>
  <c r="H8897" i="12"/>
  <c r="H8893" i="12"/>
  <c r="H8889" i="12"/>
  <c r="H8885" i="12"/>
  <c r="H8881" i="12"/>
  <c r="H8877" i="12"/>
  <c r="H8873" i="12"/>
  <c r="H8869" i="12"/>
  <c r="H8865" i="12"/>
  <c r="H8861" i="12"/>
  <c r="H8857" i="12"/>
  <c r="H8853" i="12"/>
  <c r="H8849" i="12"/>
  <c r="H8845" i="12"/>
  <c r="H8841" i="12"/>
  <c r="H8837" i="12"/>
  <c r="H8833" i="12"/>
  <c r="H8829" i="12"/>
  <c r="H8825" i="12"/>
  <c r="H8821" i="12"/>
  <c r="H8817" i="12"/>
  <c r="H8813" i="12"/>
  <c r="H8809" i="12"/>
  <c r="H8805" i="12"/>
  <c r="H8801" i="12"/>
  <c r="H8797" i="12"/>
  <c r="H8793" i="12"/>
  <c r="H8789" i="12"/>
  <c r="H8785" i="12"/>
  <c r="H8781" i="12"/>
  <c r="H8777" i="12"/>
  <c r="H8773" i="12"/>
  <c r="H8769" i="12"/>
  <c r="H8765" i="12"/>
  <c r="H8761" i="12"/>
  <c r="H8757" i="12"/>
  <c r="H8753" i="12"/>
  <c r="H8749" i="12"/>
  <c r="H8745" i="12"/>
  <c r="H8741" i="12"/>
  <c r="H8737" i="12"/>
  <c r="H8733" i="12"/>
  <c r="H8729" i="12"/>
  <c r="H8725" i="12"/>
  <c r="H8721" i="12"/>
  <c r="H8717" i="12"/>
  <c r="H8713" i="12"/>
  <c r="H8709" i="12"/>
  <c r="H8705" i="12"/>
  <c r="H8701" i="12"/>
  <c r="H8697" i="12"/>
  <c r="H8693" i="12"/>
  <c r="H8689" i="12"/>
  <c r="H8685" i="12"/>
  <c r="H8681" i="12"/>
  <c r="H8677" i="12"/>
  <c r="H8673" i="12"/>
  <c r="H8669" i="12"/>
  <c r="H8665" i="12"/>
  <c r="H8661" i="12"/>
  <c r="H8657" i="12"/>
  <c r="H8653" i="12"/>
  <c r="H8649" i="12"/>
  <c r="H8645" i="12"/>
  <c r="H8641" i="12"/>
  <c r="H8637" i="12"/>
  <c r="H8633" i="12"/>
  <c r="H8629" i="12"/>
  <c r="H8625" i="12"/>
  <c r="H8621" i="12"/>
  <c r="H8617" i="12"/>
  <c r="H8613" i="12"/>
  <c r="H8609" i="12"/>
  <c r="H8605" i="12"/>
  <c r="H8601" i="12"/>
  <c r="H8597" i="12"/>
  <c r="H8593" i="12"/>
  <c r="H8589" i="12"/>
  <c r="H8585" i="12"/>
  <c r="H8581" i="12"/>
  <c r="H8577" i="12"/>
  <c r="H8573" i="12"/>
  <c r="H8569" i="12"/>
  <c r="H8565" i="12"/>
  <c r="H8561" i="12"/>
  <c r="H8557" i="12"/>
  <c r="H8553" i="12"/>
  <c r="H8549" i="12"/>
  <c r="H8545" i="12"/>
  <c r="H8541" i="12"/>
  <c r="H8537" i="12"/>
  <c r="H8533" i="12"/>
  <c r="H8529" i="12"/>
  <c r="H8525" i="12"/>
  <c r="H8521" i="12"/>
  <c r="H8517" i="12"/>
  <c r="H8513" i="12"/>
  <c r="H8509" i="12"/>
  <c r="H8505" i="12"/>
  <c r="H8501" i="12"/>
  <c r="H8497" i="12"/>
  <c r="H8493" i="12"/>
  <c r="H8489" i="12"/>
  <c r="H8485" i="12"/>
  <c r="H9964" i="12"/>
  <c r="H9900" i="12"/>
  <c r="H9836" i="12"/>
  <c r="H9772" i="12"/>
  <c r="H9708" i="12"/>
  <c r="H9666" i="12"/>
  <c r="H9623" i="12"/>
  <c r="H9602" i="12"/>
  <c r="H9550" i="12"/>
  <c r="H9538" i="12"/>
  <c r="H9531" i="12"/>
  <c r="H9513" i="12"/>
  <c r="H9463" i="12"/>
  <c r="H9419" i="12"/>
  <c r="H9413" i="12"/>
  <c r="H9394" i="12"/>
  <c r="H9369" i="12"/>
  <c r="H9294" i="12"/>
  <c r="H9282" i="12"/>
  <c r="H9275" i="12"/>
  <c r="H9257" i="12"/>
  <c r="H9245" i="12"/>
  <c r="H9222" i="12"/>
  <c r="H9199" i="12"/>
  <c r="H9194" i="12"/>
  <c r="H9189" i="12"/>
  <c r="H9157" i="12"/>
  <c r="H9143" i="12"/>
  <c r="H9134" i="12"/>
  <c r="H9125" i="12"/>
  <c r="H9111" i="12"/>
  <c r="H9102" i="12"/>
  <c r="H9093" i="12"/>
  <c r="H9079" i="12"/>
  <c r="H9070" i="12"/>
  <c r="H9061" i="12"/>
  <c r="H9047" i="12"/>
  <c r="H9038" i="12"/>
  <c r="H9029" i="12"/>
  <c r="H9991" i="12"/>
  <c r="H9984" i="12"/>
  <c r="H9927" i="12"/>
  <c r="H9920" i="12"/>
  <c r="H9863" i="12"/>
  <c r="H9856" i="12"/>
  <c r="H9799" i="12"/>
  <c r="H9792" i="12"/>
  <c r="H9735" i="12"/>
  <c r="H9728" i="12"/>
  <c r="H9671" i="12"/>
  <c r="H9650" i="12"/>
  <c r="H9607" i="12"/>
  <c r="H9586" i="12"/>
  <c r="H9561" i="12"/>
  <c r="H9486" i="12"/>
  <c r="H9474" i="12"/>
  <c r="H9467" i="12"/>
  <c r="H9449" i="12"/>
  <c r="H9399" i="12"/>
  <c r="H9355" i="12"/>
  <c r="H9349" i="12"/>
  <c r="H9330" i="12"/>
  <c r="H9305" i="12"/>
  <c r="H9250" i="12"/>
  <c r="H9221" i="12"/>
  <c r="H9209" i="12"/>
  <c r="H9203" i="12"/>
  <c r="H9198" i="12"/>
  <c r="H9193" i="12"/>
  <c r="H9151" i="12"/>
  <c r="H9142" i="12"/>
  <c r="H9133" i="12"/>
  <c r="H9119" i="12"/>
  <c r="H9110" i="12"/>
  <c r="H9101" i="12"/>
  <c r="H9087" i="12"/>
  <c r="H9078" i="12"/>
  <c r="H9069" i="12"/>
  <c r="H9055" i="12"/>
  <c r="H9046" i="12"/>
  <c r="H9037" i="12"/>
  <c r="H9948" i="12"/>
  <c r="H9884" i="12"/>
  <c r="H9820" i="12"/>
  <c r="H9756" i="12"/>
  <c r="H9692" i="12"/>
  <c r="H9579" i="12"/>
  <c r="H9573" i="12"/>
  <c r="H9554" i="12"/>
  <c r="H9529" i="12"/>
  <c r="H9454" i="12"/>
  <c r="H9442" i="12"/>
  <c r="H9435" i="12"/>
  <c r="H9417" i="12"/>
  <c r="H9367" i="12"/>
  <c r="H9323" i="12"/>
  <c r="H9317" i="12"/>
  <c r="H9298" i="12"/>
  <c r="H9273" i="12"/>
  <c r="H9243" i="12"/>
  <c r="H9231" i="12"/>
  <c r="H9181" i="12"/>
  <c r="H9170" i="12"/>
  <c r="H9155" i="12"/>
  <c r="H9146" i="12"/>
  <c r="H9137" i="12"/>
  <c r="H9123" i="12"/>
  <c r="H9114" i="12"/>
  <c r="H9105" i="12"/>
  <c r="H9091" i="12"/>
  <c r="H9082" i="12"/>
  <c r="H9073" i="12"/>
  <c r="H9059" i="12"/>
  <c r="H9050" i="12"/>
  <c r="H9041" i="12"/>
  <c r="H9027" i="12"/>
  <c r="H9023" i="12"/>
  <c r="H9019" i="12"/>
  <c r="H9015" i="12"/>
  <c r="H9011" i="12"/>
  <c r="H9007" i="12"/>
  <c r="H9003" i="12"/>
  <c r="H8999" i="12"/>
  <c r="H8995" i="12"/>
  <c r="H8991" i="12"/>
  <c r="H8987" i="12"/>
  <c r="H8983" i="12"/>
  <c r="H8979" i="12"/>
  <c r="H8975" i="12"/>
  <c r="H8971" i="12"/>
  <c r="H8967" i="12"/>
  <c r="H8963" i="12"/>
  <c r="H8959" i="12"/>
  <c r="H8955" i="12"/>
  <c r="H8951" i="12"/>
  <c r="H8947" i="12"/>
  <c r="H8943" i="12"/>
  <c r="H8939" i="12"/>
  <c r="H8935" i="12"/>
  <c r="H8931" i="12"/>
  <c r="H8927" i="12"/>
  <c r="H8923" i="12"/>
  <c r="H8919" i="12"/>
  <c r="H8915" i="12"/>
  <c r="H8911" i="12"/>
  <c r="H8907" i="12"/>
  <c r="H8903" i="12"/>
  <c r="H8899" i="12"/>
  <c r="H8895" i="12"/>
  <c r="H8891" i="12"/>
  <c r="H8887" i="12"/>
  <c r="H8883" i="12"/>
  <c r="H8879" i="12"/>
  <c r="H9868" i="12"/>
  <c r="H9541" i="12"/>
  <c r="H9506" i="12"/>
  <c r="H9499" i="12"/>
  <c r="H9410" i="12"/>
  <c r="H9403" i="12"/>
  <c r="H9362" i="12"/>
  <c r="H9259" i="12"/>
  <c r="H9230" i="12"/>
  <c r="H9118" i="12"/>
  <c r="H9106" i="12"/>
  <c r="H9099" i="12"/>
  <c r="H9081" i="12"/>
  <c r="H9031" i="12"/>
  <c r="H9014" i="12"/>
  <c r="H8998" i="12"/>
  <c r="H8982" i="12"/>
  <c r="H8966" i="12"/>
  <c r="H8950" i="12"/>
  <c r="H8934" i="12"/>
  <c r="H8918" i="12"/>
  <c r="H8902" i="12"/>
  <c r="H8886" i="12"/>
  <c r="H8871" i="12"/>
  <c r="H8862" i="12"/>
  <c r="H8848" i="12"/>
  <c r="H8839" i="12"/>
  <c r="H8830" i="12"/>
  <c r="H8816" i="12"/>
  <c r="H8807" i="12"/>
  <c r="H8798" i="12"/>
  <c r="H8784" i="12"/>
  <c r="H8775" i="12"/>
  <c r="H8766" i="12"/>
  <c r="H8752" i="12"/>
  <c r="H8743" i="12"/>
  <c r="H8734" i="12"/>
  <c r="H8720" i="12"/>
  <c r="H8711" i="12"/>
  <c r="H8702" i="12"/>
  <c r="H8688" i="12"/>
  <c r="H8679" i="12"/>
  <c r="H8670" i="12"/>
  <c r="H8656" i="12"/>
  <c r="H8647" i="12"/>
  <c r="H8638" i="12"/>
  <c r="H8624" i="12"/>
  <c r="H8615" i="12"/>
  <c r="H8606" i="12"/>
  <c r="H8592" i="12"/>
  <c r="H8583" i="12"/>
  <c r="H8574" i="12"/>
  <c r="H8560" i="12"/>
  <c r="H8551" i="12"/>
  <c r="H8542" i="12"/>
  <c r="H8528" i="12"/>
  <c r="H8519" i="12"/>
  <c r="H8510" i="12"/>
  <c r="H8496" i="12"/>
  <c r="H8487" i="12"/>
  <c r="H9804" i="12"/>
  <c r="H9655" i="12"/>
  <c r="H9547" i="12"/>
  <c r="H9518" i="12"/>
  <c r="H9431" i="12"/>
  <c r="H9202" i="12"/>
  <c r="H9161" i="12"/>
  <c r="H9086" i="12"/>
  <c r="H9074" i="12"/>
  <c r="H9067" i="12"/>
  <c r="H9049" i="12"/>
  <c r="H9024" i="12"/>
  <c r="H9008" i="12"/>
  <c r="H8992" i="12"/>
  <c r="H8976" i="12"/>
  <c r="H8960" i="12"/>
  <c r="H8944" i="12"/>
  <c r="H8928" i="12"/>
  <c r="H8912" i="12"/>
  <c r="H8896" i="12"/>
  <c r="H8880" i="12"/>
  <c r="H8875" i="12"/>
  <c r="H8866" i="12"/>
  <c r="H8852" i="12"/>
  <c r="H8843" i="12"/>
  <c r="H8834" i="12"/>
  <c r="H8820" i="12"/>
  <c r="H8811" i="12"/>
  <c r="H8802" i="12"/>
  <c r="H8788" i="12"/>
  <c r="H8779" i="12"/>
  <c r="H8770" i="12"/>
  <c r="H8756" i="12"/>
  <c r="H8747" i="12"/>
  <c r="H8738" i="12"/>
  <c r="H8724" i="12"/>
  <c r="H8715" i="12"/>
  <c r="H8706" i="12"/>
  <c r="H8692" i="12"/>
  <c r="H8683" i="12"/>
  <c r="H8674" i="12"/>
  <c r="H8660" i="12"/>
  <c r="H8651" i="12"/>
  <c r="H8642" i="12"/>
  <c r="H8628" i="12"/>
  <c r="H8619" i="12"/>
  <c r="H8610" i="12"/>
  <c r="H8596" i="12"/>
  <c r="H8587" i="12"/>
  <c r="H8578" i="12"/>
  <c r="H8564" i="12"/>
  <c r="H8555" i="12"/>
  <c r="H8546" i="12"/>
  <c r="H8532" i="12"/>
  <c r="H8523" i="12"/>
  <c r="H8514" i="12"/>
  <c r="H8500" i="12"/>
  <c r="H8491" i="12"/>
  <c r="H8482" i="12"/>
  <c r="H8478" i="12"/>
  <c r="H8474" i="12"/>
  <c r="H8470" i="12"/>
  <c r="H8466" i="12"/>
  <c r="H8462" i="12"/>
  <c r="H8458" i="12"/>
  <c r="H8454" i="12"/>
  <c r="H8450" i="12"/>
  <c r="H8446" i="12"/>
  <c r="H8442" i="12"/>
  <c r="H8438" i="12"/>
  <c r="H8434" i="12"/>
  <c r="H8430" i="12"/>
  <c r="H8426" i="12"/>
  <c r="H8422" i="12"/>
  <c r="H8418" i="12"/>
  <c r="H8414" i="12"/>
  <c r="H8410" i="12"/>
  <c r="H8406" i="12"/>
  <c r="H8402" i="12"/>
  <c r="H8398" i="12"/>
  <c r="H8394" i="12"/>
  <c r="H8390" i="12"/>
  <c r="H8386" i="12"/>
  <c r="H8382" i="12"/>
  <c r="H8378" i="12"/>
  <c r="H8374" i="12"/>
  <c r="H8370" i="12"/>
  <c r="H8366" i="12"/>
  <c r="H8362" i="12"/>
  <c r="H8358" i="12"/>
  <c r="H8354" i="12"/>
  <c r="H8350" i="12"/>
  <c r="H8346" i="12"/>
  <c r="H8342" i="12"/>
  <c r="H8338" i="12"/>
  <c r="H8334" i="12"/>
  <c r="H8330" i="12"/>
  <c r="H8326" i="12"/>
  <c r="H8322" i="12"/>
  <c r="H8318" i="12"/>
  <c r="H8314" i="12"/>
  <c r="H8310" i="12"/>
  <c r="H8306" i="12"/>
  <c r="H8302" i="12"/>
  <c r="H8298" i="12"/>
  <c r="H8294" i="12"/>
  <c r="H8290" i="12"/>
  <c r="H8286" i="12"/>
  <c r="H8282" i="12"/>
  <c r="H8278" i="12"/>
  <c r="H8274" i="12"/>
  <c r="H8270" i="12"/>
  <c r="H8266" i="12"/>
  <c r="H8262" i="12"/>
  <c r="H8258" i="12"/>
  <c r="H8254" i="12"/>
  <c r="H8250" i="12"/>
  <c r="H8246" i="12"/>
  <c r="H8242" i="12"/>
  <c r="H8238" i="12"/>
  <c r="H8234" i="12"/>
  <c r="H8230" i="12"/>
  <c r="H8226" i="12"/>
  <c r="H8222" i="12"/>
  <c r="H8218" i="12"/>
  <c r="H8214" i="12"/>
  <c r="H8210" i="12"/>
  <c r="H8206" i="12"/>
  <c r="H8202" i="12"/>
  <c r="H8198" i="12"/>
  <c r="H8194" i="12"/>
  <c r="H8190" i="12"/>
  <c r="H8186" i="12"/>
  <c r="H8182" i="12"/>
  <c r="H8178" i="12"/>
  <c r="H8174" i="12"/>
  <c r="H8170" i="12"/>
  <c r="H8166" i="12"/>
  <c r="H8162" i="12"/>
  <c r="H8158" i="12"/>
  <c r="H8154" i="12"/>
  <c r="H8150" i="12"/>
  <c r="H8146" i="12"/>
  <c r="H8142" i="12"/>
  <c r="H8138" i="12"/>
  <c r="H8134" i="12"/>
  <c r="H8130" i="12"/>
  <c r="H9740" i="12"/>
  <c r="H9387" i="12"/>
  <c r="H9381" i="12"/>
  <c r="H9353" i="12"/>
  <c r="H9186" i="12"/>
  <c r="H9166" i="12"/>
  <c r="H9154" i="12"/>
  <c r="H9129" i="12"/>
  <c r="H9054" i="12"/>
  <c r="H9042" i="12"/>
  <c r="H9035" i="12"/>
  <c r="H9018" i="12"/>
  <c r="H9002" i="12"/>
  <c r="H8986" i="12"/>
  <c r="H8970" i="12"/>
  <c r="H8954" i="12"/>
  <c r="H8938" i="12"/>
  <c r="H8922" i="12"/>
  <c r="H8906" i="12"/>
  <c r="H8890" i="12"/>
  <c r="H8870" i="12"/>
  <c r="H8856" i="12"/>
  <c r="H8847" i="12"/>
  <c r="H8838" i="12"/>
  <c r="H8824" i="12"/>
  <c r="H8815" i="12"/>
  <c r="H8806" i="12"/>
  <c r="H8792" i="12"/>
  <c r="H8783" i="12"/>
  <c r="H8774" i="12"/>
  <c r="H8760" i="12"/>
  <c r="H8751" i="12"/>
  <c r="H8742" i="12"/>
  <c r="H8728" i="12"/>
  <c r="H8719" i="12"/>
  <c r="H8710" i="12"/>
  <c r="H8696" i="12"/>
  <c r="H8687" i="12"/>
  <c r="H8678" i="12"/>
  <c r="H8664" i="12"/>
  <c r="H8655" i="12"/>
  <c r="H8646" i="12"/>
  <c r="H8632" i="12"/>
  <c r="H8623" i="12"/>
  <c r="H8614" i="12"/>
  <c r="H8600" i="12"/>
  <c r="H8591" i="12"/>
  <c r="H8582" i="12"/>
  <c r="H8568" i="12"/>
  <c r="H8559" i="12"/>
  <c r="H8550" i="12"/>
  <c r="H8536" i="12"/>
  <c r="H8527" i="12"/>
  <c r="H8518" i="12"/>
  <c r="H8504" i="12"/>
  <c r="H8495" i="12"/>
  <c r="H8486" i="12"/>
  <c r="H9515" i="12"/>
  <c r="H9481" i="12"/>
  <c r="H9385" i="12"/>
  <c r="H9127" i="12"/>
  <c r="H9083" i="12"/>
  <c r="H9077" i="12"/>
  <c r="H9058" i="12"/>
  <c r="H9033" i="12"/>
  <c r="H9016" i="12"/>
  <c r="H9000" i="12"/>
  <c r="H8984" i="12"/>
  <c r="H8968" i="12"/>
  <c r="H8952" i="12"/>
  <c r="H8936" i="12"/>
  <c r="H8920" i="12"/>
  <c r="H8904" i="12"/>
  <c r="H8888" i="12"/>
  <c r="H8868" i="12"/>
  <c r="H8859" i="12"/>
  <c r="H8850" i="12"/>
  <c r="H8836" i="12"/>
  <c r="H8827" i="12"/>
  <c r="H8818" i="12"/>
  <c r="H8804" i="12"/>
  <c r="H8795" i="12"/>
  <c r="H8786" i="12"/>
  <c r="H8772" i="12"/>
  <c r="H8763" i="12"/>
  <c r="H8754" i="12"/>
  <c r="H8740" i="12"/>
  <c r="H8731" i="12"/>
  <c r="H8722" i="12"/>
  <c r="H8708" i="12"/>
  <c r="H8699" i="12"/>
  <c r="H8690" i="12"/>
  <c r="H8676" i="12"/>
  <c r="H8667" i="12"/>
  <c r="H8658" i="12"/>
  <c r="H8644" i="12"/>
  <c r="H8635" i="12"/>
  <c r="H8626" i="12"/>
  <c r="H8612" i="12"/>
  <c r="H8603" i="12"/>
  <c r="H8594" i="12"/>
  <c r="H8580" i="12"/>
  <c r="H8571" i="12"/>
  <c r="H8562" i="12"/>
  <c r="H8548" i="12"/>
  <c r="H8539" i="12"/>
  <c r="H8530" i="12"/>
  <c r="H8516" i="12"/>
  <c r="H8507" i="12"/>
  <c r="H8498" i="12"/>
  <c r="H8484" i="12"/>
  <c r="H8480" i="12"/>
  <c r="H8476" i="12"/>
  <c r="H8472" i="12"/>
  <c r="H8468" i="12"/>
  <c r="H8464" i="12"/>
  <c r="H8460" i="12"/>
  <c r="H8456" i="12"/>
  <c r="H8452" i="12"/>
  <c r="H8448" i="12"/>
  <c r="H8444" i="12"/>
  <c r="H8440" i="12"/>
  <c r="H8436" i="12"/>
  <c r="H8432" i="12"/>
  <c r="H8428" i="12"/>
  <c r="H8424" i="12"/>
  <c r="H8420" i="12"/>
  <c r="H8416" i="12"/>
  <c r="H8412" i="12"/>
  <c r="H8408" i="12"/>
  <c r="H8404" i="12"/>
  <c r="H8400" i="12"/>
  <c r="H8396" i="12"/>
  <c r="H8392" i="12"/>
  <c r="H8388" i="12"/>
  <c r="H8384" i="12"/>
  <c r="H8380" i="12"/>
  <c r="H8376" i="12"/>
  <c r="H8372" i="12"/>
  <c r="H8368" i="12"/>
  <c r="H8364" i="12"/>
  <c r="H8360" i="12"/>
  <c r="H9676" i="12"/>
  <c r="H9559" i="12"/>
  <c r="H9390" i="12"/>
  <c r="H9337" i="12"/>
  <c r="H9285" i="12"/>
  <c r="H9175" i="12"/>
  <c r="H8863" i="12"/>
  <c r="H8840" i="12"/>
  <c r="H8828" i="12"/>
  <c r="H8799" i="12"/>
  <c r="H8776" i="12"/>
  <c r="H8764" i="12"/>
  <c r="H8735" i="12"/>
  <c r="H8712" i="12"/>
  <c r="H8700" i="12"/>
  <c r="H8671" i="12"/>
  <c r="H8648" i="12"/>
  <c r="H8636" i="12"/>
  <c r="H8607" i="12"/>
  <c r="H8584" i="12"/>
  <c r="H8572" i="12"/>
  <c r="H8543" i="12"/>
  <c r="H8520" i="12"/>
  <c r="H8508" i="12"/>
  <c r="H8479" i="12"/>
  <c r="H8463" i="12"/>
  <c r="H8447" i="12"/>
  <c r="H8431" i="12"/>
  <c r="H8415" i="12"/>
  <c r="H8399" i="12"/>
  <c r="H8383" i="12"/>
  <c r="H8367" i="12"/>
  <c r="H8352" i="12"/>
  <c r="H8343" i="12"/>
  <c r="H8329" i="12"/>
  <c r="H8320" i="12"/>
  <c r="H8311" i="12"/>
  <c r="H8297" i="12"/>
  <c r="H8288" i="12"/>
  <c r="H8279" i="12"/>
  <c r="H8265" i="12"/>
  <c r="H8256" i="12"/>
  <c r="H8247" i="12"/>
  <c r="H8233" i="12"/>
  <c r="H8224" i="12"/>
  <c r="H8215" i="12"/>
  <c r="H8201" i="12"/>
  <c r="H8192" i="12"/>
  <c r="H8183" i="12"/>
  <c r="H8169" i="12"/>
  <c r="H8160" i="12"/>
  <c r="H8151" i="12"/>
  <c r="H8137" i="12"/>
  <c r="H8128" i="12"/>
  <c r="H8124" i="12"/>
  <c r="H8120" i="12"/>
  <c r="H8116" i="12"/>
  <c r="H8112" i="12"/>
  <c r="H8108" i="12"/>
  <c r="H8104" i="12"/>
  <c r="H8100" i="12"/>
  <c r="H8096" i="12"/>
  <c r="H8092" i="12"/>
  <c r="H8088" i="12"/>
  <c r="H8084" i="12"/>
  <c r="H8080" i="12"/>
  <c r="H8076" i="12"/>
  <c r="H8072" i="12"/>
  <c r="H8068" i="12"/>
  <c r="H8064" i="12"/>
  <c r="H8060" i="12"/>
  <c r="H8056" i="12"/>
  <c r="H8052" i="12"/>
  <c r="H8048" i="12"/>
  <c r="H8044" i="12"/>
  <c r="H8040" i="12"/>
  <c r="H8036" i="12"/>
  <c r="H8032" i="12"/>
  <c r="H8028" i="12"/>
  <c r="H8024" i="12"/>
  <c r="H8020" i="12"/>
  <c r="H8016" i="12"/>
  <c r="H8012" i="12"/>
  <c r="H8008" i="12"/>
  <c r="H8004" i="12"/>
  <c r="H8000" i="12"/>
  <c r="H7996" i="12"/>
  <c r="H7992" i="12"/>
  <c r="H7988" i="12"/>
  <c r="H7984" i="12"/>
  <c r="H7980" i="12"/>
  <c r="H7976" i="12"/>
  <c r="H7972" i="12"/>
  <c r="H7968" i="12"/>
  <c r="H7964" i="12"/>
  <c r="H7960" i="12"/>
  <c r="H7956" i="12"/>
  <c r="H7952" i="12"/>
  <c r="H7948" i="12"/>
  <c r="H7944" i="12"/>
  <c r="H7940" i="12"/>
  <c r="H7936" i="12"/>
  <c r="H7932" i="12"/>
  <c r="H7928" i="12"/>
  <c r="H7924" i="12"/>
  <c r="H7920" i="12"/>
  <c r="H7916" i="12"/>
  <c r="H7912" i="12"/>
  <c r="H7908" i="12"/>
  <c r="H7904" i="12"/>
  <c r="H7900" i="12"/>
  <c r="H7896" i="12"/>
  <c r="H7892" i="12"/>
  <c r="H7888" i="12"/>
  <c r="H7884" i="12"/>
  <c r="H7880" i="12"/>
  <c r="H7876" i="12"/>
  <c r="H7872" i="12"/>
  <c r="H7868" i="12"/>
  <c r="H7864" i="12"/>
  <c r="H7860" i="12"/>
  <c r="H7856" i="12"/>
  <c r="H7852" i="12"/>
  <c r="H7848" i="12"/>
  <c r="H7844" i="12"/>
  <c r="H7840" i="12"/>
  <c r="H7836" i="12"/>
  <c r="H7832" i="12"/>
  <c r="H7828" i="12"/>
  <c r="H7824" i="12"/>
  <c r="H7820" i="12"/>
  <c r="H7816" i="12"/>
  <c r="H7812" i="12"/>
  <c r="H7808" i="12"/>
  <c r="H7804" i="12"/>
  <c r="H7800" i="12"/>
  <c r="H7796" i="12"/>
  <c r="H7792" i="12"/>
  <c r="H7788" i="12"/>
  <c r="H7784" i="12"/>
  <c r="H7780" i="12"/>
  <c r="H7776" i="12"/>
  <c r="H7772" i="12"/>
  <c r="H7768" i="12"/>
  <c r="H7764" i="12"/>
  <c r="H7760" i="12"/>
  <c r="H7756" i="12"/>
  <c r="H7752" i="12"/>
  <c r="H7748" i="12"/>
  <c r="H7744" i="12"/>
  <c r="H7740" i="12"/>
  <c r="H7736" i="12"/>
  <c r="H7732" i="12"/>
  <c r="H7728" i="12"/>
  <c r="H7724" i="12"/>
  <c r="H7720" i="12"/>
  <c r="H7716" i="12"/>
  <c r="H7712" i="12"/>
  <c r="H7708" i="12"/>
  <c r="H7704" i="12"/>
  <c r="H7700" i="12"/>
  <c r="H7696" i="12"/>
  <c r="H7692" i="12"/>
  <c r="H7688" i="12"/>
  <c r="H7684" i="12"/>
  <c r="H7680" i="12"/>
  <c r="H7676" i="12"/>
  <c r="H7672" i="12"/>
  <c r="H7668" i="12"/>
  <c r="H7664" i="12"/>
  <c r="H9497" i="12"/>
  <c r="H9490" i="12"/>
  <c r="H9291" i="12"/>
  <c r="H9262" i="12"/>
  <c r="H9147" i="12"/>
  <c r="H9141" i="12"/>
  <c r="H8874" i="12"/>
  <c r="H8851" i="12"/>
  <c r="H8822" i="12"/>
  <c r="H9254" i="12"/>
  <c r="H9239" i="12"/>
  <c r="H9225" i="12"/>
  <c r="H9113" i="12"/>
  <c r="H9063" i="12"/>
  <c r="H9026" i="12"/>
  <c r="H9020" i="12"/>
  <c r="H8994" i="12"/>
  <c r="H8988" i="12"/>
  <c r="H8962" i="12"/>
  <c r="H8956" i="12"/>
  <c r="H8930" i="12"/>
  <c r="H8924" i="12"/>
  <c r="H8898" i="12"/>
  <c r="H8892" i="12"/>
  <c r="H8867" i="12"/>
  <c r="H8844" i="12"/>
  <c r="H8832" i="12"/>
  <c r="H8803" i="12"/>
  <c r="H8780" i="12"/>
  <c r="H8768" i="12"/>
  <c r="H8739" i="12"/>
  <c r="H8716" i="12"/>
  <c r="H8704" i="12"/>
  <c r="H8675" i="12"/>
  <c r="H8652" i="12"/>
  <c r="H8640" i="12"/>
  <c r="H8611" i="12"/>
  <c r="H8588" i="12"/>
  <c r="H8576" i="12"/>
  <c r="H8547" i="12"/>
  <c r="H8524" i="12"/>
  <c r="H8512" i="12"/>
  <c r="H8483" i="12"/>
  <c r="H8467" i="12"/>
  <c r="H8451" i="12"/>
  <c r="H8435" i="12"/>
  <c r="H8419" i="12"/>
  <c r="H8403" i="12"/>
  <c r="H8387" i="12"/>
  <c r="H8371" i="12"/>
  <c r="H8351" i="12"/>
  <c r="H8337" i="12"/>
  <c r="H8328" i="12"/>
  <c r="H8319" i="12"/>
  <c r="H8305" i="12"/>
  <c r="H8296" i="12"/>
  <c r="H8287" i="12"/>
  <c r="H8273" i="12"/>
  <c r="H8264" i="12"/>
  <c r="H8255" i="12"/>
  <c r="H8241" i="12"/>
  <c r="H8232" i="12"/>
  <c r="H8223" i="12"/>
  <c r="H8209" i="12"/>
  <c r="H8200" i="12"/>
  <c r="H8191" i="12"/>
  <c r="H8177" i="12"/>
  <c r="H8168" i="12"/>
  <c r="H8159" i="12"/>
  <c r="H8145" i="12"/>
  <c r="H8136" i="12"/>
  <c r="H8127" i="12"/>
  <c r="H8123" i="12"/>
  <c r="H8119" i="12"/>
  <c r="H8115" i="12"/>
  <c r="H8111" i="12"/>
  <c r="H9634" i="12"/>
  <c r="H9465" i="12"/>
  <c r="H9335" i="12"/>
  <c r="H9159" i="12"/>
  <c r="H9012" i="12"/>
  <c r="H9006" i="12"/>
  <c r="H9509" i="12"/>
  <c r="H9303" i="12"/>
  <c r="H9266" i="12"/>
  <c r="H9145" i="12"/>
  <c r="H9378" i="12"/>
  <c r="H9371" i="12"/>
  <c r="H9177" i="12"/>
  <c r="H9171" i="12"/>
  <c r="H9150" i="12"/>
  <c r="H9138" i="12"/>
  <c r="H9131" i="12"/>
  <c r="H9090" i="12"/>
  <c r="H8854" i="12"/>
  <c r="H8842" i="12"/>
  <c r="H8819" i="12"/>
  <c r="H8790" i="12"/>
  <c r="H8778" i="12"/>
  <c r="H8755" i="12"/>
  <c r="H8726" i="12"/>
  <c r="H8714" i="12"/>
  <c r="H8691" i="12"/>
  <c r="H8662" i="12"/>
  <c r="H8650" i="12"/>
  <c r="H8627" i="12"/>
  <c r="H8598" i="12"/>
  <c r="H8586" i="12"/>
  <c r="H8563" i="12"/>
  <c r="H9422" i="12"/>
  <c r="H9109" i="12"/>
  <c r="H9095" i="12"/>
  <c r="H8964" i="12"/>
  <c r="H8916" i="12"/>
  <c r="H8910" i="12"/>
  <c r="H8823" i="12"/>
  <c r="H8810" i="12"/>
  <c r="H8791" i="12"/>
  <c r="H8758" i="12"/>
  <c r="H8732" i="12"/>
  <c r="H8686" i="12"/>
  <c r="H8634" i="12"/>
  <c r="H8616" i="12"/>
  <c r="H8590" i="12"/>
  <c r="H8544" i="12"/>
  <c r="H8538" i="12"/>
  <c r="H8526" i="12"/>
  <c r="H8506" i="12"/>
  <c r="H8494" i="12"/>
  <c r="H8453" i="12"/>
  <c r="H8441" i="12"/>
  <c r="H8429" i="12"/>
  <c r="H8389" i="12"/>
  <c r="H8377" i="12"/>
  <c r="H8365" i="12"/>
  <c r="H8355" i="12"/>
  <c r="H8349" i="12"/>
  <c r="H8324" i="12"/>
  <c r="H8299" i="12"/>
  <c r="H8293" i="12"/>
  <c r="H8283" i="12"/>
  <c r="H8268" i="12"/>
  <c r="H8252" i="12"/>
  <c r="H8237" i="12"/>
  <c r="H8227" i="12"/>
  <c r="H8221" i="12"/>
  <c r="H8196" i="12"/>
  <c r="H8171" i="12"/>
  <c r="H8165" i="12"/>
  <c r="H8155" i="12"/>
  <c r="H8140" i="12"/>
  <c r="H8099" i="12"/>
  <c r="H8090" i="12"/>
  <c r="H8081" i="12"/>
  <c r="H8067" i="12"/>
  <c r="H8058" i="12"/>
  <c r="H8049" i="12"/>
  <c r="H8035" i="12"/>
  <c r="H8026" i="12"/>
  <c r="H8017" i="12"/>
  <c r="H8003" i="12"/>
  <c r="H7994" i="12"/>
  <c r="H7985" i="12"/>
  <c r="H7971" i="12"/>
  <c r="H7962" i="12"/>
  <c r="H7953" i="12"/>
  <c r="H7939" i="12"/>
  <c r="H7930" i="12"/>
  <c r="H7921" i="12"/>
  <c r="H7907" i="12"/>
  <c r="H7898" i="12"/>
  <c r="H7889" i="12"/>
  <c r="H7875" i="12"/>
  <c r="H7866" i="12"/>
  <c r="H7857" i="12"/>
  <c r="H7843" i="12"/>
  <c r="H7834" i="12"/>
  <c r="H7825" i="12"/>
  <c r="H7811" i="12"/>
  <c r="H7802" i="12"/>
  <c r="H7793" i="12"/>
  <c r="H7779" i="12"/>
  <c r="H7770" i="12"/>
  <c r="H7761" i="12"/>
  <c r="H7747" i="12"/>
  <c r="H7738" i="12"/>
  <c r="H7729" i="12"/>
  <c r="H7715" i="12"/>
  <c r="H7706" i="12"/>
  <c r="H7697" i="12"/>
  <c r="H7683" i="12"/>
  <c r="H7674" i="12"/>
  <c r="H7665" i="12"/>
  <c r="H9122" i="12"/>
  <c r="H9115" i="12"/>
  <c r="H9004" i="12"/>
  <c r="H8990" i="12"/>
  <c r="H8882" i="12"/>
  <c r="H8876" i="12"/>
  <c r="H8835" i="12"/>
  <c r="H8796" i="12"/>
  <c r="H8750" i="12"/>
  <c r="H8698" i="12"/>
  <c r="H8680" i="12"/>
  <c r="H8654" i="12"/>
  <c r="H8608" i="12"/>
  <c r="H8602" i="12"/>
  <c r="H8575" i="12"/>
  <c r="H8556" i="12"/>
  <c r="H8488" i="12"/>
  <c r="H8481" i="12"/>
  <c r="H8475" i="12"/>
  <c r="H8423" i="12"/>
  <c r="H8417" i="12"/>
  <c r="H8411" i="12"/>
  <c r="H8359" i="12"/>
  <c r="H8344" i="12"/>
  <c r="H8339" i="12"/>
  <c r="H8313" i="12"/>
  <c r="H8308" i="12"/>
  <c r="H8303" i="12"/>
  <c r="H8277" i="12"/>
  <c r="H8272" i="12"/>
  <c r="H8257" i="12"/>
  <c r="H8231" i="12"/>
  <c r="H8216" i="12"/>
  <c r="H8211" i="12"/>
  <c r="H8185" i="12"/>
  <c r="H8180" i="12"/>
  <c r="H8175" i="12"/>
  <c r="H8149" i="12"/>
  <c r="H8144" i="12"/>
  <c r="H8129" i="12"/>
  <c r="H8118" i="12"/>
  <c r="H8113" i="12"/>
  <c r="H8103" i="12"/>
  <c r="H8094" i="12"/>
  <c r="H8085" i="12"/>
  <c r="H8071" i="12"/>
  <c r="H8062" i="12"/>
  <c r="H8053" i="12"/>
  <c r="H8039" i="12"/>
  <c r="H8030" i="12"/>
  <c r="H8021" i="12"/>
  <c r="H8007" i="12"/>
  <c r="H7998" i="12"/>
  <c r="H7989" i="12"/>
  <c r="H7975" i="12"/>
  <c r="H7966" i="12"/>
  <c r="H7957" i="12"/>
  <c r="H7943" i="12"/>
  <c r="H7934" i="12"/>
  <c r="H7925" i="12"/>
  <c r="H7911" i="12"/>
  <c r="H7902" i="12"/>
  <c r="H7893" i="12"/>
  <c r="H7879" i="12"/>
  <c r="H7870" i="12"/>
  <c r="H7861" i="12"/>
  <c r="H7847" i="12"/>
  <c r="H7838" i="12"/>
  <c r="H7829" i="12"/>
  <c r="H7815" i="12"/>
  <c r="H7806" i="12"/>
  <c r="H7797" i="12"/>
  <c r="H7783" i="12"/>
  <c r="H7774" i="12"/>
  <c r="H7765" i="12"/>
  <c r="H7751" i="12"/>
  <c r="H7742" i="12"/>
  <c r="H7733" i="12"/>
  <c r="H7719" i="12"/>
  <c r="H7710" i="12"/>
  <c r="H7701" i="12"/>
  <c r="H7687" i="12"/>
  <c r="H7678" i="12"/>
  <c r="H7669" i="12"/>
  <c r="H7660" i="12"/>
  <c r="H7656" i="12"/>
  <c r="H7652" i="12"/>
  <c r="H7648" i="12"/>
  <c r="H7644" i="12"/>
  <c r="H7640" i="12"/>
  <c r="H7636" i="12"/>
  <c r="H7632" i="12"/>
  <c r="H7628" i="12"/>
  <c r="H7624" i="12"/>
  <c r="H7620" i="12"/>
  <c r="H7616" i="12"/>
  <c r="H7612" i="12"/>
  <c r="H7608" i="12"/>
  <c r="H7604" i="12"/>
  <c r="H7600" i="12"/>
  <c r="H7596" i="12"/>
  <c r="H7592" i="12"/>
  <c r="H7588" i="12"/>
  <c r="H7584" i="12"/>
  <c r="H7580" i="12"/>
  <c r="H7576" i="12"/>
  <c r="H7572" i="12"/>
  <c r="H7568" i="12"/>
  <c r="H7564" i="12"/>
  <c r="H7560" i="12"/>
  <c r="H7556" i="12"/>
  <c r="H7552" i="12"/>
  <c r="H7548" i="12"/>
  <c r="H7544" i="12"/>
  <c r="H7540" i="12"/>
  <c r="H7536" i="12"/>
  <c r="H7532" i="12"/>
  <c r="H7528" i="12"/>
  <c r="H7524" i="12"/>
  <c r="H7520" i="12"/>
  <c r="H7516" i="12"/>
  <c r="H7512" i="12"/>
  <c r="H7508" i="12"/>
  <c r="H7504" i="12"/>
  <c r="H7500" i="12"/>
  <c r="H7496" i="12"/>
  <c r="H7492" i="12"/>
  <c r="H7488" i="12"/>
  <c r="H7484" i="12"/>
  <c r="H7480" i="12"/>
  <c r="H7476" i="12"/>
  <c r="H7472" i="12"/>
  <c r="H7468" i="12"/>
  <c r="H7464" i="12"/>
  <c r="H7460" i="12"/>
  <c r="H7456" i="12"/>
  <c r="H7452" i="12"/>
  <c r="H7448" i="12"/>
  <c r="H7444" i="12"/>
  <c r="H7440" i="12"/>
  <c r="H7436" i="12"/>
  <c r="H7432" i="12"/>
  <c r="H7428" i="12"/>
  <c r="H7424" i="12"/>
  <c r="H7420" i="12"/>
  <c r="H7416" i="12"/>
  <c r="H7412" i="12"/>
  <c r="H7408" i="12"/>
  <c r="H7404" i="12"/>
  <c r="H7400" i="12"/>
  <c r="H7396" i="12"/>
  <c r="H7392" i="12"/>
  <c r="H7388" i="12"/>
  <c r="H7384" i="12"/>
  <c r="H7380" i="12"/>
  <c r="H7376" i="12"/>
  <c r="H7372" i="12"/>
  <c r="H7368" i="12"/>
  <c r="H7364" i="12"/>
  <c r="H7360" i="12"/>
  <c r="H7356" i="12"/>
  <c r="H7352" i="12"/>
  <c r="H7348" i="12"/>
  <c r="H7344" i="12"/>
  <c r="H7340" i="12"/>
  <c r="H7336" i="12"/>
  <c r="H7332" i="12"/>
  <c r="H7328" i="12"/>
  <c r="H7324" i="12"/>
  <c r="H7320" i="12"/>
  <c r="H7316" i="12"/>
  <c r="H7312" i="12"/>
  <c r="H7308" i="12"/>
  <c r="H7304" i="12"/>
  <c r="H7300" i="12"/>
  <c r="H7296" i="12"/>
  <c r="H7292" i="12"/>
  <c r="H7288" i="12"/>
  <c r="H7284" i="12"/>
  <c r="H7280" i="12"/>
  <c r="H7276" i="12"/>
  <c r="H7272" i="12"/>
  <c r="H7268" i="12"/>
  <c r="H7264" i="12"/>
  <c r="H7260" i="12"/>
  <c r="H7256" i="12"/>
  <c r="H7252" i="12"/>
  <c r="H7248" i="12"/>
  <c r="H7244" i="12"/>
  <c r="H7240" i="12"/>
  <c r="H7236" i="12"/>
  <c r="H7232" i="12"/>
  <c r="H7228" i="12"/>
  <c r="H7224" i="12"/>
  <c r="H7220" i="12"/>
  <c r="H7216" i="12"/>
  <c r="H7212" i="12"/>
  <c r="H7208" i="12"/>
  <c r="H7204" i="12"/>
  <c r="H7200" i="12"/>
  <c r="H7196" i="12"/>
  <c r="H7192" i="12"/>
  <c r="H7188" i="12"/>
  <c r="H7184" i="12"/>
  <c r="H7180" i="12"/>
  <c r="H7176" i="12"/>
  <c r="H7172" i="12"/>
  <c r="H7168" i="12"/>
  <c r="H7164" i="12"/>
  <c r="H7160" i="12"/>
  <c r="H7156" i="12"/>
  <c r="H7152" i="12"/>
  <c r="H7148" i="12"/>
  <c r="H7144" i="12"/>
  <c r="H7140" i="12"/>
  <c r="H7136" i="12"/>
  <c r="H7132" i="12"/>
  <c r="H7128" i="12"/>
  <c r="H7124" i="12"/>
  <c r="H7120" i="12"/>
  <c r="H7116" i="12"/>
  <c r="H7112" i="12"/>
  <c r="H7108" i="12"/>
  <c r="H7104" i="12"/>
  <c r="H7100" i="12"/>
  <c r="H7096" i="12"/>
  <c r="H7092" i="12"/>
  <c r="H7088" i="12"/>
  <c r="H7084" i="12"/>
  <c r="H7080" i="12"/>
  <c r="H7076" i="12"/>
  <c r="H7072" i="12"/>
  <c r="H7068" i="12"/>
  <c r="H7064" i="12"/>
  <c r="H7060" i="12"/>
  <c r="H7056" i="12"/>
  <c r="H7052" i="12"/>
  <c r="H7048" i="12"/>
  <c r="H7044" i="12"/>
  <c r="H7040" i="12"/>
  <c r="H7036" i="12"/>
  <c r="H7032" i="12"/>
  <c r="H7028" i="12"/>
  <c r="H7024" i="12"/>
  <c r="H7020" i="12"/>
  <c r="H7016" i="12"/>
  <c r="H7012" i="12"/>
  <c r="H7008" i="12"/>
  <c r="H7004" i="12"/>
  <c r="H7000" i="12"/>
  <c r="H6996" i="12"/>
  <c r="H6992" i="12"/>
  <c r="H6988" i="12"/>
  <c r="H6984" i="12"/>
  <c r="H6980" i="12"/>
  <c r="H6976" i="12"/>
  <c r="H6972" i="12"/>
  <c r="H6968" i="12"/>
  <c r="H6964" i="12"/>
  <c r="H6960" i="12"/>
  <c r="H6956" i="12"/>
  <c r="H6952" i="12"/>
  <c r="H6948" i="12"/>
  <c r="H6944" i="12"/>
  <c r="H6940" i="12"/>
  <c r="H6936" i="12"/>
  <c r="H6932" i="12"/>
  <c r="H6928" i="12"/>
  <c r="H6924" i="12"/>
  <c r="H6920" i="12"/>
  <c r="H6916" i="12"/>
  <c r="H6912" i="12"/>
  <c r="H6908" i="12"/>
  <c r="H6904" i="12"/>
  <c r="H6900" i="12"/>
  <c r="H6896" i="12"/>
  <c r="H6892" i="12"/>
  <c r="H6888" i="12"/>
  <c r="H6884" i="12"/>
  <c r="H6880" i="12"/>
  <c r="H6876" i="12"/>
  <c r="H6872" i="12"/>
  <c r="H6868" i="12"/>
  <c r="H6864" i="12"/>
  <c r="H6860" i="12"/>
  <c r="H6856" i="12"/>
  <c r="H6852" i="12"/>
  <c r="H6848" i="12"/>
  <c r="H6844" i="12"/>
  <c r="H6840" i="12"/>
  <c r="H6836" i="12"/>
  <c r="H6832" i="12"/>
  <c r="H6828" i="12"/>
  <c r="H6824" i="12"/>
  <c r="H6820" i="12"/>
  <c r="H6816" i="12"/>
  <c r="H6812" i="12"/>
  <c r="H6808" i="12"/>
  <c r="H6804" i="12"/>
  <c r="H6800" i="12"/>
  <c r="H6796" i="12"/>
  <c r="H6792" i="12"/>
  <c r="H6788" i="12"/>
  <c r="H6784" i="12"/>
  <c r="H6780" i="12"/>
  <c r="H6776" i="12"/>
  <c r="H6772" i="12"/>
  <c r="H6768" i="12"/>
  <c r="H6764" i="12"/>
  <c r="H6760" i="12"/>
  <c r="H6756" i="12"/>
  <c r="H6752" i="12"/>
  <c r="H6748" i="12"/>
  <c r="H6744" i="12"/>
  <c r="H6740" i="12"/>
  <c r="H6736" i="12"/>
  <c r="H6732" i="12"/>
  <c r="H6728" i="12"/>
  <c r="H6724" i="12"/>
  <c r="H6720" i="12"/>
  <c r="H6716" i="12"/>
  <c r="H6712" i="12"/>
  <c r="H6708" i="12"/>
  <c r="H6704" i="12"/>
  <c r="H6700" i="12"/>
  <c r="H6696" i="12"/>
  <c r="H6692" i="12"/>
  <c r="H6688" i="12"/>
  <c r="H6684" i="12"/>
  <c r="H6680" i="12"/>
  <c r="H6676" i="12"/>
  <c r="H6672" i="12"/>
  <c r="H6668" i="12"/>
  <c r="H6664" i="12"/>
  <c r="H6660" i="12"/>
  <c r="H6656" i="12"/>
  <c r="H6652" i="12"/>
  <c r="H6648" i="12"/>
  <c r="H6644" i="12"/>
  <c r="H6640" i="12"/>
  <c r="H6636" i="12"/>
  <c r="H9207" i="12"/>
  <c r="H9010" i="12"/>
  <c r="H8996" i="12"/>
  <c r="H8948" i="12"/>
  <c r="H8942" i="12"/>
  <c r="H8814" i="12"/>
  <c r="H8762" i="12"/>
  <c r="H8744" i="12"/>
  <c r="H8718" i="12"/>
  <c r="H8672" i="12"/>
  <c r="H8666" i="12"/>
  <c r="H8639" i="12"/>
  <c r="H8620" i="12"/>
  <c r="H8595" i="12"/>
  <c r="H8531" i="12"/>
  <c r="H8511" i="12"/>
  <c r="H8499" i="12"/>
  <c r="H8469" i="12"/>
  <c r="H8457" i="12"/>
  <c r="H8445" i="12"/>
  <c r="H8405" i="12"/>
  <c r="H8393" i="12"/>
  <c r="H8381" i="12"/>
  <c r="H8348" i="12"/>
  <c r="H8333" i="12"/>
  <c r="H8323" i="12"/>
  <c r="H8317" i="12"/>
  <c r="H8292" i="12"/>
  <c r="H8267" i="12"/>
  <c r="H8261" i="12"/>
  <c r="H8251" i="12"/>
  <c r="H8236" i="12"/>
  <c r="H8220" i="12"/>
  <c r="H8205" i="12"/>
  <c r="H8195" i="12"/>
  <c r="H8189" i="12"/>
  <c r="H8164" i="12"/>
  <c r="H8139" i="12"/>
  <c r="H8133" i="12"/>
  <c r="H8107" i="12"/>
  <c r="H8098" i="12"/>
  <c r="H8089" i="12"/>
  <c r="H8075" i="12"/>
  <c r="H8066" i="12"/>
  <c r="H8057" i="12"/>
  <c r="H8043" i="12"/>
  <c r="H8034" i="12"/>
  <c r="H8025" i="12"/>
  <c r="H8011" i="12"/>
  <c r="H8002" i="12"/>
  <c r="H7993" i="12"/>
  <c r="H7979" i="12"/>
  <c r="H7970" i="12"/>
  <c r="H7961" i="12"/>
  <c r="H7947" i="12"/>
  <c r="H7938" i="12"/>
  <c r="H7929" i="12"/>
  <c r="H7915" i="12"/>
  <c r="H7906" i="12"/>
  <c r="H7897" i="12"/>
  <c r="H7883" i="12"/>
  <c r="H7874" i="12"/>
  <c r="H7865" i="12"/>
  <c r="H7851" i="12"/>
  <c r="H7842" i="12"/>
  <c r="H7833" i="12"/>
  <c r="H7819" i="12"/>
  <c r="H7810" i="12"/>
  <c r="H7801" i="12"/>
  <c r="H7787" i="12"/>
  <c r="H7778" i="12"/>
  <c r="H7769" i="12"/>
  <c r="H7755" i="12"/>
  <c r="H7746" i="12"/>
  <c r="H7737" i="12"/>
  <c r="H7723" i="12"/>
  <c r="H7714" i="12"/>
  <c r="H7705" i="12"/>
  <c r="H7691" i="12"/>
  <c r="H7682" i="12"/>
  <c r="H7673" i="12"/>
  <c r="H9522" i="12"/>
  <c r="H9213" i="12"/>
  <c r="H8914" i="12"/>
  <c r="H8908" i="12"/>
  <c r="H8894" i="12"/>
  <c r="H8855" i="12"/>
  <c r="H8808" i="12"/>
  <c r="H8782" i="12"/>
  <c r="H8736" i="12"/>
  <c r="H8730" i="12"/>
  <c r="H8703" i="12"/>
  <c r="H8684" i="12"/>
  <c r="H8659" i="12"/>
  <c r="H8567" i="12"/>
  <c r="H8492" i="12"/>
  <c r="H8439" i="12"/>
  <c r="H8433" i="12"/>
  <c r="H8427" i="12"/>
  <c r="H8375" i="12"/>
  <c r="H8369" i="12"/>
  <c r="H8363" i="12"/>
  <c r="H8353" i="12"/>
  <c r="H8327" i="12"/>
  <c r="H8312" i="12"/>
  <c r="H8307" i="12"/>
  <c r="H8281" i="12"/>
  <c r="H8276" i="12"/>
  <c r="H8271" i="12"/>
  <c r="H8245" i="12"/>
  <c r="H8240" i="12"/>
  <c r="H8225" i="12"/>
  <c r="H8199" i="12"/>
  <c r="H8184" i="12"/>
  <c r="H8179" i="12"/>
  <c r="H8153" i="12"/>
  <c r="H8148" i="12"/>
  <c r="H8143" i="12"/>
  <c r="H8122" i="12"/>
  <c r="H8117" i="12"/>
  <c r="H8102" i="12"/>
  <c r="H8093" i="12"/>
  <c r="H8079" i="12"/>
  <c r="H8070" i="12"/>
  <c r="H8061" i="12"/>
  <c r="H8047" i="12"/>
  <c r="H8038" i="12"/>
  <c r="H8029" i="12"/>
  <c r="H8015" i="12"/>
  <c r="H8006" i="12"/>
  <c r="H7997" i="12"/>
  <c r="H7983" i="12"/>
  <c r="H7974" i="12"/>
  <c r="H7965" i="12"/>
  <c r="H7951" i="12"/>
  <c r="H7942" i="12"/>
  <c r="H7933" i="12"/>
  <c r="H7919" i="12"/>
  <c r="H7910" i="12"/>
  <c r="H7901" i="12"/>
  <c r="H7887" i="12"/>
  <c r="H7878" i="12"/>
  <c r="H7869" i="12"/>
  <c r="H7855" i="12"/>
  <c r="H7846" i="12"/>
  <c r="H7837" i="12"/>
  <c r="H7823" i="12"/>
  <c r="H7814" i="12"/>
  <c r="H9227" i="12"/>
  <c r="H8980" i="12"/>
  <c r="H8974" i="12"/>
  <c r="H8900" i="12"/>
  <c r="H8860" i="12"/>
  <c r="H8826" i="12"/>
  <c r="H8800" i="12"/>
  <c r="H8794" i="12"/>
  <c r="H8767" i="12"/>
  <c r="H8748" i="12"/>
  <c r="H8723" i="12"/>
  <c r="H8631" i="12"/>
  <c r="H8579" i="12"/>
  <c r="H8554" i="12"/>
  <c r="H8535" i="12"/>
  <c r="H8503" i="12"/>
  <c r="H8473" i="12"/>
  <c r="H8461" i="12"/>
  <c r="H8421" i="12"/>
  <c r="H8409" i="12"/>
  <c r="H8397" i="12"/>
  <c r="H8357" i="12"/>
  <c r="H8347" i="12"/>
  <c r="H8332" i="12"/>
  <c r="H8316" i="12"/>
  <c r="H8301" i="12"/>
  <c r="H8291" i="12"/>
  <c r="H8285" i="12"/>
  <c r="H8260" i="12"/>
  <c r="H8235" i="12"/>
  <c r="H8229" i="12"/>
  <c r="H9591" i="12"/>
  <c r="H9097" i="12"/>
  <c r="H9045" i="12"/>
  <c r="H9022" i="12"/>
  <c r="H8946" i="12"/>
  <c r="H8940" i="12"/>
  <c r="H8926" i="12"/>
  <c r="H8846" i="12"/>
  <c r="H8812" i="12"/>
  <c r="H8787" i="12"/>
  <c r="H8695" i="12"/>
  <c r="H8643" i="12"/>
  <c r="H8618" i="12"/>
  <c r="H8599" i="12"/>
  <c r="H8566" i="12"/>
  <c r="H8540" i="12"/>
  <c r="H8522" i="12"/>
  <c r="H8515" i="12"/>
  <c r="H8455" i="12"/>
  <c r="H8449" i="12"/>
  <c r="H8443" i="12"/>
  <c r="H8391" i="12"/>
  <c r="H8385" i="12"/>
  <c r="H8379" i="12"/>
  <c r="H8341" i="12"/>
  <c r="H8336" i="12"/>
  <c r="H8321" i="12"/>
  <c r="H8295" i="12"/>
  <c r="H8280" i="12"/>
  <c r="H8275" i="12"/>
  <c r="H8249" i="12"/>
  <c r="H8244" i="12"/>
  <c r="H8239" i="12"/>
  <c r="H8213" i="12"/>
  <c r="H8208" i="12"/>
  <c r="H8193" i="12"/>
  <c r="H8167" i="12"/>
  <c r="H8152" i="12"/>
  <c r="H8147" i="12"/>
  <c r="H8126" i="12"/>
  <c r="H8121" i="12"/>
  <c r="H8110" i="12"/>
  <c r="H8101" i="12"/>
  <c r="H8087" i="12"/>
  <c r="H8078" i="12"/>
  <c r="H8069" i="12"/>
  <c r="H8055" i="12"/>
  <c r="H8046" i="12"/>
  <c r="H8037" i="12"/>
  <c r="H8023" i="12"/>
  <c r="H8014" i="12"/>
  <c r="H8005" i="12"/>
  <c r="H7991" i="12"/>
  <c r="H7982" i="12"/>
  <c r="H7973" i="12"/>
  <c r="H8694" i="12"/>
  <c r="H8604" i="12"/>
  <c r="H8558" i="12"/>
  <c r="H8490" i="12"/>
  <c r="H8373" i="12"/>
  <c r="H8331" i="12"/>
  <c r="H8289" i="12"/>
  <c r="H8212" i="12"/>
  <c r="H8173" i="12"/>
  <c r="H8106" i="12"/>
  <c r="H8050" i="12"/>
  <c r="H8031" i="12"/>
  <c r="H7987" i="12"/>
  <c r="H7981" i="12"/>
  <c r="H7927" i="12"/>
  <c r="H7922" i="12"/>
  <c r="H7863" i="12"/>
  <c r="H7858" i="12"/>
  <c r="H7773" i="12"/>
  <c r="H7767" i="12"/>
  <c r="H7762" i="12"/>
  <c r="H7757" i="12"/>
  <c r="H7713" i="12"/>
  <c r="H7702" i="12"/>
  <c r="H7686" i="12"/>
  <c r="H7675" i="12"/>
  <c r="H7659" i="12"/>
  <c r="H7650" i="12"/>
  <c r="H7641" i="12"/>
  <c r="H7627" i="12"/>
  <c r="H7618" i="12"/>
  <c r="H7609" i="12"/>
  <c r="H7595" i="12"/>
  <c r="H7586" i="12"/>
  <c r="H7577" i="12"/>
  <c r="H7563" i="12"/>
  <c r="H7554" i="12"/>
  <c r="H7545" i="12"/>
  <c r="H7531" i="12"/>
  <c r="H7522" i="12"/>
  <c r="H7513" i="12"/>
  <c r="H7499" i="12"/>
  <c r="H7490" i="12"/>
  <c r="H7481" i="12"/>
  <c r="H7467" i="12"/>
  <c r="H7458" i="12"/>
  <c r="H7449" i="12"/>
  <c r="H7435" i="12"/>
  <c r="H7426" i="12"/>
  <c r="H7417" i="12"/>
  <c r="H7403" i="12"/>
  <c r="H7394" i="12"/>
  <c r="H7385" i="12"/>
  <c r="H7371" i="12"/>
  <c r="H7362" i="12"/>
  <c r="H7353" i="12"/>
  <c r="H7339" i="12"/>
  <c r="H7330" i="12"/>
  <c r="H7321" i="12"/>
  <c r="H7307" i="12"/>
  <c r="H7298" i="12"/>
  <c r="H7289" i="12"/>
  <c r="H7275" i="12"/>
  <c r="H7266" i="12"/>
  <c r="H7257" i="12"/>
  <c r="H7243" i="12"/>
  <c r="H7234" i="12"/>
  <c r="H7225" i="12"/>
  <c r="H7211" i="12"/>
  <c r="H7202" i="12"/>
  <c r="H9163" i="12"/>
  <c r="H8831" i="12"/>
  <c r="H8746" i="12"/>
  <c r="H8395" i="12"/>
  <c r="H8309" i="12"/>
  <c r="H8253" i="12"/>
  <c r="H8132" i="12"/>
  <c r="H8086" i="12"/>
  <c r="H8074" i="12"/>
  <c r="H8018" i="12"/>
  <c r="H7999" i="12"/>
  <c r="H7950" i="12"/>
  <c r="H7945" i="12"/>
  <c r="H7886" i="12"/>
  <c r="H7881" i="12"/>
  <c r="H7822" i="12"/>
  <c r="H7817" i="12"/>
  <c r="H7805" i="12"/>
  <c r="H7799" i="12"/>
  <c r="H7794" i="12"/>
  <c r="H7789" i="12"/>
  <c r="H7745" i="12"/>
  <c r="H7734" i="12"/>
  <c r="H7718" i="12"/>
  <c r="H7707" i="12"/>
  <c r="H7663" i="12"/>
  <c r="H7654" i="12"/>
  <c r="H7645" i="12"/>
  <c r="H7631" i="12"/>
  <c r="H7622" i="12"/>
  <c r="H7613" i="12"/>
  <c r="H7599" i="12"/>
  <c r="H7590" i="12"/>
  <c r="H7581" i="12"/>
  <c r="H7567" i="12"/>
  <c r="H7558" i="12"/>
  <c r="H7549" i="12"/>
  <c r="H7535" i="12"/>
  <c r="H7526" i="12"/>
  <c r="H7517" i="12"/>
  <c r="H7503" i="12"/>
  <c r="H7494" i="12"/>
  <c r="H7485" i="12"/>
  <c r="H7471" i="12"/>
  <c r="H7462" i="12"/>
  <c r="H7453" i="12"/>
  <c r="H7439" i="12"/>
  <c r="H7430" i="12"/>
  <c r="H7421" i="12"/>
  <c r="H7407" i="12"/>
  <c r="H7398" i="12"/>
  <c r="H7389" i="12"/>
  <c r="H7375" i="12"/>
  <c r="H7366" i="12"/>
  <c r="H7357" i="12"/>
  <c r="H7343" i="12"/>
  <c r="H7334" i="12"/>
  <c r="H7325" i="12"/>
  <c r="H7311" i="12"/>
  <c r="H7302" i="12"/>
  <c r="H7293" i="12"/>
  <c r="H7279" i="12"/>
  <c r="H7270" i="12"/>
  <c r="H7261" i="12"/>
  <c r="H7247" i="12"/>
  <c r="H7238" i="12"/>
  <c r="H7229" i="12"/>
  <c r="H7215" i="12"/>
  <c r="H7206" i="12"/>
  <c r="H7197" i="12"/>
  <c r="H7183" i="12"/>
  <c r="H7174" i="12"/>
  <c r="H7165" i="12"/>
  <c r="H7151" i="12"/>
  <c r="H7142" i="12"/>
  <c r="H7133" i="12"/>
  <c r="H7119" i="12"/>
  <c r="H7110" i="12"/>
  <c r="H7101" i="12"/>
  <c r="H7087" i="12"/>
  <c r="H7078" i="12"/>
  <c r="H8707" i="12"/>
  <c r="H8663" i="12"/>
  <c r="H8534" i="12"/>
  <c r="H8437" i="12"/>
  <c r="H8401" i="12"/>
  <c r="H8315" i="12"/>
  <c r="H8259" i="12"/>
  <c r="H8217" i="12"/>
  <c r="H8204" i="12"/>
  <c r="H8172" i="12"/>
  <c r="H8125" i="12"/>
  <c r="H8105" i="12"/>
  <c r="H8054" i="12"/>
  <c r="H8042" i="12"/>
  <c r="H7986" i="12"/>
  <c r="H7967" i="12"/>
  <c r="H7955" i="12"/>
  <c r="H7926" i="12"/>
  <c r="H7909" i="12"/>
  <c r="H7903" i="12"/>
  <c r="H7891" i="12"/>
  <c r="H7862" i="12"/>
  <c r="H7845" i="12"/>
  <c r="H7839" i="12"/>
  <c r="H7827" i="12"/>
  <c r="H7777" i="12"/>
  <c r="H7766" i="12"/>
  <c r="H7750" i="12"/>
  <c r="H7739" i="12"/>
  <c r="H7695" i="12"/>
  <c r="H7690" i="12"/>
  <c r="H7685" i="12"/>
  <c r="H7679" i="12"/>
  <c r="H7658" i="12"/>
  <c r="H7649" i="12"/>
  <c r="H7635" i="12"/>
  <c r="H7626" i="12"/>
  <c r="H7617" i="12"/>
  <c r="H7603" i="12"/>
  <c r="H7594" i="12"/>
  <c r="H7585" i="12"/>
  <c r="H7571" i="12"/>
  <c r="H7562" i="12"/>
  <c r="H7553" i="12"/>
  <c r="H7539" i="12"/>
  <c r="H7530" i="12"/>
  <c r="H7521" i="12"/>
  <c r="H7507" i="12"/>
  <c r="H7498" i="12"/>
  <c r="H7489" i="12"/>
  <c r="H7475" i="12"/>
  <c r="H7466" i="12"/>
  <c r="H7457" i="12"/>
  <c r="H7443" i="12"/>
  <c r="H7434" i="12"/>
  <c r="H7425" i="12"/>
  <c r="H7411" i="12"/>
  <c r="H7402" i="12"/>
  <c r="H7393" i="12"/>
  <c r="H7379" i="12"/>
  <c r="H7370" i="12"/>
  <c r="H7361" i="12"/>
  <c r="H7347" i="12"/>
  <c r="H7338" i="12"/>
  <c r="H7329" i="12"/>
  <c r="H7315" i="12"/>
  <c r="H7306" i="12"/>
  <c r="H7297" i="12"/>
  <c r="H7283" i="12"/>
  <c r="H7274" i="12"/>
  <c r="H7265" i="12"/>
  <c r="H7251" i="12"/>
  <c r="H7242" i="12"/>
  <c r="H7233" i="12"/>
  <c r="H7219" i="12"/>
  <c r="H7210" i="12"/>
  <c r="H7201" i="12"/>
  <c r="H7187" i="12"/>
  <c r="H7178" i="12"/>
  <c r="H7169" i="12"/>
  <c r="H7155" i="12"/>
  <c r="H7146" i="12"/>
  <c r="H7137" i="12"/>
  <c r="H7123" i="12"/>
  <c r="H7114" i="12"/>
  <c r="H7105" i="12"/>
  <c r="H7091" i="12"/>
  <c r="H7082" i="12"/>
  <c r="H9051" i="12"/>
  <c r="H8958" i="12"/>
  <c r="H8759" i="12"/>
  <c r="H8570" i="12"/>
  <c r="H8502" i="12"/>
  <c r="H8459" i="12"/>
  <c r="H8407" i="12"/>
  <c r="H8356" i="12"/>
  <c r="H8335" i="12"/>
  <c r="H8197" i="12"/>
  <c r="H8131" i="12"/>
  <c r="H8097" i="12"/>
  <c r="H8091" i="12"/>
  <c r="H8073" i="12"/>
  <c r="H8022" i="12"/>
  <c r="H8010" i="12"/>
  <c r="H7949" i="12"/>
  <c r="H7937" i="12"/>
  <c r="H7931" i="12"/>
  <c r="H7914" i="12"/>
  <c r="H7885" i="12"/>
  <c r="H7873" i="12"/>
  <c r="H7867" i="12"/>
  <c r="H7850" i="12"/>
  <c r="H7821" i="12"/>
  <c r="H7809" i="12"/>
  <c r="H7798" i="12"/>
  <c r="H7782" i="12"/>
  <c r="H7771" i="12"/>
  <c r="H7727" i="12"/>
  <c r="H7722" i="12"/>
  <c r="H7717" i="12"/>
  <c r="H7711" i="12"/>
  <c r="H7667" i="12"/>
  <c r="H7662" i="12"/>
  <c r="H7653" i="12"/>
  <c r="H7639" i="12"/>
  <c r="H7630" i="12"/>
  <c r="H7621" i="12"/>
  <c r="H7607" i="12"/>
  <c r="H7598" i="12"/>
  <c r="H7589" i="12"/>
  <c r="H7575" i="12"/>
  <c r="H7566" i="12"/>
  <c r="H7557" i="12"/>
  <c r="H7543" i="12"/>
  <c r="H7534" i="12"/>
  <c r="H7525" i="12"/>
  <c r="H7511" i="12"/>
  <c r="H7502" i="12"/>
  <c r="H7493" i="12"/>
  <c r="H7479" i="12"/>
  <c r="H7470" i="12"/>
  <c r="H7461" i="12"/>
  <c r="H7447" i="12"/>
  <c r="H7438" i="12"/>
  <c r="H7429" i="12"/>
  <c r="H7415" i="12"/>
  <c r="H7406" i="12"/>
  <c r="H7397" i="12"/>
  <c r="H7383" i="12"/>
  <c r="H7374" i="12"/>
  <c r="H7365" i="12"/>
  <c r="H7351" i="12"/>
  <c r="H7342" i="12"/>
  <c r="H7333" i="12"/>
  <c r="H7319" i="12"/>
  <c r="H7310" i="12"/>
  <c r="H7301" i="12"/>
  <c r="H7287" i="12"/>
  <c r="H7278" i="12"/>
  <c r="H7269" i="12"/>
  <c r="H7255" i="12"/>
  <c r="H7246" i="12"/>
  <c r="H7237" i="12"/>
  <c r="H7223" i="12"/>
  <c r="H7214" i="12"/>
  <c r="H7205" i="12"/>
  <c r="H7191" i="12"/>
  <c r="H7182" i="12"/>
  <c r="H7173" i="12"/>
  <c r="H7159" i="12"/>
  <c r="H7150" i="12"/>
  <c r="H7141" i="12"/>
  <c r="H7127" i="12"/>
  <c r="H9065" i="12"/>
  <c r="H8972" i="12"/>
  <c r="H8668" i="12"/>
  <c r="H8630" i="12"/>
  <c r="H8465" i="12"/>
  <c r="H8413" i="12"/>
  <c r="H8300" i="12"/>
  <c r="H8203" i="12"/>
  <c r="H8176" i="12"/>
  <c r="H8163" i="12"/>
  <c r="H8157" i="12"/>
  <c r="H8109" i="12"/>
  <c r="H8065" i="12"/>
  <c r="H8059" i="12"/>
  <c r="H8041" i="12"/>
  <c r="H7990" i="12"/>
  <c r="H7978" i="12"/>
  <c r="H7959" i="12"/>
  <c r="H7954" i="12"/>
  <c r="H7895" i="12"/>
  <c r="H7890" i="12"/>
  <c r="H7831" i="12"/>
  <c r="H7826" i="12"/>
  <c r="H7803" i="12"/>
  <c r="H7759" i="12"/>
  <c r="H7754" i="12"/>
  <c r="H7749" i="12"/>
  <c r="H7743" i="12"/>
  <c r="H7699" i="12"/>
  <c r="H7694" i="12"/>
  <c r="H7689" i="12"/>
  <c r="H7657" i="12"/>
  <c r="H7643" i="12"/>
  <c r="H7634" i="12"/>
  <c r="H7625" i="12"/>
  <c r="H7611" i="12"/>
  <c r="H7602" i="12"/>
  <c r="H8978" i="12"/>
  <c r="H8872" i="12"/>
  <c r="H8858" i="12"/>
  <c r="H8727" i="12"/>
  <c r="H8682" i="12"/>
  <c r="H8622" i="12"/>
  <c r="H8471" i="12"/>
  <c r="H8361" i="12"/>
  <c r="H8340" i="12"/>
  <c r="H8263" i="12"/>
  <c r="H8243" i="12"/>
  <c r="H8228" i="12"/>
  <c r="H8188" i="12"/>
  <c r="H8135" i="12"/>
  <c r="H8083" i="12"/>
  <c r="H8077" i="12"/>
  <c r="H8033" i="12"/>
  <c r="H8027" i="12"/>
  <c r="H8009" i="12"/>
  <c r="H7918" i="12"/>
  <c r="H7913" i="12"/>
  <c r="H7854" i="12"/>
  <c r="H7849" i="12"/>
  <c r="H7791" i="12"/>
  <c r="H7786" i="12"/>
  <c r="H7781" i="12"/>
  <c r="H7775" i="12"/>
  <c r="H7731" i="12"/>
  <c r="H7726" i="12"/>
  <c r="H7721" i="12"/>
  <c r="H7677" i="12"/>
  <c r="H7671" i="12"/>
  <c r="H7666" i="12"/>
  <c r="H7661" i="12"/>
  <c r="H7647" i="12"/>
  <c r="H7638" i="12"/>
  <c r="H7629" i="12"/>
  <c r="H7615" i="12"/>
  <c r="H7606" i="12"/>
  <c r="H7597" i="12"/>
  <c r="H8932" i="12"/>
  <c r="H8878" i="12"/>
  <c r="H8325" i="12"/>
  <c r="H8181" i="12"/>
  <c r="H8001" i="12"/>
  <c r="H7958" i="12"/>
  <c r="H7894" i="12"/>
  <c r="H7830" i="12"/>
  <c r="H7758" i="12"/>
  <c r="H7730" i="12"/>
  <c r="H7651" i="12"/>
  <c r="H7591" i="12"/>
  <c r="H7579" i="12"/>
  <c r="H7550" i="12"/>
  <c r="H7533" i="12"/>
  <c r="H7527" i="12"/>
  <c r="H7515" i="12"/>
  <c r="H7486" i="12"/>
  <c r="H7469" i="12"/>
  <c r="H7463" i="12"/>
  <c r="H7451" i="12"/>
  <c r="H7422" i="12"/>
  <c r="H7405" i="12"/>
  <c r="H7399" i="12"/>
  <c r="H7387" i="12"/>
  <c r="H7358" i="12"/>
  <c r="H7341" i="12"/>
  <c r="H7335" i="12"/>
  <c r="H7323" i="12"/>
  <c r="H7294" i="12"/>
  <c r="H7277" i="12"/>
  <c r="H7271" i="12"/>
  <c r="H7259" i="12"/>
  <c r="H7230" i="12"/>
  <c r="H7213" i="12"/>
  <c r="H7207" i="12"/>
  <c r="H7195" i="12"/>
  <c r="H7190" i="12"/>
  <c r="H7185" i="12"/>
  <c r="H7179" i="12"/>
  <c r="H7135" i="12"/>
  <c r="H7130" i="12"/>
  <c r="H7125" i="12"/>
  <c r="H7109" i="12"/>
  <c r="H7094" i="12"/>
  <c r="H7089" i="12"/>
  <c r="H7069" i="12"/>
  <c r="H7055" i="12"/>
  <c r="H7046" i="12"/>
  <c r="H7037" i="12"/>
  <c r="H7023" i="12"/>
  <c r="H7014" i="12"/>
  <c r="H7005" i="12"/>
  <c r="H6991" i="12"/>
  <c r="H6982" i="12"/>
  <c r="H6973" i="12"/>
  <c r="H6959" i="12"/>
  <c r="H6950" i="12"/>
  <c r="H6941" i="12"/>
  <c r="H6927" i="12"/>
  <c r="H6918" i="12"/>
  <c r="H6909" i="12"/>
  <c r="H6895" i="12"/>
  <c r="H6886" i="12"/>
  <c r="H6877" i="12"/>
  <c r="H6863" i="12"/>
  <c r="H6854" i="12"/>
  <c r="H6845" i="12"/>
  <c r="H6831" i="12"/>
  <c r="H6822" i="12"/>
  <c r="H6813" i="12"/>
  <c r="H6799" i="12"/>
  <c r="H6790" i="12"/>
  <c r="H6781" i="12"/>
  <c r="H6767" i="12"/>
  <c r="H6758" i="12"/>
  <c r="H6749" i="12"/>
  <c r="H6735" i="12"/>
  <c r="H6726" i="12"/>
  <c r="H6717" i="12"/>
  <c r="H6703" i="12"/>
  <c r="H6694" i="12"/>
  <c r="H6685" i="12"/>
  <c r="H6671" i="12"/>
  <c r="H6662" i="12"/>
  <c r="H6653" i="12"/>
  <c r="H6639" i="12"/>
  <c r="H8884" i="12"/>
  <c r="H8552" i="12"/>
  <c r="H8248" i="12"/>
  <c r="H8187" i="12"/>
  <c r="H8082" i="12"/>
  <c r="H8045" i="12"/>
  <c r="H7637" i="12"/>
  <c r="H7623" i="12"/>
  <c r="H7610" i="12"/>
  <c r="H7573" i="12"/>
  <c r="H7561" i="12"/>
  <c r="H7555" i="12"/>
  <c r="H7538" i="12"/>
  <c r="H7509" i="12"/>
  <c r="H7497" i="12"/>
  <c r="H7491" i="12"/>
  <c r="H7474" i="12"/>
  <c r="H7445" i="12"/>
  <c r="H7433" i="12"/>
  <c r="H7427" i="12"/>
  <c r="H7410" i="12"/>
  <c r="H7381" i="12"/>
  <c r="H7369" i="12"/>
  <c r="H7363" i="12"/>
  <c r="H7346" i="12"/>
  <c r="H7317" i="12"/>
  <c r="H7305" i="12"/>
  <c r="H7299" i="12"/>
  <c r="H7282" i="12"/>
  <c r="H7253" i="12"/>
  <c r="H7241" i="12"/>
  <c r="H7235" i="12"/>
  <c r="H7218" i="12"/>
  <c r="H7167" i="12"/>
  <c r="H7162" i="12"/>
  <c r="H7157" i="12"/>
  <c r="H7103" i="12"/>
  <c r="H7098" i="12"/>
  <c r="H7083" i="12"/>
  <c r="H7073" i="12"/>
  <c r="H7059" i="12"/>
  <c r="H7050" i="12"/>
  <c r="H7041" i="12"/>
  <c r="H7027" i="12"/>
  <c r="H7018" i="12"/>
  <c r="H7009" i="12"/>
  <c r="H6995" i="12"/>
  <c r="H6986" i="12"/>
  <c r="H6977" i="12"/>
  <c r="H6963" i="12"/>
  <c r="H6954" i="12"/>
  <c r="H6945" i="12"/>
  <c r="H6931" i="12"/>
  <c r="H6922" i="12"/>
  <c r="H6913" i="12"/>
  <c r="H6899" i="12"/>
  <c r="H6890" i="12"/>
  <c r="H6881" i="12"/>
  <c r="H6867" i="12"/>
  <c r="H6858" i="12"/>
  <c r="H6849" i="12"/>
  <c r="H6835" i="12"/>
  <c r="H6826" i="12"/>
  <c r="H6817" i="12"/>
  <c r="H6803" i="12"/>
  <c r="H6794" i="12"/>
  <c r="H6785" i="12"/>
  <c r="H6771" i="12"/>
  <c r="H6762" i="12"/>
  <c r="H6753" i="12"/>
  <c r="H6739" i="12"/>
  <c r="H6730" i="12"/>
  <c r="H6721" i="12"/>
  <c r="H6707" i="12"/>
  <c r="H6698" i="12"/>
  <c r="H6689" i="12"/>
  <c r="H6675" i="12"/>
  <c r="H6666" i="12"/>
  <c r="H6657" i="12"/>
  <c r="H6643" i="12"/>
  <c r="H6634" i="12"/>
  <c r="H6630" i="12"/>
  <c r="H6626" i="12"/>
  <c r="H6622" i="12"/>
  <c r="H6618" i="12"/>
  <c r="H6614" i="12"/>
  <c r="H6610" i="12"/>
  <c r="H6606" i="12"/>
  <c r="H8425" i="12"/>
  <c r="H8051" i="12"/>
  <c r="H7977" i="12"/>
  <c r="H7963" i="12"/>
  <c r="H7935" i="12"/>
  <c r="H7899" i="12"/>
  <c r="H7871" i="12"/>
  <c r="H7835" i="12"/>
  <c r="H7807" i="12"/>
  <c r="H7763" i="12"/>
  <c r="H7735" i="12"/>
  <c r="H7693" i="12"/>
  <c r="H7583" i="12"/>
  <c r="H7578" i="12"/>
  <c r="H7519" i="12"/>
  <c r="H7514" i="12"/>
  <c r="H7455" i="12"/>
  <c r="H7450" i="12"/>
  <c r="H7391" i="12"/>
  <c r="H7386" i="12"/>
  <c r="H7327" i="12"/>
  <c r="H7322" i="12"/>
  <c r="H7263" i="12"/>
  <c r="H7258" i="12"/>
  <c r="H7199" i="12"/>
  <c r="H7194" i="12"/>
  <c r="H7189" i="12"/>
  <c r="H7145" i="12"/>
  <c r="H7139" i="12"/>
  <c r="H7134" i="12"/>
  <c r="H7129" i="12"/>
  <c r="H7118" i="12"/>
  <c r="H7113" i="12"/>
  <c r="H7093" i="12"/>
  <c r="H7077" i="12"/>
  <c r="H7063" i="12"/>
  <c r="H7054" i="12"/>
  <c r="H7045" i="12"/>
  <c r="H7031" i="12"/>
  <c r="H7022" i="12"/>
  <c r="H7013" i="12"/>
  <c r="H6999" i="12"/>
  <c r="H6990" i="12"/>
  <c r="H6981" i="12"/>
  <c r="H6967" i="12"/>
  <c r="H6958" i="12"/>
  <c r="H6949" i="12"/>
  <c r="H6935" i="12"/>
  <c r="H6926" i="12"/>
  <c r="H6917" i="12"/>
  <c r="H6903" i="12"/>
  <c r="H6894" i="12"/>
  <c r="H6885" i="12"/>
  <c r="H6871" i="12"/>
  <c r="H6862" i="12"/>
  <c r="H6853" i="12"/>
  <c r="H6839" i="12"/>
  <c r="H6830" i="12"/>
  <c r="H6821" i="12"/>
  <c r="H6807" i="12"/>
  <c r="H6798" i="12"/>
  <c r="H6789" i="12"/>
  <c r="H6775" i="12"/>
  <c r="H6766" i="12"/>
  <c r="H6757" i="12"/>
  <c r="H6743" i="12"/>
  <c r="H6734" i="12"/>
  <c r="H6725" i="12"/>
  <c r="H6711" i="12"/>
  <c r="H6702" i="12"/>
  <c r="H6693" i="12"/>
  <c r="H6679" i="12"/>
  <c r="H6670" i="12"/>
  <c r="H6661" i="12"/>
  <c r="H6647" i="12"/>
  <c r="H6638" i="12"/>
  <c r="H8345" i="12"/>
  <c r="H8284" i="12"/>
  <c r="H8269" i="12"/>
  <c r="H8156" i="12"/>
  <c r="H8141" i="12"/>
  <c r="H8095" i="12"/>
  <c r="H8013" i="12"/>
  <c r="H7969" i="12"/>
  <c r="H7941" i="12"/>
  <c r="H7905" i="12"/>
  <c r="H7877" i="12"/>
  <c r="H7841" i="12"/>
  <c r="H7813" i="12"/>
  <c r="H7785" i="12"/>
  <c r="H7741" i="12"/>
  <c r="H7670" i="12"/>
  <c r="H7655" i="12"/>
  <c r="H7642" i="12"/>
  <c r="H7542" i="12"/>
  <c r="H7537" i="12"/>
  <c r="H7478" i="12"/>
  <c r="H7473" i="12"/>
  <c r="H7414" i="12"/>
  <c r="H7409" i="12"/>
  <c r="H7350" i="12"/>
  <c r="H7345" i="12"/>
  <c r="H7286" i="12"/>
  <c r="H7281" i="12"/>
  <c r="H7222" i="12"/>
  <c r="H7217" i="12"/>
  <c r="H7177" i="12"/>
  <c r="H7171" i="12"/>
  <c r="H7166" i="12"/>
  <c r="H7161" i="12"/>
  <c r="H7107" i="12"/>
  <c r="H7102" i="12"/>
  <c r="H7097" i="12"/>
  <c r="H7067" i="12"/>
  <c r="H7058" i="12"/>
  <c r="H7049" i="12"/>
  <c r="H7035" i="12"/>
  <c r="H7026" i="12"/>
  <c r="H7017" i="12"/>
  <c r="H7003" i="12"/>
  <c r="H6994" i="12"/>
  <c r="H6985" i="12"/>
  <c r="H6971" i="12"/>
  <c r="H6962" i="12"/>
  <c r="H6953" i="12"/>
  <c r="H6939" i="12"/>
  <c r="H6930" i="12"/>
  <c r="H6921" i="12"/>
  <c r="H6907" i="12"/>
  <c r="H6898" i="12"/>
  <c r="H6889" i="12"/>
  <c r="H6875" i="12"/>
  <c r="H6866" i="12"/>
  <c r="H6857" i="12"/>
  <c r="H6843" i="12"/>
  <c r="H6834" i="12"/>
  <c r="H6825" i="12"/>
  <c r="H6811" i="12"/>
  <c r="H6802" i="12"/>
  <c r="H6793" i="12"/>
  <c r="H6779" i="12"/>
  <c r="H6770" i="12"/>
  <c r="H6761" i="12"/>
  <c r="H6747" i="12"/>
  <c r="H6738" i="12"/>
  <c r="H6729" i="12"/>
  <c r="H6715" i="12"/>
  <c r="H6706" i="12"/>
  <c r="H6697" i="12"/>
  <c r="H6683" i="12"/>
  <c r="H6674" i="12"/>
  <c r="H6665" i="12"/>
  <c r="H6651" i="12"/>
  <c r="H6642" i="12"/>
  <c r="H6633" i="12"/>
  <c r="H6629" i="12"/>
  <c r="H6625" i="12"/>
  <c r="H6621" i="12"/>
  <c r="H6617" i="12"/>
  <c r="H6613" i="12"/>
  <c r="H6609" i="12"/>
  <c r="H6605" i="12"/>
  <c r="H6601" i="12"/>
  <c r="H6597" i="12"/>
  <c r="H6593" i="12"/>
  <c r="H6589" i="12"/>
  <c r="H6585" i="12"/>
  <c r="H6581" i="12"/>
  <c r="H6577" i="12"/>
  <c r="H6573" i="12"/>
  <c r="H6569" i="12"/>
  <c r="H6565" i="12"/>
  <c r="H6561" i="12"/>
  <c r="H6557" i="12"/>
  <c r="H6553" i="12"/>
  <c r="H6549" i="12"/>
  <c r="H6545" i="12"/>
  <c r="H6541" i="12"/>
  <c r="H6537" i="12"/>
  <c r="H6533" i="12"/>
  <c r="H6529" i="12"/>
  <c r="H6525" i="12"/>
  <c r="H6521" i="12"/>
  <c r="H6517" i="12"/>
  <c r="H6513" i="12"/>
  <c r="H6509" i="12"/>
  <c r="H6505" i="12"/>
  <c r="H6501" i="12"/>
  <c r="H6497" i="12"/>
  <c r="H6493" i="12"/>
  <c r="H6489" i="12"/>
  <c r="H6485" i="12"/>
  <c r="H6481" i="12"/>
  <c r="H6477" i="12"/>
  <c r="H6473" i="12"/>
  <c r="H6469" i="12"/>
  <c r="H6465" i="12"/>
  <c r="H6461" i="12"/>
  <c r="H6457" i="12"/>
  <c r="H6453" i="12"/>
  <c r="H6449" i="12"/>
  <c r="H6445" i="12"/>
  <c r="H6441" i="12"/>
  <c r="H6437" i="12"/>
  <c r="H6433" i="12"/>
  <c r="H6429" i="12"/>
  <c r="H6425" i="12"/>
  <c r="H6421" i="12"/>
  <c r="H6417" i="12"/>
  <c r="H6413" i="12"/>
  <c r="H6409" i="12"/>
  <c r="H6405" i="12"/>
  <c r="H6401" i="12"/>
  <c r="H6397" i="12"/>
  <c r="H6393" i="12"/>
  <c r="H6389" i="12"/>
  <c r="H6385" i="12"/>
  <c r="H6381" i="12"/>
  <c r="H6377" i="12"/>
  <c r="H6373" i="12"/>
  <c r="H6369" i="12"/>
  <c r="H6365" i="12"/>
  <c r="H6361" i="12"/>
  <c r="H6357" i="12"/>
  <c r="H6353" i="12"/>
  <c r="H6349" i="12"/>
  <c r="H6345" i="12"/>
  <c r="H6341" i="12"/>
  <c r="H6337" i="12"/>
  <c r="H6333" i="12"/>
  <c r="H6329" i="12"/>
  <c r="H6325" i="12"/>
  <c r="H6321" i="12"/>
  <c r="H6317" i="12"/>
  <c r="H6313" i="12"/>
  <c r="H6309" i="12"/>
  <c r="H6305" i="12"/>
  <c r="H6301" i="12"/>
  <c r="H6297" i="12"/>
  <c r="H6293" i="12"/>
  <c r="H6289" i="12"/>
  <c r="H6285" i="12"/>
  <c r="H6281" i="12"/>
  <c r="H6277" i="12"/>
  <c r="H6273" i="12"/>
  <c r="H6269" i="12"/>
  <c r="H8207" i="12"/>
  <c r="H8771" i="12"/>
  <c r="H8477" i="12"/>
  <c r="H8161" i="12"/>
  <c r="H9996" i="12"/>
  <c r="H8063" i="12"/>
  <c r="H7946" i="12"/>
  <c r="H7923" i="12"/>
  <c r="H7709" i="12"/>
  <c r="H7619" i="12"/>
  <c r="H7605" i="12"/>
  <c r="H7565" i="12"/>
  <c r="H7551" i="12"/>
  <c r="H7510" i="12"/>
  <c r="H7437" i="12"/>
  <c r="H7423" i="12"/>
  <c r="H7382" i="12"/>
  <c r="H7309" i="12"/>
  <c r="H7295" i="12"/>
  <c r="H7254" i="12"/>
  <c r="H7066" i="12"/>
  <c r="H7061" i="12"/>
  <c r="H7002" i="12"/>
  <c r="H6997" i="12"/>
  <c r="H6938" i="12"/>
  <c r="H6933" i="12"/>
  <c r="H6874" i="12"/>
  <c r="H6869" i="12"/>
  <c r="H6810" i="12"/>
  <c r="H6805" i="12"/>
  <c r="H6746" i="12"/>
  <c r="H6741" i="12"/>
  <c r="H6682" i="12"/>
  <c r="H6677" i="12"/>
  <c r="H6599" i="12"/>
  <c r="H6590" i="12"/>
  <c r="H6576" i="12"/>
  <c r="H6567" i="12"/>
  <c r="H6558" i="12"/>
  <c r="H6544" i="12"/>
  <c r="H6535" i="12"/>
  <c r="H6526" i="12"/>
  <c r="H6512" i="12"/>
  <c r="H6503" i="12"/>
  <c r="H6494" i="12"/>
  <c r="H6480" i="12"/>
  <c r="H6471" i="12"/>
  <c r="H6462" i="12"/>
  <c r="H6448" i="12"/>
  <c r="H6439" i="12"/>
  <c r="H6430" i="12"/>
  <c r="H6416" i="12"/>
  <c r="H6407" i="12"/>
  <c r="H6398" i="12"/>
  <c r="H6384" i="12"/>
  <c r="H6375" i="12"/>
  <c r="H6366" i="12"/>
  <c r="H6352" i="12"/>
  <c r="H6343" i="12"/>
  <c r="H6334" i="12"/>
  <c r="H6320" i="12"/>
  <c r="H6311" i="12"/>
  <c r="H6302" i="12"/>
  <c r="H6288" i="12"/>
  <c r="H6279" i="12"/>
  <c r="H6270" i="12"/>
  <c r="H7633" i="12"/>
  <c r="H7570" i="12"/>
  <c r="H7523" i="12"/>
  <c r="H7483" i="12"/>
  <c r="H7477" i="12"/>
  <c r="H7442" i="12"/>
  <c r="H7395" i="12"/>
  <c r="H7355" i="12"/>
  <c r="H7349" i="12"/>
  <c r="H7314" i="12"/>
  <c r="H7267" i="12"/>
  <c r="H7227" i="12"/>
  <c r="H7221" i="12"/>
  <c r="H7193" i="12"/>
  <c r="H7186" i="12"/>
  <c r="H7153" i="12"/>
  <c r="H7147" i="12"/>
  <c r="H7121" i="12"/>
  <c r="H7115" i="12"/>
  <c r="H7095" i="12"/>
  <c r="H7071" i="12"/>
  <c r="H7042" i="12"/>
  <c r="H7025" i="12"/>
  <c r="H7019" i="12"/>
  <c r="H7007" i="12"/>
  <c r="H6978" i="12"/>
  <c r="H6961" i="12"/>
  <c r="H6955" i="12"/>
  <c r="H6943" i="12"/>
  <c r="H6914" i="12"/>
  <c r="H6897" i="12"/>
  <c r="H6891" i="12"/>
  <c r="H6879" i="12"/>
  <c r="H6850" i="12"/>
  <c r="H6833" i="12"/>
  <c r="H6827" i="12"/>
  <c r="H6815" i="12"/>
  <c r="H6786" i="12"/>
  <c r="H6769" i="12"/>
  <c r="H6763" i="12"/>
  <c r="H6751" i="12"/>
  <c r="H6722" i="12"/>
  <c r="H6705" i="12"/>
  <c r="H6699" i="12"/>
  <c r="H6687" i="12"/>
  <c r="H6658" i="12"/>
  <c r="H6641" i="12"/>
  <c r="H6635" i="12"/>
  <c r="H6624" i="12"/>
  <c r="H6619" i="12"/>
  <c r="H6608" i="12"/>
  <c r="H6603" i="12"/>
  <c r="H6594" i="12"/>
  <c r="H6580" i="12"/>
  <c r="H6571" i="12"/>
  <c r="H6562" i="12"/>
  <c r="H6548" i="12"/>
  <c r="H6539" i="12"/>
  <c r="H6530" i="12"/>
  <c r="H6516" i="12"/>
  <c r="H6507" i="12"/>
  <c r="H6498" i="12"/>
  <c r="H6484" i="12"/>
  <c r="H6475" i="12"/>
  <c r="H6466" i="12"/>
  <c r="H6452" i="12"/>
  <c r="H6443" i="12"/>
  <c r="H6434" i="12"/>
  <c r="H6420" i="12"/>
  <c r="H6411" i="12"/>
  <c r="H6402" i="12"/>
  <c r="H6388" i="12"/>
  <c r="H6379" i="12"/>
  <c r="H6370" i="12"/>
  <c r="H6356" i="12"/>
  <c r="H6347" i="12"/>
  <c r="H6338" i="12"/>
  <c r="H6324" i="12"/>
  <c r="H6315" i="12"/>
  <c r="H6306" i="12"/>
  <c r="H6292" i="12"/>
  <c r="H6283" i="12"/>
  <c r="H6274" i="12"/>
  <c r="H8219" i="12"/>
  <c r="H7853" i="12"/>
  <c r="H7753" i="12"/>
  <c r="H7529" i="12"/>
  <c r="H7401" i="12"/>
  <c r="H7273" i="12"/>
  <c r="H7158" i="12"/>
  <c r="H7126" i="12"/>
  <c r="H7065" i="12"/>
  <c r="H7053" i="12"/>
  <c r="H7047" i="12"/>
  <c r="H7030" i="12"/>
  <c r="H7001" i="12"/>
  <c r="H6989" i="12"/>
  <c r="H6983" i="12"/>
  <c r="H6966" i="12"/>
  <c r="H6937" i="12"/>
  <c r="H6925" i="12"/>
  <c r="H6919" i="12"/>
  <c r="H6902" i="12"/>
  <c r="H6873" i="12"/>
  <c r="H6861" i="12"/>
  <c r="H6855" i="12"/>
  <c r="H6838" i="12"/>
  <c r="H6809" i="12"/>
  <c r="H6797" i="12"/>
  <c r="H6791" i="12"/>
  <c r="H6774" i="12"/>
  <c r="H6745" i="12"/>
  <c r="H6733" i="12"/>
  <c r="H6727" i="12"/>
  <c r="H6710" i="12"/>
  <c r="H6681" i="12"/>
  <c r="H6669" i="12"/>
  <c r="H6663" i="12"/>
  <c r="H6646" i="12"/>
  <c r="H6598" i="12"/>
  <c r="H6584" i="12"/>
  <c r="H6575" i="12"/>
  <c r="H6566" i="12"/>
  <c r="H6552" i="12"/>
  <c r="H6543" i="12"/>
  <c r="H6534" i="12"/>
  <c r="H6520" i="12"/>
  <c r="H6511" i="12"/>
  <c r="H6502" i="12"/>
  <c r="H6488" i="12"/>
  <c r="H6479" i="12"/>
  <c r="H6470" i="12"/>
  <c r="H6456" i="12"/>
  <c r="H6447" i="12"/>
  <c r="H6438" i="12"/>
  <c r="H6424" i="12"/>
  <c r="H6415" i="12"/>
  <c r="H6406" i="12"/>
  <c r="H6392" i="12"/>
  <c r="H6383" i="12"/>
  <c r="H6374" i="12"/>
  <c r="H6360" i="12"/>
  <c r="H6351" i="12"/>
  <c r="H6342" i="12"/>
  <c r="H6328" i="12"/>
  <c r="H6319" i="12"/>
  <c r="H6310" i="12"/>
  <c r="H6296" i="12"/>
  <c r="H6287" i="12"/>
  <c r="H6278" i="12"/>
  <c r="H8864" i="12"/>
  <c r="H7882" i="12"/>
  <c r="H7859" i="12"/>
  <c r="H7646" i="12"/>
  <c r="H7582" i="12"/>
  <c r="H7569" i="12"/>
  <c r="H7495" i="12"/>
  <c r="H7482" i="12"/>
  <c r="H7454" i="12"/>
  <c r="H7441" i="12"/>
  <c r="H7367" i="12"/>
  <c r="H7354" i="12"/>
  <c r="H7326" i="12"/>
  <c r="H7313" i="12"/>
  <c r="H7239" i="12"/>
  <c r="H7226" i="12"/>
  <c r="H7198" i="12"/>
  <c r="H7081" i="12"/>
  <c r="H7075" i="12"/>
  <c r="H7070" i="12"/>
  <c r="H7011" i="12"/>
  <c r="H7006" i="12"/>
  <c r="H6947" i="12"/>
  <c r="H6942" i="12"/>
  <c r="H6883" i="12"/>
  <c r="H6878" i="12"/>
  <c r="H6819" i="12"/>
  <c r="H6814" i="12"/>
  <c r="H6755" i="12"/>
  <c r="H6750" i="12"/>
  <c r="H6691" i="12"/>
  <c r="H6686" i="12"/>
  <c r="H6628" i="12"/>
  <c r="H6623" i="12"/>
  <c r="H6612" i="12"/>
  <c r="H6607" i="12"/>
  <c r="H6602" i="12"/>
  <c r="H6588" i="12"/>
  <c r="H6579" i="12"/>
  <c r="H6570" i="12"/>
  <c r="H6556" i="12"/>
  <c r="H6547" i="12"/>
  <c r="H6538" i="12"/>
  <c r="H6524" i="12"/>
  <c r="H6515" i="12"/>
  <c r="H6506" i="12"/>
  <c r="H6492" i="12"/>
  <c r="H6483" i="12"/>
  <c r="H6474" i="12"/>
  <c r="H6460" i="12"/>
  <c r="H6451" i="12"/>
  <c r="H6442" i="12"/>
  <c r="H6428" i="12"/>
  <c r="H6419" i="12"/>
  <c r="H6410" i="12"/>
  <c r="H6396" i="12"/>
  <c r="H6387" i="12"/>
  <c r="H6378" i="12"/>
  <c r="H6364" i="12"/>
  <c r="H6355" i="12"/>
  <c r="H6346" i="12"/>
  <c r="H6332" i="12"/>
  <c r="H6323" i="12"/>
  <c r="H6314" i="12"/>
  <c r="H6300" i="12"/>
  <c r="H6291" i="12"/>
  <c r="H6282" i="12"/>
  <c r="H6268" i="12"/>
  <c r="H6264" i="12"/>
  <c r="H6260" i="12"/>
  <c r="H6256" i="12"/>
  <c r="H6252" i="12"/>
  <c r="H6248" i="12"/>
  <c r="H6244" i="12"/>
  <c r="H6240" i="12"/>
  <c r="H6236" i="12"/>
  <c r="H6232" i="12"/>
  <c r="H6228" i="12"/>
  <c r="H6224" i="12"/>
  <c r="H6220" i="12"/>
  <c r="H6216" i="12"/>
  <c r="H6212" i="12"/>
  <c r="H6208" i="12"/>
  <c r="H6204" i="12"/>
  <c r="H6200" i="12"/>
  <c r="H6196" i="12"/>
  <c r="H6192" i="12"/>
  <c r="H6188" i="12"/>
  <c r="H6184" i="12"/>
  <c r="H6180" i="12"/>
  <c r="H6176" i="12"/>
  <c r="H6172" i="12"/>
  <c r="H6168" i="12"/>
  <c r="H6164" i="12"/>
  <c r="H6160" i="12"/>
  <c r="H6156" i="12"/>
  <c r="H6152" i="12"/>
  <c r="H6148" i="12"/>
  <c r="H6144" i="12"/>
  <c r="H6140" i="12"/>
  <c r="H6136" i="12"/>
  <c r="H6132" i="12"/>
  <c r="H6128" i="12"/>
  <c r="H6124" i="12"/>
  <c r="H6120" i="12"/>
  <c r="H6116" i="12"/>
  <c r="H6112" i="12"/>
  <c r="H6108" i="12"/>
  <c r="H6104" i="12"/>
  <c r="H6100" i="12"/>
  <c r="H6096" i="12"/>
  <c r="H6092" i="12"/>
  <c r="H6088" i="12"/>
  <c r="H6084" i="12"/>
  <c r="H6080" i="12"/>
  <c r="H6076" i="12"/>
  <c r="H6072" i="12"/>
  <c r="H6068" i="12"/>
  <c r="H6064" i="12"/>
  <c r="H6060" i="12"/>
  <c r="H6056" i="12"/>
  <c r="H6052" i="12"/>
  <c r="H6048" i="12"/>
  <c r="H6044" i="12"/>
  <c r="H6040" i="12"/>
  <c r="H6036" i="12"/>
  <c r="H6032" i="12"/>
  <c r="H6028" i="12"/>
  <c r="H6024" i="12"/>
  <c r="H6020" i="12"/>
  <c r="H6016" i="12"/>
  <c r="H6012" i="12"/>
  <c r="H6008" i="12"/>
  <c r="H6004" i="12"/>
  <c r="H6000" i="12"/>
  <c r="H5996" i="12"/>
  <c r="H5992" i="12"/>
  <c r="H5988" i="12"/>
  <c r="H5984" i="12"/>
  <c r="H5980" i="12"/>
  <c r="H5976" i="12"/>
  <c r="H5972" i="12"/>
  <c r="H5968" i="12"/>
  <c r="H5964" i="12"/>
  <c r="H5960" i="12"/>
  <c r="H5956" i="12"/>
  <c r="H5952" i="12"/>
  <c r="H5948" i="12"/>
  <c r="H5944" i="12"/>
  <c r="H5940" i="12"/>
  <c r="H5936" i="12"/>
  <c r="H5932" i="12"/>
  <c r="H5928" i="12"/>
  <c r="H5924" i="12"/>
  <c r="H5920" i="12"/>
  <c r="H5916" i="12"/>
  <c r="H5912" i="12"/>
  <c r="H5908" i="12"/>
  <c r="H5904" i="12"/>
  <c r="H5900" i="12"/>
  <c r="H5896" i="12"/>
  <c r="H5892" i="12"/>
  <c r="H5888" i="12"/>
  <c r="H5884" i="12"/>
  <c r="H5880" i="12"/>
  <c r="H5876" i="12"/>
  <c r="H5872" i="12"/>
  <c r="H5868" i="12"/>
  <c r="H5864" i="12"/>
  <c r="H5860" i="12"/>
  <c r="H5856" i="12"/>
  <c r="H5852" i="12"/>
  <c r="H5848" i="12"/>
  <c r="H5844" i="12"/>
  <c r="H5840" i="12"/>
  <c r="H5836" i="12"/>
  <c r="H5832" i="12"/>
  <c r="H5828" i="12"/>
  <c r="H5824" i="12"/>
  <c r="H5820" i="12"/>
  <c r="H5816" i="12"/>
  <c r="H5812" i="12"/>
  <c r="H5808" i="12"/>
  <c r="H5804" i="12"/>
  <c r="H5800" i="12"/>
  <c r="H5796" i="12"/>
  <c r="H5792" i="12"/>
  <c r="H5788" i="12"/>
  <c r="H5784" i="12"/>
  <c r="H5780" i="12"/>
  <c r="H5776" i="12"/>
  <c r="H5772" i="12"/>
  <c r="H5768" i="12"/>
  <c r="H5764" i="12"/>
  <c r="H5760" i="12"/>
  <c r="H5756" i="12"/>
  <c r="H5752" i="12"/>
  <c r="H5748" i="12"/>
  <c r="H5744" i="12"/>
  <c r="H5740" i="12"/>
  <c r="H5736" i="12"/>
  <c r="H5732" i="12"/>
  <c r="H5728" i="12"/>
  <c r="H5724" i="12"/>
  <c r="H5720" i="12"/>
  <c r="H5716" i="12"/>
  <c r="H5712" i="12"/>
  <c r="H5708" i="12"/>
  <c r="H5704" i="12"/>
  <c r="H5700" i="12"/>
  <c r="H5696" i="12"/>
  <c r="H5692" i="12"/>
  <c r="H5688" i="12"/>
  <c r="H5684" i="12"/>
  <c r="H5680" i="12"/>
  <c r="H5676" i="12"/>
  <c r="H5672" i="12"/>
  <c r="H5668" i="12"/>
  <c r="H5664" i="12"/>
  <c r="H5660" i="12"/>
  <c r="H5656" i="12"/>
  <c r="H5652" i="12"/>
  <c r="H5648" i="12"/>
  <c r="H5644" i="12"/>
  <c r="H5640" i="12"/>
  <c r="H5636" i="12"/>
  <c r="H5632" i="12"/>
  <c r="H5628" i="12"/>
  <c r="H5624" i="12"/>
  <c r="H5620" i="12"/>
  <c r="H5616" i="12"/>
  <c r="H5612" i="12"/>
  <c r="H5608" i="12"/>
  <c r="H5604" i="12"/>
  <c r="H5600" i="12"/>
  <c r="H5596" i="12"/>
  <c r="H5592" i="12"/>
  <c r="H5588" i="12"/>
  <c r="H5584" i="12"/>
  <c r="H5580" i="12"/>
  <c r="H5576" i="12"/>
  <c r="H5572" i="12"/>
  <c r="H5568" i="12"/>
  <c r="H5564" i="12"/>
  <c r="H5560" i="12"/>
  <c r="H5556" i="12"/>
  <c r="H5552" i="12"/>
  <c r="H5548" i="12"/>
  <c r="H5544" i="12"/>
  <c r="H5540" i="12"/>
  <c r="H5536" i="12"/>
  <c r="H5532" i="12"/>
  <c r="H5528" i="12"/>
  <c r="H5524" i="12"/>
  <c r="H5520" i="12"/>
  <c r="H5516" i="12"/>
  <c r="H5512" i="12"/>
  <c r="H5508" i="12"/>
  <c r="H5504" i="12"/>
  <c r="H5500" i="12"/>
  <c r="H5496" i="12"/>
  <c r="H5492" i="12"/>
  <c r="H5488" i="12"/>
  <c r="H5484" i="12"/>
  <c r="H5480" i="12"/>
  <c r="H5476" i="12"/>
  <c r="H5472" i="12"/>
  <c r="H5468" i="12"/>
  <c r="H5464" i="12"/>
  <c r="H5460" i="12"/>
  <c r="H5456" i="12"/>
  <c r="H5452" i="12"/>
  <c r="H5448" i="12"/>
  <c r="H5444" i="12"/>
  <c r="H5440" i="12"/>
  <c r="H5436" i="12"/>
  <c r="H5432" i="12"/>
  <c r="H5428" i="12"/>
  <c r="H5424" i="12"/>
  <c r="H5420" i="12"/>
  <c r="H5416" i="12"/>
  <c r="H5412" i="12"/>
  <c r="H5408" i="12"/>
  <c r="H5404" i="12"/>
  <c r="H5400" i="12"/>
  <c r="H5396" i="12"/>
  <c r="H5392" i="12"/>
  <c r="H5388" i="12"/>
  <c r="H5384" i="12"/>
  <c r="H5380" i="12"/>
  <c r="H5376" i="12"/>
  <c r="H5372" i="12"/>
  <c r="H5368" i="12"/>
  <c r="H5364" i="12"/>
  <c r="H5360" i="12"/>
  <c r="H5356" i="12"/>
  <c r="H5352" i="12"/>
  <c r="H5348" i="12"/>
  <c r="H5344" i="12"/>
  <c r="H5340" i="12"/>
  <c r="H5336" i="12"/>
  <c r="H5332" i="12"/>
  <c r="H5328" i="12"/>
  <c r="H5324" i="12"/>
  <c r="H5320" i="12"/>
  <c r="H5316" i="12"/>
  <c r="H5312" i="12"/>
  <c r="H5308" i="12"/>
  <c r="H5304" i="12"/>
  <c r="H5300" i="12"/>
  <c r="H5296" i="12"/>
  <c r="H5292" i="12"/>
  <c r="H5288" i="12"/>
  <c r="H5284" i="12"/>
  <c r="H5280" i="12"/>
  <c r="H5276" i="12"/>
  <c r="H5272" i="12"/>
  <c r="H5268" i="12"/>
  <c r="H5264" i="12"/>
  <c r="H5260" i="12"/>
  <c r="H5256" i="12"/>
  <c r="H5252" i="12"/>
  <c r="H5248" i="12"/>
  <c r="H5244" i="12"/>
  <c r="H5240" i="12"/>
  <c r="H5236" i="12"/>
  <c r="H5232" i="12"/>
  <c r="H5228" i="12"/>
  <c r="H5224" i="12"/>
  <c r="H5220" i="12"/>
  <c r="H5216" i="12"/>
  <c r="H5212" i="12"/>
  <c r="H5208" i="12"/>
  <c r="H5204" i="12"/>
  <c r="H5200" i="12"/>
  <c r="H5196" i="12"/>
  <c r="H5192" i="12"/>
  <c r="H5188" i="12"/>
  <c r="H5184" i="12"/>
  <c r="H5180" i="12"/>
  <c r="H5176" i="12"/>
  <c r="H8304" i="12"/>
  <c r="H8114" i="12"/>
  <c r="H7790" i="12"/>
  <c r="H7574" i="12"/>
  <c r="H7501" i="12"/>
  <c r="H7487" i="12"/>
  <c r="H7446" i="12"/>
  <c r="H7373" i="12"/>
  <c r="H7359" i="12"/>
  <c r="H7318" i="12"/>
  <c r="H7245" i="12"/>
  <c r="H7231" i="12"/>
  <c r="H7170" i="12"/>
  <c r="H7163" i="12"/>
  <c r="H7138" i="12"/>
  <c r="H7131" i="12"/>
  <c r="H7106" i="12"/>
  <c r="H7099" i="12"/>
  <c r="H7086" i="12"/>
  <c r="H7034" i="12"/>
  <c r="H7029" i="12"/>
  <c r="H6970" i="12"/>
  <c r="H6965" i="12"/>
  <c r="H6906" i="12"/>
  <c r="H6901" i="12"/>
  <c r="H6842" i="12"/>
  <c r="H6837" i="12"/>
  <c r="H6778" i="12"/>
  <c r="H6773" i="12"/>
  <c r="H6714" i="12"/>
  <c r="H6709" i="12"/>
  <c r="H6650" i="12"/>
  <c r="H6645" i="12"/>
  <c r="H6592" i="12"/>
  <c r="H6583" i="12"/>
  <c r="H6574" i="12"/>
  <c r="H6560" i="12"/>
  <c r="H6551" i="12"/>
  <c r="H6542" i="12"/>
  <c r="H6528" i="12"/>
  <c r="H6519" i="12"/>
  <c r="H6510" i="12"/>
  <c r="H6496" i="12"/>
  <c r="H6487" i="12"/>
  <c r="H6478" i="12"/>
  <c r="H6464" i="12"/>
  <c r="H6455" i="12"/>
  <c r="H6446" i="12"/>
  <c r="H6432" i="12"/>
  <c r="H6423" i="12"/>
  <c r="H6414" i="12"/>
  <c r="H6400" i="12"/>
  <c r="H6391" i="12"/>
  <c r="H6382" i="12"/>
  <c r="H6368" i="12"/>
  <c r="H6359" i="12"/>
  <c r="H6350" i="12"/>
  <c r="H6336" i="12"/>
  <c r="H6327" i="12"/>
  <c r="H6318" i="12"/>
  <c r="H6304" i="12"/>
  <c r="H6295" i="12"/>
  <c r="H6286" i="12"/>
  <c r="H6272" i="12"/>
  <c r="H8019" i="12"/>
  <c r="H7698" i="12"/>
  <c r="H7601" i="12"/>
  <c r="H7587" i="12"/>
  <c r="H7547" i="12"/>
  <c r="H7541" i="12"/>
  <c r="H7506" i="12"/>
  <c r="H7459" i="12"/>
  <c r="H7419" i="12"/>
  <c r="H7413" i="12"/>
  <c r="H7378" i="12"/>
  <c r="H7331" i="12"/>
  <c r="H7291" i="12"/>
  <c r="H7285" i="12"/>
  <c r="H7250" i="12"/>
  <c r="H7203" i="12"/>
  <c r="H7074" i="12"/>
  <c r="H7057" i="12"/>
  <c r="H7051" i="12"/>
  <c r="H7039" i="12"/>
  <c r="H7010" i="12"/>
  <c r="H6993" i="12"/>
  <c r="H6987" i="12"/>
  <c r="H6975" i="12"/>
  <c r="H6946" i="12"/>
  <c r="H6929" i="12"/>
  <c r="H6923" i="12"/>
  <c r="H6911" i="12"/>
  <c r="H6882" i="12"/>
  <c r="H6865" i="12"/>
  <c r="H6859" i="12"/>
  <c r="H6847" i="12"/>
  <c r="H6818" i="12"/>
  <c r="H6801" i="12"/>
  <c r="H6795" i="12"/>
  <c r="H6783" i="12"/>
  <c r="H6754" i="12"/>
  <c r="H6737" i="12"/>
  <c r="H6731" i="12"/>
  <c r="H6719" i="12"/>
  <c r="H6690" i="12"/>
  <c r="H6673" i="12"/>
  <c r="H6667" i="12"/>
  <c r="H6655" i="12"/>
  <c r="H6632" i="12"/>
  <c r="H6627" i="12"/>
  <c r="H6616" i="12"/>
  <c r="H6611" i="12"/>
  <c r="H6596" i="12"/>
  <c r="H6587" i="12"/>
  <c r="H6578" i="12"/>
  <c r="H6564" i="12"/>
  <c r="H6555" i="12"/>
  <c r="H6546" i="12"/>
  <c r="H6532" i="12"/>
  <c r="H6523" i="12"/>
  <c r="H6514" i="12"/>
  <c r="H6500" i="12"/>
  <c r="H6491" i="12"/>
  <c r="H6482" i="12"/>
  <c r="H6468" i="12"/>
  <c r="H6459" i="12"/>
  <c r="H6450" i="12"/>
  <c r="H6436" i="12"/>
  <c r="H6427" i="12"/>
  <c r="H6418" i="12"/>
  <c r="H6404" i="12"/>
  <c r="H6395" i="12"/>
  <c r="H6386" i="12"/>
  <c r="H6372" i="12"/>
  <c r="H6363" i="12"/>
  <c r="H6354" i="12"/>
  <c r="H6340" i="12"/>
  <c r="H6331" i="12"/>
  <c r="H6322" i="12"/>
  <c r="H6308" i="12"/>
  <c r="H6299" i="12"/>
  <c r="H6290" i="12"/>
  <c r="H6276" i="12"/>
  <c r="H6267" i="12"/>
  <c r="H6263" i="12"/>
  <c r="H6259" i="12"/>
  <c r="H6255" i="12"/>
  <c r="H6251" i="12"/>
  <c r="H6247" i="12"/>
  <c r="H6243" i="12"/>
  <c r="H6239" i="12"/>
  <c r="H6235" i="12"/>
  <c r="H6231" i="12"/>
  <c r="H6227" i="12"/>
  <c r="H6223" i="12"/>
  <c r="H6219" i="12"/>
  <c r="H6215" i="12"/>
  <c r="H6211" i="12"/>
  <c r="H6207" i="12"/>
  <c r="H6203" i="12"/>
  <c r="H6199" i="12"/>
  <c r="H6195" i="12"/>
  <c r="H6191" i="12"/>
  <c r="H6187" i="12"/>
  <c r="H6183" i="12"/>
  <c r="H6179" i="12"/>
  <c r="H6175" i="12"/>
  <c r="H6171" i="12"/>
  <c r="H6167" i="12"/>
  <c r="H6163" i="12"/>
  <c r="H6159" i="12"/>
  <c r="H6155" i="12"/>
  <c r="H6151" i="12"/>
  <c r="H6147" i="12"/>
  <c r="H6143" i="12"/>
  <c r="H6139" i="12"/>
  <c r="H6135" i="12"/>
  <c r="H6131" i="12"/>
  <c r="H6127" i="12"/>
  <c r="H6123" i="12"/>
  <c r="H6119" i="12"/>
  <c r="H6115" i="12"/>
  <c r="H6111" i="12"/>
  <c r="H6107" i="12"/>
  <c r="H6103" i="12"/>
  <c r="H6099" i="12"/>
  <c r="H6095" i="12"/>
  <c r="H6091" i="12"/>
  <c r="H6087" i="12"/>
  <c r="H6083" i="12"/>
  <c r="H6079" i="12"/>
  <c r="H6075" i="12"/>
  <c r="H6071" i="12"/>
  <c r="H6067" i="12"/>
  <c r="H6063" i="12"/>
  <c r="H6059" i="12"/>
  <c r="H6055" i="12"/>
  <c r="H6051" i="12"/>
  <c r="H6047" i="12"/>
  <c r="H6043" i="12"/>
  <c r="H6039" i="12"/>
  <c r="H6035" i="12"/>
  <c r="H6031" i="12"/>
  <c r="H6027" i="12"/>
  <c r="H6023" i="12"/>
  <c r="H6019" i="12"/>
  <c r="H6015" i="12"/>
  <c r="H6011" i="12"/>
  <c r="H6007" i="12"/>
  <c r="H6003" i="12"/>
  <c r="H5999" i="12"/>
  <c r="H5995" i="12"/>
  <c r="H5991" i="12"/>
  <c r="H5987" i="12"/>
  <c r="H5983" i="12"/>
  <c r="H5979" i="12"/>
  <c r="H5975" i="12"/>
  <c r="H5971" i="12"/>
  <c r="H5967" i="12"/>
  <c r="H5963" i="12"/>
  <c r="H5959" i="12"/>
  <c r="H5955" i="12"/>
  <c r="H5951" i="12"/>
  <c r="H5947" i="12"/>
  <c r="H5943" i="12"/>
  <c r="H5939" i="12"/>
  <c r="H5935" i="12"/>
  <c r="H5931" i="12"/>
  <c r="H5927" i="12"/>
  <c r="H5923" i="12"/>
  <c r="H5919" i="12"/>
  <c r="H5915" i="12"/>
  <c r="H5911" i="12"/>
  <c r="H5907" i="12"/>
  <c r="H7995" i="12"/>
  <c r="H7681" i="12"/>
  <c r="H7518" i="12"/>
  <c r="H7418" i="12"/>
  <c r="H7249" i="12"/>
  <c r="H7143" i="12"/>
  <c r="H7062" i="12"/>
  <c r="H7033" i="12"/>
  <c r="H6974" i="12"/>
  <c r="H6915" i="12"/>
  <c r="H6887" i="12"/>
  <c r="H6806" i="12"/>
  <c r="H6777" i="12"/>
  <c r="H6718" i="12"/>
  <c r="H6659" i="12"/>
  <c r="H6631" i="12"/>
  <c r="H6522" i="12"/>
  <c r="H6508" i="12"/>
  <c r="H6495" i="12"/>
  <c r="H6394" i="12"/>
  <c r="H6380" i="12"/>
  <c r="H6367" i="12"/>
  <c r="H6266" i="12"/>
  <c r="H6261" i="12"/>
  <c r="H6250" i="12"/>
  <c r="H6245" i="12"/>
  <c r="H6234" i="12"/>
  <c r="H6229" i="12"/>
  <c r="H6218" i="12"/>
  <c r="H6213" i="12"/>
  <c r="H6202" i="12"/>
  <c r="H6197" i="12"/>
  <c r="H6186" i="12"/>
  <c r="H6181" i="12"/>
  <c r="H6170" i="12"/>
  <c r="H6165" i="12"/>
  <c r="H6154" i="12"/>
  <c r="H6149" i="12"/>
  <c r="H6138" i="12"/>
  <c r="H6133" i="12"/>
  <c r="H6122" i="12"/>
  <c r="H6117" i="12"/>
  <c r="H6106" i="12"/>
  <c r="H6101" i="12"/>
  <c r="H6090" i="12"/>
  <c r="H6085" i="12"/>
  <c r="H6074" i="12"/>
  <c r="H6069" i="12"/>
  <c r="H6058" i="12"/>
  <c r="H6053" i="12"/>
  <c r="H6042" i="12"/>
  <c r="H6037" i="12"/>
  <c r="H6026" i="12"/>
  <c r="H6021" i="12"/>
  <c r="H6010" i="12"/>
  <c r="H6005" i="12"/>
  <c r="H5994" i="12"/>
  <c r="H5989" i="12"/>
  <c r="H5978" i="12"/>
  <c r="H5973" i="12"/>
  <c r="H5962" i="12"/>
  <c r="H5957" i="12"/>
  <c r="H5946" i="12"/>
  <c r="H5941" i="12"/>
  <c r="H5930" i="12"/>
  <c r="H5925" i="12"/>
  <c r="H5914" i="12"/>
  <c r="H5909" i="12"/>
  <c r="H5899" i="12"/>
  <c r="H5890" i="12"/>
  <c r="H5881" i="12"/>
  <c r="H5867" i="12"/>
  <c r="H5858" i="12"/>
  <c r="H5849" i="12"/>
  <c r="H5835" i="12"/>
  <c r="H5826" i="12"/>
  <c r="H5817" i="12"/>
  <c r="H5803" i="12"/>
  <c r="H5794" i="12"/>
  <c r="H5785" i="12"/>
  <c r="H5771" i="12"/>
  <c r="H5762" i="12"/>
  <c r="H5753" i="12"/>
  <c r="H5739" i="12"/>
  <c r="H5730" i="12"/>
  <c r="H5721" i="12"/>
  <c r="H5707" i="12"/>
  <c r="H5698" i="12"/>
  <c r="H5689" i="12"/>
  <c r="H5675" i="12"/>
  <c r="H5666" i="12"/>
  <c r="H5657" i="12"/>
  <c r="H5643" i="12"/>
  <c r="H5634" i="12"/>
  <c r="H5625" i="12"/>
  <c r="H5611" i="12"/>
  <c r="H5602" i="12"/>
  <c r="H5593" i="12"/>
  <c r="H5579" i="12"/>
  <c r="H5570" i="12"/>
  <c r="H5561" i="12"/>
  <c r="H5547" i="12"/>
  <c r="H5538" i="12"/>
  <c r="H5529" i="12"/>
  <c r="H5515" i="12"/>
  <c r="H5506" i="12"/>
  <c r="H5497" i="12"/>
  <c r="H5483" i="12"/>
  <c r="H5474" i="12"/>
  <c r="H5465" i="12"/>
  <c r="H5451" i="12"/>
  <c r="H5442" i="12"/>
  <c r="H5433" i="12"/>
  <c r="H5419" i="12"/>
  <c r="H5410" i="12"/>
  <c r="H5401" i="12"/>
  <c r="H5387" i="12"/>
  <c r="H5378" i="12"/>
  <c r="H5369" i="12"/>
  <c r="H5355" i="12"/>
  <c r="H5346" i="12"/>
  <c r="H5337" i="12"/>
  <c r="H5323" i="12"/>
  <c r="H5314" i="12"/>
  <c r="H5305" i="12"/>
  <c r="H5291" i="12"/>
  <c r="H5282" i="12"/>
  <c r="H5273" i="12"/>
  <c r="H7703" i="12"/>
  <c r="H7209" i="12"/>
  <c r="H7149" i="12"/>
  <c r="H7090" i="12"/>
  <c r="H6893" i="12"/>
  <c r="H6637" i="12"/>
  <c r="H6595" i="12"/>
  <c r="H6582" i="12"/>
  <c r="H6568" i="12"/>
  <c r="H6467" i="12"/>
  <c r="H6454" i="12"/>
  <c r="H6440" i="12"/>
  <c r="H6339" i="12"/>
  <c r="H6326" i="12"/>
  <c r="H6312" i="12"/>
  <c r="H5903" i="12"/>
  <c r="H5894" i="12"/>
  <c r="H5885" i="12"/>
  <c r="H5871" i="12"/>
  <c r="H5862" i="12"/>
  <c r="H5853" i="12"/>
  <c r="H5839" i="12"/>
  <c r="H5830" i="12"/>
  <c r="H5821" i="12"/>
  <c r="H5807" i="12"/>
  <c r="H5798" i="12"/>
  <c r="H5789" i="12"/>
  <c r="H5775" i="12"/>
  <c r="H5766" i="12"/>
  <c r="H5757" i="12"/>
  <c r="H5743" i="12"/>
  <c r="H5734" i="12"/>
  <c r="H5725" i="12"/>
  <c r="H5711" i="12"/>
  <c r="H5702" i="12"/>
  <c r="H5693" i="12"/>
  <c r="H5679" i="12"/>
  <c r="H5670" i="12"/>
  <c r="H5661" i="12"/>
  <c r="H5647" i="12"/>
  <c r="H5638" i="12"/>
  <c r="H5629" i="12"/>
  <c r="H5615" i="12"/>
  <c r="H5606" i="12"/>
  <c r="H5597" i="12"/>
  <c r="H5583" i="12"/>
  <c r="H5574" i="12"/>
  <c r="H5565" i="12"/>
  <c r="H5551" i="12"/>
  <c r="H5542" i="12"/>
  <c r="H5533" i="12"/>
  <c r="H5519" i="12"/>
  <c r="H5510" i="12"/>
  <c r="H5501" i="12"/>
  <c r="H5487" i="12"/>
  <c r="H5478" i="12"/>
  <c r="H5469" i="12"/>
  <c r="H5455" i="12"/>
  <c r="H5446" i="12"/>
  <c r="H5437" i="12"/>
  <c r="H5423" i="12"/>
  <c r="H5414" i="12"/>
  <c r="H5405" i="12"/>
  <c r="H5391" i="12"/>
  <c r="H5382" i="12"/>
  <c r="H5373" i="12"/>
  <c r="H5359" i="12"/>
  <c r="H5350" i="12"/>
  <c r="H5341" i="12"/>
  <c r="H5327" i="12"/>
  <c r="H5318" i="12"/>
  <c r="H5309" i="12"/>
  <c r="H7725" i="12"/>
  <c r="H7593" i="12"/>
  <c r="H7431" i="12"/>
  <c r="H7262" i="12"/>
  <c r="H7038" i="12"/>
  <c r="H6979" i="12"/>
  <c r="H6951" i="12"/>
  <c r="H6870" i="12"/>
  <c r="H6841" i="12"/>
  <c r="H6782" i="12"/>
  <c r="H6723" i="12"/>
  <c r="H6695" i="12"/>
  <c r="H6615" i="12"/>
  <c r="H6554" i="12"/>
  <c r="H6540" i="12"/>
  <c r="H6527" i="12"/>
  <c r="H6426" i="12"/>
  <c r="H6412" i="12"/>
  <c r="H6399" i="12"/>
  <c r="H6298" i="12"/>
  <c r="H6284" i="12"/>
  <c r="H6271" i="12"/>
  <c r="H6265" i="12"/>
  <c r="H6254" i="12"/>
  <c r="H6249" i="12"/>
  <c r="H6238" i="12"/>
  <c r="H6233" i="12"/>
  <c r="H6222" i="12"/>
  <c r="H6217" i="12"/>
  <c r="H6206" i="12"/>
  <c r="H6201" i="12"/>
  <c r="H6190" i="12"/>
  <c r="H6185" i="12"/>
  <c r="H6174" i="12"/>
  <c r="H6169" i="12"/>
  <c r="H6158" i="12"/>
  <c r="H6153" i="12"/>
  <c r="H6142" i="12"/>
  <c r="H6137" i="12"/>
  <c r="H6126" i="12"/>
  <c r="H6121" i="12"/>
  <c r="H6110" i="12"/>
  <c r="H6105" i="12"/>
  <c r="H6094" i="12"/>
  <c r="H6089" i="12"/>
  <c r="H6078" i="12"/>
  <c r="H6073" i="12"/>
  <c r="H6062" i="12"/>
  <c r="H6057" i="12"/>
  <c r="H6046" i="12"/>
  <c r="H6041" i="12"/>
  <c r="H6030" i="12"/>
  <c r="H6025" i="12"/>
  <c r="H6014" i="12"/>
  <c r="H6009" i="12"/>
  <c r="H5998" i="12"/>
  <c r="H5993" i="12"/>
  <c r="H5982" i="12"/>
  <c r="H5977" i="12"/>
  <c r="H5966" i="12"/>
  <c r="H5961" i="12"/>
  <c r="H5950" i="12"/>
  <c r="H5945" i="12"/>
  <c r="H5934" i="12"/>
  <c r="H5929" i="12"/>
  <c r="H5918" i="12"/>
  <c r="H5913" i="12"/>
  <c r="H5898" i="12"/>
  <c r="H5889" i="12"/>
  <c r="H5875" i="12"/>
  <c r="H5866" i="12"/>
  <c r="H5857" i="12"/>
  <c r="H5843" i="12"/>
  <c r="H5834" i="12"/>
  <c r="H5825" i="12"/>
  <c r="H5811" i="12"/>
  <c r="H5802" i="12"/>
  <c r="H5793" i="12"/>
  <c r="H5779" i="12"/>
  <c r="H5770" i="12"/>
  <c r="H5761" i="12"/>
  <c r="H5747" i="12"/>
  <c r="H5738" i="12"/>
  <c r="H5729" i="12"/>
  <c r="H5715" i="12"/>
  <c r="H5706" i="12"/>
  <c r="H5697" i="12"/>
  <c r="H5683" i="12"/>
  <c r="H5674" i="12"/>
  <c r="H5665" i="12"/>
  <c r="H5651" i="12"/>
  <c r="H5642" i="12"/>
  <c r="H5633" i="12"/>
  <c r="H5619" i="12"/>
  <c r="H5610" i="12"/>
  <c r="H5601" i="12"/>
  <c r="H5587" i="12"/>
  <c r="H5578" i="12"/>
  <c r="H5569" i="12"/>
  <c r="H5555" i="12"/>
  <c r="H5546" i="12"/>
  <c r="H5537" i="12"/>
  <c r="H5523" i="12"/>
  <c r="H5514" i="12"/>
  <c r="H5505" i="12"/>
  <c r="H5491" i="12"/>
  <c r="H5482" i="12"/>
  <c r="H5473" i="12"/>
  <c r="H5459" i="12"/>
  <c r="H5450" i="12"/>
  <c r="H5441" i="12"/>
  <c r="H5427" i="12"/>
  <c r="H5418" i="12"/>
  <c r="H5409" i="12"/>
  <c r="H5395" i="12"/>
  <c r="H5386" i="12"/>
  <c r="H5377" i="12"/>
  <c r="H5363" i="12"/>
  <c r="H5354" i="12"/>
  <c r="H5345" i="12"/>
  <c r="H5331" i="12"/>
  <c r="H5322" i="12"/>
  <c r="H5313" i="12"/>
  <c r="H5299" i="12"/>
  <c r="H5290" i="12"/>
  <c r="H5281" i="12"/>
  <c r="H5267" i="12"/>
  <c r="H5258" i="12"/>
  <c r="H5249" i="12"/>
  <c r="H7818" i="12"/>
  <c r="H7795" i="12"/>
  <c r="H7546" i="12"/>
  <c r="H7377" i="12"/>
  <c r="H7154" i="12"/>
  <c r="H7111" i="12"/>
  <c r="H6957" i="12"/>
  <c r="H6701" i="12"/>
  <c r="H6600" i="12"/>
  <c r="H6499" i="12"/>
  <c r="H6486" i="12"/>
  <c r="H6472" i="12"/>
  <c r="H6371" i="12"/>
  <c r="H6358" i="12"/>
  <c r="H6344" i="12"/>
  <c r="H5902" i="12"/>
  <c r="H5893" i="12"/>
  <c r="H5879" i="12"/>
  <c r="H5870" i="12"/>
  <c r="H5861" i="12"/>
  <c r="H5847" i="12"/>
  <c r="H5838" i="12"/>
  <c r="H5829" i="12"/>
  <c r="H5815" i="12"/>
  <c r="H5806" i="12"/>
  <c r="H5797" i="12"/>
  <c r="H5783" i="12"/>
  <c r="H5774" i="12"/>
  <c r="H5765" i="12"/>
  <c r="H5751" i="12"/>
  <c r="H5742" i="12"/>
  <c r="H5733" i="12"/>
  <c r="H5719" i="12"/>
  <c r="H5710" i="12"/>
  <c r="H5701" i="12"/>
  <c r="H5687" i="12"/>
  <c r="H5678" i="12"/>
  <c r="H5669" i="12"/>
  <c r="H5655" i="12"/>
  <c r="H5646" i="12"/>
  <c r="H5637" i="12"/>
  <c r="H5623" i="12"/>
  <c r="H5614" i="12"/>
  <c r="H5605" i="12"/>
  <c r="H5591" i="12"/>
  <c r="H5582" i="12"/>
  <c r="H5573" i="12"/>
  <c r="H5559" i="12"/>
  <c r="H5550" i="12"/>
  <c r="H5541" i="12"/>
  <c r="H5527" i="12"/>
  <c r="H5518" i="12"/>
  <c r="H5509" i="12"/>
  <c r="H5495" i="12"/>
  <c r="H5486" i="12"/>
  <c r="H5477" i="12"/>
  <c r="H5463" i="12"/>
  <c r="H5454" i="12"/>
  <c r="H5445" i="12"/>
  <c r="H5431" i="12"/>
  <c r="H5422" i="12"/>
  <c r="H5413" i="12"/>
  <c r="H5399" i="12"/>
  <c r="H5390" i="12"/>
  <c r="H5381" i="12"/>
  <c r="H5367" i="12"/>
  <c r="H5358" i="12"/>
  <c r="H5349" i="12"/>
  <c r="H5335" i="12"/>
  <c r="H5326" i="12"/>
  <c r="H5317" i="12"/>
  <c r="H5303" i="12"/>
  <c r="H5294" i="12"/>
  <c r="H5285" i="12"/>
  <c r="H5271" i="12"/>
  <c r="H5262" i="12"/>
  <c r="H5253" i="12"/>
  <c r="H7614" i="12"/>
  <c r="H7337" i="12"/>
  <c r="H7117" i="12"/>
  <c r="H7043" i="12"/>
  <c r="H7015" i="12"/>
  <c r="H6934" i="12"/>
  <c r="H6905" i="12"/>
  <c r="H6846" i="12"/>
  <c r="H6787" i="12"/>
  <c r="H6759" i="12"/>
  <c r="H6678" i="12"/>
  <c r="H6649" i="12"/>
  <c r="H6620" i="12"/>
  <c r="H6586" i="12"/>
  <c r="H6572" i="12"/>
  <c r="H6559" i="12"/>
  <c r="H6458" i="12"/>
  <c r="H6444" i="12"/>
  <c r="H6431" i="12"/>
  <c r="H6330" i="12"/>
  <c r="H6316" i="12"/>
  <c r="H6303" i="12"/>
  <c r="H6258" i="12"/>
  <c r="H6253" i="12"/>
  <c r="H6242" i="12"/>
  <c r="H6237" i="12"/>
  <c r="H6226" i="12"/>
  <c r="H6221" i="12"/>
  <c r="H6210" i="12"/>
  <c r="H6205" i="12"/>
  <c r="H6194" i="12"/>
  <c r="H6189" i="12"/>
  <c r="H6178" i="12"/>
  <c r="H6173" i="12"/>
  <c r="H6162" i="12"/>
  <c r="H6157" i="12"/>
  <c r="H6146" i="12"/>
  <c r="H6141" i="12"/>
  <c r="H6130" i="12"/>
  <c r="H6125" i="12"/>
  <c r="H6114" i="12"/>
  <c r="H6109" i="12"/>
  <c r="H6098" i="12"/>
  <c r="H6093" i="12"/>
  <c r="H6082" i="12"/>
  <c r="H6077" i="12"/>
  <c r="H6066" i="12"/>
  <c r="H6061" i="12"/>
  <c r="H6050" i="12"/>
  <c r="H6045" i="12"/>
  <c r="H6034" i="12"/>
  <c r="H6029" i="12"/>
  <c r="H6018" i="12"/>
  <c r="H6013" i="12"/>
  <c r="H6002" i="12"/>
  <c r="H5997" i="12"/>
  <c r="H5986" i="12"/>
  <c r="H5981" i="12"/>
  <c r="H5970" i="12"/>
  <c r="H5965" i="12"/>
  <c r="H5954" i="12"/>
  <c r="H5949" i="12"/>
  <c r="H5938" i="12"/>
  <c r="H5933" i="12"/>
  <c r="H5922" i="12"/>
  <c r="H5917" i="12"/>
  <c r="H5906" i="12"/>
  <c r="H5897" i="12"/>
  <c r="H5883" i="12"/>
  <c r="H5874" i="12"/>
  <c r="H5865" i="12"/>
  <c r="H5851" i="12"/>
  <c r="H5842" i="12"/>
  <c r="H5833" i="12"/>
  <c r="H5819" i="12"/>
  <c r="H5810" i="12"/>
  <c r="H5801" i="12"/>
  <c r="H5787" i="12"/>
  <c r="H5778" i="12"/>
  <c r="H5769" i="12"/>
  <c r="H5755" i="12"/>
  <c r="H5746" i="12"/>
  <c r="H5737" i="12"/>
  <c r="H5723" i="12"/>
  <c r="H5714" i="12"/>
  <c r="H7559" i="12"/>
  <c r="H7390" i="12"/>
  <c r="H7290" i="12"/>
  <c r="H7175" i="12"/>
  <c r="H7021" i="12"/>
  <c r="H6765" i="12"/>
  <c r="H6531" i="12"/>
  <c r="H6518" i="12"/>
  <c r="H6504" i="12"/>
  <c r="H6403" i="12"/>
  <c r="H6390" i="12"/>
  <c r="H6376" i="12"/>
  <c r="H6275" i="12"/>
  <c r="H5901" i="12"/>
  <c r="H5887" i="12"/>
  <c r="H5878" i="12"/>
  <c r="H5869" i="12"/>
  <c r="H5855" i="12"/>
  <c r="H5846" i="12"/>
  <c r="H5837" i="12"/>
  <c r="H5823" i="12"/>
  <c r="H5814" i="12"/>
  <c r="H5805" i="12"/>
  <c r="H5791" i="12"/>
  <c r="H5782" i="12"/>
  <c r="H5773" i="12"/>
  <c r="H5759" i="12"/>
  <c r="H5750" i="12"/>
  <c r="H5741" i="12"/>
  <c r="H5727" i="12"/>
  <c r="H5718" i="12"/>
  <c r="H5709" i="12"/>
  <c r="H5695" i="12"/>
  <c r="H5686" i="12"/>
  <c r="H5677" i="12"/>
  <c r="H5663" i="12"/>
  <c r="H5654" i="12"/>
  <c r="H5645" i="12"/>
  <c r="H5631" i="12"/>
  <c r="H5622" i="12"/>
  <c r="H5613" i="12"/>
  <c r="H5599" i="12"/>
  <c r="H6604" i="12"/>
  <c r="H6536" i="12"/>
  <c r="H5845" i="12"/>
  <c r="H5831" i="12"/>
  <c r="H5818" i="12"/>
  <c r="H5717" i="12"/>
  <c r="H5691" i="12"/>
  <c r="H5685" i="12"/>
  <c r="H5641" i="12"/>
  <c r="H5635" i="12"/>
  <c r="H5617" i="12"/>
  <c r="H5586" i="12"/>
  <c r="H5557" i="12"/>
  <c r="H5545" i="12"/>
  <c r="H5539" i="12"/>
  <c r="H5522" i="12"/>
  <c r="H5493" i="12"/>
  <c r="H5481" i="12"/>
  <c r="H5475" i="12"/>
  <c r="H5458" i="12"/>
  <c r="H5429" i="12"/>
  <c r="H5417" i="12"/>
  <c r="H5411" i="12"/>
  <c r="H5394" i="12"/>
  <c r="H5365" i="12"/>
  <c r="H5353" i="12"/>
  <c r="H5347" i="12"/>
  <c r="H5330" i="12"/>
  <c r="H5301" i="12"/>
  <c r="H5274" i="12"/>
  <c r="H5263" i="12"/>
  <c r="H5247" i="12"/>
  <c r="H5238" i="12"/>
  <c r="H5229" i="12"/>
  <c r="H5215" i="12"/>
  <c r="H5206" i="12"/>
  <c r="H5197" i="12"/>
  <c r="H5183" i="12"/>
  <c r="H5174" i="12"/>
  <c r="H5170" i="12"/>
  <c r="H5166" i="12"/>
  <c r="H5162" i="12"/>
  <c r="H5158" i="12"/>
  <c r="H5154" i="12"/>
  <c r="H5150" i="12"/>
  <c r="H5146" i="12"/>
  <c r="H5142" i="12"/>
  <c r="H5138" i="12"/>
  <c r="H5134" i="12"/>
  <c r="H5130" i="12"/>
  <c r="H5126" i="12"/>
  <c r="H5122" i="12"/>
  <c r="H5118" i="12"/>
  <c r="H5114" i="12"/>
  <c r="H5110" i="12"/>
  <c r="H5106" i="12"/>
  <c r="H5102" i="12"/>
  <c r="H5098" i="12"/>
  <c r="H5094" i="12"/>
  <c r="H5090" i="12"/>
  <c r="H5086" i="12"/>
  <c r="H5082" i="12"/>
  <c r="H5078" i="12"/>
  <c r="H5074" i="12"/>
  <c r="H5070" i="12"/>
  <c r="H5066" i="12"/>
  <c r="H5062" i="12"/>
  <c r="H5058" i="12"/>
  <c r="H5054" i="12"/>
  <c r="H5050" i="12"/>
  <c r="H5046" i="12"/>
  <c r="H5042" i="12"/>
  <c r="H5038" i="12"/>
  <c r="H5034" i="12"/>
  <c r="H5030" i="12"/>
  <c r="H5026" i="12"/>
  <c r="H5022" i="12"/>
  <c r="H5018" i="12"/>
  <c r="H5014" i="12"/>
  <c r="H5010" i="12"/>
  <c r="H5006" i="12"/>
  <c r="H5002" i="12"/>
  <c r="H4998" i="12"/>
  <c r="H4994" i="12"/>
  <c r="H4990" i="12"/>
  <c r="H4986" i="12"/>
  <c r="H4982" i="12"/>
  <c r="H4978" i="12"/>
  <c r="H4974" i="12"/>
  <c r="H4970" i="12"/>
  <c r="H4966" i="12"/>
  <c r="H4962" i="12"/>
  <c r="H4958" i="12"/>
  <c r="H4954" i="12"/>
  <c r="H4950" i="12"/>
  <c r="H4946" i="12"/>
  <c r="H4942" i="12"/>
  <c r="H4938" i="12"/>
  <c r="H4934" i="12"/>
  <c r="H4930" i="12"/>
  <c r="H4926" i="12"/>
  <c r="H4922" i="12"/>
  <c r="H4918" i="12"/>
  <c r="H4914" i="12"/>
  <c r="H4910" i="12"/>
  <c r="H4906" i="12"/>
  <c r="H4902" i="12"/>
  <c r="H4898" i="12"/>
  <c r="H4894" i="12"/>
  <c r="H4890" i="12"/>
  <c r="H4886" i="12"/>
  <c r="H4882" i="12"/>
  <c r="H4878" i="12"/>
  <c r="H4874" i="12"/>
  <c r="H4870" i="12"/>
  <c r="H4866" i="12"/>
  <c r="H4862" i="12"/>
  <c r="H4858" i="12"/>
  <c r="H4854" i="12"/>
  <c r="H4850" i="12"/>
  <c r="H4846" i="12"/>
  <c r="H4842" i="12"/>
  <c r="H4838" i="12"/>
  <c r="H4834" i="12"/>
  <c r="H4830" i="12"/>
  <c r="H4826" i="12"/>
  <c r="H4822" i="12"/>
  <c r="H4818" i="12"/>
  <c r="H4814" i="12"/>
  <c r="H4810" i="12"/>
  <c r="H4806" i="12"/>
  <c r="H4802" i="12"/>
  <c r="H4798" i="12"/>
  <c r="H4794" i="12"/>
  <c r="H4790" i="12"/>
  <c r="H4786" i="12"/>
  <c r="H4782" i="12"/>
  <c r="H4778" i="12"/>
  <c r="H4774" i="12"/>
  <c r="H4770" i="12"/>
  <c r="H4766" i="12"/>
  <c r="H4762" i="12"/>
  <c r="H4758" i="12"/>
  <c r="H4754" i="12"/>
  <c r="H4750" i="12"/>
  <c r="H4746" i="12"/>
  <c r="H4742" i="12"/>
  <c r="H4738" i="12"/>
  <c r="H4734" i="12"/>
  <c r="H4730" i="12"/>
  <c r="H4726" i="12"/>
  <c r="H4722" i="12"/>
  <c r="H4718" i="12"/>
  <c r="H4714" i="12"/>
  <c r="H4710" i="12"/>
  <c r="H4706" i="12"/>
  <c r="H4702" i="12"/>
  <c r="H4698" i="12"/>
  <c r="H4694" i="12"/>
  <c r="H4690" i="12"/>
  <c r="H4686" i="12"/>
  <c r="H4682" i="12"/>
  <c r="H4678" i="12"/>
  <c r="H4674" i="12"/>
  <c r="H4670" i="12"/>
  <c r="H4666" i="12"/>
  <c r="H4662" i="12"/>
  <c r="H4658" i="12"/>
  <c r="H4654" i="12"/>
  <c r="H4650" i="12"/>
  <c r="H4646" i="12"/>
  <c r="H4642" i="12"/>
  <c r="H4638" i="12"/>
  <c r="H4634" i="12"/>
  <c r="H4630" i="12"/>
  <c r="H4626" i="12"/>
  <c r="H4622" i="12"/>
  <c r="H4618" i="12"/>
  <c r="H4614" i="12"/>
  <c r="H4610" i="12"/>
  <c r="H4606" i="12"/>
  <c r="H4602" i="12"/>
  <c r="H4598" i="12"/>
  <c r="H4594" i="12"/>
  <c r="H4590" i="12"/>
  <c r="H4586" i="12"/>
  <c r="H4582" i="12"/>
  <c r="H4578" i="12"/>
  <c r="H4574" i="12"/>
  <c r="H4570" i="12"/>
  <c r="H4566" i="12"/>
  <c r="H4562" i="12"/>
  <c r="H4558" i="12"/>
  <c r="H4554" i="12"/>
  <c r="H4550" i="12"/>
  <c r="H4546" i="12"/>
  <c r="H4542" i="12"/>
  <c r="H4538" i="12"/>
  <c r="H4534" i="12"/>
  <c r="H4530" i="12"/>
  <c r="H4526" i="12"/>
  <c r="H4522" i="12"/>
  <c r="H4518" i="12"/>
  <c r="H4514" i="12"/>
  <c r="H4510" i="12"/>
  <c r="H4506" i="12"/>
  <c r="H4502" i="12"/>
  <c r="H4498" i="12"/>
  <c r="H4494" i="12"/>
  <c r="H4490" i="12"/>
  <c r="H4486" i="12"/>
  <c r="H4482" i="12"/>
  <c r="H4478" i="12"/>
  <c r="H4474" i="12"/>
  <c r="H4470" i="12"/>
  <c r="H4466" i="12"/>
  <c r="H4462" i="12"/>
  <c r="H4458" i="12"/>
  <c r="H4454" i="12"/>
  <c r="H4450" i="12"/>
  <c r="H4446" i="12"/>
  <c r="H4442" i="12"/>
  <c r="H4438" i="12"/>
  <c r="H4434" i="12"/>
  <c r="H4430" i="12"/>
  <c r="H4426" i="12"/>
  <c r="H4422" i="12"/>
  <c r="H4418" i="12"/>
  <c r="H4414" i="12"/>
  <c r="H4410" i="12"/>
  <c r="H4406" i="12"/>
  <c r="H4402" i="12"/>
  <c r="H4398" i="12"/>
  <c r="H4394" i="12"/>
  <c r="H4390" i="12"/>
  <c r="H4386" i="12"/>
  <c r="H4382" i="12"/>
  <c r="H4378" i="12"/>
  <c r="H4374" i="12"/>
  <c r="H4370" i="12"/>
  <c r="H4366" i="12"/>
  <c r="H4362" i="12"/>
  <c r="H4358" i="12"/>
  <c r="H4354" i="12"/>
  <c r="H4350" i="12"/>
  <c r="H4346" i="12"/>
  <c r="H4342" i="12"/>
  <c r="H4338" i="12"/>
  <c r="H4334" i="12"/>
  <c r="H4330" i="12"/>
  <c r="H4326" i="12"/>
  <c r="H4322" i="12"/>
  <c r="H4318" i="12"/>
  <c r="H4314" i="12"/>
  <c r="H4310" i="12"/>
  <c r="H4306" i="12"/>
  <c r="H4302" i="12"/>
  <c r="H4298" i="12"/>
  <c r="H4294" i="12"/>
  <c r="H4290" i="12"/>
  <c r="H4286" i="12"/>
  <c r="H4282" i="12"/>
  <c r="H4278" i="12"/>
  <c r="H4274" i="12"/>
  <c r="H4270" i="12"/>
  <c r="H4266" i="12"/>
  <c r="H4262" i="12"/>
  <c r="H4258" i="12"/>
  <c r="H4254" i="12"/>
  <c r="H4250" i="12"/>
  <c r="H4246" i="12"/>
  <c r="H4242" i="12"/>
  <c r="H4238" i="12"/>
  <c r="H4234" i="12"/>
  <c r="H4230" i="12"/>
  <c r="H4226" i="12"/>
  <c r="H4222" i="12"/>
  <c r="H4218" i="12"/>
  <c r="H4214" i="12"/>
  <c r="H4210" i="12"/>
  <c r="H4206" i="12"/>
  <c r="H4202" i="12"/>
  <c r="H4198" i="12"/>
  <c r="H4194" i="12"/>
  <c r="H4190" i="12"/>
  <c r="H4186" i="12"/>
  <c r="H4182" i="12"/>
  <c r="H4178" i="12"/>
  <c r="H4174" i="12"/>
  <c r="H4170" i="12"/>
  <c r="H4166" i="12"/>
  <c r="H4162" i="12"/>
  <c r="H4158" i="12"/>
  <c r="H4154" i="12"/>
  <c r="H4150" i="12"/>
  <c r="H4146" i="12"/>
  <c r="H4142" i="12"/>
  <c r="H4138" i="12"/>
  <c r="H4134" i="12"/>
  <c r="H4130" i="12"/>
  <c r="H4126" i="12"/>
  <c r="H4122" i="12"/>
  <c r="H4118" i="12"/>
  <c r="H4114" i="12"/>
  <c r="H4110" i="12"/>
  <c r="H4106" i="12"/>
  <c r="H4102" i="12"/>
  <c r="H4098" i="12"/>
  <c r="H4094" i="12"/>
  <c r="H4090" i="12"/>
  <c r="H4086" i="12"/>
  <c r="H4082" i="12"/>
  <c r="H4078" i="12"/>
  <c r="H4074" i="12"/>
  <c r="H4070" i="12"/>
  <c r="H4066" i="12"/>
  <c r="H4062" i="12"/>
  <c r="H4058" i="12"/>
  <c r="H4054" i="12"/>
  <c r="H4050" i="12"/>
  <c r="H4046" i="12"/>
  <c r="H4042" i="12"/>
  <c r="H4038" i="12"/>
  <c r="H4034" i="12"/>
  <c r="H4030" i="12"/>
  <c r="H4026" i="12"/>
  <c r="H4022" i="12"/>
  <c r="H4018" i="12"/>
  <c r="H4014" i="12"/>
  <c r="H4010" i="12"/>
  <c r="H4006" i="12"/>
  <c r="H4002" i="12"/>
  <c r="H3998" i="12"/>
  <c r="H3994" i="12"/>
  <c r="H3990" i="12"/>
  <c r="H3986" i="12"/>
  <c r="H3982" i="12"/>
  <c r="H3978" i="12"/>
  <c r="H3974" i="12"/>
  <c r="H3970" i="12"/>
  <c r="H3966" i="12"/>
  <c r="H6823" i="12"/>
  <c r="H6713" i="12"/>
  <c r="H6550" i="12"/>
  <c r="H6435" i="12"/>
  <c r="H6246" i="12"/>
  <c r="H6225" i="12"/>
  <c r="H6182" i="12"/>
  <c r="H6161" i="12"/>
  <c r="H6118" i="12"/>
  <c r="H6097" i="12"/>
  <c r="H6054" i="12"/>
  <c r="H6033" i="12"/>
  <c r="H5990" i="12"/>
  <c r="H5969" i="12"/>
  <c r="H5926" i="12"/>
  <c r="H5905" i="12"/>
  <c r="H5891" i="12"/>
  <c r="H5790" i="12"/>
  <c r="H5777" i="12"/>
  <c r="H5763" i="12"/>
  <c r="H5703" i="12"/>
  <c r="H5659" i="12"/>
  <c r="H5653" i="12"/>
  <c r="H5609" i="12"/>
  <c r="H5603" i="12"/>
  <c r="H5567" i="12"/>
  <c r="H5562" i="12"/>
  <c r="H5503" i="12"/>
  <c r="H5498" i="12"/>
  <c r="H5439" i="12"/>
  <c r="H5434" i="12"/>
  <c r="H5375" i="12"/>
  <c r="H5370" i="12"/>
  <c r="H5311" i="12"/>
  <c r="H5306" i="12"/>
  <c r="H5295" i="12"/>
  <c r="H5289" i="12"/>
  <c r="H5278" i="12"/>
  <c r="H5257" i="12"/>
  <c r="H5242" i="12"/>
  <c r="H5233" i="12"/>
  <c r="H5219" i="12"/>
  <c r="H5210" i="12"/>
  <c r="H5201" i="12"/>
  <c r="H5187" i="12"/>
  <c r="H5178" i="12"/>
  <c r="H7181" i="12"/>
  <c r="H6829" i="12"/>
  <c r="H6335" i="12"/>
  <c r="H5877" i="12"/>
  <c r="H5863" i="12"/>
  <c r="H5850" i="12"/>
  <c r="H5749" i="12"/>
  <c r="H5735" i="12"/>
  <c r="H5722" i="12"/>
  <c r="H5690" i="12"/>
  <c r="H5671" i="12"/>
  <c r="H5627" i="12"/>
  <c r="H5621" i="12"/>
  <c r="H5590" i="12"/>
  <c r="H5585" i="12"/>
  <c r="H5526" i="12"/>
  <c r="H5521" i="12"/>
  <c r="H5462" i="12"/>
  <c r="H5457" i="12"/>
  <c r="H5398" i="12"/>
  <c r="H5393" i="12"/>
  <c r="H5334" i="12"/>
  <c r="H5329" i="12"/>
  <c r="H5283" i="12"/>
  <c r="H5251" i="12"/>
  <c r="H5246" i="12"/>
  <c r="H5237" i="12"/>
  <c r="H5223" i="12"/>
  <c r="H5214" i="12"/>
  <c r="H5205" i="12"/>
  <c r="H5191" i="12"/>
  <c r="H5182" i="12"/>
  <c r="H5173" i="12"/>
  <c r="H5169" i="12"/>
  <c r="H5165" i="12"/>
  <c r="H5161" i="12"/>
  <c r="H5157" i="12"/>
  <c r="H5153" i="12"/>
  <c r="H5149" i="12"/>
  <c r="H5145" i="12"/>
  <c r="H5141" i="12"/>
  <c r="H5137" i="12"/>
  <c r="H5133" i="12"/>
  <c r="H5129" i="12"/>
  <c r="H5125" i="12"/>
  <c r="H5121" i="12"/>
  <c r="H5117" i="12"/>
  <c r="H5113" i="12"/>
  <c r="H5109" i="12"/>
  <c r="H5105" i="12"/>
  <c r="H5101" i="12"/>
  <c r="H5097" i="12"/>
  <c r="H5093" i="12"/>
  <c r="H5089" i="12"/>
  <c r="H5085" i="12"/>
  <c r="H5081" i="12"/>
  <c r="H5077" i="12"/>
  <c r="H5073" i="12"/>
  <c r="H5069" i="12"/>
  <c r="H5065" i="12"/>
  <c r="H5061" i="12"/>
  <c r="H5057" i="12"/>
  <c r="H5053" i="12"/>
  <c r="H5049" i="12"/>
  <c r="H5045" i="12"/>
  <c r="H5041" i="12"/>
  <c r="H5037" i="12"/>
  <c r="H5033" i="12"/>
  <c r="H5029" i="12"/>
  <c r="H5025" i="12"/>
  <c r="H5021" i="12"/>
  <c r="H5017" i="12"/>
  <c r="H5013" i="12"/>
  <c r="H5009" i="12"/>
  <c r="H5005" i="12"/>
  <c r="H5001" i="12"/>
  <c r="H4997" i="12"/>
  <c r="H4993" i="12"/>
  <c r="H4989" i="12"/>
  <c r="H4985" i="12"/>
  <c r="H4981" i="12"/>
  <c r="H4977" i="12"/>
  <c r="H4973" i="12"/>
  <c r="H4969" i="12"/>
  <c r="H4965" i="12"/>
  <c r="H4961" i="12"/>
  <c r="H4957" i="12"/>
  <c r="H4953" i="12"/>
  <c r="H4949" i="12"/>
  <c r="H4945" i="12"/>
  <c r="H4941" i="12"/>
  <c r="H4937" i="12"/>
  <c r="H4933" i="12"/>
  <c r="H4929" i="12"/>
  <c r="H4925" i="12"/>
  <c r="H4921" i="12"/>
  <c r="H4917" i="12"/>
  <c r="H4913" i="12"/>
  <c r="H4909" i="12"/>
  <c r="H4905" i="12"/>
  <c r="H4901" i="12"/>
  <c r="H4897" i="12"/>
  <c r="H4893" i="12"/>
  <c r="H4889" i="12"/>
  <c r="H4885" i="12"/>
  <c r="H4881" i="12"/>
  <c r="H4877" i="12"/>
  <c r="H4873" i="12"/>
  <c r="H4869" i="12"/>
  <c r="H4865" i="12"/>
  <c r="H4861" i="12"/>
  <c r="H4857" i="12"/>
  <c r="H4853" i="12"/>
  <c r="H4849" i="12"/>
  <c r="H4845" i="12"/>
  <c r="H4841" i="12"/>
  <c r="H4837" i="12"/>
  <c r="H4833" i="12"/>
  <c r="H4829" i="12"/>
  <c r="H4825" i="12"/>
  <c r="H4821" i="12"/>
  <c r="H4817" i="12"/>
  <c r="H4813" i="12"/>
  <c r="H4809" i="12"/>
  <c r="H4805" i="12"/>
  <c r="H4801" i="12"/>
  <c r="H4797" i="12"/>
  <c r="H4793" i="12"/>
  <c r="H4789" i="12"/>
  <c r="H4785" i="12"/>
  <c r="H4781" i="12"/>
  <c r="H4777" i="12"/>
  <c r="H4773" i="12"/>
  <c r="H4769" i="12"/>
  <c r="H4765" i="12"/>
  <c r="H4761" i="12"/>
  <c r="H4757" i="12"/>
  <c r="H4753" i="12"/>
  <c r="H4749" i="12"/>
  <c r="H4745" i="12"/>
  <c r="H4741" i="12"/>
  <c r="H4737" i="12"/>
  <c r="H4733" i="12"/>
  <c r="H4729" i="12"/>
  <c r="H4725" i="12"/>
  <c r="H4721" i="12"/>
  <c r="H4717" i="12"/>
  <c r="H4713" i="12"/>
  <c r="H4709" i="12"/>
  <c r="H4705" i="12"/>
  <c r="H4701" i="12"/>
  <c r="H4697" i="12"/>
  <c r="H4693" i="12"/>
  <c r="H4689" i="12"/>
  <c r="H4685" i="12"/>
  <c r="H4681" i="12"/>
  <c r="H4677" i="12"/>
  <c r="H4673" i="12"/>
  <c r="H4669" i="12"/>
  <c r="H4665" i="12"/>
  <c r="H4661" i="12"/>
  <c r="H4657" i="12"/>
  <c r="H4653" i="12"/>
  <c r="H4649" i="12"/>
  <c r="H4645" i="12"/>
  <c r="H4641" i="12"/>
  <c r="H4637" i="12"/>
  <c r="H4633" i="12"/>
  <c r="H4629" i="12"/>
  <c r="H4625" i="12"/>
  <c r="H4621" i="12"/>
  <c r="H4617" i="12"/>
  <c r="H4613" i="12"/>
  <c r="H4609" i="12"/>
  <c r="H4605" i="12"/>
  <c r="H4601" i="12"/>
  <c r="H4597" i="12"/>
  <c r="H4593" i="12"/>
  <c r="H4589" i="12"/>
  <c r="H4585" i="12"/>
  <c r="H4581" i="12"/>
  <c r="H4577" i="12"/>
  <c r="H4573" i="12"/>
  <c r="H4569" i="12"/>
  <c r="H4565" i="12"/>
  <c r="H4561" i="12"/>
  <c r="H4557" i="12"/>
  <c r="H4553" i="12"/>
  <c r="H4549" i="12"/>
  <c r="H4545" i="12"/>
  <c r="H4541" i="12"/>
  <c r="H4537" i="12"/>
  <c r="H4533" i="12"/>
  <c r="H4529" i="12"/>
  <c r="H4525" i="12"/>
  <c r="H4521" i="12"/>
  <c r="H4517" i="12"/>
  <c r="H4513" i="12"/>
  <c r="H4509" i="12"/>
  <c r="H4505" i="12"/>
  <c r="H4501" i="12"/>
  <c r="H4497" i="12"/>
  <c r="H4493" i="12"/>
  <c r="H4489" i="12"/>
  <c r="H4485" i="12"/>
  <c r="H4481" i="12"/>
  <c r="H4477" i="12"/>
  <c r="H4473" i="12"/>
  <c r="H4469" i="12"/>
  <c r="H4465" i="12"/>
  <c r="H4461" i="12"/>
  <c r="H4457" i="12"/>
  <c r="H4453" i="12"/>
  <c r="H4449" i="12"/>
  <c r="H4445" i="12"/>
  <c r="H4441" i="12"/>
  <c r="H4437" i="12"/>
  <c r="H4433" i="12"/>
  <c r="H4429" i="12"/>
  <c r="H4425" i="12"/>
  <c r="H4421" i="12"/>
  <c r="H4417" i="12"/>
  <c r="H4413" i="12"/>
  <c r="H4409" i="12"/>
  <c r="H4405" i="12"/>
  <c r="H4401" i="12"/>
  <c r="H4397" i="12"/>
  <c r="H4393" i="12"/>
  <c r="H4389" i="12"/>
  <c r="H4385" i="12"/>
  <c r="H4381" i="12"/>
  <c r="H4377" i="12"/>
  <c r="H4373" i="12"/>
  <c r="H4369" i="12"/>
  <c r="H4365" i="12"/>
  <c r="H4361" i="12"/>
  <c r="H4357" i="12"/>
  <c r="H4353" i="12"/>
  <c r="H4349" i="12"/>
  <c r="H4345" i="12"/>
  <c r="H4341" i="12"/>
  <c r="H4337" i="12"/>
  <c r="H4333" i="12"/>
  <c r="H4329" i="12"/>
  <c r="H4325" i="12"/>
  <c r="H4321" i="12"/>
  <c r="H4317" i="12"/>
  <c r="H4313" i="12"/>
  <c r="H4309" i="12"/>
  <c r="H4305" i="12"/>
  <c r="H4301" i="12"/>
  <c r="H4297" i="12"/>
  <c r="H4293" i="12"/>
  <c r="H4289" i="12"/>
  <c r="H4285" i="12"/>
  <c r="H4281" i="12"/>
  <c r="H4277" i="12"/>
  <c r="H4273" i="12"/>
  <c r="H4269" i="12"/>
  <c r="H4265" i="12"/>
  <c r="H4261" i="12"/>
  <c r="H4257" i="12"/>
  <c r="H4253" i="12"/>
  <c r="H4249" i="12"/>
  <c r="H4245" i="12"/>
  <c r="H4241" i="12"/>
  <c r="H4237" i="12"/>
  <c r="H4233" i="12"/>
  <c r="H4229" i="12"/>
  <c r="H4225" i="12"/>
  <c r="H4221" i="12"/>
  <c r="H4217" i="12"/>
  <c r="H4213" i="12"/>
  <c r="H4209" i="12"/>
  <c r="H4205" i="12"/>
  <c r="H4201" i="12"/>
  <c r="H4197" i="12"/>
  <c r="H4193" i="12"/>
  <c r="H4189" i="12"/>
  <c r="H4185" i="12"/>
  <c r="H4181" i="12"/>
  <c r="H4177" i="12"/>
  <c r="H4173" i="12"/>
  <c r="H4169" i="12"/>
  <c r="H4165" i="12"/>
  <c r="H4161" i="12"/>
  <c r="H4157" i="12"/>
  <c r="H4153" i="12"/>
  <c r="H4149" i="12"/>
  <c r="H4145" i="12"/>
  <c r="H4141" i="12"/>
  <c r="H4137" i="12"/>
  <c r="H4133" i="12"/>
  <c r="H4129" i="12"/>
  <c r="H7505" i="12"/>
  <c r="H7079" i="12"/>
  <c r="H6969" i="12"/>
  <c r="H6851" i="12"/>
  <c r="H6742" i="12"/>
  <c r="H6563" i="12"/>
  <c r="H6230" i="12"/>
  <c r="H6209" i="12"/>
  <c r="H6166" i="12"/>
  <c r="H6145" i="12"/>
  <c r="H6102" i="12"/>
  <c r="H6081" i="12"/>
  <c r="H6038" i="12"/>
  <c r="H6017" i="12"/>
  <c r="H5974" i="12"/>
  <c r="H5953" i="12"/>
  <c r="H5910" i="12"/>
  <c r="H5822" i="12"/>
  <c r="H5809" i="12"/>
  <c r="H5795" i="12"/>
  <c r="H5658" i="12"/>
  <c r="H5639" i="12"/>
  <c r="H5595" i="12"/>
  <c r="H5566" i="12"/>
  <c r="H5549" i="12"/>
  <c r="H5543" i="12"/>
  <c r="H5531" i="12"/>
  <c r="H5502" i="12"/>
  <c r="H5485" i="12"/>
  <c r="H5479" i="12"/>
  <c r="H5467" i="12"/>
  <c r="H5438" i="12"/>
  <c r="H5421" i="12"/>
  <c r="H5415" i="12"/>
  <c r="H5403" i="12"/>
  <c r="H5374" i="12"/>
  <c r="H5357" i="12"/>
  <c r="H5351" i="12"/>
  <c r="H5339" i="12"/>
  <c r="H5310" i="12"/>
  <c r="H5277" i="12"/>
  <c r="H5266" i="12"/>
  <c r="H5261" i="12"/>
  <c r="H5241" i="12"/>
  <c r="H5227" i="12"/>
  <c r="H5218" i="12"/>
  <c r="H5209" i="12"/>
  <c r="H5195" i="12"/>
  <c r="H5186" i="12"/>
  <c r="H5177" i="12"/>
  <c r="H7465" i="12"/>
  <c r="H7085" i="12"/>
  <c r="H6463" i="12"/>
  <c r="H6348" i="12"/>
  <c r="H6280" i="12"/>
  <c r="H5895" i="12"/>
  <c r="H5882" i="12"/>
  <c r="H5781" i="12"/>
  <c r="H5767" i="12"/>
  <c r="H5754" i="12"/>
  <c r="H5694" i="12"/>
  <c r="H5682" i="12"/>
  <c r="H5626" i="12"/>
  <c r="H5607" i="12"/>
  <c r="H5589" i="12"/>
  <c r="H5577" i="12"/>
  <c r="H5571" i="12"/>
  <c r="H5554" i="12"/>
  <c r="H5525" i="12"/>
  <c r="H5513" i="12"/>
  <c r="H5507" i="12"/>
  <c r="H5490" i="12"/>
  <c r="H5461" i="12"/>
  <c r="H5449" i="12"/>
  <c r="H5443" i="12"/>
  <c r="H5426" i="12"/>
  <c r="H5397" i="12"/>
  <c r="H5385" i="12"/>
  <c r="H5379" i="12"/>
  <c r="H5362" i="12"/>
  <c r="H5333" i="12"/>
  <c r="H5321" i="12"/>
  <c r="H5315" i="12"/>
  <c r="H5298" i="12"/>
  <c r="H5293" i="12"/>
  <c r="H5287" i="12"/>
  <c r="H5255" i="12"/>
  <c r="H5250" i="12"/>
  <c r="H5245" i="12"/>
  <c r="H5231" i="12"/>
  <c r="H5222" i="12"/>
  <c r="H5213" i="12"/>
  <c r="H5199" i="12"/>
  <c r="H5190" i="12"/>
  <c r="H5181" i="12"/>
  <c r="H5172" i="12"/>
  <c r="H5168" i="12"/>
  <c r="H5164" i="12"/>
  <c r="H5160" i="12"/>
  <c r="H5156" i="12"/>
  <c r="H5152" i="12"/>
  <c r="H5148" i="12"/>
  <c r="H5144" i="12"/>
  <c r="H5140" i="12"/>
  <c r="H5136" i="12"/>
  <c r="H5132" i="12"/>
  <c r="H5128" i="12"/>
  <c r="H5124" i="12"/>
  <c r="H5120" i="12"/>
  <c r="H5116" i="12"/>
  <c r="H5112" i="12"/>
  <c r="H5108" i="12"/>
  <c r="H5104" i="12"/>
  <c r="H5100" i="12"/>
  <c r="H5096" i="12"/>
  <c r="H5092" i="12"/>
  <c r="H5088" i="12"/>
  <c r="H5084" i="12"/>
  <c r="H5080" i="12"/>
  <c r="H5076" i="12"/>
  <c r="H5072" i="12"/>
  <c r="H5068" i="12"/>
  <c r="H5064" i="12"/>
  <c r="H5060" i="12"/>
  <c r="H5056" i="12"/>
  <c r="H5052" i="12"/>
  <c r="H5048" i="12"/>
  <c r="H5044" i="12"/>
  <c r="H5040" i="12"/>
  <c r="H5036" i="12"/>
  <c r="H5032" i="12"/>
  <c r="H5028" i="12"/>
  <c r="H5024" i="12"/>
  <c r="H5020" i="12"/>
  <c r="H5016" i="12"/>
  <c r="H5012" i="12"/>
  <c r="H5008" i="12"/>
  <c r="H5004" i="12"/>
  <c r="H5000" i="12"/>
  <c r="H4996" i="12"/>
  <c r="H4992" i="12"/>
  <c r="H4988" i="12"/>
  <c r="H4984" i="12"/>
  <c r="H4980" i="12"/>
  <c r="H4976" i="12"/>
  <c r="H4972" i="12"/>
  <c r="H4968" i="12"/>
  <c r="H4964" i="12"/>
  <c r="H4960" i="12"/>
  <c r="H4956" i="12"/>
  <c r="H4952" i="12"/>
  <c r="H4948" i="12"/>
  <c r="H4944" i="12"/>
  <c r="H4940" i="12"/>
  <c r="H4936" i="12"/>
  <c r="H4932" i="12"/>
  <c r="H4928" i="12"/>
  <c r="H4924" i="12"/>
  <c r="H4920" i="12"/>
  <c r="H4916" i="12"/>
  <c r="H4912" i="12"/>
  <c r="H4908" i="12"/>
  <c r="H4904" i="12"/>
  <c r="H4900" i="12"/>
  <c r="H4896" i="12"/>
  <c r="H4892" i="12"/>
  <c r="H4888" i="12"/>
  <c r="H4884" i="12"/>
  <c r="H4880" i="12"/>
  <c r="H4876" i="12"/>
  <c r="H6998" i="12"/>
  <c r="H6654" i="12"/>
  <c r="H6362" i="12"/>
  <c r="H6294" i="12"/>
  <c r="H6257" i="12"/>
  <c r="H6214" i="12"/>
  <c r="H6193" i="12"/>
  <c r="H6150" i="12"/>
  <c r="H6129" i="12"/>
  <c r="H6086" i="12"/>
  <c r="H6065" i="12"/>
  <c r="H6022" i="12"/>
  <c r="H6001" i="12"/>
  <c r="H5958" i="12"/>
  <c r="H5937" i="12"/>
  <c r="H5854" i="12"/>
  <c r="H5841" i="12"/>
  <c r="H5827" i="12"/>
  <c r="H5726" i="12"/>
  <c r="H5713" i="12"/>
  <c r="H5662" i="12"/>
  <c r="H5650" i="12"/>
  <c r="H5594" i="12"/>
  <c r="H5535" i="12"/>
  <c r="H5530" i="12"/>
  <c r="H5471" i="12"/>
  <c r="H5466" i="12"/>
  <c r="H5407" i="12"/>
  <c r="H5402" i="12"/>
  <c r="H5343" i="12"/>
  <c r="H5338" i="12"/>
  <c r="H5270" i="12"/>
  <c r="H5265" i="12"/>
  <c r="H5235" i="12"/>
  <c r="H5226" i="12"/>
  <c r="H5217" i="12"/>
  <c r="H5203" i="12"/>
  <c r="H5194" i="12"/>
  <c r="H5185" i="12"/>
  <c r="H6910" i="12"/>
  <c r="H6591" i="12"/>
  <c r="H5859" i="12"/>
  <c r="H5699" i="12"/>
  <c r="H5558" i="12"/>
  <c r="H5499" i="12"/>
  <c r="H5470" i="12"/>
  <c r="H5389" i="12"/>
  <c r="H5361" i="12"/>
  <c r="H5302" i="12"/>
  <c r="H5239" i="12"/>
  <c r="H5159" i="12"/>
  <c r="H5127" i="12"/>
  <c r="H5095" i="12"/>
  <c r="H5063" i="12"/>
  <c r="H5031" i="12"/>
  <c r="H4999" i="12"/>
  <c r="H4967" i="12"/>
  <c r="H4935" i="12"/>
  <c r="H4903" i="12"/>
  <c r="H4125" i="12"/>
  <c r="H4116" i="12"/>
  <c r="H4107" i="12"/>
  <c r="H4093" i="12"/>
  <c r="H4084" i="12"/>
  <c r="H4075" i="12"/>
  <c r="H4061" i="12"/>
  <c r="H4052" i="12"/>
  <c r="H4043" i="12"/>
  <c r="H4029" i="12"/>
  <c r="H4020" i="12"/>
  <c r="H4011" i="12"/>
  <c r="H3997" i="12"/>
  <c r="H3988" i="12"/>
  <c r="H3979" i="12"/>
  <c r="H3965" i="12"/>
  <c r="H3961" i="12"/>
  <c r="H3957" i="12"/>
  <c r="H3953" i="12"/>
  <c r="H3949" i="12"/>
  <c r="H3945" i="12"/>
  <c r="H3941" i="12"/>
  <c r="H3937" i="12"/>
  <c r="H3933" i="12"/>
  <c r="H3929" i="12"/>
  <c r="H3925" i="12"/>
  <c r="H3921" i="12"/>
  <c r="H3917" i="12"/>
  <c r="H3913" i="12"/>
  <c r="H3909" i="12"/>
  <c r="H3905" i="12"/>
  <c r="H3901" i="12"/>
  <c r="H3897" i="12"/>
  <c r="H3893" i="12"/>
  <c r="H3889" i="12"/>
  <c r="H3885" i="12"/>
  <c r="H3881" i="12"/>
  <c r="H3877" i="12"/>
  <c r="H3873" i="12"/>
  <c r="H3869" i="12"/>
  <c r="H3865" i="12"/>
  <c r="H3861" i="12"/>
  <c r="H3857" i="12"/>
  <c r="H3853" i="12"/>
  <c r="H3849" i="12"/>
  <c r="H3845" i="12"/>
  <c r="H3841" i="12"/>
  <c r="H3837" i="12"/>
  <c r="H3833" i="12"/>
  <c r="H3829" i="12"/>
  <c r="H3825" i="12"/>
  <c r="H3821" i="12"/>
  <c r="H3817" i="12"/>
  <c r="H3813" i="12"/>
  <c r="H3809" i="12"/>
  <c r="H3805" i="12"/>
  <c r="H3801" i="12"/>
  <c r="H3797" i="12"/>
  <c r="H3793" i="12"/>
  <c r="H3789" i="12"/>
  <c r="H3785" i="12"/>
  <c r="H3781" i="12"/>
  <c r="H3777" i="12"/>
  <c r="H3773" i="12"/>
  <c r="H3769" i="12"/>
  <c r="H3765" i="12"/>
  <c r="H3761" i="12"/>
  <c r="H3757" i="12"/>
  <c r="H3753" i="12"/>
  <c r="H3749" i="12"/>
  <c r="H3745" i="12"/>
  <c r="H3741" i="12"/>
  <c r="H3737" i="12"/>
  <c r="H3733" i="12"/>
  <c r="H3729" i="12"/>
  <c r="H3725" i="12"/>
  <c r="H3721" i="12"/>
  <c r="H3717" i="12"/>
  <c r="H3713" i="12"/>
  <c r="H3709" i="12"/>
  <c r="H3705" i="12"/>
  <c r="H3701" i="12"/>
  <c r="H3697" i="12"/>
  <c r="H3693" i="12"/>
  <c r="H3689" i="12"/>
  <c r="H3685" i="12"/>
  <c r="H3681" i="12"/>
  <c r="H3677" i="12"/>
  <c r="H3673" i="12"/>
  <c r="H3669" i="12"/>
  <c r="H3665" i="12"/>
  <c r="H3661" i="12"/>
  <c r="H3657" i="12"/>
  <c r="H3653" i="12"/>
  <c r="H3649" i="12"/>
  <c r="H3645" i="12"/>
  <c r="H3641" i="12"/>
  <c r="H3637" i="12"/>
  <c r="H3633" i="12"/>
  <c r="H3629" i="12"/>
  <c r="H3625" i="12"/>
  <c r="H3621" i="12"/>
  <c r="H3617" i="12"/>
  <c r="H3613" i="12"/>
  <c r="H3609" i="12"/>
  <c r="H3605" i="12"/>
  <c r="H3601" i="12"/>
  <c r="H3597" i="12"/>
  <c r="H3593" i="12"/>
  <c r="H3589" i="12"/>
  <c r="H3585" i="12"/>
  <c r="H3581" i="12"/>
  <c r="H3577" i="12"/>
  <c r="H3573" i="12"/>
  <c r="H3569" i="12"/>
  <c r="H3565" i="12"/>
  <c r="H3561" i="12"/>
  <c r="H3557" i="12"/>
  <c r="H3553" i="12"/>
  <c r="H3549" i="12"/>
  <c r="H3545" i="12"/>
  <c r="H3541" i="12"/>
  <c r="H3537" i="12"/>
  <c r="H3533" i="12"/>
  <c r="H3529" i="12"/>
  <c r="H3525" i="12"/>
  <c r="H3521" i="12"/>
  <c r="H3517" i="12"/>
  <c r="H3513" i="12"/>
  <c r="H3509" i="12"/>
  <c r="H3505" i="12"/>
  <c r="H3501" i="12"/>
  <c r="H3497" i="12"/>
  <c r="H3493" i="12"/>
  <c r="H3489" i="12"/>
  <c r="H3485" i="12"/>
  <c r="H3481" i="12"/>
  <c r="H3477" i="12"/>
  <c r="H3473" i="12"/>
  <c r="H3469" i="12"/>
  <c r="H3465" i="12"/>
  <c r="H3461" i="12"/>
  <c r="H3457" i="12"/>
  <c r="H3453" i="12"/>
  <c r="H3449" i="12"/>
  <c r="H3445" i="12"/>
  <c r="H3441" i="12"/>
  <c r="H3437" i="12"/>
  <c r="H3433" i="12"/>
  <c r="H3429" i="12"/>
  <c r="H3425" i="12"/>
  <c r="H3421" i="12"/>
  <c r="H3417" i="12"/>
  <c r="H3413" i="12"/>
  <c r="H3409" i="12"/>
  <c r="H3405" i="12"/>
  <c r="H3401" i="12"/>
  <c r="H3397" i="12"/>
  <c r="H3393" i="12"/>
  <c r="H3389" i="12"/>
  <c r="H3385" i="12"/>
  <c r="H3381" i="12"/>
  <c r="H3377" i="12"/>
  <c r="H3373" i="12"/>
  <c r="H3369" i="12"/>
  <c r="H3365" i="12"/>
  <c r="H3361" i="12"/>
  <c r="H3357" i="12"/>
  <c r="H3353" i="12"/>
  <c r="H3349" i="12"/>
  <c r="H3345" i="12"/>
  <c r="H3341" i="12"/>
  <c r="H3337" i="12"/>
  <c r="H3333" i="12"/>
  <c r="H3329" i="12"/>
  <c r="H3325" i="12"/>
  <c r="H3321" i="12"/>
  <c r="H3317" i="12"/>
  <c r="H3313" i="12"/>
  <c r="H3309" i="12"/>
  <c r="H3305" i="12"/>
  <c r="H3301" i="12"/>
  <c r="H3297" i="12"/>
  <c r="H3293" i="12"/>
  <c r="H3289" i="12"/>
  <c r="H3285" i="12"/>
  <c r="H3281" i="12"/>
  <c r="H3277" i="12"/>
  <c r="H3273" i="12"/>
  <c r="H3269" i="12"/>
  <c r="H3265" i="12"/>
  <c r="H3261" i="12"/>
  <c r="H3257" i="12"/>
  <c r="H3253" i="12"/>
  <c r="H3249" i="12"/>
  <c r="H3245" i="12"/>
  <c r="H3241" i="12"/>
  <c r="H3237" i="12"/>
  <c r="H3233" i="12"/>
  <c r="H3229" i="12"/>
  <c r="H3225" i="12"/>
  <c r="H3221" i="12"/>
  <c r="H3217" i="12"/>
  <c r="H3213" i="12"/>
  <c r="H3209" i="12"/>
  <c r="H3205" i="12"/>
  <c r="H3201" i="12"/>
  <c r="H3197" i="12"/>
  <c r="H3193" i="12"/>
  <c r="H3189" i="12"/>
  <c r="H3185" i="12"/>
  <c r="H3181" i="12"/>
  <c r="H3177" i="12"/>
  <c r="H3173" i="12"/>
  <c r="H3169" i="12"/>
  <c r="H3165" i="12"/>
  <c r="H3161" i="12"/>
  <c r="H3157" i="12"/>
  <c r="H3153" i="12"/>
  <c r="H3149" i="12"/>
  <c r="H3145" i="12"/>
  <c r="H3141" i="12"/>
  <c r="H3137" i="12"/>
  <c r="H3133" i="12"/>
  <c r="H3129" i="12"/>
  <c r="H3125" i="12"/>
  <c r="H3121" i="12"/>
  <c r="H3117" i="12"/>
  <c r="H3113" i="12"/>
  <c r="H3109" i="12"/>
  <c r="H3105" i="12"/>
  <c r="H3101" i="12"/>
  <c r="H3097" i="12"/>
  <c r="H3093" i="12"/>
  <c r="H3089" i="12"/>
  <c r="H3085" i="12"/>
  <c r="H3081" i="12"/>
  <c r="H3077" i="12"/>
  <c r="H3073" i="12"/>
  <c r="H3069" i="12"/>
  <c r="H3065" i="12"/>
  <c r="H3061" i="12"/>
  <c r="H3057" i="12"/>
  <c r="H3053" i="12"/>
  <c r="H3049" i="12"/>
  <c r="H3045" i="12"/>
  <c r="H3041" i="12"/>
  <c r="H3037" i="12"/>
  <c r="H3033" i="12"/>
  <c r="H3029" i="12"/>
  <c r="H3025" i="12"/>
  <c r="H3021" i="12"/>
  <c r="H3017" i="12"/>
  <c r="H3013" i="12"/>
  <c r="H3009" i="12"/>
  <c r="H3005" i="12"/>
  <c r="H3001" i="12"/>
  <c r="H2997" i="12"/>
  <c r="H2993" i="12"/>
  <c r="H2989" i="12"/>
  <c r="H2985" i="12"/>
  <c r="H2981" i="12"/>
  <c r="H2977" i="12"/>
  <c r="H2973" i="12"/>
  <c r="H2969" i="12"/>
  <c r="H2965" i="12"/>
  <c r="H2961" i="12"/>
  <c r="H2957" i="12"/>
  <c r="H2953" i="12"/>
  <c r="H2949" i="12"/>
  <c r="H2945" i="12"/>
  <c r="H2941" i="12"/>
  <c r="H2937" i="12"/>
  <c r="H2933" i="12"/>
  <c r="H2929" i="12"/>
  <c r="H2925" i="12"/>
  <c r="H2921" i="12"/>
  <c r="H2917" i="12"/>
  <c r="H2913" i="12"/>
  <c r="H2909" i="12"/>
  <c r="H2905" i="12"/>
  <c r="H2901" i="12"/>
  <c r="H2897" i="12"/>
  <c r="H2893" i="12"/>
  <c r="H2889" i="12"/>
  <c r="H2885" i="12"/>
  <c r="H2881" i="12"/>
  <c r="H2877" i="12"/>
  <c r="H2873" i="12"/>
  <c r="H2869" i="12"/>
  <c r="H2865" i="12"/>
  <c r="H2861" i="12"/>
  <c r="H2857" i="12"/>
  <c r="H2853" i="12"/>
  <c r="H2849" i="12"/>
  <c r="H2845" i="12"/>
  <c r="H2841" i="12"/>
  <c r="H2837" i="12"/>
  <c r="H6307" i="12"/>
  <c r="H6198" i="12"/>
  <c r="H6113" i="12"/>
  <c r="H5942" i="12"/>
  <c r="H5873" i="12"/>
  <c r="H5758" i="12"/>
  <c r="H5705" i="12"/>
  <c r="H5447" i="12"/>
  <c r="H5259" i="12"/>
  <c r="H5225" i="12"/>
  <c r="H5211" i="12"/>
  <c r="H5198" i="12"/>
  <c r="H5171" i="12"/>
  <c r="H5139" i="12"/>
  <c r="H5107" i="12"/>
  <c r="H5075" i="12"/>
  <c r="H5043" i="12"/>
  <c r="H5011" i="12"/>
  <c r="H4979" i="12"/>
  <c r="H4947" i="12"/>
  <c r="H4915" i="12"/>
  <c r="H4883" i="12"/>
  <c r="H4871" i="12"/>
  <c r="H4860" i="12"/>
  <c r="H4855" i="12"/>
  <c r="H4844" i="12"/>
  <c r="H4839" i="12"/>
  <c r="H4828" i="12"/>
  <c r="H4823" i="12"/>
  <c r="H4812" i="12"/>
  <c r="H4807" i="12"/>
  <c r="H4796" i="12"/>
  <c r="H4791" i="12"/>
  <c r="H4780" i="12"/>
  <c r="H4775" i="12"/>
  <c r="H4764" i="12"/>
  <c r="H4759" i="12"/>
  <c r="H4748" i="12"/>
  <c r="H4743" i="12"/>
  <c r="H4732" i="12"/>
  <c r="H4727" i="12"/>
  <c r="H4716" i="12"/>
  <c r="H4711" i="12"/>
  <c r="H4700" i="12"/>
  <c r="H4695" i="12"/>
  <c r="H4684" i="12"/>
  <c r="H4679" i="12"/>
  <c r="H4668" i="12"/>
  <c r="H4663" i="12"/>
  <c r="H4652" i="12"/>
  <c r="H4647" i="12"/>
  <c r="H4636" i="12"/>
  <c r="H4631" i="12"/>
  <c r="H4620" i="12"/>
  <c r="H4615" i="12"/>
  <c r="H4604" i="12"/>
  <c r="H4599" i="12"/>
  <c r="H4588" i="12"/>
  <c r="H4583" i="12"/>
  <c r="H4572" i="12"/>
  <c r="H4567" i="12"/>
  <c r="H4556" i="12"/>
  <c r="H4551" i="12"/>
  <c r="H4540" i="12"/>
  <c r="H4535" i="12"/>
  <c r="H4524" i="12"/>
  <c r="H4519" i="12"/>
  <c r="H4508" i="12"/>
  <c r="H4503" i="12"/>
  <c r="H4492" i="12"/>
  <c r="H4487" i="12"/>
  <c r="H4476" i="12"/>
  <c r="H4471" i="12"/>
  <c r="H4460" i="12"/>
  <c r="H4455" i="12"/>
  <c r="H4444" i="12"/>
  <c r="H4439" i="12"/>
  <c r="H4428" i="12"/>
  <c r="H4423" i="12"/>
  <c r="H4412" i="12"/>
  <c r="H4407" i="12"/>
  <c r="H4396" i="12"/>
  <c r="H4391" i="12"/>
  <c r="H4380" i="12"/>
  <c r="H4375" i="12"/>
  <c r="H4364" i="12"/>
  <c r="H4359" i="12"/>
  <c r="H4348" i="12"/>
  <c r="H4343" i="12"/>
  <c r="H4332" i="12"/>
  <c r="H4327" i="12"/>
  <c r="H4316" i="12"/>
  <c r="H4311" i="12"/>
  <c r="H4300" i="12"/>
  <c r="H4295" i="12"/>
  <c r="H4284" i="12"/>
  <c r="H4279" i="12"/>
  <c r="H4268" i="12"/>
  <c r="H4263" i="12"/>
  <c r="H4252" i="12"/>
  <c r="H4247" i="12"/>
  <c r="H4236" i="12"/>
  <c r="H4231" i="12"/>
  <c r="H4220" i="12"/>
  <c r="H4215" i="12"/>
  <c r="H4204" i="12"/>
  <c r="H4199" i="12"/>
  <c r="H4188" i="12"/>
  <c r="H4183" i="12"/>
  <c r="H4172" i="12"/>
  <c r="H4167" i="12"/>
  <c r="H4156" i="12"/>
  <c r="H4151" i="12"/>
  <c r="H4140" i="12"/>
  <c r="H4135" i="12"/>
  <c r="H4120" i="12"/>
  <c r="H4111" i="12"/>
  <c r="H4097" i="12"/>
  <c r="H4088" i="12"/>
  <c r="H4079" i="12"/>
  <c r="H4065" i="12"/>
  <c r="H4056" i="12"/>
  <c r="H4047" i="12"/>
  <c r="H4033" i="12"/>
  <c r="H4024" i="12"/>
  <c r="H4015" i="12"/>
  <c r="H4001" i="12"/>
  <c r="H3992" i="12"/>
  <c r="H3983" i="12"/>
  <c r="H3969" i="12"/>
  <c r="H5630" i="12"/>
  <c r="H5563" i="12"/>
  <c r="H5534" i="12"/>
  <c r="H5453" i="12"/>
  <c r="H5425" i="12"/>
  <c r="H5366" i="12"/>
  <c r="H5307" i="12"/>
  <c r="H5286" i="12"/>
  <c r="H5279" i="12"/>
  <c r="H5151" i="12"/>
  <c r="H5119" i="12"/>
  <c r="H5087" i="12"/>
  <c r="H5055" i="12"/>
  <c r="H5023" i="12"/>
  <c r="H4991" i="12"/>
  <c r="H4959" i="12"/>
  <c r="H4927" i="12"/>
  <c r="H4895" i="12"/>
  <c r="H4124" i="12"/>
  <c r="H4115" i="12"/>
  <c r="H4101" i="12"/>
  <c r="H4092" i="12"/>
  <c r="H4083" i="12"/>
  <c r="H4069" i="12"/>
  <c r="H4060" i="12"/>
  <c r="H4051" i="12"/>
  <c r="H4037" i="12"/>
  <c r="H4028" i="12"/>
  <c r="H4019" i="12"/>
  <c r="H4005" i="12"/>
  <c r="H3996" i="12"/>
  <c r="H3987" i="12"/>
  <c r="H3973" i="12"/>
  <c r="H3964" i="12"/>
  <c r="H3960" i="12"/>
  <c r="H3956" i="12"/>
  <c r="H3952" i="12"/>
  <c r="H3948" i="12"/>
  <c r="H3944" i="12"/>
  <c r="H3940" i="12"/>
  <c r="H3936" i="12"/>
  <c r="H3932" i="12"/>
  <c r="H3928" i="12"/>
  <c r="H3924" i="12"/>
  <c r="H3920" i="12"/>
  <c r="H3916" i="12"/>
  <c r="H3912" i="12"/>
  <c r="H3908" i="12"/>
  <c r="H3904" i="12"/>
  <c r="H3900" i="12"/>
  <c r="H3896" i="12"/>
  <c r="H3892" i="12"/>
  <c r="H3888" i="12"/>
  <c r="H3884" i="12"/>
  <c r="H3880" i="12"/>
  <c r="H3876" i="12"/>
  <c r="H3872" i="12"/>
  <c r="H3868" i="12"/>
  <c r="H3864" i="12"/>
  <c r="H3860" i="12"/>
  <c r="H3856" i="12"/>
  <c r="H3852" i="12"/>
  <c r="H3848" i="12"/>
  <c r="H3844" i="12"/>
  <c r="H3840" i="12"/>
  <c r="H3836" i="12"/>
  <c r="H3832" i="12"/>
  <c r="H3828" i="12"/>
  <c r="H3824" i="12"/>
  <c r="H3820" i="12"/>
  <c r="H3816" i="12"/>
  <c r="H3812" i="12"/>
  <c r="H3808" i="12"/>
  <c r="H3804" i="12"/>
  <c r="H3800" i="12"/>
  <c r="H3796" i="12"/>
  <c r="H3792" i="12"/>
  <c r="H3788" i="12"/>
  <c r="H3784" i="12"/>
  <c r="H3780" i="12"/>
  <c r="H3776" i="12"/>
  <c r="H3772" i="12"/>
  <c r="H3768" i="12"/>
  <c r="H3764" i="12"/>
  <c r="H3760" i="12"/>
  <c r="H3756" i="12"/>
  <c r="H3752" i="12"/>
  <c r="H3748" i="12"/>
  <c r="H3744" i="12"/>
  <c r="H3740" i="12"/>
  <c r="H3736" i="12"/>
  <c r="H3732" i="12"/>
  <c r="H3728" i="12"/>
  <c r="H3724" i="12"/>
  <c r="H3720" i="12"/>
  <c r="H3716" i="12"/>
  <c r="H3712" i="12"/>
  <c r="H3708" i="12"/>
  <c r="H3704" i="12"/>
  <c r="H3700" i="12"/>
  <c r="H3696" i="12"/>
  <c r="H3692" i="12"/>
  <c r="H3688" i="12"/>
  <c r="H3684" i="12"/>
  <c r="H3680" i="12"/>
  <c r="H3676" i="12"/>
  <c r="H3672" i="12"/>
  <c r="H3668" i="12"/>
  <c r="H3664" i="12"/>
  <c r="H3660" i="12"/>
  <c r="H3656" i="12"/>
  <c r="H3652" i="12"/>
  <c r="H3648" i="12"/>
  <c r="H3644" i="12"/>
  <c r="H3640" i="12"/>
  <c r="H3636" i="12"/>
  <c r="H3632" i="12"/>
  <c r="H3628" i="12"/>
  <c r="H3624" i="12"/>
  <c r="H3620" i="12"/>
  <c r="H3616" i="12"/>
  <c r="H3612" i="12"/>
  <c r="H3608" i="12"/>
  <c r="H3604" i="12"/>
  <c r="H3600" i="12"/>
  <c r="H3596" i="12"/>
  <c r="H3592" i="12"/>
  <c r="H3588" i="12"/>
  <c r="H3584" i="12"/>
  <c r="H3580" i="12"/>
  <c r="H3576" i="12"/>
  <c r="H3572" i="12"/>
  <c r="H3568" i="12"/>
  <c r="H3564" i="12"/>
  <c r="H3560" i="12"/>
  <c r="H3556" i="12"/>
  <c r="H3552" i="12"/>
  <c r="H3548" i="12"/>
  <c r="H3544" i="12"/>
  <c r="H3540" i="12"/>
  <c r="H3536" i="12"/>
  <c r="H3532" i="12"/>
  <c r="H3528" i="12"/>
  <c r="H3524" i="12"/>
  <c r="H3520" i="12"/>
  <c r="H3516" i="12"/>
  <c r="H3512" i="12"/>
  <c r="H3508" i="12"/>
  <c r="H3504" i="12"/>
  <c r="H3500" i="12"/>
  <c r="H3496" i="12"/>
  <c r="H3492" i="12"/>
  <c r="H3488" i="12"/>
  <c r="H3484" i="12"/>
  <c r="H3480" i="12"/>
  <c r="H3476" i="12"/>
  <c r="H3472" i="12"/>
  <c r="H3468" i="12"/>
  <c r="H3464" i="12"/>
  <c r="H3460" i="12"/>
  <c r="H3456" i="12"/>
  <c r="H3452" i="12"/>
  <c r="H3448" i="12"/>
  <c r="H3444" i="12"/>
  <c r="H3440" i="12"/>
  <c r="H3436" i="12"/>
  <c r="H3432" i="12"/>
  <c r="H3428" i="12"/>
  <c r="H3424" i="12"/>
  <c r="H3420" i="12"/>
  <c r="H3416" i="12"/>
  <c r="H3412" i="12"/>
  <c r="H3408" i="12"/>
  <c r="H3404" i="12"/>
  <c r="H3400" i="12"/>
  <c r="H3396" i="12"/>
  <c r="H3392" i="12"/>
  <c r="H3388" i="12"/>
  <c r="H3384" i="12"/>
  <c r="H3380" i="12"/>
  <c r="H3376" i="12"/>
  <c r="H3372" i="12"/>
  <c r="H3368" i="12"/>
  <c r="H3364" i="12"/>
  <c r="H3360" i="12"/>
  <c r="H3356" i="12"/>
  <c r="H3352" i="12"/>
  <c r="H3348" i="12"/>
  <c r="H3344" i="12"/>
  <c r="H3340" i="12"/>
  <c r="H3336" i="12"/>
  <c r="H3332" i="12"/>
  <c r="H3328" i="12"/>
  <c r="H3324" i="12"/>
  <c r="H3320" i="12"/>
  <c r="H3316" i="12"/>
  <c r="H3312" i="12"/>
  <c r="H3308" i="12"/>
  <c r="H3304" i="12"/>
  <c r="H3300" i="12"/>
  <c r="H3296" i="12"/>
  <c r="H3292" i="12"/>
  <c r="H3288" i="12"/>
  <c r="H3284" i="12"/>
  <c r="H3280" i="12"/>
  <c r="H3276" i="12"/>
  <c r="H3272" i="12"/>
  <c r="H3268" i="12"/>
  <c r="H3264" i="12"/>
  <c r="H3260" i="12"/>
  <c r="H3256" i="12"/>
  <c r="H3252" i="12"/>
  <c r="H3248" i="12"/>
  <c r="H3244" i="12"/>
  <c r="H3240" i="12"/>
  <c r="H3236" i="12"/>
  <c r="H3232" i="12"/>
  <c r="H3228" i="12"/>
  <c r="H3224" i="12"/>
  <c r="H3220" i="12"/>
  <c r="H3216" i="12"/>
  <c r="H3212" i="12"/>
  <c r="H3208" i="12"/>
  <c r="H3204" i="12"/>
  <c r="H3200" i="12"/>
  <c r="H3196" i="12"/>
  <c r="H3192" i="12"/>
  <c r="H3188" i="12"/>
  <c r="H3184" i="12"/>
  <c r="H3180" i="12"/>
  <c r="H3176" i="12"/>
  <c r="H3172" i="12"/>
  <c r="H3168" i="12"/>
  <c r="H3164" i="12"/>
  <c r="H3160" i="12"/>
  <c r="H3156" i="12"/>
  <c r="H3152" i="12"/>
  <c r="H3148" i="12"/>
  <c r="H3144" i="12"/>
  <c r="H3140" i="12"/>
  <c r="H3136" i="12"/>
  <c r="H3132" i="12"/>
  <c r="H3128" i="12"/>
  <c r="H3124" i="12"/>
  <c r="H3120" i="12"/>
  <c r="H3116" i="12"/>
  <c r="H3112" i="12"/>
  <c r="H3108" i="12"/>
  <c r="H3104" i="12"/>
  <c r="H3100" i="12"/>
  <c r="H3096" i="12"/>
  <c r="H3092" i="12"/>
  <c r="H3088" i="12"/>
  <c r="H3084" i="12"/>
  <c r="H3080" i="12"/>
  <c r="H3076" i="12"/>
  <c r="H3072" i="12"/>
  <c r="H3068" i="12"/>
  <c r="H3064" i="12"/>
  <c r="H3060" i="12"/>
  <c r="H3056" i="12"/>
  <c r="H3052" i="12"/>
  <c r="H3048" i="12"/>
  <c r="H3044" i="12"/>
  <c r="H3040" i="12"/>
  <c r="H3036" i="12"/>
  <c r="H3032" i="12"/>
  <c r="H3028" i="12"/>
  <c r="H3024" i="12"/>
  <c r="H3020" i="12"/>
  <c r="H3016" i="12"/>
  <c r="H3012" i="12"/>
  <c r="H3008" i="12"/>
  <c r="H3004" i="12"/>
  <c r="H3000" i="12"/>
  <c r="H2996" i="12"/>
  <c r="H2992" i="12"/>
  <c r="H2988" i="12"/>
  <c r="H2984" i="12"/>
  <c r="H2980" i="12"/>
  <c r="H2976" i="12"/>
  <c r="H2972" i="12"/>
  <c r="H2968" i="12"/>
  <c r="H2964" i="12"/>
  <c r="H2960" i="12"/>
  <c r="H2956" i="12"/>
  <c r="H2952" i="12"/>
  <c r="H2948" i="12"/>
  <c r="H2944" i="12"/>
  <c r="H2940" i="12"/>
  <c r="H2936" i="12"/>
  <c r="H2932" i="12"/>
  <c r="H2928" i="12"/>
  <c r="H2924" i="12"/>
  <c r="H2920" i="12"/>
  <c r="H2916" i="12"/>
  <c r="H2912" i="12"/>
  <c r="H2908" i="12"/>
  <c r="H2904" i="12"/>
  <c r="H2900" i="12"/>
  <c r="H2896" i="12"/>
  <c r="H2892" i="12"/>
  <c r="H2888" i="12"/>
  <c r="H2884" i="12"/>
  <c r="H2880" i="12"/>
  <c r="H2876" i="12"/>
  <c r="H2872" i="12"/>
  <c r="H2868" i="12"/>
  <c r="H2864" i="12"/>
  <c r="H2860" i="12"/>
  <c r="H2856" i="12"/>
  <c r="H2852" i="12"/>
  <c r="H2848" i="12"/>
  <c r="H2844" i="12"/>
  <c r="H2840" i="12"/>
  <c r="H2836" i="12"/>
  <c r="H6422" i="12"/>
  <c r="H5786" i="12"/>
  <c r="H5673" i="12"/>
  <c r="H5598" i="12"/>
  <c r="H5517" i="12"/>
  <c r="H5489" i="12"/>
  <c r="H5430" i="12"/>
  <c r="H5371" i="12"/>
  <c r="H5342" i="12"/>
  <c r="H5202" i="12"/>
  <c r="H5189" i="12"/>
  <c r="H5175" i="12"/>
  <c r="H5143" i="12"/>
  <c r="H5111" i="12"/>
  <c r="H5079" i="12"/>
  <c r="H5047" i="12"/>
  <c r="H5015" i="12"/>
  <c r="H4983" i="12"/>
  <c r="H4951" i="12"/>
  <c r="H4919" i="12"/>
  <c r="H4887" i="12"/>
  <c r="H4123" i="12"/>
  <c r="H4109" i="12"/>
  <c r="H4100" i="12"/>
  <c r="H4091" i="12"/>
  <c r="H4077" i="12"/>
  <c r="H4068" i="12"/>
  <c r="H4059" i="12"/>
  <c r="H4045" i="12"/>
  <c r="H4036" i="12"/>
  <c r="H4027" i="12"/>
  <c r="H4013" i="12"/>
  <c r="H4004" i="12"/>
  <c r="H3995" i="12"/>
  <c r="H3981" i="12"/>
  <c r="H3972" i="12"/>
  <c r="H3963" i="12"/>
  <c r="H3959" i="12"/>
  <c r="H3955" i="12"/>
  <c r="H3951" i="12"/>
  <c r="H3947" i="12"/>
  <c r="H3943" i="12"/>
  <c r="H3939" i="12"/>
  <c r="H3935" i="12"/>
  <c r="H3931" i="12"/>
  <c r="H3927" i="12"/>
  <c r="H3923" i="12"/>
  <c r="H3919" i="12"/>
  <c r="H3915" i="12"/>
  <c r="H3911" i="12"/>
  <c r="H3907" i="12"/>
  <c r="H3903" i="12"/>
  <c r="H3899" i="12"/>
  <c r="H3895" i="12"/>
  <c r="H3891" i="12"/>
  <c r="H3887" i="12"/>
  <c r="H3883" i="12"/>
  <c r="H3879" i="12"/>
  <c r="H3875" i="12"/>
  <c r="H3871" i="12"/>
  <c r="H3867" i="12"/>
  <c r="H3863" i="12"/>
  <c r="H3859" i="12"/>
  <c r="H3855" i="12"/>
  <c r="H3851" i="12"/>
  <c r="H3847" i="12"/>
  <c r="H3843" i="12"/>
  <c r="H3839" i="12"/>
  <c r="H3835" i="12"/>
  <c r="H3831" i="12"/>
  <c r="H3827" i="12"/>
  <c r="H3823" i="12"/>
  <c r="H3819" i="12"/>
  <c r="H3815" i="12"/>
  <c r="H3811" i="12"/>
  <c r="H3807" i="12"/>
  <c r="H3803" i="12"/>
  <c r="H3799" i="12"/>
  <c r="H3795" i="12"/>
  <c r="H3791" i="12"/>
  <c r="H3787" i="12"/>
  <c r="H3783" i="12"/>
  <c r="H3779" i="12"/>
  <c r="H3775" i="12"/>
  <c r="H3771" i="12"/>
  <c r="H3767" i="12"/>
  <c r="H3763" i="12"/>
  <c r="H3759" i="12"/>
  <c r="H3755" i="12"/>
  <c r="H3751" i="12"/>
  <c r="H3747" i="12"/>
  <c r="H3743" i="12"/>
  <c r="H3739" i="12"/>
  <c r="H3735" i="12"/>
  <c r="H3731" i="12"/>
  <c r="H3727" i="12"/>
  <c r="H3723" i="12"/>
  <c r="H3719" i="12"/>
  <c r="H3715" i="12"/>
  <c r="H3711" i="12"/>
  <c r="H3707" i="12"/>
  <c r="H3703" i="12"/>
  <c r="H3699" i="12"/>
  <c r="H3695" i="12"/>
  <c r="H3691" i="12"/>
  <c r="H3687" i="12"/>
  <c r="H3683" i="12"/>
  <c r="H3679" i="12"/>
  <c r="H3675" i="12"/>
  <c r="H3671" i="12"/>
  <c r="H3667" i="12"/>
  <c r="H3663" i="12"/>
  <c r="H3659" i="12"/>
  <c r="H3655" i="12"/>
  <c r="H3651" i="12"/>
  <c r="H3647" i="12"/>
  <c r="H3643" i="12"/>
  <c r="H3639" i="12"/>
  <c r="H3635" i="12"/>
  <c r="H3631" i="12"/>
  <c r="H3627" i="12"/>
  <c r="H3623" i="12"/>
  <c r="H3619" i="12"/>
  <c r="H3615" i="12"/>
  <c r="H3611" i="12"/>
  <c r="H3607" i="12"/>
  <c r="H3603" i="12"/>
  <c r="H3599" i="12"/>
  <c r="H3595" i="12"/>
  <c r="H3591" i="12"/>
  <c r="H3587" i="12"/>
  <c r="H3583" i="12"/>
  <c r="H3579" i="12"/>
  <c r="H3575" i="12"/>
  <c r="H3571" i="12"/>
  <c r="H3567" i="12"/>
  <c r="H3563" i="12"/>
  <c r="H3559" i="12"/>
  <c r="H3555" i="12"/>
  <c r="H3551" i="12"/>
  <c r="H3547" i="12"/>
  <c r="H3543" i="12"/>
  <c r="H3539" i="12"/>
  <c r="H3535" i="12"/>
  <c r="H3531" i="12"/>
  <c r="H3527" i="12"/>
  <c r="H3523" i="12"/>
  <c r="H3519" i="12"/>
  <c r="H3515" i="12"/>
  <c r="H3511" i="12"/>
  <c r="H3507" i="12"/>
  <c r="H3503" i="12"/>
  <c r="H3499" i="12"/>
  <c r="H3495" i="12"/>
  <c r="H3491" i="12"/>
  <c r="H3487" i="12"/>
  <c r="H3483" i="12"/>
  <c r="H3479" i="12"/>
  <c r="H3475" i="12"/>
  <c r="H3471" i="12"/>
  <c r="H3467" i="12"/>
  <c r="H3463" i="12"/>
  <c r="H3459" i="12"/>
  <c r="H3455" i="12"/>
  <c r="H3451" i="12"/>
  <c r="H3447" i="12"/>
  <c r="H3443" i="12"/>
  <c r="H3439" i="12"/>
  <c r="H3435" i="12"/>
  <c r="H3431" i="12"/>
  <c r="H7303" i="12"/>
  <c r="H6476" i="12"/>
  <c r="H6241" i="12"/>
  <c r="H6070" i="12"/>
  <c r="H5985" i="12"/>
  <c r="H5575" i="12"/>
  <c r="H5319" i="12"/>
  <c r="H5155" i="12"/>
  <c r="H5123" i="12"/>
  <c r="H5091" i="12"/>
  <c r="H5059" i="12"/>
  <c r="H5027" i="12"/>
  <c r="H4995" i="12"/>
  <c r="H4963" i="12"/>
  <c r="H4931" i="12"/>
  <c r="H4899" i="12"/>
  <c r="H4868" i="12"/>
  <c r="H4863" i="12"/>
  <c r="H4852" i="12"/>
  <c r="H4847" i="12"/>
  <c r="H4836" i="12"/>
  <c r="H4831" i="12"/>
  <c r="H4820" i="12"/>
  <c r="H4815" i="12"/>
  <c r="H4804" i="12"/>
  <c r="H4799" i="12"/>
  <c r="H4788" i="12"/>
  <c r="H4783" i="12"/>
  <c r="H4772" i="12"/>
  <c r="H4767" i="12"/>
  <c r="H4756" i="12"/>
  <c r="H4751" i="12"/>
  <c r="H4740" i="12"/>
  <c r="H4735" i="12"/>
  <c r="H4724" i="12"/>
  <c r="H4719" i="12"/>
  <c r="H4708" i="12"/>
  <c r="H4703" i="12"/>
  <c r="H4692" i="12"/>
  <c r="H4687" i="12"/>
  <c r="H4676" i="12"/>
  <c r="H4671" i="12"/>
  <c r="H4660" i="12"/>
  <c r="H4655" i="12"/>
  <c r="H4644" i="12"/>
  <c r="H4639" i="12"/>
  <c r="H4628" i="12"/>
  <c r="H4623" i="12"/>
  <c r="H4612" i="12"/>
  <c r="H4607" i="12"/>
  <c r="H4596" i="12"/>
  <c r="H4591" i="12"/>
  <c r="H4580" i="12"/>
  <c r="H4575" i="12"/>
  <c r="H4564" i="12"/>
  <c r="H4559" i="12"/>
  <c r="H4548" i="12"/>
  <c r="H4543" i="12"/>
  <c r="H4532" i="12"/>
  <c r="H4527" i="12"/>
  <c r="H4516" i="12"/>
  <c r="H4511" i="12"/>
  <c r="H4500" i="12"/>
  <c r="H4495" i="12"/>
  <c r="H4484" i="12"/>
  <c r="H4479" i="12"/>
  <c r="H4468" i="12"/>
  <c r="H4463" i="12"/>
  <c r="H4452" i="12"/>
  <c r="H4447" i="12"/>
  <c r="H4436" i="12"/>
  <c r="H4431" i="12"/>
  <c r="H4420" i="12"/>
  <c r="H4415" i="12"/>
  <c r="H4404" i="12"/>
  <c r="H4399" i="12"/>
  <c r="H4388" i="12"/>
  <c r="H4383" i="12"/>
  <c r="H4372" i="12"/>
  <c r="H4367" i="12"/>
  <c r="H4356" i="12"/>
  <c r="H4351" i="12"/>
  <c r="H4340" i="12"/>
  <c r="H4335" i="12"/>
  <c r="H4324" i="12"/>
  <c r="H4319" i="12"/>
  <c r="H4308" i="12"/>
  <c r="H4303" i="12"/>
  <c r="H4292" i="12"/>
  <c r="H4287" i="12"/>
  <c r="H4276" i="12"/>
  <c r="H4271" i="12"/>
  <c r="H4260" i="12"/>
  <c r="H4255" i="12"/>
  <c r="H4244" i="12"/>
  <c r="H4239" i="12"/>
  <c r="H4228" i="12"/>
  <c r="H4223" i="12"/>
  <c r="H4212" i="12"/>
  <c r="H4207" i="12"/>
  <c r="H4196" i="12"/>
  <c r="H4191" i="12"/>
  <c r="H4180" i="12"/>
  <c r="H4175" i="12"/>
  <c r="H4164" i="12"/>
  <c r="H4159" i="12"/>
  <c r="H4148" i="12"/>
  <c r="H4143" i="12"/>
  <c r="H4132" i="12"/>
  <c r="H4127" i="12"/>
  <c r="H4113" i="12"/>
  <c r="H4104" i="12"/>
  <c r="H4095" i="12"/>
  <c r="H4081" i="12"/>
  <c r="H4072" i="12"/>
  <c r="H4063" i="12"/>
  <c r="H4049" i="12"/>
  <c r="H4040" i="12"/>
  <c r="H4031" i="12"/>
  <c r="H4017" i="12"/>
  <c r="H4008" i="12"/>
  <c r="H3999" i="12"/>
  <c r="H3985" i="12"/>
  <c r="H3976" i="12"/>
  <c r="H3967" i="12"/>
  <c r="H5799" i="12"/>
  <c r="H5667" i="12"/>
  <c r="H5325" i="12"/>
  <c r="H5221" i="12"/>
  <c r="H5147" i="12"/>
  <c r="H5103" i="12"/>
  <c r="H5067" i="12"/>
  <c r="H4891" i="12"/>
  <c r="H4864" i="12"/>
  <c r="H4851" i="12"/>
  <c r="H4832" i="12"/>
  <c r="H4819" i="12"/>
  <c r="H4800" i="12"/>
  <c r="H4787" i="12"/>
  <c r="H4768" i="12"/>
  <c r="H4755" i="12"/>
  <c r="H4736" i="12"/>
  <c r="H4723" i="12"/>
  <c r="H4704" i="12"/>
  <c r="H4691" i="12"/>
  <c r="H4672" i="12"/>
  <c r="H4659" i="12"/>
  <c r="H4640" i="12"/>
  <c r="H4627" i="12"/>
  <c r="H4608" i="12"/>
  <c r="H4595" i="12"/>
  <c r="H4576" i="12"/>
  <c r="H4563" i="12"/>
  <c r="H4544" i="12"/>
  <c r="H4531" i="12"/>
  <c r="H4512" i="12"/>
  <c r="H4499" i="12"/>
  <c r="H4480" i="12"/>
  <c r="H4467" i="12"/>
  <c r="H4448" i="12"/>
  <c r="H4435" i="12"/>
  <c r="H4416" i="12"/>
  <c r="H4403" i="12"/>
  <c r="H4384" i="12"/>
  <c r="H4371" i="12"/>
  <c r="H4352" i="12"/>
  <c r="H4339" i="12"/>
  <c r="H4320" i="12"/>
  <c r="H4307" i="12"/>
  <c r="H4288" i="12"/>
  <c r="H4275" i="12"/>
  <c r="H4256" i="12"/>
  <c r="H4243" i="12"/>
  <c r="H4224" i="12"/>
  <c r="H4211" i="12"/>
  <c r="H4192" i="12"/>
  <c r="H4179" i="12"/>
  <c r="H4160" i="12"/>
  <c r="H4147" i="12"/>
  <c r="H4128" i="12"/>
  <c r="H4121" i="12"/>
  <c r="H4103" i="12"/>
  <c r="H4053" i="12"/>
  <c r="H4009" i="12"/>
  <c r="H4003" i="12"/>
  <c r="H3984" i="12"/>
  <c r="H3946" i="12"/>
  <c r="H3914" i="12"/>
  <c r="H3882" i="12"/>
  <c r="H3850" i="12"/>
  <c r="H3818" i="12"/>
  <c r="H3786" i="12"/>
  <c r="H3754" i="12"/>
  <c r="H3722" i="12"/>
  <c r="H3690" i="12"/>
  <c r="H3658" i="12"/>
  <c r="H3626" i="12"/>
  <c r="H3594" i="12"/>
  <c r="H3562" i="12"/>
  <c r="H3530" i="12"/>
  <c r="H3498" i="12"/>
  <c r="H3466" i="12"/>
  <c r="H3434" i="12"/>
  <c r="H6262" i="12"/>
  <c r="H6049" i="12"/>
  <c r="H5813" i="12"/>
  <c r="H5681" i="12"/>
  <c r="H5581" i="12"/>
  <c r="H5511" i="12"/>
  <c r="H5234" i="12"/>
  <c r="H5051" i="12"/>
  <c r="H5007" i="12"/>
  <c r="H4971" i="12"/>
  <c r="H4108" i="12"/>
  <c r="H4096" i="12"/>
  <c r="H4089" i="12"/>
  <c r="H4071" i="12"/>
  <c r="H4021" i="12"/>
  <c r="H3977" i="12"/>
  <c r="H3971" i="12"/>
  <c r="H3958" i="12"/>
  <c r="H3926" i="12"/>
  <c r="H3894" i="12"/>
  <c r="H3862" i="12"/>
  <c r="H3830" i="12"/>
  <c r="H3798" i="12"/>
  <c r="H3766" i="12"/>
  <c r="H3734" i="12"/>
  <c r="H3702" i="12"/>
  <c r="H3670" i="12"/>
  <c r="H3638" i="12"/>
  <c r="H3606" i="12"/>
  <c r="H3574" i="12"/>
  <c r="H3542" i="12"/>
  <c r="H3510" i="12"/>
  <c r="H3478" i="12"/>
  <c r="H3446" i="12"/>
  <c r="H3427" i="12"/>
  <c r="H3422" i="12"/>
  <c r="H3411" i="12"/>
  <c r="H3406" i="12"/>
  <c r="H3395" i="12"/>
  <c r="H3390" i="12"/>
  <c r="H3379" i="12"/>
  <c r="H3374" i="12"/>
  <c r="H3363" i="12"/>
  <c r="H3358" i="12"/>
  <c r="H3347" i="12"/>
  <c r="H3342" i="12"/>
  <c r="H3331" i="12"/>
  <c r="H3326" i="12"/>
  <c r="H3315" i="12"/>
  <c r="H3310" i="12"/>
  <c r="H3299" i="12"/>
  <c r="H3294" i="12"/>
  <c r="H3283" i="12"/>
  <c r="H3278" i="12"/>
  <c r="H3267" i="12"/>
  <c r="H3262" i="12"/>
  <c r="H3251" i="12"/>
  <c r="H3246" i="12"/>
  <c r="H3235" i="12"/>
  <c r="H3230" i="12"/>
  <c r="H3219" i="12"/>
  <c r="H3214" i="12"/>
  <c r="H3203" i="12"/>
  <c r="H3198" i="12"/>
  <c r="H3187" i="12"/>
  <c r="H3182" i="12"/>
  <c r="H3171" i="12"/>
  <c r="H3166" i="12"/>
  <c r="H3155" i="12"/>
  <c r="H3150" i="12"/>
  <c r="H3139" i="12"/>
  <c r="H3134" i="12"/>
  <c r="H3123" i="12"/>
  <c r="H3118" i="12"/>
  <c r="H3107" i="12"/>
  <c r="H3102" i="12"/>
  <c r="H3091" i="12"/>
  <c r="H3086" i="12"/>
  <c r="H3075" i="12"/>
  <c r="H3070" i="12"/>
  <c r="H3059" i="12"/>
  <c r="H3054" i="12"/>
  <c r="H3043" i="12"/>
  <c r="H3038" i="12"/>
  <c r="H3027" i="12"/>
  <c r="H3022" i="12"/>
  <c r="H3011" i="12"/>
  <c r="H3006" i="12"/>
  <c r="H2995" i="12"/>
  <c r="H2990" i="12"/>
  <c r="H2979" i="12"/>
  <c r="H2974" i="12"/>
  <c r="H2963" i="12"/>
  <c r="H2958" i="12"/>
  <c r="H2947" i="12"/>
  <c r="H2942" i="12"/>
  <c r="H2931" i="12"/>
  <c r="H2926" i="12"/>
  <c r="H2915" i="12"/>
  <c r="H2910" i="12"/>
  <c r="H2899" i="12"/>
  <c r="H2894" i="12"/>
  <c r="H2883" i="12"/>
  <c r="H2878" i="12"/>
  <c r="H2867" i="12"/>
  <c r="H2862" i="12"/>
  <c r="H2851" i="12"/>
  <c r="H2846" i="12"/>
  <c r="H2835" i="12"/>
  <c r="H2831" i="12"/>
  <c r="H2827" i="12"/>
  <c r="H2823" i="12"/>
  <c r="H2819" i="12"/>
  <c r="H2815" i="12"/>
  <c r="H2811" i="12"/>
  <c r="H2807" i="12"/>
  <c r="H2803" i="12"/>
  <c r="H2799" i="12"/>
  <c r="H2795" i="12"/>
  <c r="H2791" i="12"/>
  <c r="H2787" i="12"/>
  <c r="H2783" i="12"/>
  <c r="H2779" i="12"/>
  <c r="H2775" i="12"/>
  <c r="H2771" i="12"/>
  <c r="H2767" i="12"/>
  <c r="H2763" i="12"/>
  <c r="H2759" i="12"/>
  <c r="H2755" i="12"/>
  <c r="H2751" i="12"/>
  <c r="H2747" i="12"/>
  <c r="H2743" i="12"/>
  <c r="H2739" i="12"/>
  <c r="H2735" i="12"/>
  <c r="H2731" i="12"/>
  <c r="H2727" i="12"/>
  <c r="H2723" i="12"/>
  <c r="H2719" i="12"/>
  <c r="H2715" i="12"/>
  <c r="H2711" i="12"/>
  <c r="H2707" i="12"/>
  <c r="H2703" i="12"/>
  <c r="H2699" i="12"/>
  <c r="H2695" i="12"/>
  <c r="H2691" i="12"/>
  <c r="H2687" i="12"/>
  <c r="H2683" i="12"/>
  <c r="H2679" i="12"/>
  <c r="H2675" i="12"/>
  <c r="H2671" i="12"/>
  <c r="H2667" i="12"/>
  <c r="H2663" i="12"/>
  <c r="H2659" i="12"/>
  <c r="H2655" i="12"/>
  <c r="H2651" i="12"/>
  <c r="H2647" i="12"/>
  <c r="H2643" i="12"/>
  <c r="H2639" i="12"/>
  <c r="H2635" i="12"/>
  <c r="H2631" i="12"/>
  <c r="H2627" i="12"/>
  <c r="H2623" i="12"/>
  <c r="H2619" i="12"/>
  <c r="H2615" i="12"/>
  <c r="H2611" i="12"/>
  <c r="H2607" i="12"/>
  <c r="H2603" i="12"/>
  <c r="H2599" i="12"/>
  <c r="H2595" i="12"/>
  <c r="H2591" i="12"/>
  <c r="H2587" i="12"/>
  <c r="H2583" i="12"/>
  <c r="H2579" i="12"/>
  <c r="H2575" i="12"/>
  <c r="H2571" i="12"/>
  <c r="H7122" i="12"/>
  <c r="H5167" i="12"/>
  <c r="H5131" i="12"/>
  <c r="H4955" i="12"/>
  <c r="H4911" i="12"/>
  <c r="H4875" i="12"/>
  <c r="H4856" i="12"/>
  <c r="H4843" i="12"/>
  <c r="H4824" i="12"/>
  <c r="H4811" i="12"/>
  <c r="H4792" i="12"/>
  <c r="H4779" i="12"/>
  <c r="H4760" i="12"/>
  <c r="H4747" i="12"/>
  <c r="H4728" i="12"/>
  <c r="H4715" i="12"/>
  <c r="H4696" i="12"/>
  <c r="H4683" i="12"/>
  <c r="H4664" i="12"/>
  <c r="H4651" i="12"/>
  <c r="H4632" i="12"/>
  <c r="H4619" i="12"/>
  <c r="H4600" i="12"/>
  <c r="H4587" i="12"/>
  <c r="H4568" i="12"/>
  <c r="H4555" i="12"/>
  <c r="H4536" i="12"/>
  <c r="H4523" i="12"/>
  <c r="H4504" i="12"/>
  <c r="H4491" i="12"/>
  <c r="H4472" i="12"/>
  <c r="H4459" i="12"/>
  <c r="H4440" i="12"/>
  <c r="H4427" i="12"/>
  <c r="H4408" i="12"/>
  <c r="H4395" i="12"/>
  <c r="H4376" i="12"/>
  <c r="H4363" i="12"/>
  <c r="H4344" i="12"/>
  <c r="H4331" i="12"/>
  <c r="H4312" i="12"/>
  <c r="H4299" i="12"/>
  <c r="H4280" i="12"/>
  <c r="H4267" i="12"/>
  <c r="H4248" i="12"/>
  <c r="H4235" i="12"/>
  <c r="H4216" i="12"/>
  <c r="H4203" i="12"/>
  <c r="H4184" i="12"/>
  <c r="H4171" i="12"/>
  <c r="H4152" i="12"/>
  <c r="H4139" i="12"/>
  <c r="H4076" i="12"/>
  <c r="H4064" i="12"/>
  <c r="H4057" i="12"/>
  <c r="H4039" i="12"/>
  <c r="H3989" i="12"/>
  <c r="H3938" i="12"/>
  <c r="H3906" i="12"/>
  <c r="H3874" i="12"/>
  <c r="H3842" i="12"/>
  <c r="H3810" i="12"/>
  <c r="H3778" i="12"/>
  <c r="H3746" i="12"/>
  <c r="H3714" i="12"/>
  <c r="H3682" i="12"/>
  <c r="H3650" i="12"/>
  <c r="H3618" i="12"/>
  <c r="H3586" i="12"/>
  <c r="H3554" i="12"/>
  <c r="H3522" i="12"/>
  <c r="H3490" i="12"/>
  <c r="H3458" i="12"/>
  <c r="H5275" i="12"/>
  <c r="H5019" i="12"/>
  <c r="H4975" i="12"/>
  <c r="H4939" i="12"/>
  <c r="H4867" i="12"/>
  <c r="H4848" i="12"/>
  <c r="H4835" i="12"/>
  <c r="H4816" i="12"/>
  <c r="H4803" i="12"/>
  <c r="H4784" i="12"/>
  <c r="H4771" i="12"/>
  <c r="H4752" i="12"/>
  <c r="H4739" i="12"/>
  <c r="H4720" i="12"/>
  <c r="H4707" i="12"/>
  <c r="H4688" i="12"/>
  <c r="H4675" i="12"/>
  <c r="H4656" i="12"/>
  <c r="H4643" i="12"/>
  <c r="H4624" i="12"/>
  <c r="H4611" i="12"/>
  <c r="H4592" i="12"/>
  <c r="H4579" i="12"/>
  <c r="H4560" i="12"/>
  <c r="H4547" i="12"/>
  <c r="H4528" i="12"/>
  <c r="H4515" i="12"/>
  <c r="H4496" i="12"/>
  <c r="H4483" i="12"/>
  <c r="H4464" i="12"/>
  <c r="H4451" i="12"/>
  <c r="H4432" i="12"/>
  <c r="H4419" i="12"/>
  <c r="H4400" i="12"/>
  <c r="H4387" i="12"/>
  <c r="H4368" i="12"/>
  <c r="H4355" i="12"/>
  <c r="H4336" i="12"/>
  <c r="H4323" i="12"/>
  <c r="H4304" i="12"/>
  <c r="H4291" i="12"/>
  <c r="H4272" i="12"/>
  <c r="H4259" i="12"/>
  <c r="H4240" i="12"/>
  <c r="H4227" i="12"/>
  <c r="H4208" i="12"/>
  <c r="H4195" i="12"/>
  <c r="H4176" i="12"/>
  <c r="H4163" i="12"/>
  <c r="H4144" i="12"/>
  <c r="H4131" i="12"/>
  <c r="H4112" i="12"/>
  <c r="H4087" i="12"/>
  <c r="H4012" i="12"/>
  <c r="H4000" i="12"/>
  <c r="H3993" i="12"/>
  <c r="H3975" i="12"/>
  <c r="H3962" i="12"/>
  <c r="H3930" i="12"/>
  <c r="H3898" i="12"/>
  <c r="H3866" i="12"/>
  <c r="H3834" i="12"/>
  <c r="H3802" i="12"/>
  <c r="H3770" i="12"/>
  <c r="H3738" i="12"/>
  <c r="H3706" i="12"/>
  <c r="H3674" i="12"/>
  <c r="H3642" i="12"/>
  <c r="H3610" i="12"/>
  <c r="H3578" i="12"/>
  <c r="H3546" i="12"/>
  <c r="H3514" i="12"/>
  <c r="H3482" i="12"/>
  <c r="H3450" i="12"/>
  <c r="H6006" i="12"/>
  <c r="H5406" i="12"/>
  <c r="H5383" i="12"/>
  <c r="H5297" i="12"/>
  <c r="H5179" i="12"/>
  <c r="H5135" i="12"/>
  <c r="H5099" i="12"/>
  <c r="H4923" i="12"/>
  <c r="H4879" i="12"/>
  <c r="H4105" i="12"/>
  <c r="H4099" i="12"/>
  <c r="H4080" i="12"/>
  <c r="H4055" i="12"/>
  <c r="H3980" i="12"/>
  <c r="H3968" i="12"/>
  <c r="H3942" i="12"/>
  <c r="H3910" i="12"/>
  <c r="H3878" i="12"/>
  <c r="H3846" i="12"/>
  <c r="H3814" i="12"/>
  <c r="H3782" i="12"/>
  <c r="H3750" i="12"/>
  <c r="H3718" i="12"/>
  <c r="H3686" i="12"/>
  <c r="H3654" i="12"/>
  <c r="H3622" i="12"/>
  <c r="H3590" i="12"/>
  <c r="H3558" i="12"/>
  <c r="H3526" i="12"/>
  <c r="H3494" i="12"/>
  <c r="H3462" i="12"/>
  <c r="H3430" i="12"/>
  <c r="H3419" i="12"/>
  <c r="H3414" i="12"/>
  <c r="H3403" i="12"/>
  <c r="H3398" i="12"/>
  <c r="H3387" i="12"/>
  <c r="H3382" i="12"/>
  <c r="H3371" i="12"/>
  <c r="H3366" i="12"/>
  <c r="H3355" i="12"/>
  <c r="H3350" i="12"/>
  <c r="H3339" i="12"/>
  <c r="H3334" i="12"/>
  <c r="H3323" i="12"/>
  <c r="H3318" i="12"/>
  <c r="H3307" i="12"/>
  <c r="H3302" i="12"/>
  <c r="H3291" i="12"/>
  <c r="H3286" i="12"/>
  <c r="H3275" i="12"/>
  <c r="H3270" i="12"/>
  <c r="H3259" i="12"/>
  <c r="H3254" i="12"/>
  <c r="H3243" i="12"/>
  <c r="H3238" i="12"/>
  <c r="H3227" i="12"/>
  <c r="H3222" i="12"/>
  <c r="H3211" i="12"/>
  <c r="H3206" i="12"/>
  <c r="H3195" i="12"/>
  <c r="H3190" i="12"/>
  <c r="H3179" i="12"/>
  <c r="H3174" i="12"/>
  <c r="H3163" i="12"/>
  <c r="H3158" i="12"/>
  <c r="H3147" i="12"/>
  <c r="H3142" i="12"/>
  <c r="H3131" i="12"/>
  <c r="H3126" i="12"/>
  <c r="H3115" i="12"/>
  <c r="H3110" i="12"/>
  <c r="H3099" i="12"/>
  <c r="H3094" i="12"/>
  <c r="H3083" i="12"/>
  <c r="H3078" i="12"/>
  <c r="H3067" i="12"/>
  <c r="H3062" i="12"/>
  <c r="H3051" i="12"/>
  <c r="H3046" i="12"/>
  <c r="H3035" i="12"/>
  <c r="H3030" i="12"/>
  <c r="H3019" i="12"/>
  <c r="H3014" i="12"/>
  <c r="H3003" i="12"/>
  <c r="H2998" i="12"/>
  <c r="H2987" i="12"/>
  <c r="H2982" i="12"/>
  <c r="H2971" i="12"/>
  <c r="H2966" i="12"/>
  <c r="H2955" i="12"/>
  <c r="H2950" i="12"/>
  <c r="H2939" i="12"/>
  <c r="H2934" i="12"/>
  <c r="H2923" i="12"/>
  <c r="H2918" i="12"/>
  <c r="H2907" i="12"/>
  <c r="H2902" i="12"/>
  <c r="H2891" i="12"/>
  <c r="H2886" i="12"/>
  <c r="H2875" i="12"/>
  <c r="H2870" i="12"/>
  <c r="H2859" i="12"/>
  <c r="H2854" i="12"/>
  <c r="H2843" i="12"/>
  <c r="H2838" i="12"/>
  <c r="H2833" i="12"/>
  <c r="H2829" i="12"/>
  <c r="H2825" i="12"/>
  <c r="H2821" i="12"/>
  <c r="H2817" i="12"/>
  <c r="H2813" i="12"/>
  <c r="H2809" i="12"/>
  <c r="H2805" i="12"/>
  <c r="H2801" i="12"/>
  <c r="H2797" i="12"/>
  <c r="H2793" i="12"/>
  <c r="H2789" i="12"/>
  <c r="H2785" i="12"/>
  <c r="H2781" i="12"/>
  <c r="H2777" i="12"/>
  <c r="H2773" i="12"/>
  <c r="H2769" i="12"/>
  <c r="H2765" i="12"/>
  <c r="H2761" i="12"/>
  <c r="H2757" i="12"/>
  <c r="H2753" i="12"/>
  <c r="H2749" i="12"/>
  <c r="H2745" i="12"/>
  <c r="H2741" i="12"/>
  <c r="H2737" i="12"/>
  <c r="H2733" i="12"/>
  <c r="H2729" i="12"/>
  <c r="H2725" i="12"/>
  <c r="H2721" i="12"/>
  <c r="H2717" i="12"/>
  <c r="H2713" i="12"/>
  <c r="H2709" i="12"/>
  <c r="H2705" i="12"/>
  <c r="H2701" i="12"/>
  <c r="H2697" i="12"/>
  <c r="H2693" i="12"/>
  <c r="H2689" i="12"/>
  <c r="H2685" i="12"/>
  <c r="H2681" i="12"/>
  <c r="H2677" i="12"/>
  <c r="H2673" i="12"/>
  <c r="H2669" i="12"/>
  <c r="H2665" i="12"/>
  <c r="H2661" i="12"/>
  <c r="H2657" i="12"/>
  <c r="H2653" i="12"/>
  <c r="H2649" i="12"/>
  <c r="H2645" i="12"/>
  <c r="H2641" i="12"/>
  <c r="H2637" i="12"/>
  <c r="H2633" i="12"/>
  <c r="H2629" i="12"/>
  <c r="H2625" i="12"/>
  <c r="H2621" i="12"/>
  <c r="H2617" i="12"/>
  <c r="H2613" i="12"/>
  <c r="H2609" i="12"/>
  <c r="H2605" i="12"/>
  <c r="H2601" i="12"/>
  <c r="H2597" i="12"/>
  <c r="H2593" i="12"/>
  <c r="H2589" i="12"/>
  <c r="H2585" i="12"/>
  <c r="H2581" i="12"/>
  <c r="H5731" i="12"/>
  <c r="H5243" i="12"/>
  <c r="H4943" i="12"/>
  <c r="H3922" i="12"/>
  <c r="H3886" i="12"/>
  <c r="H3710" i="12"/>
  <c r="H3666" i="12"/>
  <c r="H3630" i="12"/>
  <c r="H3454" i="12"/>
  <c r="H2820" i="12"/>
  <c r="H2804" i="12"/>
  <c r="H2788" i="12"/>
  <c r="H2772" i="12"/>
  <c r="H2756" i="12"/>
  <c r="H2740" i="12"/>
  <c r="H2724" i="12"/>
  <c r="H2708" i="12"/>
  <c r="H2692" i="12"/>
  <c r="H2676" i="12"/>
  <c r="H2660" i="12"/>
  <c r="H2644" i="12"/>
  <c r="H2628" i="12"/>
  <c r="H2612" i="12"/>
  <c r="H2596" i="12"/>
  <c r="H2580" i="12"/>
  <c r="H6134" i="12"/>
  <c r="H5745" i="12"/>
  <c r="H5494" i="12"/>
  <c r="H5035" i="12"/>
  <c r="H4872" i="12"/>
  <c r="H4827" i="12"/>
  <c r="H4744" i="12"/>
  <c r="H4699" i="12"/>
  <c r="H4616" i="12"/>
  <c r="H4571" i="12"/>
  <c r="H4488" i="12"/>
  <c r="H4443" i="12"/>
  <c r="H4360" i="12"/>
  <c r="H4315" i="12"/>
  <c r="H4232" i="12"/>
  <c r="H4187" i="12"/>
  <c r="H4119" i="12"/>
  <c r="H4067" i="12"/>
  <c r="H4032" i="12"/>
  <c r="H4025" i="12"/>
  <c r="H3870" i="12"/>
  <c r="H3826" i="12"/>
  <c r="H3790" i="12"/>
  <c r="H3614" i="12"/>
  <c r="H3570" i="12"/>
  <c r="H3534" i="12"/>
  <c r="H3418" i="12"/>
  <c r="H3399" i="12"/>
  <c r="H3386" i="12"/>
  <c r="H3367" i="12"/>
  <c r="H3354" i="12"/>
  <c r="H3335" i="12"/>
  <c r="H3322" i="12"/>
  <c r="H3303" i="12"/>
  <c r="H3290" i="12"/>
  <c r="H3271" i="12"/>
  <c r="H3258" i="12"/>
  <c r="H3239" i="12"/>
  <c r="H3226" i="12"/>
  <c r="H3207" i="12"/>
  <c r="H3194" i="12"/>
  <c r="H3175" i="12"/>
  <c r="H3162" i="12"/>
  <c r="H3143" i="12"/>
  <c r="H3130" i="12"/>
  <c r="H3111" i="12"/>
  <c r="H3098" i="12"/>
  <c r="H3079" i="12"/>
  <c r="H3066" i="12"/>
  <c r="H3047" i="12"/>
  <c r="H3034" i="12"/>
  <c r="H3015" i="12"/>
  <c r="H3002" i="12"/>
  <c r="H2983" i="12"/>
  <c r="H2970" i="12"/>
  <c r="H2951" i="12"/>
  <c r="H2938" i="12"/>
  <c r="H2919" i="12"/>
  <c r="H2906" i="12"/>
  <c r="H2887" i="12"/>
  <c r="H2874" i="12"/>
  <c r="H2855" i="12"/>
  <c r="H2842" i="12"/>
  <c r="H2830" i="12"/>
  <c r="H2814" i="12"/>
  <c r="H2798" i="12"/>
  <c r="H2782" i="12"/>
  <c r="H2766" i="12"/>
  <c r="H2750" i="12"/>
  <c r="H2734" i="12"/>
  <c r="H2718" i="12"/>
  <c r="H2702" i="12"/>
  <c r="H2686" i="12"/>
  <c r="H2670" i="12"/>
  <c r="H2654" i="12"/>
  <c r="H2638" i="12"/>
  <c r="H2622" i="12"/>
  <c r="H2606" i="12"/>
  <c r="H2590" i="12"/>
  <c r="H2570" i="12"/>
  <c r="H2566" i="12"/>
  <c r="H2562" i="12"/>
  <c r="H2558" i="12"/>
  <c r="H2554" i="12"/>
  <c r="H2550" i="12"/>
  <c r="H2546" i="12"/>
  <c r="H2542" i="12"/>
  <c r="H2538" i="12"/>
  <c r="H2534" i="12"/>
  <c r="H2530" i="12"/>
  <c r="H2526" i="12"/>
  <c r="H2522" i="12"/>
  <c r="H2518" i="12"/>
  <c r="H2514" i="12"/>
  <c r="H2510" i="12"/>
  <c r="H2506" i="12"/>
  <c r="H2502" i="12"/>
  <c r="H2498" i="12"/>
  <c r="H2494" i="12"/>
  <c r="H2490" i="12"/>
  <c r="H2486" i="12"/>
  <c r="H2482" i="12"/>
  <c r="H2478" i="12"/>
  <c r="H2474" i="12"/>
  <c r="H2470" i="12"/>
  <c r="H2466" i="12"/>
  <c r="H2462" i="12"/>
  <c r="H2458" i="12"/>
  <c r="H2454" i="12"/>
  <c r="H2450" i="12"/>
  <c r="H2446" i="12"/>
  <c r="H2442" i="12"/>
  <c r="H2438" i="12"/>
  <c r="H2434" i="12"/>
  <c r="H2430" i="12"/>
  <c r="H2426" i="12"/>
  <c r="H2422" i="12"/>
  <c r="H2418" i="12"/>
  <c r="H2414" i="12"/>
  <c r="H2410" i="12"/>
  <c r="H2406" i="12"/>
  <c r="H2402" i="12"/>
  <c r="H2398" i="12"/>
  <c r="H2394" i="12"/>
  <c r="H2390" i="12"/>
  <c r="H2386" i="12"/>
  <c r="H2382" i="12"/>
  <c r="H2378" i="12"/>
  <c r="H2374" i="12"/>
  <c r="H2370" i="12"/>
  <c r="H2366" i="12"/>
  <c r="H2362" i="12"/>
  <c r="H2358" i="12"/>
  <c r="H2354" i="12"/>
  <c r="H2350" i="12"/>
  <c r="H2346" i="12"/>
  <c r="H2342" i="12"/>
  <c r="H2338" i="12"/>
  <c r="H2334" i="12"/>
  <c r="H2330" i="12"/>
  <c r="H2326" i="12"/>
  <c r="H2322" i="12"/>
  <c r="H2318" i="12"/>
  <c r="H2314" i="12"/>
  <c r="H2310" i="12"/>
  <c r="H2306" i="12"/>
  <c r="H2302" i="12"/>
  <c r="H2298" i="12"/>
  <c r="H2294" i="12"/>
  <c r="H2290" i="12"/>
  <c r="H2286" i="12"/>
  <c r="H2282" i="12"/>
  <c r="H2278" i="12"/>
  <c r="H2274" i="12"/>
  <c r="H2270" i="12"/>
  <c r="H2266" i="12"/>
  <c r="H2262" i="12"/>
  <c r="H2258" i="12"/>
  <c r="H2254" i="12"/>
  <c r="H2250" i="12"/>
  <c r="H2246" i="12"/>
  <c r="H2242" i="12"/>
  <c r="H2238" i="12"/>
  <c r="H2234" i="12"/>
  <c r="H2230" i="12"/>
  <c r="H2226" i="12"/>
  <c r="H2222" i="12"/>
  <c r="H2218" i="12"/>
  <c r="H2214" i="12"/>
  <c r="H2210" i="12"/>
  <c r="H2206" i="12"/>
  <c r="H2202" i="12"/>
  <c r="H2198" i="12"/>
  <c r="H2194" i="12"/>
  <c r="H2190" i="12"/>
  <c r="H2186" i="12"/>
  <c r="H2182" i="12"/>
  <c r="H2178" i="12"/>
  <c r="H2174" i="12"/>
  <c r="H2170" i="12"/>
  <c r="H2166" i="12"/>
  <c r="H2162" i="12"/>
  <c r="H2158" i="12"/>
  <c r="H2154" i="12"/>
  <c r="H2150" i="12"/>
  <c r="H2146" i="12"/>
  <c r="H2142" i="12"/>
  <c r="H2138" i="12"/>
  <c r="H2134" i="12"/>
  <c r="H2130" i="12"/>
  <c r="H2126" i="12"/>
  <c r="H2122" i="12"/>
  <c r="H2118" i="12"/>
  <c r="H2114" i="12"/>
  <c r="H2110" i="12"/>
  <c r="H2106" i="12"/>
  <c r="H2102" i="12"/>
  <c r="H2098" i="12"/>
  <c r="H2094" i="12"/>
  <c r="H2090" i="12"/>
  <c r="H2086" i="12"/>
  <c r="H2082" i="12"/>
  <c r="H2078" i="12"/>
  <c r="H2074" i="12"/>
  <c r="H2070" i="12"/>
  <c r="H2066" i="12"/>
  <c r="H2062" i="12"/>
  <c r="H2058" i="12"/>
  <c r="H2054" i="12"/>
  <c r="H2050" i="12"/>
  <c r="H2046" i="12"/>
  <c r="H2042" i="12"/>
  <c r="H2038" i="12"/>
  <c r="H2034" i="12"/>
  <c r="H2030" i="12"/>
  <c r="H2026" i="12"/>
  <c r="H2022" i="12"/>
  <c r="H2018" i="12"/>
  <c r="H2014" i="12"/>
  <c r="H2010" i="12"/>
  <c r="H2006" i="12"/>
  <c r="H2002" i="12"/>
  <c r="H1998" i="12"/>
  <c r="H1994" i="12"/>
  <c r="H1990" i="12"/>
  <c r="H1986" i="12"/>
  <c r="H1982" i="12"/>
  <c r="H1978" i="12"/>
  <c r="H1974" i="12"/>
  <c r="H1970" i="12"/>
  <c r="H1966" i="12"/>
  <c r="H1962" i="12"/>
  <c r="H1958" i="12"/>
  <c r="H1954" i="12"/>
  <c r="H1950" i="12"/>
  <c r="H1946" i="12"/>
  <c r="H1942" i="12"/>
  <c r="H1938" i="12"/>
  <c r="H1934" i="12"/>
  <c r="H1930" i="12"/>
  <c r="H1926" i="12"/>
  <c r="H1922" i="12"/>
  <c r="H1918" i="12"/>
  <c r="H1914" i="12"/>
  <c r="H1910" i="12"/>
  <c r="H1906" i="12"/>
  <c r="H1902" i="12"/>
  <c r="H1898" i="12"/>
  <c r="H1894" i="12"/>
  <c r="H1890" i="12"/>
  <c r="H1886" i="12"/>
  <c r="H1882" i="12"/>
  <c r="H1878" i="12"/>
  <c r="H1874" i="12"/>
  <c r="H1870" i="12"/>
  <c r="H1866" i="12"/>
  <c r="H1862" i="12"/>
  <c r="H1858" i="12"/>
  <c r="H1854" i="12"/>
  <c r="H1850" i="12"/>
  <c r="H1846" i="12"/>
  <c r="H1842" i="12"/>
  <c r="H1838" i="12"/>
  <c r="H1834" i="12"/>
  <c r="H1830" i="12"/>
  <c r="H1826" i="12"/>
  <c r="H1822" i="12"/>
  <c r="H1818" i="12"/>
  <c r="H1814" i="12"/>
  <c r="H1810" i="12"/>
  <c r="H1806" i="12"/>
  <c r="H1802" i="12"/>
  <c r="H1798" i="12"/>
  <c r="H1794" i="12"/>
  <c r="H1790" i="12"/>
  <c r="H1786" i="12"/>
  <c r="H1782" i="12"/>
  <c r="H1778" i="12"/>
  <c r="H1774" i="12"/>
  <c r="H1770" i="12"/>
  <c r="H1766" i="12"/>
  <c r="H1762" i="12"/>
  <c r="H1758" i="12"/>
  <c r="H1754" i="12"/>
  <c r="H1750" i="12"/>
  <c r="H1746" i="12"/>
  <c r="H1742" i="12"/>
  <c r="H1738" i="12"/>
  <c r="H1734" i="12"/>
  <c r="H1730" i="12"/>
  <c r="H1726" i="12"/>
  <c r="H1722" i="12"/>
  <c r="H1718" i="12"/>
  <c r="H1714" i="12"/>
  <c r="H1710" i="12"/>
  <c r="H1706" i="12"/>
  <c r="H1702" i="12"/>
  <c r="H1698" i="12"/>
  <c r="H1694" i="12"/>
  <c r="H1690" i="12"/>
  <c r="H1686" i="12"/>
  <c r="H1682" i="12"/>
  <c r="H1678" i="12"/>
  <c r="H1674" i="12"/>
  <c r="H1670" i="12"/>
  <c r="H1666" i="12"/>
  <c r="H1662" i="12"/>
  <c r="H1658" i="12"/>
  <c r="H1654" i="12"/>
  <c r="H1650" i="12"/>
  <c r="H1646" i="12"/>
  <c r="H1642" i="12"/>
  <c r="H1638" i="12"/>
  <c r="H1634" i="12"/>
  <c r="H1630" i="12"/>
  <c r="H1626" i="12"/>
  <c r="H1622" i="12"/>
  <c r="H1618" i="12"/>
  <c r="H1614" i="12"/>
  <c r="H1610" i="12"/>
  <c r="H1606" i="12"/>
  <c r="H1602" i="12"/>
  <c r="H1598" i="12"/>
  <c r="H1594" i="12"/>
  <c r="H1590" i="12"/>
  <c r="H1586" i="12"/>
  <c r="H1582" i="12"/>
  <c r="H1578" i="12"/>
  <c r="H1574" i="12"/>
  <c r="H1570" i="12"/>
  <c r="H1566" i="12"/>
  <c r="H1562" i="12"/>
  <c r="H1558" i="12"/>
  <c r="H1554" i="12"/>
  <c r="H1550" i="12"/>
  <c r="H1546" i="12"/>
  <c r="H1542" i="12"/>
  <c r="H1538" i="12"/>
  <c r="H1534" i="12"/>
  <c r="H1530" i="12"/>
  <c r="H1526" i="12"/>
  <c r="H1522" i="12"/>
  <c r="H1518" i="12"/>
  <c r="H1514" i="12"/>
  <c r="H1510" i="12"/>
  <c r="H1506" i="12"/>
  <c r="H1502" i="12"/>
  <c r="H1498" i="12"/>
  <c r="H1494" i="12"/>
  <c r="H1490" i="12"/>
  <c r="H1486" i="12"/>
  <c r="H1482" i="12"/>
  <c r="H1478" i="12"/>
  <c r="H1474" i="12"/>
  <c r="H1470" i="12"/>
  <c r="H1466" i="12"/>
  <c r="H1462" i="12"/>
  <c r="H1458" i="12"/>
  <c r="H1454" i="12"/>
  <c r="H1450" i="12"/>
  <c r="H1446" i="12"/>
  <c r="H1442" i="12"/>
  <c r="H1438" i="12"/>
  <c r="H1434" i="12"/>
  <c r="H1430" i="12"/>
  <c r="H1426" i="12"/>
  <c r="H1422" i="12"/>
  <c r="H1418" i="12"/>
  <c r="H1414" i="12"/>
  <c r="H1410" i="12"/>
  <c r="H1406" i="12"/>
  <c r="H1402" i="12"/>
  <c r="H1398" i="12"/>
  <c r="H1394" i="12"/>
  <c r="H1390" i="12"/>
  <c r="H1386" i="12"/>
  <c r="H1382" i="12"/>
  <c r="H1378" i="12"/>
  <c r="H1374" i="12"/>
  <c r="H1370" i="12"/>
  <c r="H1366" i="12"/>
  <c r="H1362" i="12"/>
  <c r="H1358" i="12"/>
  <c r="H1354" i="12"/>
  <c r="H1350" i="12"/>
  <c r="H1346" i="12"/>
  <c r="H1342" i="12"/>
  <c r="H1338" i="12"/>
  <c r="H1334" i="12"/>
  <c r="H1330" i="12"/>
  <c r="H1326" i="12"/>
  <c r="H1322" i="12"/>
  <c r="H1318" i="12"/>
  <c r="H1314" i="12"/>
  <c r="H1310" i="12"/>
  <c r="H1306" i="12"/>
  <c r="H1302" i="12"/>
  <c r="H1298" i="12"/>
  <c r="H1294" i="12"/>
  <c r="H1290" i="12"/>
  <c r="H1286" i="12"/>
  <c r="H1282" i="12"/>
  <c r="H1278" i="12"/>
  <c r="H1274" i="12"/>
  <c r="H1270" i="12"/>
  <c r="H1266" i="12"/>
  <c r="H1262" i="12"/>
  <c r="H1258" i="12"/>
  <c r="H1254" i="12"/>
  <c r="H1250" i="12"/>
  <c r="H6490" i="12"/>
  <c r="H5003" i="12"/>
  <c r="H4073" i="12"/>
  <c r="H4044" i="12"/>
  <c r="H3950" i="12"/>
  <c r="H3774" i="12"/>
  <c r="H3730" i="12"/>
  <c r="H3694" i="12"/>
  <c r="H3518" i="12"/>
  <c r="H3474" i="12"/>
  <c r="H3438" i="12"/>
  <c r="H2824" i="12"/>
  <c r="H2808" i="12"/>
  <c r="H2792" i="12"/>
  <c r="H2776" i="12"/>
  <c r="H2760" i="12"/>
  <c r="H2744" i="12"/>
  <c r="H2728" i="12"/>
  <c r="H2712" i="12"/>
  <c r="H2696" i="12"/>
  <c r="H2680" i="12"/>
  <c r="H2664" i="12"/>
  <c r="H2648" i="12"/>
  <c r="H2632" i="12"/>
  <c r="H2616" i="12"/>
  <c r="H2600" i="12"/>
  <c r="H2584" i="12"/>
  <c r="H2574" i="12"/>
  <c r="H5269" i="12"/>
  <c r="H5254" i="12"/>
  <c r="H5163" i="12"/>
  <c r="H5039" i="12"/>
  <c r="H4117" i="12"/>
  <c r="H4023" i="12"/>
  <c r="H4016" i="12"/>
  <c r="H3838" i="12"/>
  <c r="H3794" i="12"/>
  <c r="H3758" i="12"/>
  <c r="H3582" i="12"/>
  <c r="H3538" i="12"/>
  <c r="H3502" i="12"/>
  <c r="H2828" i="12"/>
  <c r="H2812" i="12"/>
  <c r="H2796" i="12"/>
  <c r="H2780" i="12"/>
  <c r="H2764" i="12"/>
  <c r="H2748" i="12"/>
  <c r="H2732" i="12"/>
  <c r="H2716" i="12"/>
  <c r="H2700" i="12"/>
  <c r="H2684" i="12"/>
  <c r="H2668" i="12"/>
  <c r="H2652" i="12"/>
  <c r="H2636" i="12"/>
  <c r="H2620" i="12"/>
  <c r="H2604" i="12"/>
  <c r="H2588" i="12"/>
  <c r="H2573" i="12"/>
  <c r="H6408" i="12"/>
  <c r="H6177" i="12"/>
  <c r="H5553" i="12"/>
  <c r="H5435" i="12"/>
  <c r="H5193" i="12"/>
  <c r="H5115" i="12"/>
  <c r="H4907" i="12"/>
  <c r="H4808" i="12"/>
  <c r="H4763" i="12"/>
  <c r="H4680" i="12"/>
  <c r="H4635" i="12"/>
  <c r="H4552" i="12"/>
  <c r="H4507" i="12"/>
  <c r="H4424" i="12"/>
  <c r="H4379" i="12"/>
  <c r="H4296" i="12"/>
  <c r="H4251" i="12"/>
  <c r="H4168" i="12"/>
  <c r="H4085" i="12"/>
  <c r="H4048" i="12"/>
  <c r="H4035" i="12"/>
  <c r="H3954" i="12"/>
  <c r="H3918" i="12"/>
  <c r="H3742" i="12"/>
  <c r="H3698" i="12"/>
  <c r="H3662" i="12"/>
  <c r="H3486" i="12"/>
  <c r="H3442" i="12"/>
  <c r="H3415" i="12"/>
  <c r="H3402" i="12"/>
  <c r="H3383" i="12"/>
  <c r="H3370" i="12"/>
  <c r="H3351" i="12"/>
  <c r="H3338" i="12"/>
  <c r="H3319" i="12"/>
  <c r="H3306" i="12"/>
  <c r="H3287" i="12"/>
  <c r="H3274" i="12"/>
  <c r="H3255" i="12"/>
  <c r="H3242" i="12"/>
  <c r="H3223" i="12"/>
  <c r="H3210" i="12"/>
  <c r="H3191" i="12"/>
  <c r="H3178" i="12"/>
  <c r="H3159" i="12"/>
  <c r="H3146" i="12"/>
  <c r="H3127" i="12"/>
  <c r="H3114" i="12"/>
  <c r="H3095" i="12"/>
  <c r="H3082" i="12"/>
  <c r="H3063" i="12"/>
  <c r="H3050" i="12"/>
  <c r="H3031" i="12"/>
  <c r="H3018" i="12"/>
  <c r="H2999" i="12"/>
  <c r="H2986" i="12"/>
  <c r="H2967" i="12"/>
  <c r="H2954" i="12"/>
  <c r="H2935" i="12"/>
  <c r="H2922" i="12"/>
  <c r="H2903" i="12"/>
  <c r="H2890" i="12"/>
  <c r="H2871" i="12"/>
  <c r="H2858" i="12"/>
  <c r="H2839" i="12"/>
  <c r="H2822" i="12"/>
  <c r="H2806" i="12"/>
  <c r="H2790" i="12"/>
  <c r="H2774" i="12"/>
  <c r="H2758" i="12"/>
  <c r="H2742" i="12"/>
  <c r="H2726" i="12"/>
  <c r="H2710" i="12"/>
  <c r="H2694" i="12"/>
  <c r="H2678" i="12"/>
  <c r="H2662" i="12"/>
  <c r="H2646" i="12"/>
  <c r="H2630" i="12"/>
  <c r="H2614" i="12"/>
  <c r="H2598" i="12"/>
  <c r="H2582" i="12"/>
  <c r="H2577" i="12"/>
  <c r="H2568" i="12"/>
  <c r="H2564" i="12"/>
  <c r="H2560" i="12"/>
  <c r="H2556" i="12"/>
  <c r="H2552" i="12"/>
  <c r="H2548" i="12"/>
  <c r="H2544" i="12"/>
  <c r="H2540" i="12"/>
  <c r="H2536" i="12"/>
  <c r="H2532" i="12"/>
  <c r="H2528" i="12"/>
  <c r="H2524" i="12"/>
  <c r="H2520" i="12"/>
  <c r="H2516" i="12"/>
  <c r="H2512" i="12"/>
  <c r="H2508" i="12"/>
  <c r="H2504" i="12"/>
  <c r="H2500" i="12"/>
  <c r="H2496" i="12"/>
  <c r="H2492" i="12"/>
  <c r="H2488" i="12"/>
  <c r="H2484" i="12"/>
  <c r="H2480" i="12"/>
  <c r="H2476" i="12"/>
  <c r="H2472" i="12"/>
  <c r="H2468" i="12"/>
  <c r="H2464" i="12"/>
  <c r="H2460" i="12"/>
  <c r="H2456" i="12"/>
  <c r="H2452" i="12"/>
  <c r="H2448" i="12"/>
  <c r="H2444" i="12"/>
  <c r="H2440" i="12"/>
  <c r="H2436" i="12"/>
  <c r="H2432" i="12"/>
  <c r="H2428" i="12"/>
  <c r="H2424" i="12"/>
  <c r="H2420" i="12"/>
  <c r="H2416" i="12"/>
  <c r="H2412" i="12"/>
  <c r="H2408" i="12"/>
  <c r="H2404" i="12"/>
  <c r="H2400" i="12"/>
  <c r="H2396" i="12"/>
  <c r="H2392" i="12"/>
  <c r="H2388" i="12"/>
  <c r="H2384" i="12"/>
  <c r="H2380" i="12"/>
  <c r="H2376" i="12"/>
  <c r="H2372" i="12"/>
  <c r="H2368" i="12"/>
  <c r="H2364" i="12"/>
  <c r="H2360" i="12"/>
  <c r="H2356" i="12"/>
  <c r="H2352" i="12"/>
  <c r="H2348" i="12"/>
  <c r="H2344" i="12"/>
  <c r="H2340" i="12"/>
  <c r="H2336" i="12"/>
  <c r="H2332" i="12"/>
  <c r="H2328" i="12"/>
  <c r="H2324" i="12"/>
  <c r="H2320" i="12"/>
  <c r="H2316" i="12"/>
  <c r="H2312" i="12"/>
  <c r="H2308" i="12"/>
  <c r="H2304" i="12"/>
  <c r="H2300" i="12"/>
  <c r="H2296" i="12"/>
  <c r="H2292" i="12"/>
  <c r="H2288" i="12"/>
  <c r="H2284" i="12"/>
  <c r="H2280" i="12"/>
  <c r="H2276" i="12"/>
  <c r="H2272" i="12"/>
  <c r="H2268" i="12"/>
  <c r="H2264" i="12"/>
  <c r="H2260" i="12"/>
  <c r="H2256" i="12"/>
  <c r="H2252" i="12"/>
  <c r="H2248" i="12"/>
  <c r="H2244" i="12"/>
  <c r="H2240" i="12"/>
  <c r="H2236" i="12"/>
  <c r="H2232" i="12"/>
  <c r="H2228" i="12"/>
  <c r="H2224" i="12"/>
  <c r="H2220" i="12"/>
  <c r="H2216" i="12"/>
  <c r="H2212" i="12"/>
  <c r="H2208" i="12"/>
  <c r="H2204" i="12"/>
  <c r="H2200" i="12"/>
  <c r="H2196" i="12"/>
  <c r="H2192" i="12"/>
  <c r="H2188" i="12"/>
  <c r="H2184" i="12"/>
  <c r="H2180" i="12"/>
  <c r="H2176" i="12"/>
  <c r="H2172" i="12"/>
  <c r="H2168" i="12"/>
  <c r="H2164" i="12"/>
  <c r="H2160" i="12"/>
  <c r="H2156" i="12"/>
  <c r="H2152" i="12"/>
  <c r="H2148" i="12"/>
  <c r="H2144" i="12"/>
  <c r="H2140" i="12"/>
  <c r="H2136" i="12"/>
  <c r="H2132" i="12"/>
  <c r="H2128" i="12"/>
  <c r="H2124" i="12"/>
  <c r="H2120" i="12"/>
  <c r="H2116" i="12"/>
  <c r="H2112" i="12"/>
  <c r="H2108" i="12"/>
  <c r="H2104" i="12"/>
  <c r="H2100" i="12"/>
  <c r="H2096" i="12"/>
  <c r="H2092" i="12"/>
  <c r="H2088" i="12"/>
  <c r="H2084" i="12"/>
  <c r="H2080" i="12"/>
  <c r="H2076" i="12"/>
  <c r="H2072" i="12"/>
  <c r="H2068" i="12"/>
  <c r="H2064" i="12"/>
  <c r="H2060" i="12"/>
  <c r="H2056" i="12"/>
  <c r="H2052" i="12"/>
  <c r="H2048" i="12"/>
  <c r="H2044" i="12"/>
  <c r="H2040" i="12"/>
  <c r="H2036" i="12"/>
  <c r="H2032" i="12"/>
  <c r="H2028" i="12"/>
  <c r="H2024" i="12"/>
  <c r="H2020" i="12"/>
  <c r="H2016" i="12"/>
  <c r="H2012" i="12"/>
  <c r="H2008" i="12"/>
  <c r="H2004" i="12"/>
  <c r="H2000" i="12"/>
  <c r="H1996" i="12"/>
  <c r="H1992" i="12"/>
  <c r="H1988" i="12"/>
  <c r="H1984" i="12"/>
  <c r="H1980" i="12"/>
  <c r="H1976" i="12"/>
  <c r="H1972" i="12"/>
  <c r="H1968" i="12"/>
  <c r="H1964" i="12"/>
  <c r="H1960" i="12"/>
  <c r="H1956" i="12"/>
  <c r="H1952" i="12"/>
  <c r="H1948" i="12"/>
  <c r="H1944" i="12"/>
  <c r="H1940" i="12"/>
  <c r="H1936" i="12"/>
  <c r="H1932" i="12"/>
  <c r="H1928" i="12"/>
  <c r="H1924" i="12"/>
  <c r="H1920" i="12"/>
  <c r="H1916" i="12"/>
  <c r="H1912" i="12"/>
  <c r="H1908" i="12"/>
  <c r="H1904" i="12"/>
  <c r="H1900" i="12"/>
  <c r="H1896" i="12"/>
  <c r="H1892" i="12"/>
  <c r="H1888" i="12"/>
  <c r="H1884" i="12"/>
  <c r="H1880" i="12"/>
  <c r="H1876" i="12"/>
  <c r="H1872" i="12"/>
  <c r="H1868" i="12"/>
  <c r="H1864" i="12"/>
  <c r="H1860" i="12"/>
  <c r="H1856" i="12"/>
  <c r="H1852" i="12"/>
  <c r="H1848" i="12"/>
  <c r="H1844" i="12"/>
  <c r="H1840" i="12"/>
  <c r="H1836" i="12"/>
  <c r="H1832" i="12"/>
  <c r="H1828" i="12"/>
  <c r="H1824" i="12"/>
  <c r="H1820" i="12"/>
  <c r="H1816" i="12"/>
  <c r="H1812" i="12"/>
  <c r="H1808" i="12"/>
  <c r="H1804" i="12"/>
  <c r="H1800" i="12"/>
  <c r="H1796" i="12"/>
  <c r="H1792" i="12"/>
  <c r="H1788" i="12"/>
  <c r="H1784" i="12"/>
  <c r="H1780" i="12"/>
  <c r="H1776" i="12"/>
  <c r="H1772" i="12"/>
  <c r="H1768" i="12"/>
  <c r="H1764" i="12"/>
  <c r="H1760" i="12"/>
  <c r="H1756" i="12"/>
  <c r="H1752" i="12"/>
  <c r="H1748" i="12"/>
  <c r="H1744" i="12"/>
  <c r="H1740" i="12"/>
  <c r="H1736" i="12"/>
  <c r="H1732" i="12"/>
  <c r="H1728" i="12"/>
  <c r="H1724" i="12"/>
  <c r="H1720" i="12"/>
  <c r="H1716" i="12"/>
  <c r="H1712" i="12"/>
  <c r="H1708" i="12"/>
  <c r="H1704" i="12"/>
  <c r="H1700" i="12"/>
  <c r="H1696" i="12"/>
  <c r="H1692" i="12"/>
  <c r="H1688" i="12"/>
  <c r="H1684" i="12"/>
  <c r="H1680" i="12"/>
  <c r="H1676" i="12"/>
  <c r="H1672" i="12"/>
  <c r="H1668" i="12"/>
  <c r="H1664" i="12"/>
  <c r="H1660" i="12"/>
  <c r="H1656" i="12"/>
  <c r="H1652" i="12"/>
  <c r="H1648" i="12"/>
  <c r="H1644" i="12"/>
  <c r="H1640" i="12"/>
  <c r="H1636" i="12"/>
  <c r="H1632" i="12"/>
  <c r="H1628" i="12"/>
  <c r="H1624" i="12"/>
  <c r="H1620" i="12"/>
  <c r="H1616" i="12"/>
  <c r="H1612" i="12"/>
  <c r="H1608" i="12"/>
  <c r="H1604" i="12"/>
  <c r="H1600" i="12"/>
  <c r="H1596" i="12"/>
  <c r="H1592" i="12"/>
  <c r="H1588" i="12"/>
  <c r="H1584" i="12"/>
  <c r="H1580" i="12"/>
  <c r="H1576" i="12"/>
  <c r="H1572" i="12"/>
  <c r="H1568" i="12"/>
  <c r="H1564" i="12"/>
  <c r="H1560" i="12"/>
  <c r="H1556" i="12"/>
  <c r="H1552" i="12"/>
  <c r="H1548" i="12"/>
  <c r="H1544" i="12"/>
  <c r="H1540" i="12"/>
  <c r="H1536" i="12"/>
  <c r="H5921" i="12"/>
  <c r="H4859" i="12"/>
  <c r="H4776" i="12"/>
  <c r="H4731" i="12"/>
  <c r="H4648" i="12"/>
  <c r="H4603" i="12"/>
  <c r="H4987" i="12"/>
  <c r="H4584" i="12"/>
  <c r="H4475" i="12"/>
  <c r="H4328" i="12"/>
  <c r="H4219" i="12"/>
  <c r="H3854" i="12"/>
  <c r="H3506" i="12"/>
  <c r="H3407" i="12"/>
  <c r="H3378" i="12"/>
  <c r="H3343" i="12"/>
  <c r="H3314" i="12"/>
  <c r="H3279" i="12"/>
  <c r="H3250" i="12"/>
  <c r="H3215" i="12"/>
  <c r="H3186" i="12"/>
  <c r="H3151" i="12"/>
  <c r="H3122" i="12"/>
  <c r="H3087" i="12"/>
  <c r="H3058" i="12"/>
  <c r="H3023" i="12"/>
  <c r="H2994" i="12"/>
  <c r="H2959" i="12"/>
  <c r="H2930" i="12"/>
  <c r="H2895" i="12"/>
  <c r="H2866" i="12"/>
  <c r="H2784" i="12"/>
  <c r="H2770" i="12"/>
  <c r="H2730" i="12"/>
  <c r="H2656" i="12"/>
  <c r="H2642" i="12"/>
  <c r="H2602" i="12"/>
  <c r="H2569" i="12"/>
  <c r="H2553" i="12"/>
  <c r="H2537" i="12"/>
  <c r="H2521" i="12"/>
  <c r="H2505" i="12"/>
  <c r="H2489" i="12"/>
  <c r="H2473" i="12"/>
  <c r="H2457" i="12"/>
  <c r="H2441" i="12"/>
  <c r="H2425" i="12"/>
  <c r="H2409" i="12"/>
  <c r="H2393" i="12"/>
  <c r="H2377" i="12"/>
  <c r="H2361" i="12"/>
  <c r="H2345" i="12"/>
  <c r="H2329" i="12"/>
  <c r="H2313" i="12"/>
  <c r="H2297" i="12"/>
  <c r="H2281" i="12"/>
  <c r="H2265" i="12"/>
  <c r="H2249" i="12"/>
  <c r="H2233" i="12"/>
  <c r="H2217" i="12"/>
  <c r="H2201" i="12"/>
  <c r="H2185" i="12"/>
  <c r="H2169" i="12"/>
  <c r="H2153" i="12"/>
  <c r="H2137" i="12"/>
  <c r="H2121" i="12"/>
  <c r="H2105" i="12"/>
  <c r="H2089" i="12"/>
  <c r="H2073" i="12"/>
  <c r="H2057" i="12"/>
  <c r="H2041" i="12"/>
  <c r="H2025" i="12"/>
  <c r="H2009" i="12"/>
  <c r="H1993" i="12"/>
  <c r="H1977" i="12"/>
  <c r="H1961" i="12"/>
  <c r="H1945" i="12"/>
  <c r="H1929" i="12"/>
  <c r="H1913" i="12"/>
  <c r="H1897" i="12"/>
  <c r="H1881" i="12"/>
  <c r="H1865" i="12"/>
  <c r="H1849" i="12"/>
  <c r="H1833" i="12"/>
  <c r="H1817" i="12"/>
  <c r="H1801" i="12"/>
  <c r="H1785" i="12"/>
  <c r="H1769" i="12"/>
  <c r="H1753" i="12"/>
  <c r="H1737" i="12"/>
  <c r="H1721" i="12"/>
  <c r="H1705" i="12"/>
  <c r="H1689" i="12"/>
  <c r="H1673" i="12"/>
  <c r="H1657" i="12"/>
  <c r="H1641" i="12"/>
  <c r="H1625" i="12"/>
  <c r="H1609" i="12"/>
  <c r="H1593" i="12"/>
  <c r="H1577" i="12"/>
  <c r="H1561" i="12"/>
  <c r="H1545" i="12"/>
  <c r="H1525" i="12"/>
  <c r="H1516" i="12"/>
  <c r="H1507" i="12"/>
  <c r="H1493" i="12"/>
  <c r="H1484" i="12"/>
  <c r="H1475" i="12"/>
  <c r="H1461" i="12"/>
  <c r="H1452" i="12"/>
  <c r="H1443" i="12"/>
  <c r="H1429" i="12"/>
  <c r="H1420" i="12"/>
  <c r="H1411" i="12"/>
  <c r="H1397" i="12"/>
  <c r="H1388" i="12"/>
  <c r="H1379" i="12"/>
  <c r="H1365" i="12"/>
  <c r="H1356" i="12"/>
  <c r="H1347" i="12"/>
  <c r="H1333" i="12"/>
  <c r="H1324" i="12"/>
  <c r="H1315" i="12"/>
  <c r="H1301" i="12"/>
  <c r="H1292" i="12"/>
  <c r="H1283" i="12"/>
  <c r="H1269" i="12"/>
  <c r="H1260" i="12"/>
  <c r="H1251" i="12"/>
  <c r="H5230" i="12"/>
  <c r="H5207" i="12"/>
  <c r="H4007" i="12"/>
  <c r="H3822" i="12"/>
  <c r="H3598" i="12"/>
  <c r="H2810" i="12"/>
  <c r="H2736" i="12"/>
  <c r="H2722" i="12"/>
  <c r="H2682" i="12"/>
  <c r="H2608" i="12"/>
  <c r="H2594" i="12"/>
  <c r="H2563" i="12"/>
  <c r="H2547" i="12"/>
  <c r="H2531" i="12"/>
  <c r="H2515" i="12"/>
  <c r="H2499" i="12"/>
  <c r="H2483" i="12"/>
  <c r="H2467" i="12"/>
  <c r="H2451" i="12"/>
  <c r="H2435" i="12"/>
  <c r="H2419" i="12"/>
  <c r="H2403" i="12"/>
  <c r="H2387" i="12"/>
  <c r="H2371" i="12"/>
  <c r="H2355" i="12"/>
  <c r="H2339" i="12"/>
  <c r="H2323" i="12"/>
  <c r="H2307" i="12"/>
  <c r="H2291" i="12"/>
  <c r="H2275" i="12"/>
  <c r="H2259" i="12"/>
  <c r="H2243" i="12"/>
  <c r="H2227" i="12"/>
  <c r="H2211" i="12"/>
  <c r="H2195" i="12"/>
  <c r="H2179" i="12"/>
  <c r="H2163" i="12"/>
  <c r="H2147" i="12"/>
  <c r="H2131" i="12"/>
  <c r="H2115" i="12"/>
  <c r="H2099" i="12"/>
  <c r="H2083" i="12"/>
  <c r="H2067" i="12"/>
  <c r="H2051" i="12"/>
  <c r="H2035" i="12"/>
  <c r="H2019" i="12"/>
  <c r="H2003" i="12"/>
  <c r="H1987" i="12"/>
  <c r="H1971" i="12"/>
  <c r="H1955" i="12"/>
  <c r="H1939" i="12"/>
  <c r="H1923" i="12"/>
  <c r="H1907" i="12"/>
  <c r="H1891" i="12"/>
  <c r="H1875" i="12"/>
  <c r="H1859" i="12"/>
  <c r="H1843" i="12"/>
  <c r="H1827" i="12"/>
  <c r="H1811" i="12"/>
  <c r="H1795" i="12"/>
  <c r="H1779" i="12"/>
  <c r="H1763" i="12"/>
  <c r="H1747" i="12"/>
  <c r="H1731" i="12"/>
  <c r="H1715" i="12"/>
  <c r="H1699" i="12"/>
  <c r="H1683" i="12"/>
  <c r="H1667" i="12"/>
  <c r="H1651" i="12"/>
  <c r="H1635" i="12"/>
  <c r="H1619" i="12"/>
  <c r="H1603" i="12"/>
  <c r="H1587" i="12"/>
  <c r="H1571" i="12"/>
  <c r="H1555" i="12"/>
  <c r="H1539" i="12"/>
  <c r="H1529" i="12"/>
  <c r="H1520" i="12"/>
  <c r="H1511" i="12"/>
  <c r="H1497" i="12"/>
  <c r="H1488" i="12"/>
  <c r="H1479" i="12"/>
  <c r="H1465" i="12"/>
  <c r="H1456" i="12"/>
  <c r="H1447" i="12"/>
  <c r="H1433" i="12"/>
  <c r="H1424" i="12"/>
  <c r="H1415" i="12"/>
  <c r="H1401" i="12"/>
  <c r="H1392" i="12"/>
  <c r="H1383" i="12"/>
  <c r="H1369" i="12"/>
  <c r="H1360" i="12"/>
  <c r="H1351" i="12"/>
  <c r="H1337" i="12"/>
  <c r="H1328" i="12"/>
  <c r="H1319" i="12"/>
  <c r="H1305" i="12"/>
  <c r="H1296" i="12"/>
  <c r="H1287" i="12"/>
  <c r="H1273" i="12"/>
  <c r="H1264" i="12"/>
  <c r="H1255" i="12"/>
  <c r="H1246" i="12"/>
  <c r="H1242" i="12"/>
  <c r="H1238" i="12"/>
  <c r="H1234" i="12"/>
  <c r="H1230" i="12"/>
  <c r="H1226" i="12"/>
  <c r="H1222" i="12"/>
  <c r="H1218" i="12"/>
  <c r="H1214" i="12"/>
  <c r="H1210" i="12"/>
  <c r="H1206" i="12"/>
  <c r="H1202" i="12"/>
  <c r="H1198" i="12"/>
  <c r="H1194" i="12"/>
  <c r="H1190" i="12"/>
  <c r="H1186" i="12"/>
  <c r="H1182" i="12"/>
  <c r="H1178" i="12"/>
  <c r="H1174" i="12"/>
  <c r="H1170" i="12"/>
  <c r="H1166" i="12"/>
  <c r="H1162" i="12"/>
  <c r="H1158" i="12"/>
  <c r="H1154" i="12"/>
  <c r="H1150" i="12"/>
  <c r="H1146" i="12"/>
  <c r="H1142" i="12"/>
  <c r="H1138" i="12"/>
  <c r="H1134" i="12"/>
  <c r="H1130" i="12"/>
  <c r="H1126" i="12"/>
  <c r="H1122" i="12"/>
  <c r="H1118" i="12"/>
  <c r="H1114" i="12"/>
  <c r="H1110" i="12"/>
  <c r="H1106" i="12"/>
  <c r="H1102" i="12"/>
  <c r="H1098" i="12"/>
  <c r="H1094" i="12"/>
  <c r="H1090" i="12"/>
  <c r="H1086" i="12"/>
  <c r="H1082" i="12"/>
  <c r="H1078" i="12"/>
  <c r="H1074" i="12"/>
  <c r="H1070" i="12"/>
  <c r="H1066" i="12"/>
  <c r="H1062" i="12"/>
  <c r="H1058" i="12"/>
  <c r="H1054" i="12"/>
  <c r="H1050" i="12"/>
  <c r="H1046" i="12"/>
  <c r="H1042" i="12"/>
  <c r="H1038" i="12"/>
  <c r="H1034" i="12"/>
  <c r="H1030" i="12"/>
  <c r="H1026" i="12"/>
  <c r="H1022" i="12"/>
  <c r="H1018" i="12"/>
  <c r="H1014" i="12"/>
  <c r="H1010" i="12"/>
  <c r="H1006" i="12"/>
  <c r="H1002" i="12"/>
  <c r="H998" i="12"/>
  <c r="H994" i="12"/>
  <c r="H990" i="12"/>
  <c r="H986" i="12"/>
  <c r="H982" i="12"/>
  <c r="H978" i="12"/>
  <c r="H974" i="12"/>
  <c r="H970" i="12"/>
  <c r="H966" i="12"/>
  <c r="H962" i="12"/>
  <c r="H958" i="12"/>
  <c r="H954" i="12"/>
  <c r="H950" i="12"/>
  <c r="H946" i="12"/>
  <c r="H942" i="12"/>
  <c r="H938" i="12"/>
  <c r="H934" i="12"/>
  <c r="H930" i="12"/>
  <c r="H926" i="12"/>
  <c r="H922" i="12"/>
  <c r="H918" i="12"/>
  <c r="H914" i="12"/>
  <c r="H910" i="12"/>
  <c r="H906" i="12"/>
  <c r="H902" i="12"/>
  <c r="H898" i="12"/>
  <c r="H894" i="12"/>
  <c r="H890" i="12"/>
  <c r="H886" i="12"/>
  <c r="H882" i="12"/>
  <c r="H878" i="12"/>
  <c r="H874" i="12"/>
  <c r="H870" i="12"/>
  <c r="H866" i="12"/>
  <c r="H862" i="12"/>
  <c r="H858" i="12"/>
  <c r="H854" i="12"/>
  <c r="H850" i="12"/>
  <c r="H846" i="12"/>
  <c r="H842" i="12"/>
  <c r="H838" i="12"/>
  <c r="H834" i="12"/>
  <c r="H830" i="12"/>
  <c r="H826" i="12"/>
  <c r="H822" i="12"/>
  <c r="H818" i="12"/>
  <c r="H814" i="12"/>
  <c r="H810" i="12"/>
  <c r="H806" i="12"/>
  <c r="H802" i="12"/>
  <c r="H798" i="12"/>
  <c r="H794" i="12"/>
  <c r="H790" i="12"/>
  <c r="H786" i="12"/>
  <c r="H782" i="12"/>
  <c r="H778" i="12"/>
  <c r="H774" i="12"/>
  <c r="H770" i="12"/>
  <c r="H766" i="12"/>
  <c r="H762" i="12"/>
  <c r="H758" i="12"/>
  <c r="H754" i="12"/>
  <c r="H750" i="12"/>
  <c r="H746" i="12"/>
  <c r="H742" i="12"/>
  <c r="H738" i="12"/>
  <c r="H734" i="12"/>
  <c r="H730" i="12"/>
  <c r="H726" i="12"/>
  <c r="H722" i="12"/>
  <c r="H718" i="12"/>
  <c r="H714" i="12"/>
  <c r="H710" i="12"/>
  <c r="H706" i="12"/>
  <c r="H702" i="12"/>
  <c r="H698" i="12"/>
  <c r="H694" i="12"/>
  <c r="H690" i="12"/>
  <c r="H686" i="12"/>
  <c r="H682" i="12"/>
  <c r="H678" i="12"/>
  <c r="H674" i="12"/>
  <c r="H670" i="12"/>
  <c r="H666" i="12"/>
  <c r="H662" i="12"/>
  <c r="H658" i="12"/>
  <c r="H654" i="12"/>
  <c r="H650" i="12"/>
  <c r="H646" i="12"/>
  <c r="H642" i="12"/>
  <c r="H638" i="12"/>
  <c r="H634" i="12"/>
  <c r="H630" i="12"/>
  <c r="H626" i="12"/>
  <c r="H622" i="12"/>
  <c r="H618" i="12"/>
  <c r="H614" i="12"/>
  <c r="H610" i="12"/>
  <c r="H606" i="12"/>
  <c r="H602" i="12"/>
  <c r="H598" i="12"/>
  <c r="H594" i="12"/>
  <c r="H590" i="12"/>
  <c r="H586" i="12"/>
  <c r="H582" i="12"/>
  <c r="H578" i="12"/>
  <c r="H574" i="12"/>
  <c r="H570" i="12"/>
  <c r="H566" i="12"/>
  <c r="H562" i="12"/>
  <c r="H558" i="12"/>
  <c r="H554" i="12"/>
  <c r="H550" i="12"/>
  <c r="H546" i="12"/>
  <c r="H542" i="12"/>
  <c r="H538" i="12"/>
  <c r="H534" i="12"/>
  <c r="H530" i="12"/>
  <c r="H526" i="12"/>
  <c r="H522" i="12"/>
  <c r="H518" i="12"/>
  <c r="H514" i="12"/>
  <c r="H510" i="12"/>
  <c r="H506" i="12"/>
  <c r="H502" i="12"/>
  <c r="H498" i="12"/>
  <c r="H494" i="12"/>
  <c r="H490" i="12"/>
  <c r="H486" i="12"/>
  <c r="H482" i="12"/>
  <c r="H478" i="12"/>
  <c r="H474" i="12"/>
  <c r="H470" i="12"/>
  <c r="H466" i="12"/>
  <c r="H462" i="12"/>
  <c r="H458" i="12"/>
  <c r="H454" i="12"/>
  <c r="H450" i="12"/>
  <c r="H446" i="12"/>
  <c r="H442" i="12"/>
  <c r="H438" i="12"/>
  <c r="H434" i="12"/>
  <c r="H430" i="12"/>
  <c r="H426" i="12"/>
  <c r="H422" i="12"/>
  <c r="H418" i="12"/>
  <c r="H414" i="12"/>
  <c r="H410" i="12"/>
  <c r="H406" i="12"/>
  <c r="H402" i="12"/>
  <c r="H398" i="12"/>
  <c r="H394" i="12"/>
  <c r="H390" i="12"/>
  <c r="H386" i="12"/>
  <c r="H382" i="12"/>
  <c r="H378" i="12"/>
  <c r="H374" i="12"/>
  <c r="H370" i="12"/>
  <c r="H366" i="12"/>
  <c r="H362" i="12"/>
  <c r="H358" i="12"/>
  <c r="H354" i="12"/>
  <c r="H350" i="12"/>
  <c r="H346" i="12"/>
  <c r="H342" i="12"/>
  <c r="H338" i="12"/>
  <c r="H334" i="12"/>
  <c r="H330" i="12"/>
  <c r="H326" i="12"/>
  <c r="H322" i="12"/>
  <c r="H318" i="12"/>
  <c r="H314" i="12"/>
  <c r="H310" i="12"/>
  <c r="H306" i="12"/>
  <c r="H302" i="12"/>
  <c r="H298" i="12"/>
  <c r="H294" i="12"/>
  <c r="H290" i="12"/>
  <c r="H286" i="12"/>
  <c r="H282" i="12"/>
  <c r="H278" i="12"/>
  <c r="H274" i="12"/>
  <c r="H270" i="12"/>
  <c r="H266" i="12"/>
  <c r="H262" i="12"/>
  <c r="H258" i="12"/>
  <c r="H254" i="12"/>
  <c r="H250" i="12"/>
  <c r="H246" i="12"/>
  <c r="H242" i="12"/>
  <c r="H238" i="12"/>
  <c r="H234" i="12"/>
  <c r="H230" i="12"/>
  <c r="H226" i="12"/>
  <c r="H222" i="12"/>
  <c r="H218" i="12"/>
  <c r="H214" i="12"/>
  <c r="H210" i="12"/>
  <c r="H206" i="12"/>
  <c r="H202" i="12"/>
  <c r="H198" i="12"/>
  <c r="H194" i="12"/>
  <c r="H190" i="12"/>
  <c r="H186" i="12"/>
  <c r="H182" i="12"/>
  <c r="H178" i="12"/>
  <c r="H174" i="12"/>
  <c r="H170" i="12"/>
  <c r="H166" i="12"/>
  <c r="H162" i="12"/>
  <c r="H158" i="12"/>
  <c r="H154" i="12"/>
  <c r="H150" i="12"/>
  <c r="H146" i="12"/>
  <c r="H142" i="12"/>
  <c r="H138" i="12"/>
  <c r="H134" i="12"/>
  <c r="H130" i="12"/>
  <c r="H126" i="12"/>
  <c r="H122" i="12"/>
  <c r="H118" i="12"/>
  <c r="H114" i="12"/>
  <c r="H110" i="12"/>
  <c r="H106" i="12"/>
  <c r="H102" i="12"/>
  <c r="H98" i="12"/>
  <c r="H94" i="12"/>
  <c r="H90" i="12"/>
  <c r="H86" i="12"/>
  <c r="H82" i="12"/>
  <c r="H78" i="12"/>
  <c r="H74" i="12"/>
  <c r="H70" i="12"/>
  <c r="H66" i="12"/>
  <c r="H62" i="12"/>
  <c r="H58" i="12"/>
  <c r="H54" i="12"/>
  <c r="H50" i="12"/>
  <c r="H46" i="12"/>
  <c r="H42" i="12"/>
  <c r="H38" i="12"/>
  <c r="H34" i="12"/>
  <c r="H30" i="12"/>
  <c r="H26" i="12"/>
  <c r="H22" i="12"/>
  <c r="H18" i="12"/>
  <c r="H14" i="12"/>
  <c r="H4795" i="12"/>
  <c r="H4520" i="12"/>
  <c r="H4411" i="12"/>
  <c r="H4264" i="12"/>
  <c r="H4155" i="12"/>
  <c r="H3991" i="12"/>
  <c r="H3890" i="12"/>
  <c r="H3806" i="12"/>
  <c r="H3566" i="12"/>
  <c r="H3426" i="12"/>
  <c r="H3391" i="12"/>
  <c r="H3362" i="12"/>
  <c r="H3327" i="12"/>
  <c r="H3298" i="12"/>
  <c r="H3263" i="12"/>
  <c r="H3234" i="12"/>
  <c r="H3199" i="12"/>
  <c r="H3170" i="12"/>
  <c r="H3135" i="12"/>
  <c r="H3106" i="12"/>
  <c r="H3071" i="12"/>
  <c r="H3042" i="12"/>
  <c r="H3007" i="12"/>
  <c r="H2978" i="12"/>
  <c r="H2943" i="12"/>
  <c r="H2914" i="12"/>
  <c r="H2879" i="12"/>
  <c r="H2850" i="12"/>
  <c r="H2816" i="12"/>
  <c r="H2802" i="12"/>
  <c r="H2762" i="12"/>
  <c r="H2688" i="12"/>
  <c r="H2674" i="12"/>
  <c r="H2634" i="12"/>
  <c r="H2557" i="12"/>
  <c r="H2541" i="12"/>
  <c r="H2525" i="12"/>
  <c r="H2509" i="12"/>
  <c r="H2493" i="12"/>
  <c r="H2477" i="12"/>
  <c r="H2461" i="12"/>
  <c r="H2445" i="12"/>
  <c r="H2429" i="12"/>
  <c r="H2413" i="12"/>
  <c r="H2397" i="12"/>
  <c r="H2381" i="12"/>
  <c r="H2365" i="12"/>
  <c r="H2349" i="12"/>
  <c r="H2333" i="12"/>
  <c r="H2317" i="12"/>
  <c r="H2301" i="12"/>
  <c r="H2285" i="12"/>
  <c r="H2269" i="12"/>
  <c r="H2253" i="12"/>
  <c r="H2237" i="12"/>
  <c r="H2221" i="12"/>
  <c r="H2205" i="12"/>
  <c r="H2189" i="12"/>
  <c r="H2173" i="12"/>
  <c r="H2157" i="12"/>
  <c r="H2141" i="12"/>
  <c r="H2125" i="12"/>
  <c r="H2109" i="12"/>
  <c r="H2093" i="12"/>
  <c r="H2077" i="12"/>
  <c r="H2061" i="12"/>
  <c r="H2045" i="12"/>
  <c r="H2029" i="12"/>
  <c r="H2013" i="12"/>
  <c r="H1997" i="12"/>
  <c r="H1981" i="12"/>
  <c r="H1965" i="12"/>
  <c r="H1949" i="12"/>
  <c r="H1933" i="12"/>
  <c r="H1917" i="12"/>
  <c r="H1901" i="12"/>
  <c r="H1885" i="12"/>
  <c r="H1869" i="12"/>
  <c r="H1853" i="12"/>
  <c r="H1837" i="12"/>
  <c r="H1821" i="12"/>
  <c r="H1805" i="12"/>
  <c r="H1789" i="12"/>
  <c r="H1773" i="12"/>
  <c r="H1757" i="12"/>
  <c r="H1741" i="12"/>
  <c r="H1725" i="12"/>
  <c r="H1709" i="12"/>
  <c r="H1693" i="12"/>
  <c r="H1677" i="12"/>
  <c r="H1661" i="12"/>
  <c r="H1645" i="12"/>
  <c r="H1629" i="12"/>
  <c r="H1613" i="12"/>
  <c r="H1597" i="12"/>
  <c r="H1581" i="12"/>
  <c r="H1565" i="12"/>
  <c r="H1549" i="12"/>
  <c r="H1533" i="12"/>
  <c r="H1524" i="12"/>
  <c r="H1515" i="12"/>
  <c r="H1501" i="12"/>
  <c r="H1492" i="12"/>
  <c r="H1483" i="12"/>
  <c r="H1469" i="12"/>
  <c r="H1460" i="12"/>
  <c r="H1451" i="12"/>
  <c r="H1437" i="12"/>
  <c r="H1428" i="12"/>
  <c r="H1419" i="12"/>
  <c r="H1405" i="12"/>
  <c r="H1396" i="12"/>
  <c r="H1387" i="12"/>
  <c r="H1373" i="12"/>
  <c r="H1364" i="12"/>
  <c r="H1355" i="12"/>
  <c r="H1341" i="12"/>
  <c r="H1332" i="12"/>
  <c r="H1323" i="12"/>
  <c r="H1309" i="12"/>
  <c r="H1300" i="12"/>
  <c r="H1291" i="12"/>
  <c r="H1277" i="12"/>
  <c r="H1268" i="12"/>
  <c r="H1259" i="12"/>
  <c r="H5071" i="12"/>
  <c r="H3858" i="12"/>
  <c r="H3634" i="12"/>
  <c r="H3550" i="12"/>
  <c r="H2768" i="12"/>
  <c r="H2754" i="12"/>
  <c r="H2714" i="12"/>
  <c r="H2640" i="12"/>
  <c r="H2626" i="12"/>
  <c r="H2586" i="12"/>
  <c r="H2567" i="12"/>
  <c r="H2551" i="12"/>
  <c r="H2535" i="12"/>
  <c r="H2519" i="12"/>
  <c r="H2503" i="12"/>
  <c r="H2487" i="12"/>
  <c r="H2471" i="12"/>
  <c r="H2455" i="12"/>
  <c r="H2439" i="12"/>
  <c r="H2423" i="12"/>
  <c r="H2407" i="12"/>
  <c r="H2391" i="12"/>
  <c r="H2375" i="12"/>
  <c r="H2359" i="12"/>
  <c r="H2343" i="12"/>
  <c r="H2327" i="12"/>
  <c r="H2311" i="12"/>
  <c r="H2295" i="12"/>
  <c r="H2279" i="12"/>
  <c r="H2263" i="12"/>
  <c r="H2247" i="12"/>
  <c r="H2231" i="12"/>
  <c r="H2215" i="12"/>
  <c r="H2199" i="12"/>
  <c r="H2183" i="12"/>
  <c r="H2167" i="12"/>
  <c r="H2151" i="12"/>
  <c r="H2135" i="12"/>
  <c r="H2119" i="12"/>
  <c r="H2103" i="12"/>
  <c r="H2087" i="12"/>
  <c r="H2071" i="12"/>
  <c r="H2055" i="12"/>
  <c r="H2039" i="12"/>
  <c r="H2023" i="12"/>
  <c r="H2007" i="12"/>
  <c r="H1991" i="12"/>
  <c r="H1975" i="12"/>
  <c r="H1959" i="12"/>
  <c r="H1943" i="12"/>
  <c r="H1927" i="12"/>
  <c r="H1911" i="12"/>
  <c r="H1895" i="12"/>
  <c r="H1879" i="12"/>
  <c r="H1863" i="12"/>
  <c r="H1847" i="12"/>
  <c r="H1831" i="12"/>
  <c r="H1815" i="12"/>
  <c r="H1799" i="12"/>
  <c r="H1783" i="12"/>
  <c r="H1767" i="12"/>
  <c r="H1751" i="12"/>
  <c r="H1735" i="12"/>
  <c r="H1719" i="12"/>
  <c r="H1703" i="12"/>
  <c r="H1687" i="12"/>
  <c r="H1671" i="12"/>
  <c r="H1655" i="12"/>
  <c r="H1639" i="12"/>
  <c r="H1623" i="12"/>
  <c r="H1607" i="12"/>
  <c r="H1591" i="12"/>
  <c r="H1575" i="12"/>
  <c r="H1559" i="12"/>
  <c r="H1543" i="12"/>
  <c r="H1528" i="12"/>
  <c r="H1519" i="12"/>
  <c r="H1505" i="12"/>
  <c r="H1496" i="12"/>
  <c r="H1487" i="12"/>
  <c r="H1473" i="12"/>
  <c r="H1464" i="12"/>
  <c r="H1455" i="12"/>
  <c r="H1441" i="12"/>
  <c r="H1432" i="12"/>
  <c r="H1423" i="12"/>
  <c r="H1409" i="12"/>
  <c r="H1400" i="12"/>
  <c r="H1391" i="12"/>
  <c r="H1377" i="12"/>
  <c r="H1368" i="12"/>
  <c r="H1359" i="12"/>
  <c r="H1345" i="12"/>
  <c r="H1336" i="12"/>
  <c r="H1327" i="12"/>
  <c r="H1313" i="12"/>
  <c r="H1304" i="12"/>
  <c r="H1295" i="12"/>
  <c r="H1281" i="12"/>
  <c r="H1272" i="12"/>
  <c r="H1263" i="12"/>
  <c r="H1249" i="12"/>
  <c r="H1245" i="12"/>
  <c r="H1241" i="12"/>
  <c r="H1237" i="12"/>
  <c r="H1233" i="12"/>
  <c r="H1229" i="12"/>
  <c r="H1225" i="12"/>
  <c r="H1221" i="12"/>
  <c r="H1217" i="12"/>
  <c r="H1213" i="12"/>
  <c r="H1209" i="12"/>
  <c r="H1205" i="12"/>
  <c r="H1201" i="12"/>
  <c r="H1197" i="12"/>
  <c r="H1193" i="12"/>
  <c r="H1189" i="12"/>
  <c r="H1185" i="12"/>
  <c r="H1181" i="12"/>
  <c r="H1177" i="12"/>
  <c r="H1173" i="12"/>
  <c r="H1169" i="12"/>
  <c r="H1165" i="12"/>
  <c r="H1161" i="12"/>
  <c r="H1157" i="12"/>
  <c r="H1153" i="12"/>
  <c r="H1149" i="12"/>
  <c r="H1145" i="12"/>
  <c r="H1141" i="12"/>
  <c r="H1137" i="12"/>
  <c r="H1133" i="12"/>
  <c r="H1129" i="12"/>
  <c r="H1125" i="12"/>
  <c r="H1121" i="12"/>
  <c r="H1117" i="12"/>
  <c r="H1113" i="12"/>
  <c r="H1109" i="12"/>
  <c r="H1105" i="12"/>
  <c r="H1101" i="12"/>
  <c r="H1097" i="12"/>
  <c r="H1093" i="12"/>
  <c r="H1089" i="12"/>
  <c r="H1085" i="12"/>
  <c r="H1081" i="12"/>
  <c r="H1077" i="12"/>
  <c r="H1073" i="12"/>
  <c r="H1069" i="12"/>
  <c r="H1065" i="12"/>
  <c r="H1061" i="12"/>
  <c r="H1057" i="12"/>
  <c r="H1053" i="12"/>
  <c r="H1049" i="12"/>
  <c r="H1045" i="12"/>
  <c r="H1041" i="12"/>
  <c r="H1037" i="12"/>
  <c r="H1033" i="12"/>
  <c r="H1029" i="12"/>
  <c r="H1025" i="12"/>
  <c r="H1021" i="12"/>
  <c r="H1017" i="12"/>
  <c r="H1013" i="12"/>
  <c r="H1009" i="12"/>
  <c r="H1005" i="12"/>
  <c r="H1001" i="12"/>
  <c r="H997" i="12"/>
  <c r="H993" i="12"/>
  <c r="H989" i="12"/>
  <c r="H985" i="12"/>
  <c r="H981" i="12"/>
  <c r="H977" i="12"/>
  <c r="H973" i="12"/>
  <c r="H969" i="12"/>
  <c r="H965" i="12"/>
  <c r="H961" i="12"/>
  <c r="H957" i="12"/>
  <c r="H953" i="12"/>
  <c r="H949" i="12"/>
  <c r="H945" i="12"/>
  <c r="H941" i="12"/>
  <c r="H937" i="12"/>
  <c r="H933" i="12"/>
  <c r="H929" i="12"/>
  <c r="H925" i="12"/>
  <c r="H921" i="12"/>
  <c r="H917" i="12"/>
  <c r="H913" i="12"/>
  <c r="H909" i="12"/>
  <c r="H905" i="12"/>
  <c r="H901" i="12"/>
  <c r="H897" i="12"/>
  <c r="H893" i="12"/>
  <c r="H889" i="12"/>
  <c r="H885" i="12"/>
  <c r="H881" i="12"/>
  <c r="H877" i="12"/>
  <c r="H873" i="12"/>
  <c r="H869" i="12"/>
  <c r="H865" i="12"/>
  <c r="H861" i="12"/>
  <c r="H857" i="12"/>
  <c r="H853" i="12"/>
  <c r="H849" i="12"/>
  <c r="H845" i="12"/>
  <c r="H841" i="12"/>
  <c r="H837" i="12"/>
  <c r="H833" i="12"/>
  <c r="H829" i="12"/>
  <c r="H825" i="12"/>
  <c r="H821" i="12"/>
  <c r="H817" i="12"/>
  <c r="H813" i="12"/>
  <c r="H809" i="12"/>
  <c r="H805" i="12"/>
  <c r="H801" i="12"/>
  <c r="H797" i="12"/>
  <c r="H793" i="12"/>
  <c r="H789" i="12"/>
  <c r="H785" i="12"/>
  <c r="H781" i="12"/>
  <c r="H777" i="12"/>
  <c r="H773" i="12"/>
  <c r="H769" i="12"/>
  <c r="H765" i="12"/>
  <c r="H761" i="12"/>
  <c r="H757" i="12"/>
  <c r="H753" i="12"/>
  <c r="H749" i="12"/>
  <c r="H745" i="12"/>
  <c r="H741" i="12"/>
  <c r="H737" i="12"/>
  <c r="H733" i="12"/>
  <c r="H729" i="12"/>
  <c r="H725" i="12"/>
  <c r="H721" i="12"/>
  <c r="H717" i="12"/>
  <c r="H713" i="12"/>
  <c r="H709" i="12"/>
  <c r="H705" i="12"/>
  <c r="H701" i="12"/>
  <c r="H697" i="12"/>
  <c r="H693" i="12"/>
  <c r="H689" i="12"/>
  <c r="H685" i="12"/>
  <c r="H681" i="12"/>
  <c r="H677" i="12"/>
  <c r="H673" i="12"/>
  <c r="H669" i="12"/>
  <c r="H665" i="12"/>
  <c r="H661" i="12"/>
  <c r="H657" i="12"/>
  <c r="H653" i="12"/>
  <c r="H649" i="12"/>
  <c r="H645" i="12"/>
  <c r="H641" i="12"/>
  <c r="H637" i="12"/>
  <c r="H633" i="12"/>
  <c r="H629" i="12"/>
  <c r="H625" i="12"/>
  <c r="H621" i="12"/>
  <c r="H617" i="12"/>
  <c r="H613" i="12"/>
  <c r="H609" i="12"/>
  <c r="H605" i="12"/>
  <c r="H601" i="12"/>
  <c r="H597" i="12"/>
  <c r="H593" i="12"/>
  <c r="H589" i="12"/>
  <c r="H585" i="12"/>
  <c r="H581" i="12"/>
  <c r="H577" i="12"/>
  <c r="H573" i="12"/>
  <c r="H569" i="12"/>
  <c r="H565" i="12"/>
  <c r="H561" i="12"/>
  <c r="H557" i="12"/>
  <c r="H553" i="12"/>
  <c r="H549" i="12"/>
  <c r="H545" i="12"/>
  <c r="H541" i="12"/>
  <c r="H537" i="12"/>
  <c r="H533" i="12"/>
  <c r="H529" i="12"/>
  <c r="H525" i="12"/>
  <c r="H521" i="12"/>
  <c r="H517" i="12"/>
  <c r="H513" i="12"/>
  <c r="H509" i="12"/>
  <c r="H505" i="12"/>
  <c r="H501" i="12"/>
  <c r="H497" i="12"/>
  <c r="H493" i="12"/>
  <c r="H489" i="12"/>
  <c r="H485" i="12"/>
  <c r="H481" i="12"/>
  <c r="H477" i="12"/>
  <c r="H473" i="12"/>
  <c r="H469" i="12"/>
  <c r="H465" i="12"/>
  <c r="H461" i="12"/>
  <c r="H457" i="12"/>
  <c r="H453" i="12"/>
  <c r="H449" i="12"/>
  <c r="H445" i="12"/>
  <c r="H441" i="12"/>
  <c r="H437" i="12"/>
  <c r="H433" i="12"/>
  <c r="H429" i="12"/>
  <c r="H425" i="12"/>
  <c r="H421" i="12"/>
  <c r="H417" i="12"/>
  <c r="H413" i="12"/>
  <c r="H409" i="12"/>
  <c r="H405" i="12"/>
  <c r="H401" i="12"/>
  <c r="H397" i="12"/>
  <c r="H393" i="12"/>
  <c r="H389" i="12"/>
  <c r="H385" i="12"/>
  <c r="H381" i="12"/>
  <c r="H377" i="12"/>
  <c r="H373" i="12"/>
  <c r="H369" i="12"/>
  <c r="H365" i="12"/>
  <c r="H361" i="12"/>
  <c r="H357" i="12"/>
  <c r="H353" i="12"/>
  <c r="H349" i="12"/>
  <c r="H345" i="12"/>
  <c r="H341" i="12"/>
  <c r="H337" i="12"/>
  <c r="H333" i="12"/>
  <c r="H329" i="12"/>
  <c r="H325" i="12"/>
  <c r="H321" i="12"/>
  <c r="H317" i="12"/>
  <c r="H313" i="12"/>
  <c r="H309" i="12"/>
  <c r="H305" i="12"/>
  <c r="H301" i="12"/>
  <c r="H297" i="12"/>
  <c r="H293" i="12"/>
  <c r="H289" i="12"/>
  <c r="H285" i="12"/>
  <c r="H281" i="12"/>
  <c r="H277" i="12"/>
  <c r="H273" i="12"/>
  <c r="H269" i="12"/>
  <c r="H265" i="12"/>
  <c r="H261" i="12"/>
  <c r="H257" i="12"/>
  <c r="H253" i="12"/>
  <c r="H249" i="12"/>
  <c r="H245" i="12"/>
  <c r="H241" i="12"/>
  <c r="H237" i="12"/>
  <c r="H233" i="12"/>
  <c r="H229" i="12"/>
  <c r="H225" i="12"/>
  <c r="H221" i="12"/>
  <c r="H217" i="12"/>
  <c r="H213" i="12"/>
  <c r="H209" i="12"/>
  <c r="H205" i="12"/>
  <c r="H201" i="12"/>
  <c r="H197" i="12"/>
  <c r="H193" i="12"/>
  <c r="H189" i="12"/>
  <c r="H185" i="12"/>
  <c r="H181" i="12"/>
  <c r="H177" i="12"/>
  <c r="H173" i="12"/>
  <c r="H169" i="12"/>
  <c r="H165" i="12"/>
  <c r="H161" i="12"/>
  <c r="H157" i="12"/>
  <c r="H153" i="12"/>
  <c r="H149" i="12"/>
  <c r="H145" i="12"/>
  <c r="H141" i="12"/>
  <c r="H137" i="12"/>
  <c r="H133" i="12"/>
  <c r="H129" i="12"/>
  <c r="H125" i="12"/>
  <c r="H121" i="12"/>
  <c r="H117" i="12"/>
  <c r="H113" i="12"/>
  <c r="H109" i="12"/>
  <c r="H105" i="12"/>
  <c r="H101" i="12"/>
  <c r="H97" i="12"/>
  <c r="H93" i="12"/>
  <c r="H89" i="12"/>
  <c r="H85" i="12"/>
  <c r="H81" i="12"/>
  <c r="H77" i="12"/>
  <c r="H73" i="12"/>
  <c r="H69" i="12"/>
  <c r="H65" i="12"/>
  <c r="H61" i="12"/>
  <c r="H57" i="12"/>
  <c r="H53" i="12"/>
  <c r="H49" i="12"/>
  <c r="H45" i="12"/>
  <c r="H41" i="12"/>
  <c r="H37" i="12"/>
  <c r="H33" i="12"/>
  <c r="H29" i="12"/>
  <c r="H25" i="12"/>
  <c r="H21" i="12"/>
  <c r="H17" i="12"/>
  <c r="H13" i="12"/>
  <c r="H5649" i="12"/>
  <c r="H5618" i="12"/>
  <c r="H4840" i="12"/>
  <c r="H4667" i="12"/>
  <c r="H4456" i="12"/>
  <c r="H4347" i="12"/>
  <c r="H4200" i="12"/>
  <c r="H3934" i="12"/>
  <c r="H3726" i="12"/>
  <c r="H3602" i="12"/>
  <c r="H3410" i="12"/>
  <c r="H3375" i="12"/>
  <c r="H3346" i="12"/>
  <c r="H3311" i="12"/>
  <c r="H3282" i="12"/>
  <c r="H3247" i="12"/>
  <c r="H3218" i="12"/>
  <c r="H3183" i="12"/>
  <c r="H3154" i="12"/>
  <c r="H3119" i="12"/>
  <c r="H3090" i="12"/>
  <c r="H3055" i="12"/>
  <c r="H3026" i="12"/>
  <c r="H2991" i="12"/>
  <c r="H2962" i="12"/>
  <c r="H2927" i="12"/>
  <c r="H2898" i="12"/>
  <c r="H2863" i="12"/>
  <c r="H2834" i="12"/>
  <c r="H2794" i="12"/>
  <c r="H2720" i="12"/>
  <c r="H2706" i="12"/>
  <c r="H2666" i="12"/>
  <c r="H2592" i="12"/>
  <c r="H2578" i="12"/>
  <c r="H2572" i="12"/>
  <c r="H2561" i="12"/>
  <c r="H2545" i="12"/>
  <c r="H2529" i="12"/>
  <c r="H2513" i="12"/>
  <c r="H2497" i="12"/>
  <c r="H2481" i="12"/>
  <c r="H2465" i="12"/>
  <c r="H2449" i="12"/>
  <c r="H2433" i="12"/>
  <c r="H2417" i="12"/>
  <c r="H2401" i="12"/>
  <c r="H2385" i="12"/>
  <c r="H2369" i="12"/>
  <c r="H2353" i="12"/>
  <c r="H2337" i="12"/>
  <c r="H2321" i="12"/>
  <c r="H2305" i="12"/>
  <c r="H2289" i="12"/>
  <c r="H2273" i="12"/>
  <c r="H2257" i="12"/>
  <c r="H2241" i="12"/>
  <c r="H2225" i="12"/>
  <c r="H2209" i="12"/>
  <c r="H2193" i="12"/>
  <c r="H2177" i="12"/>
  <c r="H2161" i="12"/>
  <c r="H2145" i="12"/>
  <c r="H2129" i="12"/>
  <c r="H2113" i="12"/>
  <c r="H2097" i="12"/>
  <c r="H2081" i="12"/>
  <c r="H2065" i="12"/>
  <c r="H2049" i="12"/>
  <c r="H2033" i="12"/>
  <c r="H2017" i="12"/>
  <c r="H2001" i="12"/>
  <c r="H1985" i="12"/>
  <c r="H1969" i="12"/>
  <c r="H1953" i="12"/>
  <c r="H1937" i="12"/>
  <c r="H1921" i="12"/>
  <c r="H1905" i="12"/>
  <c r="H1889" i="12"/>
  <c r="H1873" i="12"/>
  <c r="H1857" i="12"/>
  <c r="H1841" i="12"/>
  <c r="H1825" i="12"/>
  <c r="H1809" i="12"/>
  <c r="H1793" i="12"/>
  <c r="H1777" i="12"/>
  <c r="H1761" i="12"/>
  <c r="H1745" i="12"/>
  <c r="H1729" i="12"/>
  <c r="H1713" i="12"/>
  <c r="H1697" i="12"/>
  <c r="H1681" i="12"/>
  <c r="H1665" i="12"/>
  <c r="H1649" i="12"/>
  <c r="H1633" i="12"/>
  <c r="H1617" i="12"/>
  <c r="H1601" i="12"/>
  <c r="H1585" i="12"/>
  <c r="H1569" i="12"/>
  <c r="H1553" i="12"/>
  <c r="H1537" i="12"/>
  <c r="H1532" i="12"/>
  <c r="H1523" i="12"/>
  <c r="H1509" i="12"/>
  <c r="H1500" i="12"/>
  <c r="H1491" i="12"/>
  <c r="H1477" i="12"/>
  <c r="H1468" i="12"/>
  <c r="H1459" i="12"/>
  <c r="H1445" i="12"/>
  <c r="H1436" i="12"/>
  <c r="H1427" i="12"/>
  <c r="H1413" i="12"/>
  <c r="H1404" i="12"/>
  <c r="H1395" i="12"/>
  <c r="H1381" i="12"/>
  <c r="H1372" i="12"/>
  <c r="H1363" i="12"/>
  <c r="H1349" i="12"/>
  <c r="H1340" i="12"/>
  <c r="H1331" i="12"/>
  <c r="H1317" i="12"/>
  <c r="H1308" i="12"/>
  <c r="H1299" i="12"/>
  <c r="H1285" i="12"/>
  <c r="H1276" i="12"/>
  <c r="H1267" i="12"/>
  <c r="H1253" i="12"/>
  <c r="H3902" i="12"/>
  <c r="H3678" i="12"/>
  <c r="H3470" i="12"/>
  <c r="H2800" i="12"/>
  <c r="H2786" i="12"/>
  <c r="H2746" i="12"/>
  <c r="H2672" i="12"/>
  <c r="H2658" i="12"/>
  <c r="H2618" i="12"/>
  <c r="H2555" i="12"/>
  <c r="H2539" i="12"/>
  <c r="H2523" i="12"/>
  <c r="H2507" i="12"/>
  <c r="H2491" i="12"/>
  <c r="H2475" i="12"/>
  <c r="H2459" i="12"/>
  <c r="H2443" i="12"/>
  <c r="H2427" i="12"/>
  <c r="H2411" i="12"/>
  <c r="H2395" i="12"/>
  <c r="H2379" i="12"/>
  <c r="H2363" i="12"/>
  <c r="H2347" i="12"/>
  <c r="H2331" i="12"/>
  <c r="H2315" i="12"/>
  <c r="H2299" i="12"/>
  <c r="H2283" i="12"/>
  <c r="H2267" i="12"/>
  <c r="H2251" i="12"/>
  <c r="H2235" i="12"/>
  <c r="H2219" i="12"/>
  <c r="H2203" i="12"/>
  <c r="H2187" i="12"/>
  <c r="H2171" i="12"/>
  <c r="H2155" i="12"/>
  <c r="H2139" i="12"/>
  <c r="H2123" i="12"/>
  <c r="H2107" i="12"/>
  <c r="H2091" i="12"/>
  <c r="H2075" i="12"/>
  <c r="H2059" i="12"/>
  <c r="H2043" i="12"/>
  <c r="H2027" i="12"/>
  <c r="H2011" i="12"/>
  <c r="H1995" i="12"/>
  <c r="H1979" i="12"/>
  <c r="H1963" i="12"/>
  <c r="H1947" i="12"/>
  <c r="H1931" i="12"/>
  <c r="H1915" i="12"/>
  <c r="H1899" i="12"/>
  <c r="H1883" i="12"/>
  <c r="H1867" i="12"/>
  <c r="H1851" i="12"/>
  <c r="H1835" i="12"/>
  <c r="H1819" i="12"/>
  <c r="H1803" i="12"/>
  <c r="H1787" i="12"/>
  <c r="H1771" i="12"/>
  <c r="H1755" i="12"/>
  <c r="H1739" i="12"/>
  <c r="H1723" i="12"/>
  <c r="H1707" i="12"/>
  <c r="H1691" i="12"/>
  <c r="H1675" i="12"/>
  <c r="H1659" i="12"/>
  <c r="H1643" i="12"/>
  <c r="H1627" i="12"/>
  <c r="H1611" i="12"/>
  <c r="H1595" i="12"/>
  <c r="H1579" i="12"/>
  <c r="H1563" i="12"/>
  <c r="H1547" i="12"/>
  <c r="H1527" i="12"/>
  <c r="H1513" i="12"/>
  <c r="H1504" i="12"/>
  <c r="H1495" i="12"/>
  <c r="H1481" i="12"/>
  <c r="H1472" i="12"/>
  <c r="H1463" i="12"/>
  <c r="H1449" i="12"/>
  <c r="H1440" i="12"/>
  <c r="H1431" i="12"/>
  <c r="H1417" i="12"/>
  <c r="H1408" i="12"/>
  <c r="H1399" i="12"/>
  <c r="H1385" i="12"/>
  <c r="H1376" i="12"/>
  <c r="H1367" i="12"/>
  <c r="H1353" i="12"/>
  <c r="H1344" i="12"/>
  <c r="H1335" i="12"/>
  <c r="H1321" i="12"/>
  <c r="H1312" i="12"/>
  <c r="H1303" i="12"/>
  <c r="H1289" i="12"/>
  <c r="H1280" i="12"/>
  <c r="H1271" i="12"/>
  <c r="H1257" i="12"/>
  <c r="H1248" i="12"/>
  <c r="H1244" i="12"/>
  <c r="H1240" i="12"/>
  <c r="H1236" i="12"/>
  <c r="H1232" i="12"/>
  <c r="H1228" i="12"/>
  <c r="H1224" i="12"/>
  <c r="H1220" i="12"/>
  <c r="H1216" i="12"/>
  <c r="H1212" i="12"/>
  <c r="H1208" i="12"/>
  <c r="H1204" i="12"/>
  <c r="H1200" i="12"/>
  <c r="H1196" i="12"/>
  <c r="H1192" i="12"/>
  <c r="H1188" i="12"/>
  <c r="H1184" i="12"/>
  <c r="H1180" i="12"/>
  <c r="H1176" i="12"/>
  <c r="H1172" i="12"/>
  <c r="H1168" i="12"/>
  <c r="H1164" i="12"/>
  <c r="H1160" i="12"/>
  <c r="H1156" i="12"/>
  <c r="H1152" i="12"/>
  <c r="H1148" i="12"/>
  <c r="H1144" i="12"/>
  <c r="H1140" i="12"/>
  <c r="H1136" i="12"/>
  <c r="H1132" i="12"/>
  <c r="H1128" i="12"/>
  <c r="H1124" i="12"/>
  <c r="H1120" i="12"/>
  <c r="H1116" i="12"/>
  <c r="H1112" i="12"/>
  <c r="H1108" i="12"/>
  <c r="H1104" i="12"/>
  <c r="H1100" i="12"/>
  <c r="H1096" i="12"/>
  <c r="H1092" i="12"/>
  <c r="H1088" i="12"/>
  <c r="H1084" i="12"/>
  <c r="H1080" i="12"/>
  <c r="H1076" i="12"/>
  <c r="H1072" i="12"/>
  <c r="H1068" i="12"/>
  <c r="H1064" i="12"/>
  <c r="H1060" i="12"/>
  <c r="H1056" i="12"/>
  <c r="H1052" i="12"/>
  <c r="H1048" i="12"/>
  <c r="H1044" i="12"/>
  <c r="H1040" i="12"/>
  <c r="H1036" i="12"/>
  <c r="H1032" i="12"/>
  <c r="H1028" i="12"/>
  <c r="H1024" i="12"/>
  <c r="H1020" i="12"/>
  <c r="H1016" i="12"/>
  <c r="H1012" i="12"/>
  <c r="H1008" i="12"/>
  <c r="H1004" i="12"/>
  <c r="H1000" i="12"/>
  <c r="H996" i="12"/>
  <c r="H992" i="12"/>
  <c r="H988" i="12"/>
  <c r="H984" i="12"/>
  <c r="H980" i="12"/>
  <c r="H976" i="12"/>
  <c r="H972" i="12"/>
  <c r="H968" i="12"/>
  <c r="H964" i="12"/>
  <c r="H960" i="12"/>
  <c r="H956" i="12"/>
  <c r="H952" i="12"/>
  <c r="H948" i="12"/>
  <c r="H944" i="12"/>
  <c r="H940" i="12"/>
  <c r="H936" i="12"/>
  <c r="H932" i="12"/>
  <c r="H928" i="12"/>
  <c r="H924" i="12"/>
  <c r="H920" i="12"/>
  <c r="H916" i="12"/>
  <c r="H912" i="12"/>
  <c r="H908" i="12"/>
  <c r="H904" i="12"/>
  <c r="H900" i="12"/>
  <c r="H896" i="12"/>
  <c r="H892" i="12"/>
  <c r="H888" i="12"/>
  <c r="H884" i="12"/>
  <c r="H880" i="12"/>
  <c r="H876" i="12"/>
  <c r="H872" i="12"/>
  <c r="H868" i="12"/>
  <c r="H864" i="12"/>
  <c r="H860" i="12"/>
  <c r="H856" i="12"/>
  <c r="H852" i="12"/>
  <c r="H848" i="12"/>
  <c r="H844" i="12"/>
  <c r="H840" i="12"/>
  <c r="H836" i="12"/>
  <c r="H832" i="12"/>
  <c r="H828" i="12"/>
  <c r="H824" i="12"/>
  <c r="H820" i="12"/>
  <c r="H816" i="12"/>
  <c r="H812" i="12"/>
  <c r="H808" i="12"/>
  <c r="H804" i="12"/>
  <c r="H800" i="12"/>
  <c r="H796" i="12"/>
  <c r="H792" i="12"/>
  <c r="H788" i="12"/>
  <c r="H784" i="12"/>
  <c r="H780" i="12"/>
  <c r="H776" i="12"/>
  <c r="H772" i="12"/>
  <c r="H768" i="12"/>
  <c r="H764" i="12"/>
  <c r="H760" i="12"/>
  <c r="H756" i="12"/>
  <c r="H752" i="12"/>
  <c r="H748" i="12"/>
  <c r="H744" i="12"/>
  <c r="H740" i="12"/>
  <c r="H736" i="12"/>
  <c r="H732" i="12"/>
  <c r="H728" i="12"/>
  <c r="H724" i="12"/>
  <c r="H720" i="12"/>
  <c r="H716" i="12"/>
  <c r="H712" i="12"/>
  <c r="H708" i="12"/>
  <c r="H704" i="12"/>
  <c r="H700" i="12"/>
  <c r="H696" i="12"/>
  <c r="H692" i="12"/>
  <c r="H688" i="12"/>
  <c r="H684" i="12"/>
  <c r="H680" i="12"/>
  <c r="H676" i="12"/>
  <c r="H672" i="12"/>
  <c r="H668" i="12"/>
  <c r="H664" i="12"/>
  <c r="H660" i="12"/>
  <c r="H656" i="12"/>
  <c r="H652" i="12"/>
  <c r="H648" i="12"/>
  <c r="H644" i="12"/>
  <c r="H640" i="12"/>
  <c r="H636" i="12"/>
  <c r="H632" i="12"/>
  <c r="H628" i="12"/>
  <c r="H624" i="12"/>
  <c r="H620" i="12"/>
  <c r="H616" i="12"/>
  <c r="H612" i="12"/>
  <c r="H608" i="12"/>
  <c r="H604" i="12"/>
  <c r="H600" i="12"/>
  <c r="H596" i="12"/>
  <c r="H592" i="12"/>
  <c r="H588" i="12"/>
  <c r="H584" i="12"/>
  <c r="H580" i="12"/>
  <c r="H576" i="12"/>
  <c r="H572" i="12"/>
  <c r="H568" i="12"/>
  <c r="H564" i="12"/>
  <c r="H560" i="12"/>
  <c r="H556" i="12"/>
  <c r="H552" i="12"/>
  <c r="H548" i="12"/>
  <c r="H544" i="12"/>
  <c r="H540" i="12"/>
  <c r="H536" i="12"/>
  <c r="H532" i="12"/>
  <c r="H528" i="12"/>
  <c r="H524" i="12"/>
  <c r="H520" i="12"/>
  <c r="H516" i="12"/>
  <c r="H512" i="12"/>
  <c r="H508" i="12"/>
  <c r="H504" i="12"/>
  <c r="H500" i="12"/>
  <c r="H496" i="12"/>
  <c r="H492" i="12"/>
  <c r="H488" i="12"/>
  <c r="H484" i="12"/>
  <c r="H480" i="12"/>
  <c r="H476" i="12"/>
  <c r="H472" i="12"/>
  <c r="H468" i="12"/>
  <c r="H464" i="12"/>
  <c r="H460" i="12"/>
  <c r="H456" i="12"/>
  <c r="H452" i="12"/>
  <c r="H448" i="12"/>
  <c r="H444" i="12"/>
  <c r="H440" i="12"/>
  <c r="H436" i="12"/>
  <c r="H432" i="12"/>
  <c r="H428" i="12"/>
  <c r="H424" i="12"/>
  <c r="H420" i="12"/>
  <c r="H416" i="12"/>
  <c r="H412" i="12"/>
  <c r="H408" i="12"/>
  <c r="H404" i="12"/>
  <c r="H400" i="12"/>
  <c r="H396" i="12"/>
  <c r="H392" i="12"/>
  <c r="H388" i="12"/>
  <c r="H384" i="12"/>
  <c r="H380" i="12"/>
  <c r="H376" i="12"/>
  <c r="H372" i="12"/>
  <c r="H368" i="12"/>
  <c r="H364" i="12"/>
  <c r="H360" i="12"/>
  <c r="H356" i="12"/>
  <c r="H352" i="12"/>
  <c r="H348" i="12"/>
  <c r="H344" i="12"/>
  <c r="H340" i="12"/>
  <c r="H336" i="12"/>
  <c r="H332" i="12"/>
  <c r="H328" i="12"/>
  <c r="H324" i="12"/>
  <c r="H320" i="12"/>
  <c r="H316" i="12"/>
  <c r="H312" i="12"/>
  <c r="H308" i="12"/>
  <c r="H304" i="12"/>
  <c r="H300" i="12"/>
  <c r="H296" i="12"/>
  <c r="H292" i="12"/>
  <c r="H288" i="12"/>
  <c r="H284" i="12"/>
  <c r="H280" i="12"/>
  <c r="H276" i="12"/>
  <c r="H272" i="12"/>
  <c r="H268" i="12"/>
  <c r="H264" i="12"/>
  <c r="H260" i="12"/>
  <c r="H256" i="12"/>
  <c r="H252" i="12"/>
  <c r="H248" i="12"/>
  <c r="H244" i="12"/>
  <c r="H240" i="12"/>
  <c r="H236" i="12"/>
  <c r="H232" i="12"/>
  <c r="H228" i="12"/>
  <c r="H224" i="12"/>
  <c r="H220" i="12"/>
  <c r="H216" i="12"/>
  <c r="H212" i="12"/>
  <c r="H208" i="12"/>
  <c r="H204" i="12"/>
  <c r="H200" i="12"/>
  <c r="H196" i="12"/>
  <c r="H192" i="12"/>
  <c r="H188" i="12"/>
  <c r="H184" i="12"/>
  <c r="H180" i="12"/>
  <c r="H176" i="12"/>
  <c r="H172" i="12"/>
  <c r="H168" i="12"/>
  <c r="H164" i="12"/>
  <c r="H160" i="12"/>
  <c r="H156" i="12"/>
  <c r="H152" i="12"/>
  <c r="H148" i="12"/>
  <c r="H144" i="12"/>
  <c r="H140" i="12"/>
  <c r="H136" i="12"/>
  <c r="H132" i="12"/>
  <c r="H128" i="12"/>
  <c r="H124" i="12"/>
  <c r="H120" i="12"/>
  <c r="H116" i="12"/>
  <c r="H112" i="12"/>
  <c r="H108" i="12"/>
  <c r="H104" i="12"/>
  <c r="H100" i="12"/>
  <c r="H96" i="12"/>
  <c r="H92" i="12"/>
  <c r="H88" i="12"/>
  <c r="H84" i="12"/>
  <c r="H80" i="12"/>
  <c r="H76" i="12"/>
  <c r="H72" i="12"/>
  <c r="H68" i="12"/>
  <c r="H64" i="12"/>
  <c r="H60" i="12"/>
  <c r="H56" i="12"/>
  <c r="H52" i="12"/>
  <c r="H48" i="12"/>
  <c r="H44" i="12"/>
  <c r="H40" i="12"/>
  <c r="H36" i="12"/>
  <c r="H32" i="12"/>
  <c r="H28" i="12"/>
  <c r="H24" i="12"/>
  <c r="H20" i="12"/>
  <c r="H16" i="12"/>
  <c r="H12" i="12"/>
  <c r="H9932" i="12"/>
  <c r="H7917" i="12"/>
  <c r="H5886" i="12"/>
  <c r="H5083" i="12"/>
  <c r="H4712" i="12"/>
  <c r="H4539" i="12"/>
  <c r="H4392" i="12"/>
  <c r="H4283" i="12"/>
  <c r="H4136" i="12"/>
  <c r="H4041" i="12"/>
  <c r="H3646" i="12"/>
  <c r="H3423" i="12"/>
  <c r="H3394" i="12"/>
  <c r="H3359" i="12"/>
  <c r="H3330" i="12"/>
  <c r="H3295" i="12"/>
  <c r="H3266" i="12"/>
  <c r="H3231" i="12"/>
  <c r="H3202" i="12"/>
  <c r="H3167" i="12"/>
  <c r="H3138" i="12"/>
  <c r="H3103" i="12"/>
  <c r="H3074" i="12"/>
  <c r="H3039" i="12"/>
  <c r="H3010" i="12"/>
  <c r="H2975" i="12"/>
  <c r="H2946" i="12"/>
  <c r="H2911" i="12"/>
  <c r="H2882" i="12"/>
  <c r="H2847" i="12"/>
  <c r="H2826" i="12"/>
  <c r="H2752" i="12"/>
  <c r="H2738" i="12"/>
  <c r="H2698" i="12"/>
  <c r="H2624" i="12"/>
  <c r="H2610" i="12"/>
  <c r="H2565" i="12"/>
  <c r="H2549" i="12"/>
  <c r="H2533" i="12"/>
  <c r="H2517" i="12"/>
  <c r="H2501" i="12"/>
  <c r="H2485" i="12"/>
  <c r="H2469" i="12"/>
  <c r="H2453" i="12"/>
  <c r="H2437" i="12"/>
  <c r="H2421" i="12"/>
  <c r="H2405" i="12"/>
  <c r="H2389" i="12"/>
  <c r="H2373" i="12"/>
  <c r="H2357" i="12"/>
  <c r="H2341" i="12"/>
  <c r="H2325" i="12"/>
  <c r="H2309" i="12"/>
  <c r="H2293" i="12"/>
  <c r="H2277" i="12"/>
  <c r="H2261" i="12"/>
  <c r="H2245" i="12"/>
  <c r="H2229" i="12"/>
  <c r="H2213" i="12"/>
  <c r="H2197" i="12"/>
  <c r="H2181" i="12"/>
  <c r="H2165" i="12"/>
  <c r="H2149" i="12"/>
  <c r="H2133" i="12"/>
  <c r="H2117" i="12"/>
  <c r="H2101" i="12"/>
  <c r="H2085" i="12"/>
  <c r="H2069" i="12"/>
  <c r="H2053" i="12"/>
  <c r="H2037" i="12"/>
  <c r="H2021" i="12"/>
  <c r="H2005" i="12"/>
  <c r="H1989" i="12"/>
  <c r="H1973" i="12"/>
  <c r="H1957" i="12"/>
  <c r="H1941" i="12"/>
  <c r="H1925" i="12"/>
  <c r="H1909" i="12"/>
  <c r="H1893" i="12"/>
  <c r="H1877" i="12"/>
  <c r="H1861" i="12"/>
  <c r="H1845" i="12"/>
  <c r="H1829" i="12"/>
  <c r="H1813" i="12"/>
  <c r="H1797" i="12"/>
  <c r="H3762" i="12"/>
  <c r="H2832" i="12"/>
  <c r="H2818" i="12"/>
  <c r="H2778" i="12"/>
  <c r="H2704" i="12"/>
  <c r="H2690" i="12"/>
  <c r="H2650" i="12"/>
  <c r="H2576" i="12"/>
  <c r="H2559" i="12"/>
  <c r="H2543" i="12"/>
  <c r="H2527" i="12"/>
  <c r="H2511" i="12"/>
  <c r="H2495" i="12"/>
  <c r="H2479" i="12"/>
  <c r="H2463" i="12"/>
  <c r="H2447" i="12"/>
  <c r="H2431" i="12"/>
  <c r="H2415" i="12"/>
  <c r="H2399" i="12"/>
  <c r="H2383" i="12"/>
  <c r="H2367" i="12"/>
  <c r="H2351" i="12"/>
  <c r="H2335" i="12"/>
  <c r="H2319" i="12"/>
  <c r="H2303" i="12"/>
  <c r="H2287" i="12"/>
  <c r="H2271" i="12"/>
  <c r="H2255" i="12"/>
  <c r="H2239" i="12"/>
  <c r="H2223" i="12"/>
  <c r="H2207" i="12"/>
  <c r="H2191" i="12"/>
  <c r="H2175" i="12"/>
  <c r="H2159" i="12"/>
  <c r="H2143" i="12"/>
  <c r="H2127" i="12"/>
  <c r="H2111" i="12"/>
  <c r="H2095" i="12"/>
  <c r="H2079" i="12"/>
  <c r="H2063" i="12"/>
  <c r="H2047" i="12"/>
  <c r="H2031" i="12"/>
  <c r="H2015" i="12"/>
  <c r="H1999" i="12"/>
  <c r="H1983" i="12"/>
  <c r="H1967" i="12"/>
  <c r="H1951" i="12"/>
  <c r="H1935" i="12"/>
  <c r="H1919" i="12"/>
  <c r="H1903" i="12"/>
  <c r="H1887" i="12"/>
  <c r="H1871" i="12"/>
  <c r="H1855" i="12"/>
  <c r="H1839" i="12"/>
  <c r="H1823" i="12"/>
  <c r="H1807" i="12"/>
  <c r="H1791" i="12"/>
  <c r="H1775" i="12"/>
  <c r="H1759" i="12"/>
  <c r="H1743" i="12"/>
  <c r="H1727" i="12"/>
  <c r="H1711" i="12"/>
  <c r="H1695" i="12"/>
  <c r="H1679" i="12"/>
  <c r="H1663" i="12"/>
  <c r="H1647" i="12"/>
  <c r="H1631" i="12"/>
  <c r="H1615" i="12"/>
  <c r="H1599" i="12"/>
  <c r="H1583" i="12"/>
  <c r="H1567" i="12"/>
  <c r="H1551" i="12"/>
  <c r="H1535" i="12"/>
  <c r="H1521" i="12"/>
  <c r="H1512" i="12"/>
  <c r="H1503" i="12"/>
  <c r="H1489" i="12"/>
  <c r="H1733" i="12"/>
  <c r="H1605" i="12"/>
  <c r="H1508" i="12"/>
  <c r="H1439" i="12"/>
  <c r="H1425" i="12"/>
  <c r="H1412" i="12"/>
  <c r="H1311" i="12"/>
  <c r="H1297" i="12"/>
  <c r="H1284" i="12"/>
  <c r="H1231" i="12"/>
  <c r="H1199" i="12"/>
  <c r="H1167" i="12"/>
  <c r="H1135" i="12"/>
  <c r="H1103" i="12"/>
  <c r="H1071" i="12"/>
  <c r="H1039" i="12"/>
  <c r="H1007" i="12"/>
  <c r="H975" i="12"/>
  <c r="H943" i="12"/>
  <c r="H911" i="12"/>
  <c r="H879" i="12"/>
  <c r="H847" i="12"/>
  <c r="H815" i="12"/>
  <c r="H783" i="12"/>
  <c r="H751" i="12"/>
  <c r="H719" i="12"/>
  <c r="H687" i="12"/>
  <c r="H655" i="12"/>
  <c r="H623" i="12"/>
  <c r="H591" i="12"/>
  <c r="H559" i="12"/>
  <c r="H527" i="12"/>
  <c r="H495" i="12"/>
  <c r="H463" i="12"/>
  <c r="H431" i="12"/>
  <c r="H399" i="12"/>
  <c r="H367" i="12"/>
  <c r="H335" i="12"/>
  <c r="H303" i="12"/>
  <c r="H271" i="12"/>
  <c r="H239" i="12"/>
  <c r="H207" i="12"/>
  <c r="H175" i="12"/>
  <c r="H143" i="12"/>
  <c r="H111" i="12"/>
  <c r="H79" i="12"/>
  <c r="H47" i="12"/>
  <c r="H15" i="12"/>
  <c r="H1717" i="12"/>
  <c r="H1589" i="12"/>
  <c r="H1485" i="12"/>
  <c r="H1384" i="12"/>
  <c r="H1371" i="12"/>
  <c r="H1357" i="12"/>
  <c r="H1256" i="12"/>
  <c r="H1243" i="12"/>
  <c r="H1211" i="12"/>
  <c r="H1179" i="12"/>
  <c r="H1147" i="12"/>
  <c r="H1115" i="12"/>
  <c r="H1083" i="12"/>
  <c r="H1051" i="12"/>
  <c r="H1019" i="12"/>
  <c r="H987" i="12"/>
  <c r="H955" i="12"/>
  <c r="H923" i="12"/>
  <c r="H891" i="12"/>
  <c r="H859" i="12"/>
  <c r="H827" i="12"/>
  <c r="H795" i="12"/>
  <c r="H763" i="12"/>
  <c r="H731" i="12"/>
  <c r="H699" i="12"/>
  <c r="H667" i="12"/>
  <c r="H635" i="12"/>
  <c r="H603" i="12"/>
  <c r="H571" i="12"/>
  <c r="H539" i="12"/>
  <c r="H507" i="12"/>
  <c r="H475" i="12"/>
  <c r="H443" i="12"/>
  <c r="H411" i="12"/>
  <c r="H379" i="12"/>
  <c r="H347" i="12"/>
  <c r="H315" i="12"/>
  <c r="H283" i="12"/>
  <c r="H251" i="12"/>
  <c r="H219" i="12"/>
  <c r="H187" i="12"/>
  <c r="H155" i="12"/>
  <c r="H123" i="12"/>
  <c r="H91" i="12"/>
  <c r="H59" i="12"/>
  <c r="H27" i="12"/>
  <c r="H1701" i="12"/>
  <c r="H1573" i="12"/>
  <c r="H1499" i="12"/>
  <c r="H1471" i="12"/>
  <c r="H1457" i="12"/>
  <c r="H1444" i="12"/>
  <c r="H1343" i="12"/>
  <c r="H1329" i="12"/>
  <c r="H1316" i="12"/>
  <c r="H1223" i="12"/>
  <c r="H1191" i="12"/>
  <c r="H1159" i="12"/>
  <c r="H1127" i="12"/>
  <c r="H1095" i="12"/>
  <c r="H1063" i="12"/>
  <c r="H1031" i="12"/>
  <c r="H999" i="12"/>
  <c r="H967" i="12"/>
  <c r="H935" i="12"/>
  <c r="H903" i="12"/>
  <c r="H871" i="12"/>
  <c r="H839" i="12"/>
  <c r="H807" i="12"/>
  <c r="H775" i="12"/>
  <c r="H743" i="12"/>
  <c r="H711" i="12"/>
  <c r="H679" i="12"/>
  <c r="H647" i="12"/>
  <c r="H615" i="12"/>
  <c r="H583" i="12"/>
  <c r="H551" i="12"/>
  <c r="H519" i="12"/>
  <c r="H487" i="12"/>
  <c r="H455" i="12"/>
  <c r="H423" i="12"/>
  <c r="H391" i="12"/>
  <c r="H359" i="12"/>
  <c r="H327" i="12"/>
  <c r="H295" i="12"/>
  <c r="H263" i="12"/>
  <c r="H231" i="12"/>
  <c r="H199" i="12"/>
  <c r="H167" i="12"/>
  <c r="H135" i="12"/>
  <c r="H103" i="12"/>
  <c r="H71" i="12"/>
  <c r="H39" i="12"/>
  <c r="H1685" i="12"/>
  <c r="H1557" i="12"/>
  <c r="H1416" i="12"/>
  <c r="H1403" i="12"/>
  <c r="H1389" i="12"/>
  <c r="H1288" i="12"/>
  <c r="H1275" i="12"/>
  <c r="H1261" i="12"/>
  <c r="H1235" i="12"/>
  <c r="H1203" i="12"/>
  <c r="H1171" i="12"/>
  <c r="H1139" i="12"/>
  <c r="H1107" i="12"/>
  <c r="H1075" i="12"/>
  <c r="H1043" i="12"/>
  <c r="H1011" i="12"/>
  <c r="H979" i="12"/>
  <c r="H947" i="12"/>
  <c r="H915" i="12"/>
  <c r="H883" i="12"/>
  <c r="H851" i="12"/>
  <c r="H819" i="12"/>
  <c r="H787" i="12"/>
  <c r="H755" i="12"/>
  <c r="H723" i="12"/>
  <c r="H691" i="12"/>
  <c r="H659" i="12"/>
  <c r="H627" i="12"/>
  <c r="H595" i="12"/>
  <c r="H563" i="12"/>
  <c r="H531" i="12"/>
  <c r="H499" i="12"/>
  <c r="H467" i="12"/>
  <c r="H435" i="12"/>
  <c r="H403" i="12"/>
  <c r="H371" i="12"/>
  <c r="H339" i="12"/>
  <c r="H307" i="12"/>
  <c r="H275" i="12"/>
  <c r="H243" i="12"/>
  <c r="H211" i="12"/>
  <c r="H179" i="12"/>
  <c r="H147" i="12"/>
  <c r="H115" i="12"/>
  <c r="H83" i="12"/>
  <c r="H51" i="12"/>
  <c r="H19" i="12"/>
  <c r="H1669" i="12"/>
  <c r="H1541" i="12"/>
  <c r="H1476" i="12"/>
  <c r="H1375" i="12"/>
  <c r="H1361" i="12"/>
  <c r="H1348" i="12"/>
  <c r="H1247" i="12"/>
  <c r="H1215" i="12"/>
  <c r="H1183" i="12"/>
  <c r="H1151" i="12"/>
  <c r="H1119" i="12"/>
  <c r="H1087" i="12"/>
  <c r="H1055" i="12"/>
  <c r="H1023" i="12"/>
  <c r="H991" i="12"/>
  <c r="H959" i="12"/>
  <c r="H927" i="12"/>
  <c r="H895" i="12"/>
  <c r="H863" i="12"/>
  <c r="H831" i="12"/>
  <c r="H799" i="12"/>
  <c r="H767" i="12"/>
  <c r="H735" i="12"/>
  <c r="H703" i="12"/>
  <c r="H671" i="12"/>
  <c r="H639" i="12"/>
  <c r="H607" i="12"/>
  <c r="H575" i="12"/>
  <c r="H543" i="12"/>
  <c r="H511" i="12"/>
  <c r="H479" i="12"/>
  <c r="H447" i="12"/>
  <c r="H415" i="12"/>
  <c r="H383" i="12"/>
  <c r="H351" i="12"/>
  <c r="H319" i="12"/>
  <c r="H287" i="12"/>
  <c r="H255" i="12"/>
  <c r="H223" i="12"/>
  <c r="H191" i="12"/>
  <c r="H159" i="12"/>
  <c r="H127" i="12"/>
  <c r="H95" i="12"/>
  <c r="H63" i="12"/>
  <c r="H31" i="12"/>
  <c r="H1781" i="12"/>
  <c r="H1653" i="12"/>
  <c r="H1448" i="12"/>
  <c r="H1435" i="12"/>
  <c r="H1421" i="12"/>
  <c r="H1320" i="12"/>
  <c r="H1307" i="12"/>
  <c r="H1293" i="12"/>
  <c r="H1227" i="12"/>
  <c r="H1195" i="12"/>
  <c r="H1163" i="12"/>
  <c r="H1131" i="12"/>
  <c r="H1099" i="12"/>
  <c r="H1067" i="12"/>
  <c r="H1035" i="12"/>
  <c r="H1003" i="12"/>
  <c r="H971" i="12"/>
  <c r="H939" i="12"/>
  <c r="H907" i="12"/>
  <c r="H875" i="12"/>
  <c r="H843" i="12"/>
  <c r="H811" i="12"/>
  <c r="H779" i="12"/>
  <c r="H747" i="12"/>
  <c r="H715" i="12"/>
  <c r="H683" i="12"/>
  <c r="H651" i="12"/>
  <c r="H619" i="12"/>
  <c r="H587" i="12"/>
  <c r="H555" i="12"/>
  <c r="H523" i="12"/>
  <c r="H491" i="12"/>
  <c r="H459" i="12"/>
  <c r="H427" i="12"/>
  <c r="H395" i="12"/>
  <c r="H363" i="12"/>
  <c r="H331" i="12"/>
  <c r="H299" i="12"/>
  <c r="H267" i="12"/>
  <c r="H235" i="12"/>
  <c r="H203" i="12"/>
  <c r="H171" i="12"/>
  <c r="H139" i="12"/>
  <c r="H107" i="12"/>
  <c r="H75" i="12"/>
  <c r="H43" i="12"/>
  <c r="H11" i="12"/>
  <c r="H1765" i="12"/>
  <c r="H1637" i="12"/>
  <c r="H1517" i="12"/>
  <c r="H1407" i="12"/>
  <c r="H1393" i="12"/>
  <c r="H1380" i="12"/>
  <c r="H1279" i="12"/>
  <c r="H1265" i="12"/>
  <c r="H1252" i="12"/>
  <c r="H1239" i="12"/>
  <c r="H1207" i="12"/>
  <c r="H1175" i="12"/>
  <c r="H1143" i="12"/>
  <c r="H1111" i="12"/>
  <c r="H1079" i="12"/>
  <c r="H1047" i="12"/>
  <c r="H1015" i="12"/>
  <c r="H983" i="12"/>
  <c r="H951" i="12"/>
  <c r="H919" i="12"/>
  <c r="H887" i="12"/>
  <c r="H855" i="12"/>
  <c r="H823" i="12"/>
  <c r="H791" i="12"/>
  <c r="H759" i="12"/>
  <c r="H727" i="12"/>
  <c r="H695" i="12"/>
  <c r="H663" i="12"/>
  <c r="H631" i="12"/>
  <c r="H599" i="12"/>
  <c r="H567" i="12"/>
  <c r="H535" i="12"/>
  <c r="H503" i="12"/>
  <c r="H471" i="12"/>
  <c r="H439" i="12"/>
  <c r="H407" i="12"/>
  <c r="H375" i="12"/>
  <c r="H343" i="12"/>
  <c r="H311" i="12"/>
  <c r="H279" i="12"/>
  <c r="H247" i="12"/>
  <c r="H215" i="12"/>
  <c r="H183" i="12"/>
  <c r="H151" i="12"/>
  <c r="H119" i="12"/>
  <c r="H87" i="12"/>
  <c r="H55" i="12"/>
  <c r="H23" i="12"/>
  <c r="H1749" i="12"/>
  <c r="H1621" i="12"/>
  <c r="H1531" i="12"/>
  <c r="H1480" i="12"/>
  <c r="H1467" i="12"/>
  <c r="H1453" i="12"/>
  <c r="H1352" i="12"/>
  <c r="H1339" i="12"/>
  <c r="H1325" i="12"/>
  <c r="H1219" i="12"/>
  <c r="H1187" i="12"/>
  <c r="H1155" i="12"/>
  <c r="H1123" i="12"/>
  <c r="H1091" i="12"/>
  <c r="H1059" i="12"/>
  <c r="H1027" i="12"/>
  <c r="H995" i="12"/>
  <c r="H963" i="12"/>
  <c r="H931" i="12"/>
  <c r="H899" i="12"/>
  <c r="H867" i="12"/>
  <c r="H835" i="12"/>
  <c r="H803" i="12"/>
  <c r="H771" i="12"/>
  <c r="H739" i="12"/>
  <c r="H707" i="12"/>
  <c r="H675" i="12"/>
  <c r="H643" i="12"/>
  <c r="H611" i="12"/>
  <c r="H579" i="12"/>
  <c r="H547" i="12"/>
  <c r="H515" i="12"/>
  <c r="H483" i="12"/>
  <c r="H451" i="12"/>
  <c r="H419" i="12"/>
  <c r="H387" i="12"/>
  <c r="H355" i="12"/>
  <c r="H323" i="12"/>
  <c r="H291" i="12"/>
  <c r="H259" i="12"/>
  <c r="H227" i="12"/>
  <c r="H195" i="12"/>
  <c r="H163" i="12"/>
  <c r="H131" i="12"/>
  <c r="H99" i="12"/>
  <c r="H67" i="12"/>
  <c r="H35" i="12"/>
</calcChain>
</file>

<file path=xl/sharedStrings.xml><?xml version="1.0" encoding="utf-8"?>
<sst xmlns="http://schemas.openxmlformats.org/spreadsheetml/2006/main" count="10604" uniqueCount="10359">
  <si>
    <t>Other income</t>
  </si>
  <si>
    <t>Finance income</t>
  </si>
  <si>
    <t>Finance costs</t>
  </si>
  <si>
    <t>Balance Sheet</t>
  </si>
  <si>
    <t>Trade and other receivables</t>
  </si>
  <si>
    <t>Equity</t>
  </si>
  <si>
    <t>Retained earnings</t>
  </si>
  <si>
    <t>Trade and other payables</t>
  </si>
  <si>
    <t>Provisions</t>
  </si>
  <si>
    <t>Income Statement</t>
  </si>
  <si>
    <t>Income tax expense</t>
  </si>
  <si>
    <t>-</t>
  </si>
  <si>
    <t>Total comprehensive income</t>
  </si>
  <si>
    <t>Assets</t>
  </si>
  <si>
    <t>Property, plant and equipment</t>
  </si>
  <si>
    <t>Total Non Current Assets</t>
  </si>
  <si>
    <t>Total Current Assets</t>
  </si>
  <si>
    <t>Total Assets</t>
  </si>
  <si>
    <t>Stated capital</t>
  </si>
  <si>
    <t>Lease liabilities</t>
  </si>
  <si>
    <t>Cash Flow</t>
  </si>
  <si>
    <t>Adjustments for:</t>
  </si>
  <si>
    <t>Depreciation of property, plant and equipment</t>
  </si>
  <si>
    <t>Amortisation of intangible assets</t>
  </si>
  <si>
    <t>Cash generated from operations</t>
  </si>
  <si>
    <t>Interest received</t>
  </si>
  <si>
    <t>Cash flows from investing activities</t>
  </si>
  <si>
    <t>Purchase of property, plant and equipment</t>
  </si>
  <si>
    <t>Cash flows from financing activities</t>
  </si>
  <si>
    <t>Revenue</t>
  </si>
  <si>
    <t>Cost of sales</t>
  </si>
  <si>
    <t>Gross profit</t>
  </si>
  <si>
    <t>Impairment (charge)/release on trade receivables</t>
  </si>
  <si>
    <t>General, administrative and selling expense</t>
  </si>
  <si>
    <t>Operating profit before finance income/(costs)</t>
  </si>
  <si>
    <t>Profit before income tax</t>
  </si>
  <si>
    <t>Profit for the year</t>
  </si>
  <si>
    <t>Exchange difference on translation of foreign operation</t>
  </si>
  <si>
    <t>Related income tax</t>
  </si>
  <si>
    <t>Items that will not be reclassified to profit or loss:</t>
  </si>
  <si>
    <t>Earnings per share:</t>
  </si>
  <si>
    <t>Other comprehensive loss:</t>
  </si>
  <si>
    <t>Items that may be reclassified subsequently to P/L:</t>
  </si>
  <si>
    <t>WASO</t>
  </si>
  <si>
    <t>Basic earnings per share</t>
  </si>
  <si>
    <t xml:space="preserve">Diluted earnings per share </t>
  </si>
  <si>
    <t>Cash flows from operating activities</t>
  </si>
  <si>
    <t>(Profit)/loss on disposal of plant and equipment</t>
  </si>
  <si>
    <t>Change in trade and other payables</t>
  </si>
  <si>
    <t>Operating Profit before WC Adjustments</t>
  </si>
  <si>
    <t>Net cash flow generated from operating activities</t>
  </si>
  <si>
    <t>Net increase/(decrease) in cash and cash equivalents</t>
  </si>
  <si>
    <t>Effect of foreign exchange fluctuation on cash held</t>
  </si>
  <si>
    <t>Cash and cash equivalents as at 31 December</t>
  </si>
  <si>
    <t>Foreign exchange (gains)/loss</t>
  </si>
  <si>
    <t>Depreciation of right-of-use-assets</t>
  </si>
  <si>
    <t>Impairment loss/(gain) on trade receivables</t>
  </si>
  <si>
    <t>Reversal of provision</t>
  </si>
  <si>
    <t>Interest income</t>
  </si>
  <si>
    <t>Interest expense</t>
  </si>
  <si>
    <t>Employee benefit provision</t>
  </si>
  <si>
    <t>Profit on disposal of ROU</t>
  </si>
  <si>
    <t>Share of (profit)/loss from associate</t>
  </si>
  <si>
    <t>Change in inventories</t>
  </si>
  <si>
    <t>Change in trade and other receivables</t>
  </si>
  <si>
    <t>Change in related party balances</t>
  </si>
  <si>
    <t>Interest paid</t>
  </si>
  <si>
    <t>Income taxes paid</t>
  </si>
  <si>
    <t>Employee benefit paid</t>
  </si>
  <si>
    <t>Proceeds from ROU disposal</t>
  </si>
  <si>
    <t>Proceeds from sale of plant and equipment</t>
  </si>
  <si>
    <t>Payments for long term prepayments (net)</t>
  </si>
  <si>
    <t>Net cash flow used in investing activities</t>
  </si>
  <si>
    <t>Dividend paid</t>
  </si>
  <si>
    <t>Payments for loans</t>
  </si>
  <si>
    <t>Principal elements of lease payments</t>
  </si>
  <si>
    <t>Net cash flow used in financing activities</t>
  </si>
  <si>
    <t>Balance at 1 January</t>
  </si>
  <si>
    <t>Change in employee benefits</t>
  </si>
  <si>
    <t>Right-of-use-assets</t>
  </si>
  <si>
    <t>Intangible assets and goodwill</t>
  </si>
  <si>
    <t>Investment in associates</t>
  </si>
  <si>
    <t>Deferred tax assets</t>
  </si>
  <si>
    <t>Long term prepayments</t>
  </si>
  <si>
    <t>Investment in subsidiary</t>
  </si>
  <si>
    <t>Related party loan</t>
  </si>
  <si>
    <t>Inventories</t>
  </si>
  <si>
    <t>Current tax asset</t>
  </si>
  <si>
    <t>Amounts due from related companies</t>
  </si>
  <si>
    <t>Cash and cash equivalents (excluding bank
overdraft)</t>
  </si>
  <si>
    <t>Assets held for sale</t>
  </si>
  <si>
    <t>Foreign currency translation reserve</t>
  </si>
  <si>
    <t>Non-controlling interest</t>
  </si>
  <si>
    <t>Total equity</t>
  </si>
  <si>
    <t>Liabilities</t>
  </si>
  <si>
    <t>Bank overdraft</t>
  </si>
  <si>
    <t>Loans and borrowings</t>
  </si>
  <si>
    <t>Amounts due to related companies</t>
  </si>
  <si>
    <t>Total current liabilities</t>
  </si>
  <si>
    <t>Deferred tax liability</t>
  </si>
  <si>
    <t>Employee benefits</t>
  </si>
  <si>
    <t>Total non-current liabilities</t>
  </si>
  <si>
    <t>Total liabilities</t>
  </si>
  <si>
    <t>Total liabilities and equity</t>
  </si>
  <si>
    <t xml:space="preserve">Remeasurement loss on employee benefit        </t>
  </si>
  <si>
    <t>Comprehensive loss for the year-net tax</t>
  </si>
  <si>
    <t>TOTALENERGIES</t>
  </si>
  <si>
    <t>Financial Ratios</t>
  </si>
  <si>
    <t>Profitability Ratios</t>
  </si>
  <si>
    <t>Gross Profit Margin</t>
  </si>
  <si>
    <t>Operating Profit Margin</t>
  </si>
  <si>
    <t>Return on Assets</t>
  </si>
  <si>
    <t>Return on Assets(Operating profit)</t>
  </si>
  <si>
    <t>Return on Equity</t>
  </si>
  <si>
    <t>Return on Equity(Operating profit)</t>
  </si>
  <si>
    <t>Liquidity Ratios</t>
  </si>
  <si>
    <t>Current Ratio</t>
  </si>
  <si>
    <t>Quick Ratio</t>
  </si>
  <si>
    <t>Cash Ratio</t>
  </si>
  <si>
    <t>Efficiency Ratios</t>
  </si>
  <si>
    <t>Inventory Turnover</t>
  </si>
  <si>
    <t>Receivables Turnover</t>
  </si>
  <si>
    <t>Asset Turnover</t>
  </si>
  <si>
    <t>Days In Year</t>
  </si>
  <si>
    <t>Receivables Days</t>
  </si>
  <si>
    <t>Inventory Days</t>
  </si>
  <si>
    <t>Cash Conversion Cycle</t>
  </si>
  <si>
    <t>Leverage Ratios</t>
  </si>
  <si>
    <t>Debt-to-equity</t>
  </si>
  <si>
    <t>Interest Coverage Ratio</t>
  </si>
  <si>
    <t>Long-term debt-to-equity</t>
  </si>
  <si>
    <t>Investment Ratios</t>
  </si>
  <si>
    <t>Dividend Yield</t>
  </si>
  <si>
    <t>Dividend per share</t>
  </si>
  <si>
    <t>Earnings per share</t>
  </si>
  <si>
    <t>Price to Earning</t>
  </si>
  <si>
    <t>Payable Turnover</t>
  </si>
  <si>
    <t>Payable Days</t>
  </si>
  <si>
    <t>Earnings Volatility</t>
  </si>
  <si>
    <t>STANDARD DEVIATION</t>
  </si>
  <si>
    <t>MEAN</t>
  </si>
  <si>
    <t>CO-EFFICIENT OF VARIATION</t>
  </si>
  <si>
    <t>Sales Volatility</t>
  </si>
  <si>
    <t>Depreciation</t>
  </si>
  <si>
    <t>Amortization</t>
  </si>
  <si>
    <t>Adjustments:</t>
  </si>
  <si>
    <t>Operating Expense</t>
  </si>
  <si>
    <t>Proceeds from PPE</t>
  </si>
  <si>
    <t>Write offs</t>
  </si>
  <si>
    <t>EBITDA</t>
  </si>
  <si>
    <t>Depreciation &amp; Amortization</t>
  </si>
  <si>
    <t xml:space="preserve">EBIT </t>
  </si>
  <si>
    <t>Net Interest Expense</t>
  </si>
  <si>
    <t>EBT</t>
  </si>
  <si>
    <t>Tax</t>
  </si>
  <si>
    <t>NOPAT</t>
  </si>
  <si>
    <t>Equity Value Calculations</t>
  </si>
  <si>
    <t>Share price @ 23/05/2025</t>
  </si>
  <si>
    <t>Shares Outstanding</t>
  </si>
  <si>
    <t>Market Cap</t>
  </si>
  <si>
    <t>Enterprise Value</t>
  </si>
  <si>
    <t>Net Debt</t>
  </si>
  <si>
    <t>Net Debt Calculations</t>
  </si>
  <si>
    <t>Long term lease liability</t>
  </si>
  <si>
    <t>Short term lease liability</t>
  </si>
  <si>
    <t>Total Interest Bearing Debt</t>
  </si>
  <si>
    <t>Cash</t>
  </si>
  <si>
    <t>Cash and cash equivalents</t>
  </si>
  <si>
    <t xml:space="preserve">Net Debt </t>
  </si>
  <si>
    <t>Valuation Models</t>
  </si>
  <si>
    <t>P/E</t>
  </si>
  <si>
    <t>P/B</t>
  </si>
  <si>
    <t>P/FCF</t>
  </si>
  <si>
    <t>EV/EBITDA</t>
  </si>
  <si>
    <t>EV/EBIT</t>
  </si>
  <si>
    <t>EV/Sales</t>
  </si>
  <si>
    <t>Enterprise Value multiples</t>
  </si>
  <si>
    <t>EV/Revenue</t>
  </si>
  <si>
    <t>Equity Value Multiples</t>
  </si>
  <si>
    <t>Free Cash Flow Calculation</t>
  </si>
  <si>
    <t>Operating Cash Flow</t>
  </si>
  <si>
    <t>Capex</t>
  </si>
  <si>
    <t xml:space="preserve">Free Cash Flow   </t>
  </si>
  <si>
    <t>EV/OCF</t>
  </si>
  <si>
    <t>Comparables Valuation</t>
  </si>
  <si>
    <t>COMPANY</t>
  </si>
  <si>
    <t>PERFORMANCE</t>
  </si>
  <si>
    <t>VALUATION</t>
  </si>
  <si>
    <t>Company Name</t>
  </si>
  <si>
    <t>Ticker</t>
  </si>
  <si>
    <t>Share 
Price</t>
  </si>
  <si>
    <t>Enterprise
Value</t>
  </si>
  <si>
    <t>Total debt/
Equity</t>
  </si>
  <si>
    <t>Gross Margin</t>
  </si>
  <si>
    <t>ROE</t>
  </si>
  <si>
    <t>Average</t>
  </si>
  <si>
    <t>GOIL</t>
  </si>
  <si>
    <t>Tullow Oil PLC</t>
  </si>
  <si>
    <t>TLW</t>
  </si>
  <si>
    <t>Price Target</t>
  </si>
  <si>
    <t>Multiple</t>
  </si>
  <si>
    <t>EPS</t>
  </si>
  <si>
    <t>EV</t>
  </si>
  <si>
    <t>Debt</t>
  </si>
  <si>
    <t>Equity Value</t>
  </si>
  <si>
    <t>S/O</t>
  </si>
  <si>
    <t>Implied Price</t>
  </si>
  <si>
    <t>Target Price</t>
  </si>
  <si>
    <t>Current Price</t>
  </si>
  <si>
    <t>Implied Upside</t>
  </si>
  <si>
    <t>TULLOW OIL</t>
  </si>
  <si>
    <t>GHS</t>
  </si>
  <si>
    <t>USD</t>
  </si>
  <si>
    <t>Borrowings</t>
  </si>
  <si>
    <t>Lease Liabilities</t>
  </si>
  <si>
    <t>NB:USD Rate @23/05/25</t>
  </si>
  <si>
    <t>Non-current term loan</t>
  </si>
  <si>
    <t>Current portion of term loan</t>
  </si>
  <si>
    <t>EBITDA Calculation</t>
  </si>
  <si>
    <t>Depreciation of ROUA</t>
  </si>
  <si>
    <t>Core Operating Expenses</t>
  </si>
  <si>
    <t>Staff,selling and administrative Expenses</t>
  </si>
  <si>
    <t>Depot and Station Expenses(Excludes Depreciation)</t>
  </si>
  <si>
    <t>Customs duties and levies</t>
  </si>
  <si>
    <t>Total COE</t>
  </si>
  <si>
    <r>
      <t xml:space="preserve">                                   </t>
    </r>
    <r>
      <rPr>
        <b/>
        <sz val="18"/>
        <color rgb="FF000000"/>
        <rFont val="Calibri"/>
      </rPr>
      <t xml:space="preserve">     GOIL PLC</t>
    </r>
  </si>
  <si>
    <t xml:space="preserve">     USD</t>
  </si>
  <si>
    <t xml:space="preserve">      GHS</t>
  </si>
  <si>
    <t>Cost of Sales</t>
  </si>
  <si>
    <t>D&amp;A,Depletion</t>
  </si>
  <si>
    <t>Administrative Expenses</t>
  </si>
  <si>
    <t xml:space="preserve">EBITDA  </t>
  </si>
  <si>
    <t>Gross Profit</t>
  </si>
  <si>
    <t>Operating Margin</t>
  </si>
  <si>
    <t>Operating Profit</t>
  </si>
  <si>
    <t>Net Profit</t>
  </si>
  <si>
    <t>Basic EPS</t>
  </si>
  <si>
    <t>Industry Multiple</t>
  </si>
  <si>
    <t>TotalEnergies</t>
  </si>
  <si>
    <t>TOTAL</t>
  </si>
  <si>
    <t>COMPARABLE VALUATION</t>
  </si>
  <si>
    <r>
      <t xml:space="preserve">                                            </t>
    </r>
    <r>
      <rPr>
        <b/>
        <i/>
        <sz val="11"/>
        <color rgb="FF000000"/>
        <rFont val="Calibri"/>
      </rPr>
      <t>All figures are Thousands of Cedis and Tullow Oil's figures are converted from Dollars to Cedis as at December 31,2024.</t>
    </r>
  </si>
  <si>
    <t>Active Case</t>
  </si>
  <si>
    <t xml:space="preserve">Best </t>
  </si>
  <si>
    <t>Base</t>
  </si>
  <si>
    <t>Worst</t>
  </si>
  <si>
    <t>y-o-y growth</t>
  </si>
  <si>
    <t>5 yr CAGR</t>
  </si>
  <si>
    <t>Best Case</t>
  </si>
  <si>
    <t>Base Case</t>
  </si>
  <si>
    <t>Worst Case</t>
  </si>
  <si>
    <t>Selected Case</t>
  </si>
  <si>
    <t>COGS</t>
  </si>
  <si>
    <t>% of Revenue</t>
  </si>
  <si>
    <t>5 yr Average</t>
  </si>
  <si>
    <t>Gen, Admin &amp; Selling Expense</t>
  </si>
  <si>
    <t>Other Income</t>
  </si>
  <si>
    <t>Depreciation and Amortization</t>
  </si>
  <si>
    <t>% of EBT</t>
  </si>
  <si>
    <t>Income Tax</t>
  </si>
  <si>
    <t>CAPEX SCHEDULE</t>
  </si>
  <si>
    <t>PPE Turnover</t>
  </si>
  <si>
    <t>Opening Balance PPE</t>
  </si>
  <si>
    <t xml:space="preserve">CAPEX </t>
  </si>
  <si>
    <t>D&amp;A</t>
  </si>
  <si>
    <t>Closing Balance PPE</t>
  </si>
  <si>
    <t xml:space="preserve">Operating Working Capitial Schedule </t>
  </si>
  <si>
    <t>Inventory</t>
  </si>
  <si>
    <t xml:space="preserve">Receivables </t>
  </si>
  <si>
    <t>Payables Turnover</t>
  </si>
  <si>
    <t>Payables</t>
  </si>
  <si>
    <t>OWC</t>
  </si>
  <si>
    <t>Change in OWC</t>
  </si>
  <si>
    <t>GHS '000</t>
  </si>
  <si>
    <t>Net finance cost</t>
  </si>
  <si>
    <t>Interest expense ( as % of EBIT)</t>
  </si>
  <si>
    <t>AVERAGE</t>
  </si>
  <si>
    <t xml:space="preserve">5 yr Average of % EBT </t>
  </si>
  <si>
    <t xml:space="preserve">CAPM </t>
  </si>
  <si>
    <t>Risk Free Rate (5 year US Bond Yield; Moody Rtaings: Aaa)</t>
  </si>
  <si>
    <t>Beta</t>
  </si>
  <si>
    <t>Expected Market Return</t>
  </si>
  <si>
    <t>Market Risk Premium</t>
  </si>
  <si>
    <t>Equity Risk Premium</t>
  </si>
  <si>
    <t>Country Risk Premium</t>
  </si>
  <si>
    <t xml:space="preserve">Cost of Equity </t>
  </si>
  <si>
    <t>Cost of Debt</t>
  </si>
  <si>
    <t xml:space="preserve">Finance Cost </t>
  </si>
  <si>
    <t>Interest Bearing Debt</t>
  </si>
  <si>
    <t>COD</t>
  </si>
  <si>
    <t>5 Year Average COD</t>
  </si>
  <si>
    <t>Marginal tax rate</t>
  </si>
  <si>
    <t>After Tax COD</t>
  </si>
  <si>
    <t>Weighted Average Cost of Capital</t>
  </si>
  <si>
    <t>Proportion of Equity</t>
  </si>
  <si>
    <t>Proportion of Debt</t>
  </si>
  <si>
    <t xml:space="preserve"> WACC</t>
  </si>
  <si>
    <t>Sustainable Growth Rate</t>
  </si>
  <si>
    <t>Dividend Payout Ratio</t>
  </si>
  <si>
    <t>SGR</t>
  </si>
  <si>
    <t>Year</t>
  </si>
  <si>
    <t>Discounted Cashflow Model</t>
  </si>
  <si>
    <t>Dep&amp;Amort</t>
  </si>
  <si>
    <t>Changes OWC</t>
  </si>
  <si>
    <t>Unlevered Free Cashflow to the firm</t>
  </si>
  <si>
    <t>WACC</t>
  </si>
  <si>
    <t>Long T. Growth rate</t>
  </si>
  <si>
    <t xml:space="preserve">Year count </t>
  </si>
  <si>
    <t>Discount Factor</t>
  </si>
  <si>
    <t>PV OF FCF</t>
  </si>
  <si>
    <t>Terminal Value</t>
  </si>
  <si>
    <t>Sum of PV of FCFs</t>
  </si>
  <si>
    <t>PV of Terminal Value</t>
  </si>
  <si>
    <t xml:space="preserve">Cash and Cash Equivalents </t>
  </si>
  <si>
    <t>Interest bearing debt</t>
  </si>
  <si>
    <t xml:space="preserve">Shares Outstanding </t>
  </si>
  <si>
    <t xml:space="preserve">Implied Share Price </t>
  </si>
  <si>
    <t xml:space="preserve">Current Share Price </t>
  </si>
  <si>
    <t>Potential Upside/ Downside</t>
  </si>
  <si>
    <t>DiVIDEND DISCOUNT MODEL</t>
  </si>
  <si>
    <t>Interest Expense</t>
  </si>
  <si>
    <t>Fair Price Analysis</t>
  </si>
  <si>
    <t>Model</t>
  </si>
  <si>
    <t>WEIGHTS</t>
  </si>
  <si>
    <t>Implied  Price</t>
  </si>
  <si>
    <t>Upside/Downside</t>
  </si>
  <si>
    <t>Recommendation</t>
  </si>
  <si>
    <t>CCA: PE, EV/EBITDA, EV/SALES</t>
  </si>
  <si>
    <t>DCF</t>
  </si>
  <si>
    <t>DDM</t>
  </si>
  <si>
    <t>Intrinsic Price</t>
  </si>
  <si>
    <t xml:space="preserve">Current Price </t>
  </si>
  <si>
    <t>Upside</t>
  </si>
  <si>
    <t>Simulations</t>
  </si>
  <si>
    <t>Uniform Distribution</t>
  </si>
  <si>
    <t>Terminal Price</t>
  </si>
  <si>
    <t>Change in Price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</si>
  <si>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</si>
  <si>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</si>
  <si>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</si>
  <si>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</si>
  <si>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</si>
  <si>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</si>
  <si>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</si>
  <si>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</si>
  <si>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</si>
  <si>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</si>
  <si>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</si>
  <si>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</si>
  <si>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</si>
  <si>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</si>
  <si>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</si>
  <si>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</si>
  <si>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</si>
  <si>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</si>
  <si>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</si>
  <si>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</si>
  <si>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</si>
  <si>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</si>
  <si>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</si>
  <si>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</si>
  <si>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</si>
  <si>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</si>
  <si>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</si>
  <si>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</si>
  <si>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</si>
  <si>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</si>
  <si>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</si>
  <si>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</si>
  <si>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</si>
  <si>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</si>
  <si>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</si>
  <si>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</si>
  <si>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Sim 37</t>
  </si>
  <si>
    <t>Sim 38</t>
  </si>
  <si>
    <t>Sim 39</t>
  </si>
  <si>
    <t>Sim 40</t>
  </si>
  <si>
    <t>Sim 41</t>
  </si>
  <si>
    <t>Sim 42</t>
  </si>
  <si>
    <t>Sim 43</t>
  </si>
  <si>
    <t>Sim 44</t>
  </si>
  <si>
    <t>Sim 45</t>
  </si>
  <si>
    <t>Sim 46</t>
  </si>
  <si>
    <t>Sim 47</t>
  </si>
  <si>
    <t>Sim 48</t>
  </si>
  <si>
    <t>Sim 49</t>
  </si>
  <si>
    <t>Sim 50</t>
  </si>
  <si>
    <t>Sim 51</t>
  </si>
  <si>
    <t>Sim 52</t>
  </si>
  <si>
    <t>Sim 53</t>
  </si>
  <si>
    <t>Sim 54</t>
  </si>
  <si>
    <t>Sim 55</t>
  </si>
  <si>
    <t>Sim 56</t>
  </si>
  <si>
    <t>Sim 57</t>
  </si>
  <si>
    <t>Sim 58</t>
  </si>
  <si>
    <t>Sim 59</t>
  </si>
  <si>
    <t>Sim 60</t>
  </si>
  <si>
    <t>Sim 61</t>
  </si>
  <si>
    <t>Sim 62</t>
  </si>
  <si>
    <t>Sim 63</t>
  </si>
  <si>
    <t>Sim 64</t>
  </si>
  <si>
    <t>Sim 65</t>
  </si>
  <si>
    <t>Sim 66</t>
  </si>
  <si>
    <t>Sim 67</t>
  </si>
  <si>
    <t>Sim 68</t>
  </si>
  <si>
    <t>Sim 69</t>
  </si>
  <si>
    <t>Sim 70</t>
  </si>
  <si>
    <t>Sim 71</t>
  </si>
  <si>
    <t>Sim 72</t>
  </si>
  <si>
    <t>Sim 73</t>
  </si>
  <si>
    <t>Sim 74</t>
  </si>
  <si>
    <t>Sim 75</t>
  </si>
  <si>
    <t>Sim 76</t>
  </si>
  <si>
    <t>Sim 77</t>
  </si>
  <si>
    <t>Sim 78</t>
  </si>
  <si>
    <t>Sim 79</t>
  </si>
  <si>
    <t>Sim 80</t>
  </si>
  <si>
    <t>Sim 81</t>
  </si>
  <si>
    <t>Sim 82</t>
  </si>
  <si>
    <t>Sim 83</t>
  </si>
  <si>
    <t>Sim 84</t>
  </si>
  <si>
    <t>Sim 85</t>
  </si>
  <si>
    <t>Sim 86</t>
  </si>
  <si>
    <t>Sim 87</t>
  </si>
  <si>
    <t>Sim 88</t>
  </si>
  <si>
    <t>Sim 89</t>
  </si>
  <si>
    <t>Sim 90</t>
  </si>
  <si>
    <t>Sim 91</t>
  </si>
  <si>
    <t>Sim 92</t>
  </si>
  <si>
    <t>Sim 93</t>
  </si>
  <si>
    <t>Sim 94</t>
  </si>
  <si>
    <t>Sim 95</t>
  </si>
  <si>
    <t>Sim 96</t>
  </si>
  <si>
    <t>Sim 97</t>
  </si>
  <si>
    <t>Sim 98</t>
  </si>
  <si>
    <t>Sim 99</t>
  </si>
  <si>
    <t>Sim 100</t>
  </si>
  <si>
    <t>Sim 101</t>
  </si>
  <si>
    <t>Sim 102</t>
  </si>
  <si>
    <t>Sim 103</t>
  </si>
  <si>
    <t>Sim 104</t>
  </si>
  <si>
    <t>Sim 105</t>
  </si>
  <si>
    <t>Sim 106</t>
  </si>
  <si>
    <t>Sim 107</t>
  </si>
  <si>
    <t>Sim 108</t>
  </si>
  <si>
    <t>Sim 109</t>
  </si>
  <si>
    <t>Sim 110</t>
  </si>
  <si>
    <t>Sim 111</t>
  </si>
  <si>
    <t>Sim 112</t>
  </si>
  <si>
    <t>Sim 113</t>
  </si>
  <si>
    <t>Sim 114</t>
  </si>
  <si>
    <t>Sim 115</t>
  </si>
  <si>
    <t>Sim 116</t>
  </si>
  <si>
    <t>Sim 117</t>
  </si>
  <si>
    <t>Sim 118</t>
  </si>
  <si>
    <t>Sim 119</t>
  </si>
  <si>
    <t>Sim 120</t>
  </si>
  <si>
    <t>Sim 121</t>
  </si>
  <si>
    <t>Sim 122</t>
  </si>
  <si>
    <t>Sim 123</t>
  </si>
  <si>
    <t>Sim 124</t>
  </si>
  <si>
    <t>Sim 125</t>
  </si>
  <si>
    <t>Sim 126</t>
  </si>
  <si>
    <t>Sim 127</t>
  </si>
  <si>
    <t>Sim 128</t>
  </si>
  <si>
    <t>Sim 129</t>
  </si>
  <si>
    <t>Sim 130</t>
  </si>
  <si>
    <t>Sim 131</t>
  </si>
  <si>
    <t>Sim 132</t>
  </si>
  <si>
    <t>Sim 133</t>
  </si>
  <si>
    <t>Sim 134</t>
  </si>
  <si>
    <t>Sim 135</t>
  </si>
  <si>
    <t>Sim 136</t>
  </si>
  <si>
    <t>Sim 137</t>
  </si>
  <si>
    <t>Sim 138</t>
  </si>
  <si>
    <t>Sim 139</t>
  </si>
  <si>
    <t>Sim 140</t>
  </si>
  <si>
    <t>Sim 141</t>
  </si>
  <si>
    <t>Sim 142</t>
  </si>
  <si>
    <t>Sim 143</t>
  </si>
  <si>
    <t>Sim 144</t>
  </si>
  <si>
    <t>Sim 145</t>
  </si>
  <si>
    <t>Sim 146</t>
  </si>
  <si>
    <t>Sim 147</t>
  </si>
  <si>
    <t>Sim 148</t>
  </si>
  <si>
    <t>Sim 149</t>
  </si>
  <si>
    <t>Sim 150</t>
  </si>
  <si>
    <t>Sim 151</t>
  </si>
  <si>
    <t>Sim 152</t>
  </si>
  <si>
    <t>Sim 153</t>
  </si>
  <si>
    <t>Sim 154</t>
  </si>
  <si>
    <t>Sim 155</t>
  </si>
  <si>
    <t>Sim 156</t>
  </si>
  <si>
    <t>Sim 157</t>
  </si>
  <si>
    <t>Sim 158</t>
  </si>
  <si>
    <t>Sim 159</t>
  </si>
  <si>
    <t>Sim 160</t>
  </si>
  <si>
    <t>Sim 161</t>
  </si>
  <si>
    <t>Sim 162</t>
  </si>
  <si>
    <t>Sim 163</t>
  </si>
  <si>
    <t>Sim 164</t>
  </si>
  <si>
    <t>Sim 165</t>
  </si>
  <si>
    <t>Sim 166</t>
  </si>
  <si>
    <t>Sim 167</t>
  </si>
  <si>
    <t>Sim 168</t>
  </si>
  <si>
    <t>Sim 169</t>
  </si>
  <si>
    <t>Sim 170</t>
  </si>
  <si>
    <t>Sim 171</t>
  </si>
  <si>
    <t>Sim 172</t>
  </si>
  <si>
    <t>Sim 173</t>
  </si>
  <si>
    <t>Sim 174</t>
  </si>
  <si>
    <t>Sim 175</t>
  </si>
  <si>
    <t>Sim 176</t>
  </si>
  <si>
    <t>Sim 177</t>
  </si>
  <si>
    <t>Sim 178</t>
  </si>
  <si>
    <t>Sim 179</t>
  </si>
  <si>
    <t>Sim 180</t>
  </si>
  <si>
    <t>Sim 181</t>
  </si>
  <si>
    <t>Sim 182</t>
  </si>
  <si>
    <t>Sim 183</t>
  </si>
  <si>
    <t>Sim 184</t>
  </si>
  <si>
    <t>Sim 185</t>
  </si>
  <si>
    <t>Sim 186</t>
  </si>
  <si>
    <t>Sim 187</t>
  </si>
  <si>
    <t>Sim 188</t>
  </si>
  <si>
    <t>Sim 189</t>
  </si>
  <si>
    <t>Sim 190</t>
  </si>
  <si>
    <t>Sim 191</t>
  </si>
  <si>
    <t>Sim 192</t>
  </si>
  <si>
    <t>Sim 193</t>
  </si>
  <si>
    <t>Sim 194</t>
  </si>
  <si>
    <t>Sim 195</t>
  </si>
  <si>
    <t>Sim 196</t>
  </si>
  <si>
    <t>Sim 197</t>
  </si>
  <si>
    <t>Sim 198</t>
  </si>
  <si>
    <t>Sim 199</t>
  </si>
  <si>
    <t>Sim 200</t>
  </si>
  <si>
    <t>Sim 201</t>
  </si>
  <si>
    <t>Sim 202</t>
  </si>
  <si>
    <t>Sim 203</t>
  </si>
  <si>
    <t>Sim 204</t>
  </si>
  <si>
    <t>Sim 205</t>
  </si>
  <si>
    <t>Sim 206</t>
  </si>
  <si>
    <t>Sim 207</t>
  </si>
  <si>
    <t>Sim 208</t>
  </si>
  <si>
    <t>Sim 209</t>
  </si>
  <si>
    <t>Sim 210</t>
  </si>
  <si>
    <t>Sim 211</t>
  </si>
  <si>
    <t>Sim 212</t>
  </si>
  <si>
    <t>Sim 213</t>
  </si>
  <si>
    <t>Sim 214</t>
  </si>
  <si>
    <t>Sim 215</t>
  </si>
  <si>
    <t>Sim 216</t>
  </si>
  <si>
    <t>Sim 217</t>
  </si>
  <si>
    <t>Sim 218</t>
  </si>
  <si>
    <t>Sim 219</t>
  </si>
  <si>
    <t>Sim 220</t>
  </si>
  <si>
    <t>Sim 221</t>
  </si>
  <si>
    <t>Sim 222</t>
  </si>
  <si>
    <t>Sim 223</t>
  </si>
  <si>
    <t>Sim 224</t>
  </si>
  <si>
    <t>Sim 225</t>
  </si>
  <si>
    <t>Sim 226</t>
  </si>
  <si>
    <t>Sim 227</t>
  </si>
  <si>
    <t>Sim 228</t>
  </si>
  <si>
    <t>Sim 229</t>
  </si>
  <si>
    <t>Sim 230</t>
  </si>
  <si>
    <t>Sim 231</t>
  </si>
  <si>
    <t>Sim 232</t>
  </si>
  <si>
    <t>Sim 233</t>
  </si>
  <si>
    <t>Sim 234</t>
  </si>
  <si>
    <t>Sim 235</t>
  </si>
  <si>
    <t>Sim 236</t>
  </si>
  <si>
    <t>Sim 237</t>
  </si>
  <si>
    <t>Sim 238</t>
  </si>
  <si>
    <t>Sim 239</t>
  </si>
  <si>
    <t>Sim 240</t>
  </si>
  <si>
    <t>Sim 241</t>
  </si>
  <si>
    <t>Sim 242</t>
  </si>
  <si>
    <t>Sim 243</t>
  </si>
  <si>
    <t>Sim 244</t>
  </si>
  <si>
    <t>Sim 245</t>
  </si>
  <si>
    <t>Sim 246</t>
  </si>
  <si>
    <t>Sim 247</t>
  </si>
  <si>
    <t>Sim 248</t>
  </si>
  <si>
    <t>Sim 249</t>
  </si>
  <si>
    <t>Sim 250</t>
  </si>
  <si>
    <t>Sim 251</t>
  </si>
  <si>
    <t>Sim 252</t>
  </si>
  <si>
    <t>Sim 253</t>
  </si>
  <si>
    <t>Sim 254</t>
  </si>
  <si>
    <t>Sim 255</t>
  </si>
  <si>
    <t>Sim 256</t>
  </si>
  <si>
    <t>Sim 257</t>
  </si>
  <si>
    <t>Sim 258</t>
  </si>
  <si>
    <t>Sim 259</t>
  </si>
  <si>
    <t>Sim 260</t>
  </si>
  <si>
    <t>Sim 261</t>
  </si>
  <si>
    <t>Sim 262</t>
  </si>
  <si>
    <t>Sim 263</t>
  </si>
  <si>
    <t>Sim 264</t>
  </si>
  <si>
    <t>Sim 265</t>
  </si>
  <si>
    <t>Sim 266</t>
  </si>
  <si>
    <t>Sim 267</t>
  </si>
  <si>
    <t>Sim 268</t>
  </si>
  <si>
    <t>Sim 269</t>
  </si>
  <si>
    <t>Sim 270</t>
  </si>
  <si>
    <t>Sim 271</t>
  </si>
  <si>
    <t>Sim 272</t>
  </si>
  <si>
    <t>Sim 273</t>
  </si>
  <si>
    <t>Sim 274</t>
  </si>
  <si>
    <t>Sim 275</t>
  </si>
  <si>
    <t>Sim 276</t>
  </si>
  <si>
    <t>Sim 277</t>
  </si>
  <si>
    <t>Sim 278</t>
  </si>
  <si>
    <t>Sim 279</t>
  </si>
  <si>
    <t>Sim 280</t>
  </si>
  <si>
    <t>Sim 281</t>
  </si>
  <si>
    <t>Sim 282</t>
  </si>
  <si>
    <t>Sim 283</t>
  </si>
  <si>
    <t>Sim 284</t>
  </si>
  <si>
    <t>Sim 285</t>
  </si>
  <si>
    <t>Sim 286</t>
  </si>
  <si>
    <t>Sim 287</t>
  </si>
  <si>
    <t>Sim 288</t>
  </si>
  <si>
    <t>Sim 289</t>
  </si>
  <si>
    <t>Sim 290</t>
  </si>
  <si>
    <t>Sim 291</t>
  </si>
  <si>
    <t>Sim 292</t>
  </si>
  <si>
    <t>Sim 293</t>
  </si>
  <si>
    <t>Sim 294</t>
  </si>
  <si>
    <t>Sim 295</t>
  </si>
  <si>
    <t>Sim 296</t>
  </si>
  <si>
    <t>Sim 297</t>
  </si>
  <si>
    <t>Sim 298</t>
  </si>
  <si>
    <t>Sim 299</t>
  </si>
  <si>
    <t>Sim 300</t>
  </si>
  <si>
    <t>Sim 301</t>
  </si>
  <si>
    <t>Sim 302</t>
  </si>
  <si>
    <t>Sim 303</t>
  </si>
  <si>
    <t>Sim 304</t>
  </si>
  <si>
    <t>Sim 305</t>
  </si>
  <si>
    <t>Sim 306</t>
  </si>
  <si>
    <t>Sim 307</t>
  </si>
  <si>
    <t>Sim 308</t>
  </si>
  <si>
    <t>Sim 309</t>
  </si>
  <si>
    <t>Sim 310</t>
  </si>
  <si>
    <t>Sim 311</t>
  </si>
  <si>
    <t>Sim 312</t>
  </si>
  <si>
    <t>Sim 313</t>
  </si>
  <si>
    <t>Sim 314</t>
  </si>
  <si>
    <t>Sim 315</t>
  </si>
  <si>
    <t>Sim 316</t>
  </si>
  <si>
    <t>Sim 317</t>
  </si>
  <si>
    <t>Sim 318</t>
  </si>
  <si>
    <t>Sim 319</t>
  </si>
  <si>
    <t>Sim 320</t>
  </si>
  <si>
    <t>Sim 321</t>
  </si>
  <si>
    <t>Sim 322</t>
  </si>
  <si>
    <t>Sim 323</t>
  </si>
  <si>
    <t>Sim 324</t>
  </si>
  <si>
    <t>Sim 325</t>
  </si>
  <si>
    <t>Sim 326</t>
  </si>
  <si>
    <t>Sim 327</t>
  </si>
  <si>
    <t>Sim 328</t>
  </si>
  <si>
    <t>Sim 329</t>
  </si>
  <si>
    <t>Sim 330</t>
  </si>
  <si>
    <t>Sim 331</t>
  </si>
  <si>
    <t>Sim 332</t>
  </si>
  <si>
    <t>Sim 333</t>
  </si>
  <si>
    <t>Sim 334</t>
  </si>
  <si>
    <t>Sim 335</t>
  </si>
  <si>
    <t>Sim 336</t>
  </si>
  <si>
    <t>Sim 337</t>
  </si>
  <si>
    <t>Sim 338</t>
  </si>
  <si>
    <t>Sim 339</t>
  </si>
  <si>
    <t>Sim 340</t>
  </si>
  <si>
    <t>Sim 341</t>
  </si>
  <si>
    <t>Sim 342</t>
  </si>
  <si>
    <t>Sim 343</t>
  </si>
  <si>
    <t>Sim 344</t>
  </si>
  <si>
    <t>Sim 345</t>
  </si>
  <si>
    <t>Sim 346</t>
  </si>
  <si>
    <t>Sim 347</t>
  </si>
  <si>
    <t>Sim 348</t>
  </si>
  <si>
    <t>Sim 349</t>
  </si>
  <si>
    <t>Sim 350</t>
  </si>
  <si>
    <t>Sim 351</t>
  </si>
  <si>
    <t>Sim 352</t>
  </si>
  <si>
    <t>Sim 353</t>
  </si>
  <si>
    <t>Sim 354</t>
  </si>
  <si>
    <t>Sim 355</t>
  </si>
  <si>
    <t>Sim 356</t>
  </si>
  <si>
    <t>Sim 357</t>
  </si>
  <si>
    <t>Sim 358</t>
  </si>
  <si>
    <t>Sim 359</t>
  </si>
  <si>
    <t>Sim 360</t>
  </si>
  <si>
    <t>Sim 361</t>
  </si>
  <si>
    <t>Sim 362</t>
  </si>
  <si>
    <t>Sim 363</t>
  </si>
  <si>
    <t>Sim 364</t>
  </si>
  <si>
    <t>Sim 365</t>
  </si>
  <si>
    <t>Sim 366</t>
  </si>
  <si>
    <t>Sim 367</t>
  </si>
  <si>
    <t>Sim 368</t>
  </si>
  <si>
    <t>Sim 369</t>
  </si>
  <si>
    <t>Sim 370</t>
  </si>
  <si>
    <t>Sim 371</t>
  </si>
  <si>
    <t>Sim 372</t>
  </si>
  <si>
    <t>Sim 373</t>
  </si>
  <si>
    <t>Sim 374</t>
  </si>
  <si>
    <t>Sim 375</t>
  </si>
  <si>
    <t>Sim 376</t>
  </si>
  <si>
    <t>Sim 377</t>
  </si>
  <si>
    <t>Sim 378</t>
  </si>
  <si>
    <t>Sim 379</t>
  </si>
  <si>
    <t>Sim 380</t>
  </si>
  <si>
    <t>Sim 381</t>
  </si>
  <si>
    <t>Sim 382</t>
  </si>
  <si>
    <t>Sim 383</t>
  </si>
  <si>
    <t>Sim 384</t>
  </si>
  <si>
    <t>Sim 385</t>
  </si>
  <si>
    <t>Sim 386</t>
  </si>
  <si>
    <t>Sim 387</t>
  </si>
  <si>
    <t>Sim 388</t>
  </si>
  <si>
    <t>Sim 389</t>
  </si>
  <si>
    <t>Sim 390</t>
  </si>
  <si>
    <t>Sim 391</t>
  </si>
  <si>
    <t>Sim 392</t>
  </si>
  <si>
    <t>Sim 393</t>
  </si>
  <si>
    <t>Sim 394</t>
  </si>
  <si>
    <t>Sim 395</t>
  </si>
  <si>
    <t>Sim 396</t>
  </si>
  <si>
    <t>Sim 397</t>
  </si>
  <si>
    <t>Sim 398</t>
  </si>
  <si>
    <t>Sim 399</t>
  </si>
  <si>
    <t>Sim 400</t>
  </si>
  <si>
    <t>Sim 401</t>
  </si>
  <si>
    <t>Sim 402</t>
  </si>
  <si>
    <t>Sim 403</t>
  </si>
  <si>
    <t>Sim 404</t>
  </si>
  <si>
    <t>Sim 405</t>
  </si>
  <si>
    <t>Sim 406</t>
  </si>
  <si>
    <t>Sim 407</t>
  </si>
  <si>
    <t>Sim 408</t>
  </si>
  <si>
    <t>Sim 409</t>
  </si>
  <si>
    <t>Sim 410</t>
  </si>
  <si>
    <t>Sim 411</t>
  </si>
  <si>
    <t>Sim 412</t>
  </si>
  <si>
    <t>Sim 413</t>
  </si>
  <si>
    <t>Sim 414</t>
  </si>
  <si>
    <t>Sim 415</t>
  </si>
  <si>
    <t>Sim 416</t>
  </si>
  <si>
    <t>Sim 417</t>
  </si>
  <si>
    <t>Sim 418</t>
  </si>
  <si>
    <t>Sim 419</t>
  </si>
  <si>
    <t>Sim 420</t>
  </si>
  <si>
    <t>Sim 421</t>
  </si>
  <si>
    <t>Sim 422</t>
  </si>
  <si>
    <t>Sim 423</t>
  </si>
  <si>
    <t>Sim 424</t>
  </si>
  <si>
    <t>Sim 425</t>
  </si>
  <si>
    <t>Sim 426</t>
  </si>
  <si>
    <t>Sim 427</t>
  </si>
  <si>
    <t>Sim 428</t>
  </si>
  <si>
    <t>Sim 429</t>
  </si>
  <si>
    <t>Sim 430</t>
  </si>
  <si>
    <t>Sim 431</t>
  </si>
  <si>
    <t>Sim 432</t>
  </si>
  <si>
    <t>Sim 433</t>
  </si>
  <si>
    <t>Sim 434</t>
  </si>
  <si>
    <t>Sim 435</t>
  </si>
  <si>
    <t>Sim 436</t>
  </si>
  <si>
    <t>Sim 437</t>
  </si>
  <si>
    <t>Sim 438</t>
  </si>
  <si>
    <t>Sim 439</t>
  </si>
  <si>
    <t>Sim 440</t>
  </si>
  <si>
    <t>Sim 441</t>
  </si>
  <si>
    <t>Sim 442</t>
  </si>
  <si>
    <t>Sim 443</t>
  </si>
  <si>
    <t>Sim 444</t>
  </si>
  <si>
    <t>Sim 445</t>
  </si>
  <si>
    <t>Sim 446</t>
  </si>
  <si>
    <t>Sim 447</t>
  </si>
  <si>
    <t>Sim 448</t>
  </si>
  <si>
    <t>Sim 449</t>
  </si>
  <si>
    <t>Sim 450</t>
  </si>
  <si>
    <t>Sim 451</t>
  </si>
  <si>
    <t>Sim 452</t>
  </si>
  <si>
    <t>Sim 453</t>
  </si>
  <si>
    <t>Sim 454</t>
  </si>
  <si>
    <t>Sim 455</t>
  </si>
  <si>
    <t>Sim 456</t>
  </si>
  <si>
    <t>Sim 457</t>
  </si>
  <si>
    <t>Sim 458</t>
  </si>
  <si>
    <t>Sim 459</t>
  </si>
  <si>
    <t>Sim 460</t>
  </si>
  <si>
    <t>Sim 461</t>
  </si>
  <si>
    <t>Sim 462</t>
  </si>
  <si>
    <t>Sim 463</t>
  </si>
  <si>
    <t>Sim 464</t>
  </si>
  <si>
    <t>Sim 465</t>
  </si>
  <si>
    <t>Sim 466</t>
  </si>
  <si>
    <t>Sim 467</t>
  </si>
  <si>
    <t>Sim 468</t>
  </si>
  <si>
    <t>Sim 469</t>
  </si>
  <si>
    <t>Sim 470</t>
  </si>
  <si>
    <t>Sim 471</t>
  </si>
  <si>
    <t>Sim 472</t>
  </si>
  <si>
    <t>Sim 473</t>
  </si>
  <si>
    <t>Sim 474</t>
  </si>
  <si>
    <t>Sim 475</t>
  </si>
  <si>
    <t>Sim 476</t>
  </si>
  <si>
    <t>Sim 477</t>
  </si>
  <si>
    <t>Sim 478</t>
  </si>
  <si>
    <t>Sim 479</t>
  </si>
  <si>
    <t>Sim 480</t>
  </si>
  <si>
    <t>Sim 481</t>
  </si>
  <si>
    <t>Sim 482</t>
  </si>
  <si>
    <t>Sim 483</t>
  </si>
  <si>
    <t>Sim 484</t>
  </si>
  <si>
    <t>Sim 485</t>
  </si>
  <si>
    <t>Sim 486</t>
  </si>
  <si>
    <t>Sim 487</t>
  </si>
  <si>
    <t>Sim 488</t>
  </si>
  <si>
    <t>Sim 489</t>
  </si>
  <si>
    <t>Sim 490</t>
  </si>
  <si>
    <t>Sim 491</t>
  </si>
  <si>
    <t>Sim 492</t>
  </si>
  <si>
    <t>Sim 493</t>
  </si>
  <si>
    <t>Sim 494</t>
  </si>
  <si>
    <t>Sim 495</t>
  </si>
  <si>
    <t>Sim 496</t>
  </si>
  <si>
    <t>Sim 497</t>
  </si>
  <si>
    <t>Sim 498</t>
  </si>
  <si>
    <t>Sim 499</t>
  </si>
  <si>
    <t>Sim 500</t>
  </si>
  <si>
    <t>Sim 501</t>
  </si>
  <si>
    <t>Sim 502</t>
  </si>
  <si>
    <t>Sim 503</t>
  </si>
  <si>
    <t>Sim 504</t>
  </si>
  <si>
    <t>Sim 505</t>
  </si>
  <si>
    <t>Sim 506</t>
  </si>
  <si>
    <t>Sim 507</t>
  </si>
  <si>
    <t>Sim 508</t>
  </si>
  <si>
    <t>Sim 509</t>
  </si>
  <si>
    <t>Sim 510</t>
  </si>
  <si>
    <t>Sim 511</t>
  </si>
  <si>
    <t>Sim 512</t>
  </si>
  <si>
    <t>Sim 513</t>
  </si>
  <si>
    <t>Sim 514</t>
  </si>
  <si>
    <t>Sim 515</t>
  </si>
  <si>
    <t>Sim 516</t>
  </si>
  <si>
    <t>Sim 517</t>
  </si>
  <si>
    <t>Sim 518</t>
  </si>
  <si>
    <t>Sim 519</t>
  </si>
  <si>
    <t>Sim 520</t>
  </si>
  <si>
    <t>Sim 521</t>
  </si>
  <si>
    <t>Sim 522</t>
  </si>
  <si>
    <t>Sim 523</t>
  </si>
  <si>
    <t>Sim 524</t>
  </si>
  <si>
    <t>Sim 525</t>
  </si>
  <si>
    <t>Sim 526</t>
  </si>
  <si>
    <t>Sim 527</t>
  </si>
  <si>
    <t>Sim 528</t>
  </si>
  <si>
    <t>Sim 529</t>
  </si>
  <si>
    <t>Sim 530</t>
  </si>
  <si>
    <t>Sim 531</t>
  </si>
  <si>
    <t>Sim 532</t>
  </si>
  <si>
    <t>Sim 533</t>
  </si>
  <si>
    <t>Sim 534</t>
  </si>
  <si>
    <t>Sim 535</t>
  </si>
  <si>
    <t>Sim 536</t>
  </si>
  <si>
    <t>Sim 537</t>
  </si>
  <si>
    <t>Sim 538</t>
  </si>
  <si>
    <t>Sim 539</t>
  </si>
  <si>
    <t>Sim 540</t>
  </si>
  <si>
    <t>Sim 541</t>
  </si>
  <si>
    <t>Sim 542</t>
  </si>
  <si>
    <t>Sim 543</t>
  </si>
  <si>
    <t>Sim 544</t>
  </si>
  <si>
    <t>Sim 545</t>
  </si>
  <si>
    <t>Sim 546</t>
  </si>
  <si>
    <t>Sim 547</t>
  </si>
  <si>
    <t>Sim 548</t>
  </si>
  <si>
    <t>Sim 549</t>
  </si>
  <si>
    <t>Sim 550</t>
  </si>
  <si>
    <t>Sim 551</t>
  </si>
  <si>
    <t>Sim 552</t>
  </si>
  <si>
    <t>Sim 553</t>
  </si>
  <si>
    <t>Sim 554</t>
  </si>
  <si>
    <t>Sim 555</t>
  </si>
  <si>
    <t>Sim 556</t>
  </si>
  <si>
    <t>Sim 557</t>
  </si>
  <si>
    <t>Sim 558</t>
  </si>
  <si>
    <t>Sim 559</t>
  </si>
  <si>
    <t>Sim 560</t>
  </si>
  <si>
    <t>Sim 561</t>
  </si>
  <si>
    <t>Sim 562</t>
  </si>
  <si>
    <t>Sim 563</t>
  </si>
  <si>
    <t>Sim 564</t>
  </si>
  <si>
    <t>Sim 565</t>
  </si>
  <si>
    <t>Sim 566</t>
  </si>
  <si>
    <t>Sim 567</t>
  </si>
  <si>
    <t>Sim 568</t>
  </si>
  <si>
    <t>Sim 569</t>
  </si>
  <si>
    <t>Sim 570</t>
  </si>
  <si>
    <t>Sim 571</t>
  </si>
  <si>
    <t>Sim 572</t>
  </si>
  <si>
    <t>Sim 573</t>
  </si>
  <si>
    <t>Sim 574</t>
  </si>
  <si>
    <t>Sim 575</t>
  </si>
  <si>
    <t>Sim 576</t>
  </si>
  <si>
    <t>Sim 577</t>
  </si>
  <si>
    <t>Sim 578</t>
  </si>
  <si>
    <t>Sim 579</t>
  </si>
  <si>
    <t>Sim 580</t>
  </si>
  <si>
    <t>Sim 581</t>
  </si>
  <si>
    <t>Sim 582</t>
  </si>
  <si>
    <t>Sim 583</t>
  </si>
  <si>
    <t>Sim 584</t>
  </si>
  <si>
    <t>Sim 585</t>
  </si>
  <si>
    <t>Sim 586</t>
  </si>
  <si>
    <t>Sim 587</t>
  </si>
  <si>
    <t>Sim 588</t>
  </si>
  <si>
    <t>Sim 589</t>
  </si>
  <si>
    <t>Sim 590</t>
  </si>
  <si>
    <t>Sim 591</t>
  </si>
  <si>
    <t>Sim 592</t>
  </si>
  <si>
    <t>Sim 593</t>
  </si>
  <si>
    <t>Sim 594</t>
  </si>
  <si>
    <t>Sim 595</t>
  </si>
  <si>
    <t>Sim 596</t>
  </si>
  <si>
    <t>Sim 597</t>
  </si>
  <si>
    <t>Sim 598</t>
  </si>
  <si>
    <t>Sim 599</t>
  </si>
  <si>
    <t>Sim 600</t>
  </si>
  <si>
    <t>Sim 601</t>
  </si>
  <si>
    <t>Sim 602</t>
  </si>
  <si>
    <t>Sim 603</t>
  </si>
  <si>
    <t>Sim 604</t>
  </si>
  <si>
    <t>Sim 605</t>
  </si>
  <si>
    <t>Sim 606</t>
  </si>
  <si>
    <t>Sim 607</t>
  </si>
  <si>
    <t>Sim 608</t>
  </si>
  <si>
    <t>Sim 609</t>
  </si>
  <si>
    <t>Sim 610</t>
  </si>
  <si>
    <t>Sim 611</t>
  </si>
  <si>
    <t>Sim 612</t>
  </si>
  <si>
    <t>Sim 613</t>
  </si>
  <si>
    <t>Sim 614</t>
  </si>
  <si>
    <t>Sim 615</t>
  </si>
  <si>
    <t>Sim 616</t>
  </si>
  <si>
    <t>Sim 617</t>
  </si>
  <si>
    <t>Sim 618</t>
  </si>
  <si>
    <t>Sim 619</t>
  </si>
  <si>
    <t>Sim 620</t>
  </si>
  <si>
    <t>Sim 621</t>
  </si>
  <si>
    <t>Sim 622</t>
  </si>
  <si>
    <t>Sim 623</t>
  </si>
  <si>
    <t>Sim 624</t>
  </si>
  <si>
    <t>Sim 625</t>
  </si>
  <si>
    <t>Sim 626</t>
  </si>
  <si>
    <t>Sim 627</t>
  </si>
  <si>
    <t>Sim 628</t>
  </si>
  <si>
    <t>Sim 629</t>
  </si>
  <si>
    <t>Sim 630</t>
  </si>
  <si>
    <t>Sim 631</t>
  </si>
  <si>
    <t>Sim 632</t>
  </si>
  <si>
    <t>Sim 633</t>
  </si>
  <si>
    <t>Sim 634</t>
  </si>
  <si>
    <t>Sim 635</t>
  </si>
  <si>
    <t>Sim 636</t>
  </si>
  <si>
    <t>Sim 637</t>
  </si>
  <si>
    <t>Sim 638</t>
  </si>
  <si>
    <t>Sim 639</t>
  </si>
  <si>
    <t>Sim 640</t>
  </si>
  <si>
    <t>Sim 641</t>
  </si>
  <si>
    <t>Sim 642</t>
  </si>
  <si>
    <t>Sim 643</t>
  </si>
  <si>
    <t>Sim 644</t>
  </si>
  <si>
    <t>Sim 645</t>
  </si>
  <si>
    <t>Sim 646</t>
  </si>
  <si>
    <t>Sim 647</t>
  </si>
  <si>
    <t>Sim 648</t>
  </si>
  <si>
    <t>Sim 649</t>
  </si>
  <si>
    <t>Sim 650</t>
  </si>
  <si>
    <t>Sim 651</t>
  </si>
  <si>
    <t>Sim 652</t>
  </si>
  <si>
    <t>Sim 653</t>
  </si>
  <si>
    <t>Sim 654</t>
  </si>
  <si>
    <t>Sim 655</t>
  </si>
  <si>
    <t>Sim 656</t>
  </si>
  <si>
    <t>Sim 657</t>
  </si>
  <si>
    <t>Sim 658</t>
  </si>
  <si>
    <t>Sim 659</t>
  </si>
  <si>
    <t>Sim 660</t>
  </si>
  <si>
    <t>Sim 661</t>
  </si>
  <si>
    <t>Sim 662</t>
  </si>
  <si>
    <t>Sim 663</t>
  </si>
  <si>
    <t>Sim 664</t>
  </si>
  <si>
    <t>Sim 665</t>
  </si>
  <si>
    <t>Sim 666</t>
  </si>
  <si>
    <t>Sim 667</t>
  </si>
  <si>
    <t>Sim 668</t>
  </si>
  <si>
    <t>Sim 669</t>
  </si>
  <si>
    <t>Sim 670</t>
  </si>
  <si>
    <t>Sim 671</t>
  </si>
  <si>
    <t>Sim 672</t>
  </si>
  <si>
    <t>Sim 673</t>
  </si>
  <si>
    <t>Sim 674</t>
  </si>
  <si>
    <t>Sim 675</t>
  </si>
  <si>
    <t>Sim 676</t>
  </si>
  <si>
    <t>Sim 677</t>
  </si>
  <si>
    <t>Sim 678</t>
  </si>
  <si>
    <t>Sim 679</t>
  </si>
  <si>
    <t>Sim 680</t>
  </si>
  <si>
    <t>Sim 681</t>
  </si>
  <si>
    <t>Sim 682</t>
  </si>
  <si>
    <t>Sim 683</t>
  </si>
  <si>
    <t>Sim 684</t>
  </si>
  <si>
    <t>Sim 685</t>
  </si>
  <si>
    <t>Sim 686</t>
  </si>
  <si>
    <t>Sim 687</t>
  </si>
  <si>
    <t>Sim 688</t>
  </si>
  <si>
    <t>Sim 689</t>
  </si>
  <si>
    <t>Sim 690</t>
  </si>
  <si>
    <t>Sim 691</t>
  </si>
  <si>
    <t>Sim 692</t>
  </si>
  <si>
    <t>Sim 693</t>
  </si>
  <si>
    <t>Sim 694</t>
  </si>
  <si>
    <t>Sim 695</t>
  </si>
  <si>
    <t>Sim 696</t>
  </si>
  <si>
    <t>Sim 697</t>
  </si>
  <si>
    <t>Sim 698</t>
  </si>
  <si>
    <t>Sim 699</t>
  </si>
  <si>
    <t>Sim 700</t>
  </si>
  <si>
    <t>Sim 701</t>
  </si>
  <si>
    <t>Sim 702</t>
  </si>
  <si>
    <t>Sim 703</t>
  </si>
  <si>
    <t>Sim 704</t>
  </si>
  <si>
    <t>Sim 705</t>
  </si>
  <si>
    <t>Sim 706</t>
  </si>
  <si>
    <t>Sim 707</t>
  </si>
  <si>
    <t>Sim 708</t>
  </si>
  <si>
    <t>Sim 709</t>
  </si>
  <si>
    <t>Sim 710</t>
  </si>
  <si>
    <t>Sim 711</t>
  </si>
  <si>
    <t>Sim 712</t>
  </si>
  <si>
    <t>Sim 713</t>
  </si>
  <si>
    <t>Sim 714</t>
  </si>
  <si>
    <t>Sim 715</t>
  </si>
  <si>
    <t>Sim 716</t>
  </si>
  <si>
    <t>Sim 717</t>
  </si>
  <si>
    <t>Sim 718</t>
  </si>
  <si>
    <t>Sim 719</t>
  </si>
  <si>
    <t>Sim 720</t>
  </si>
  <si>
    <t>Sim 721</t>
  </si>
  <si>
    <t>Sim 722</t>
  </si>
  <si>
    <t>Sim 723</t>
  </si>
  <si>
    <t>Sim 724</t>
  </si>
  <si>
    <t>Sim 725</t>
  </si>
  <si>
    <t>Sim 726</t>
  </si>
  <si>
    <t>Sim 727</t>
  </si>
  <si>
    <t>Sim 728</t>
  </si>
  <si>
    <t>Sim 729</t>
  </si>
  <si>
    <t>Sim 730</t>
  </si>
  <si>
    <t>Sim 731</t>
  </si>
  <si>
    <t>Sim 732</t>
  </si>
  <si>
    <t>Sim 733</t>
  </si>
  <si>
    <t>Sim 734</t>
  </si>
  <si>
    <t>Sim 735</t>
  </si>
  <si>
    <t>Sim 736</t>
  </si>
  <si>
    <t>Sim 737</t>
  </si>
  <si>
    <t>Sim 738</t>
  </si>
  <si>
    <t>Sim 739</t>
  </si>
  <si>
    <t>Sim 740</t>
  </si>
  <si>
    <t>Sim 741</t>
  </si>
  <si>
    <t>Sim 742</t>
  </si>
  <si>
    <t>Sim 743</t>
  </si>
  <si>
    <t>Sim 744</t>
  </si>
  <si>
    <t>Sim 745</t>
  </si>
  <si>
    <t>Sim 746</t>
  </si>
  <si>
    <t>Sim 747</t>
  </si>
  <si>
    <t>Sim 748</t>
  </si>
  <si>
    <t>Sim 749</t>
  </si>
  <si>
    <t>Sim 750</t>
  </si>
  <si>
    <t>Sim 751</t>
  </si>
  <si>
    <t>Sim 752</t>
  </si>
  <si>
    <t>Sim 753</t>
  </si>
  <si>
    <t>Sim 754</t>
  </si>
  <si>
    <t>Sim 755</t>
  </si>
  <si>
    <t>Sim 756</t>
  </si>
  <si>
    <t>Sim 757</t>
  </si>
  <si>
    <t>Sim 758</t>
  </si>
  <si>
    <t>Sim 759</t>
  </si>
  <si>
    <t>Sim 760</t>
  </si>
  <si>
    <t>Sim 761</t>
  </si>
  <si>
    <t>Sim 762</t>
  </si>
  <si>
    <t>Sim 763</t>
  </si>
  <si>
    <t>Sim 764</t>
  </si>
  <si>
    <t>Sim 765</t>
  </si>
  <si>
    <t>Sim 766</t>
  </si>
  <si>
    <t>Sim 767</t>
  </si>
  <si>
    <t>Sim 768</t>
  </si>
  <si>
    <t>Sim 769</t>
  </si>
  <si>
    <t>Sim 770</t>
  </si>
  <si>
    <t>Sim 771</t>
  </si>
  <si>
    <t>Sim 772</t>
  </si>
  <si>
    <t>Sim 773</t>
  </si>
  <si>
    <t>Sim 774</t>
  </si>
  <si>
    <t>Sim 775</t>
  </si>
  <si>
    <t>Sim 776</t>
  </si>
  <si>
    <t>Sim 777</t>
  </si>
  <si>
    <t>Sim 778</t>
  </si>
  <si>
    <t>Sim 779</t>
  </si>
  <si>
    <t>Sim 780</t>
  </si>
  <si>
    <t>Sim 781</t>
  </si>
  <si>
    <t>Sim 782</t>
  </si>
  <si>
    <t>Sim 783</t>
  </si>
  <si>
    <t>Sim 784</t>
  </si>
  <si>
    <t>Sim 785</t>
  </si>
  <si>
    <t>Sim 786</t>
  </si>
  <si>
    <t>Sim 787</t>
  </si>
  <si>
    <t>Sim 788</t>
  </si>
  <si>
    <t>Sim 789</t>
  </si>
  <si>
    <t>Sim 790</t>
  </si>
  <si>
    <t>Sim 791</t>
  </si>
  <si>
    <t>Sim 792</t>
  </si>
  <si>
    <t>Sim 793</t>
  </si>
  <si>
    <t>Sim 794</t>
  </si>
  <si>
    <t>Sim 795</t>
  </si>
  <si>
    <t>Sim 796</t>
  </si>
  <si>
    <t>Sim 797</t>
  </si>
  <si>
    <t>Sim 798</t>
  </si>
  <si>
    <t>Sim 799</t>
  </si>
  <si>
    <t>Sim 800</t>
  </si>
  <si>
    <t>Sim 801</t>
  </si>
  <si>
    <t>Sim 802</t>
  </si>
  <si>
    <t>Sim 803</t>
  </si>
  <si>
    <t>Sim 804</t>
  </si>
  <si>
    <t>Sim 805</t>
  </si>
  <si>
    <t>Sim 806</t>
  </si>
  <si>
    <t>Sim 807</t>
  </si>
  <si>
    <t>Sim 808</t>
  </si>
  <si>
    <t>Sim 809</t>
  </si>
  <si>
    <t>Sim 810</t>
  </si>
  <si>
    <t>Sim 811</t>
  </si>
  <si>
    <t>Sim 812</t>
  </si>
  <si>
    <t>Sim 813</t>
  </si>
  <si>
    <t>Sim 814</t>
  </si>
  <si>
    <t>Sim 815</t>
  </si>
  <si>
    <t>Sim 816</t>
  </si>
  <si>
    <t>Sim 817</t>
  </si>
  <si>
    <t>Sim 818</t>
  </si>
  <si>
    <t>Sim 819</t>
  </si>
  <si>
    <t>Sim 820</t>
  </si>
  <si>
    <t>Sim 821</t>
  </si>
  <si>
    <t>Sim 822</t>
  </si>
  <si>
    <t>Sim 823</t>
  </si>
  <si>
    <t>Sim 824</t>
  </si>
  <si>
    <t>Sim 825</t>
  </si>
  <si>
    <t>Sim 826</t>
  </si>
  <si>
    <t>Sim 827</t>
  </si>
  <si>
    <t>Sim 828</t>
  </si>
  <si>
    <t>Sim 829</t>
  </si>
  <si>
    <t>Sim 830</t>
  </si>
  <si>
    <t>Sim 831</t>
  </si>
  <si>
    <t>Sim 832</t>
  </si>
  <si>
    <t>Sim 833</t>
  </si>
  <si>
    <t>Sim 834</t>
  </si>
  <si>
    <t>Sim 835</t>
  </si>
  <si>
    <t>Sim 836</t>
  </si>
  <si>
    <t>Sim 837</t>
  </si>
  <si>
    <t>Sim 838</t>
  </si>
  <si>
    <t>Sim 839</t>
  </si>
  <si>
    <t>Sim 840</t>
  </si>
  <si>
    <t>Sim 841</t>
  </si>
  <si>
    <t>Sim 842</t>
  </si>
  <si>
    <t>Sim 843</t>
  </si>
  <si>
    <t>Sim 844</t>
  </si>
  <si>
    <t>Sim 845</t>
  </si>
  <si>
    <t>Sim 846</t>
  </si>
  <si>
    <t>Sim 847</t>
  </si>
  <si>
    <t>Sim 848</t>
  </si>
  <si>
    <t>Sim 849</t>
  </si>
  <si>
    <t>Sim 850</t>
  </si>
  <si>
    <t>Sim 851</t>
  </si>
  <si>
    <t>Sim 852</t>
  </si>
  <si>
    <t>Sim 853</t>
  </si>
  <si>
    <t>Sim 854</t>
  </si>
  <si>
    <t>Sim 855</t>
  </si>
  <si>
    <t>Sim 856</t>
  </si>
  <si>
    <t>Sim 857</t>
  </si>
  <si>
    <t>Sim 858</t>
  </si>
  <si>
    <t>Sim 859</t>
  </si>
  <si>
    <t>Sim 860</t>
  </si>
  <si>
    <t>Sim 861</t>
  </si>
  <si>
    <t>Sim 862</t>
  </si>
  <si>
    <t>Sim 863</t>
  </si>
  <si>
    <t>Sim 864</t>
  </si>
  <si>
    <t>Sim 865</t>
  </si>
  <si>
    <t>Sim 866</t>
  </si>
  <si>
    <t>Sim 867</t>
  </si>
  <si>
    <t>Sim 868</t>
  </si>
  <si>
    <t>Sim 869</t>
  </si>
  <si>
    <t>Sim 870</t>
  </si>
  <si>
    <t>Sim 871</t>
  </si>
  <si>
    <t>Sim 872</t>
  </si>
  <si>
    <t>Sim 873</t>
  </si>
  <si>
    <t>Sim 874</t>
  </si>
  <si>
    <t>Sim 875</t>
  </si>
  <si>
    <t>Sim 876</t>
  </si>
  <si>
    <t>Sim 877</t>
  </si>
  <si>
    <t>Sim 878</t>
  </si>
  <si>
    <t>Sim 879</t>
  </si>
  <si>
    <t>Sim 880</t>
  </si>
  <si>
    <t>Sim 881</t>
  </si>
  <si>
    <t>Sim 882</t>
  </si>
  <si>
    <t>Sim 883</t>
  </si>
  <si>
    <t>Sim 884</t>
  </si>
  <si>
    <t>Sim 885</t>
  </si>
  <si>
    <t>Sim 886</t>
  </si>
  <si>
    <t>Sim 887</t>
  </si>
  <si>
    <t>Sim 888</t>
  </si>
  <si>
    <t>Sim 889</t>
  </si>
  <si>
    <t>Sim 890</t>
  </si>
  <si>
    <t>Sim 891</t>
  </si>
  <si>
    <t>Sim 892</t>
  </si>
  <si>
    <t>Sim 893</t>
  </si>
  <si>
    <t>Sim 894</t>
  </si>
  <si>
    <t>Sim 895</t>
  </si>
  <si>
    <t>Sim 896</t>
  </si>
  <si>
    <t>Sim 897</t>
  </si>
  <si>
    <t>Sim 898</t>
  </si>
  <si>
    <t>Sim 899</t>
  </si>
  <si>
    <t>Sim 900</t>
  </si>
  <si>
    <t>Sim 901</t>
  </si>
  <si>
    <t>Sim 902</t>
  </si>
  <si>
    <t>Sim 903</t>
  </si>
  <si>
    <t>Sim 904</t>
  </si>
  <si>
    <t>Sim 905</t>
  </si>
  <si>
    <t>Sim 906</t>
  </si>
  <si>
    <t>Sim 907</t>
  </si>
  <si>
    <t>Sim 908</t>
  </si>
  <si>
    <t>Sim 909</t>
  </si>
  <si>
    <t>Sim 910</t>
  </si>
  <si>
    <t>Sim 911</t>
  </si>
  <si>
    <t>Sim 912</t>
  </si>
  <si>
    <t>Sim 913</t>
  </si>
  <si>
    <t>Sim 914</t>
  </si>
  <si>
    <t>Sim 915</t>
  </si>
  <si>
    <t>Sim 916</t>
  </si>
  <si>
    <t>Sim 917</t>
  </si>
  <si>
    <t>Sim 918</t>
  </si>
  <si>
    <t>Sim 919</t>
  </si>
  <si>
    <t>Sim 920</t>
  </si>
  <si>
    <t>Sim 921</t>
  </si>
  <si>
    <t>Sim 922</t>
  </si>
  <si>
    <t>Sim 923</t>
  </si>
  <si>
    <t>Sim 924</t>
  </si>
  <si>
    <t>Sim 925</t>
  </si>
  <si>
    <t>Sim 926</t>
  </si>
  <si>
    <t>Sim 927</t>
  </si>
  <si>
    <t>Sim 928</t>
  </si>
  <si>
    <t>Sim 929</t>
  </si>
  <si>
    <t>Sim 930</t>
  </si>
  <si>
    <t>Sim 931</t>
  </si>
  <si>
    <t>Sim 932</t>
  </si>
  <si>
    <t>Sim 933</t>
  </si>
  <si>
    <t>Sim 934</t>
  </si>
  <si>
    <t>Sim 935</t>
  </si>
  <si>
    <t>Sim 936</t>
  </si>
  <si>
    <t>Sim 937</t>
  </si>
  <si>
    <t>Sim 938</t>
  </si>
  <si>
    <t>Sim 939</t>
  </si>
  <si>
    <t>Sim 940</t>
  </si>
  <si>
    <t>Sim 941</t>
  </si>
  <si>
    <t>Sim 942</t>
  </si>
  <si>
    <t>Sim 943</t>
  </si>
  <si>
    <t>Sim 944</t>
  </si>
  <si>
    <t>Sim 945</t>
  </si>
  <si>
    <t>Sim 946</t>
  </si>
  <si>
    <t>Sim 947</t>
  </si>
  <si>
    <t>Sim 948</t>
  </si>
  <si>
    <t>Sim 949</t>
  </si>
  <si>
    <t>Sim 950</t>
  </si>
  <si>
    <t>Sim 951</t>
  </si>
  <si>
    <t>Sim 952</t>
  </si>
  <si>
    <t>Sim 953</t>
  </si>
  <si>
    <t>Sim 954</t>
  </si>
  <si>
    <t>Sim 955</t>
  </si>
  <si>
    <t>Sim 956</t>
  </si>
  <si>
    <t>Sim 957</t>
  </si>
  <si>
    <t>Sim 958</t>
  </si>
  <si>
    <t>Sim 959</t>
  </si>
  <si>
    <t>Sim 960</t>
  </si>
  <si>
    <t>Sim 961</t>
  </si>
  <si>
    <t>Sim 962</t>
  </si>
  <si>
    <t>Sim 963</t>
  </si>
  <si>
    <t>Sim 964</t>
  </si>
  <si>
    <t>Sim 965</t>
  </si>
  <si>
    <t>Sim 966</t>
  </si>
  <si>
    <t>Sim 967</t>
  </si>
  <si>
    <t>Sim 968</t>
  </si>
  <si>
    <t>Sim 969</t>
  </si>
  <si>
    <t>Sim 970</t>
  </si>
  <si>
    <t>Sim 971</t>
  </si>
  <si>
    <t>Sim 972</t>
  </si>
  <si>
    <t>Sim 973</t>
  </si>
  <si>
    <t>Sim 974</t>
  </si>
  <si>
    <t>Sim 975</t>
  </si>
  <si>
    <t>Sim 976</t>
  </si>
  <si>
    <t>Sim 977</t>
  </si>
  <si>
    <t>Sim 978</t>
  </si>
  <si>
    <t>Sim 979</t>
  </si>
  <si>
    <t>Sim 980</t>
  </si>
  <si>
    <t>Sim 981</t>
  </si>
  <si>
    <t>Sim 982</t>
  </si>
  <si>
    <t>Sim 983</t>
  </si>
  <si>
    <t>Sim 984</t>
  </si>
  <si>
    <t>Sim 985</t>
  </si>
  <si>
    <t>Sim 986</t>
  </si>
  <si>
    <t>Sim 987</t>
  </si>
  <si>
    <t>Sim 988</t>
  </si>
  <si>
    <t>Sim 989</t>
  </si>
  <si>
    <t>Sim 990</t>
  </si>
  <si>
    <t>Sim 991</t>
  </si>
  <si>
    <t>Sim 992</t>
  </si>
  <si>
    <t>Sim 993</t>
  </si>
  <si>
    <t>Sim 994</t>
  </si>
  <si>
    <t>Sim 995</t>
  </si>
  <si>
    <t>Sim 996</t>
  </si>
  <si>
    <t>Sim 997</t>
  </si>
  <si>
    <t>Sim 998</t>
  </si>
  <si>
    <t>Sim 999</t>
  </si>
  <si>
    <t>Sim 1000</t>
  </si>
  <si>
    <t>Sim 1001</t>
  </si>
  <si>
    <t>Sim 1002</t>
  </si>
  <si>
    <t>Sim 1003</t>
  </si>
  <si>
    <t>Sim 1004</t>
  </si>
  <si>
    <t>Sim 1005</t>
  </si>
  <si>
    <t>Sim 1006</t>
  </si>
  <si>
    <t>Sim 1007</t>
  </si>
  <si>
    <t>Sim 1008</t>
  </si>
  <si>
    <t>Sim 1009</t>
  </si>
  <si>
    <t>Sim 1010</t>
  </si>
  <si>
    <t>Sim 1011</t>
  </si>
  <si>
    <t>Sim 1012</t>
  </si>
  <si>
    <t>Sim 1013</t>
  </si>
  <si>
    <t>Sim 1014</t>
  </si>
  <si>
    <t>Sim 1015</t>
  </si>
  <si>
    <t>Sim 1016</t>
  </si>
  <si>
    <t>Sim 1017</t>
  </si>
  <si>
    <t>Sim 1018</t>
  </si>
  <si>
    <t>Sim 1019</t>
  </si>
  <si>
    <t>Sim 1020</t>
  </si>
  <si>
    <t>Sim 1021</t>
  </si>
  <si>
    <t>Sim 1022</t>
  </si>
  <si>
    <t>Sim 1023</t>
  </si>
  <si>
    <t>Sim 1024</t>
  </si>
  <si>
    <t>Sim 1025</t>
  </si>
  <si>
    <t>Sim 1026</t>
  </si>
  <si>
    <t>Sim 1027</t>
  </si>
  <si>
    <t>Sim 1028</t>
  </si>
  <si>
    <t>Sim 1029</t>
  </si>
  <si>
    <t>Sim 1030</t>
  </si>
  <si>
    <t>Sim 1031</t>
  </si>
  <si>
    <t>Sim 1032</t>
  </si>
  <si>
    <t>Sim 1033</t>
  </si>
  <si>
    <t>Sim 1034</t>
  </si>
  <si>
    <t>Sim 1035</t>
  </si>
  <si>
    <t>Sim 1036</t>
  </si>
  <si>
    <t>Sim 1037</t>
  </si>
  <si>
    <t>Sim 1038</t>
  </si>
  <si>
    <t>Sim 1039</t>
  </si>
  <si>
    <t>Sim 1040</t>
  </si>
  <si>
    <t>Sim 1041</t>
  </si>
  <si>
    <t>Sim 1042</t>
  </si>
  <si>
    <t>Sim 1043</t>
  </si>
  <si>
    <t>Sim 1044</t>
  </si>
  <si>
    <t>Sim 1045</t>
  </si>
  <si>
    <t>Sim 1046</t>
  </si>
  <si>
    <t>Sim 1047</t>
  </si>
  <si>
    <t>Sim 1048</t>
  </si>
  <si>
    <t>Sim 1049</t>
  </si>
  <si>
    <t>Sim 1050</t>
  </si>
  <si>
    <t>Sim 1051</t>
  </si>
  <si>
    <t>Sim 1052</t>
  </si>
  <si>
    <t>Sim 1053</t>
  </si>
  <si>
    <t>Sim 1054</t>
  </si>
  <si>
    <t>Sim 1055</t>
  </si>
  <si>
    <t>Sim 1056</t>
  </si>
  <si>
    <t>Sim 1057</t>
  </si>
  <si>
    <t>Sim 1058</t>
  </si>
  <si>
    <t>Sim 1059</t>
  </si>
  <si>
    <t>Sim 1060</t>
  </si>
  <si>
    <t>Sim 1061</t>
  </si>
  <si>
    <t>Sim 1062</t>
  </si>
  <si>
    <t>Sim 1063</t>
  </si>
  <si>
    <t>Sim 1064</t>
  </si>
  <si>
    <t>Sim 1065</t>
  </si>
  <si>
    <t>Sim 1066</t>
  </si>
  <si>
    <t>Sim 1067</t>
  </si>
  <si>
    <t>Sim 1068</t>
  </si>
  <si>
    <t>Sim 1069</t>
  </si>
  <si>
    <t>Sim 1070</t>
  </si>
  <si>
    <t>Sim 1071</t>
  </si>
  <si>
    <t>Sim 1072</t>
  </si>
  <si>
    <t>Sim 1073</t>
  </si>
  <si>
    <t>Sim 1074</t>
  </si>
  <si>
    <t>Sim 1075</t>
  </si>
  <si>
    <t>Sim 1076</t>
  </si>
  <si>
    <t>Sim 1077</t>
  </si>
  <si>
    <t>Sim 1078</t>
  </si>
  <si>
    <t>Sim 1079</t>
  </si>
  <si>
    <t>Sim 1080</t>
  </si>
  <si>
    <t>Sim 1081</t>
  </si>
  <si>
    <t>Sim 1082</t>
  </si>
  <si>
    <t>Sim 1083</t>
  </si>
  <si>
    <t>Sim 1084</t>
  </si>
  <si>
    <t>Sim 1085</t>
  </si>
  <si>
    <t>Sim 1086</t>
  </si>
  <si>
    <t>Sim 1087</t>
  </si>
  <si>
    <t>Sim 1088</t>
  </si>
  <si>
    <t>Sim 1089</t>
  </si>
  <si>
    <t>Sim 1090</t>
  </si>
  <si>
    <t>Sim 1091</t>
  </si>
  <si>
    <t>Sim 1092</t>
  </si>
  <si>
    <t>Sim 1093</t>
  </si>
  <si>
    <t>Sim 1094</t>
  </si>
  <si>
    <t>Sim 1095</t>
  </si>
  <si>
    <t>Sim 1096</t>
  </si>
  <si>
    <t>Sim 1097</t>
  </si>
  <si>
    <t>Sim 1098</t>
  </si>
  <si>
    <t>Sim 1099</t>
  </si>
  <si>
    <t>Sim 1100</t>
  </si>
  <si>
    <t>Sim 1101</t>
  </si>
  <si>
    <t>Sim 1102</t>
  </si>
  <si>
    <t>Sim 1103</t>
  </si>
  <si>
    <t>Sim 1104</t>
  </si>
  <si>
    <t>Sim 1105</t>
  </si>
  <si>
    <t>Sim 1106</t>
  </si>
  <si>
    <t>Sim 1107</t>
  </si>
  <si>
    <t>Sim 1108</t>
  </si>
  <si>
    <t>Sim 1109</t>
  </si>
  <si>
    <t>Sim 1110</t>
  </si>
  <si>
    <t>Sim 1111</t>
  </si>
  <si>
    <t>Sim 1112</t>
  </si>
  <si>
    <t>Sim 1113</t>
  </si>
  <si>
    <t>Sim 1114</t>
  </si>
  <si>
    <t>Sim 1115</t>
  </si>
  <si>
    <t>Sim 1116</t>
  </si>
  <si>
    <t>Sim 1117</t>
  </si>
  <si>
    <t>Sim 1118</t>
  </si>
  <si>
    <t>Sim 1119</t>
  </si>
  <si>
    <t>Sim 1120</t>
  </si>
  <si>
    <t>Sim 1121</t>
  </si>
  <si>
    <t>Sim 1122</t>
  </si>
  <si>
    <t>Sim 1123</t>
  </si>
  <si>
    <t>Sim 1124</t>
  </si>
  <si>
    <t>Sim 1125</t>
  </si>
  <si>
    <t>Sim 1126</t>
  </si>
  <si>
    <t>Sim 1127</t>
  </si>
  <si>
    <t>Sim 1128</t>
  </si>
  <si>
    <t>Sim 1129</t>
  </si>
  <si>
    <t>Sim 1130</t>
  </si>
  <si>
    <t>Sim 1131</t>
  </si>
  <si>
    <t>Sim 1132</t>
  </si>
  <si>
    <t>Sim 1133</t>
  </si>
  <si>
    <t>Sim 1134</t>
  </si>
  <si>
    <t>Sim 1135</t>
  </si>
  <si>
    <t>Sim 1136</t>
  </si>
  <si>
    <t>Sim 1137</t>
  </si>
  <si>
    <t>Sim 1138</t>
  </si>
  <si>
    <t>Sim 1139</t>
  </si>
  <si>
    <t>Sim 1140</t>
  </si>
  <si>
    <t>Sim 1141</t>
  </si>
  <si>
    <t>Sim 1142</t>
  </si>
  <si>
    <t>Sim 1143</t>
  </si>
  <si>
    <t>Sim 1144</t>
  </si>
  <si>
    <t>Sim 1145</t>
  </si>
  <si>
    <t>Sim 1146</t>
  </si>
  <si>
    <t>Sim 1147</t>
  </si>
  <si>
    <t>Sim 1148</t>
  </si>
  <si>
    <t>Sim 1149</t>
  </si>
  <si>
    <t>Sim 1150</t>
  </si>
  <si>
    <t>Sim 1151</t>
  </si>
  <si>
    <t>Sim 1152</t>
  </si>
  <si>
    <t>Sim 1153</t>
  </si>
  <si>
    <t>Sim 1154</t>
  </si>
  <si>
    <t>Sim 1155</t>
  </si>
  <si>
    <t>Sim 1156</t>
  </si>
  <si>
    <t>Sim 1157</t>
  </si>
  <si>
    <t>Sim 1158</t>
  </si>
  <si>
    <t>Sim 1159</t>
  </si>
  <si>
    <t>Sim 1160</t>
  </si>
  <si>
    <t>Sim 1161</t>
  </si>
  <si>
    <t>Sim 1162</t>
  </si>
  <si>
    <t>Sim 1163</t>
  </si>
  <si>
    <t>Sim 1164</t>
  </si>
  <si>
    <t>Sim 1165</t>
  </si>
  <si>
    <t>Sim 1166</t>
  </si>
  <si>
    <t>Sim 1167</t>
  </si>
  <si>
    <t>Sim 1168</t>
  </si>
  <si>
    <t>Sim 1169</t>
  </si>
  <si>
    <t>Sim 1170</t>
  </si>
  <si>
    <t>Sim 1171</t>
  </si>
  <si>
    <t>Sim 1172</t>
  </si>
  <si>
    <t>Sim 1173</t>
  </si>
  <si>
    <t>Sim 1174</t>
  </si>
  <si>
    <t>Sim 1175</t>
  </si>
  <si>
    <t>Sim 1176</t>
  </si>
  <si>
    <t>Sim 1177</t>
  </si>
  <si>
    <t>Sim 1178</t>
  </si>
  <si>
    <t>Sim 1179</t>
  </si>
  <si>
    <t>Sim 1180</t>
  </si>
  <si>
    <t>Sim 1181</t>
  </si>
  <si>
    <t>Sim 1182</t>
  </si>
  <si>
    <t>Sim 1183</t>
  </si>
  <si>
    <t>Sim 1184</t>
  </si>
  <si>
    <t>Sim 1185</t>
  </si>
  <si>
    <t>Sim 1186</t>
  </si>
  <si>
    <t>Sim 1187</t>
  </si>
  <si>
    <t>Sim 1188</t>
  </si>
  <si>
    <t>Sim 1189</t>
  </si>
  <si>
    <t>Sim 1190</t>
  </si>
  <si>
    <t>Sim 1191</t>
  </si>
  <si>
    <t>Sim 1192</t>
  </si>
  <si>
    <t>Sim 1193</t>
  </si>
  <si>
    <t>Sim 1194</t>
  </si>
  <si>
    <t>Sim 1195</t>
  </si>
  <si>
    <t>Sim 1196</t>
  </si>
  <si>
    <t>Sim 1197</t>
  </si>
  <si>
    <t>Sim 1198</t>
  </si>
  <si>
    <t>Sim 1199</t>
  </si>
  <si>
    <t>Sim 1200</t>
  </si>
  <si>
    <t>Sim 1201</t>
  </si>
  <si>
    <t>Sim 1202</t>
  </si>
  <si>
    <t>Sim 1203</t>
  </si>
  <si>
    <t>Sim 1204</t>
  </si>
  <si>
    <t>Sim 1205</t>
  </si>
  <si>
    <t>Sim 1206</t>
  </si>
  <si>
    <t>Sim 1207</t>
  </si>
  <si>
    <t>Sim 1208</t>
  </si>
  <si>
    <t>Sim 1209</t>
  </si>
  <si>
    <t>Sim 1210</t>
  </si>
  <si>
    <t>Sim 1211</t>
  </si>
  <si>
    <t>Sim 1212</t>
  </si>
  <si>
    <t>Sim 1213</t>
  </si>
  <si>
    <t>Sim 1214</t>
  </si>
  <si>
    <t>Sim 1215</t>
  </si>
  <si>
    <t>Sim 1216</t>
  </si>
  <si>
    <t>Sim 1217</t>
  </si>
  <si>
    <t>Sim 1218</t>
  </si>
  <si>
    <t>Sim 1219</t>
  </si>
  <si>
    <t>Sim 1220</t>
  </si>
  <si>
    <t>Sim 1221</t>
  </si>
  <si>
    <t>Sim 1222</t>
  </si>
  <si>
    <t>Sim 1223</t>
  </si>
  <si>
    <t>Sim 1224</t>
  </si>
  <si>
    <t>Sim 1225</t>
  </si>
  <si>
    <t>Sim 1226</t>
  </si>
  <si>
    <t>Sim 1227</t>
  </si>
  <si>
    <t>Sim 1228</t>
  </si>
  <si>
    <t>Sim 1229</t>
  </si>
  <si>
    <t>Sim 1230</t>
  </si>
  <si>
    <t>Sim 1231</t>
  </si>
  <si>
    <t>Sim 1232</t>
  </si>
  <si>
    <t>Sim 1233</t>
  </si>
  <si>
    <t>Sim 1234</t>
  </si>
  <si>
    <t>Sim 1235</t>
  </si>
  <si>
    <t>Sim 1236</t>
  </si>
  <si>
    <t>Sim 1237</t>
  </si>
  <si>
    <t>Sim 1238</t>
  </si>
  <si>
    <t>Sim 1239</t>
  </si>
  <si>
    <t>Sim 1240</t>
  </si>
  <si>
    <t>Sim 1241</t>
  </si>
  <si>
    <t>Sim 1242</t>
  </si>
  <si>
    <t>Sim 1243</t>
  </si>
  <si>
    <t>Sim 1244</t>
  </si>
  <si>
    <t>Sim 1245</t>
  </si>
  <si>
    <t>Sim 1246</t>
  </si>
  <si>
    <t>Sim 1247</t>
  </si>
  <si>
    <t>Sim 1248</t>
  </si>
  <si>
    <t>Sim 1249</t>
  </si>
  <si>
    <t>Sim 1250</t>
  </si>
  <si>
    <t>Sim 1251</t>
  </si>
  <si>
    <t>Sim 1252</t>
  </si>
  <si>
    <t>Sim 1253</t>
  </si>
  <si>
    <t>Sim 1254</t>
  </si>
  <si>
    <t>Sim 1255</t>
  </si>
  <si>
    <t>Sim 1256</t>
  </si>
  <si>
    <t>Sim 1257</t>
  </si>
  <si>
    <t>Sim 1258</t>
  </si>
  <si>
    <t>Sim 1259</t>
  </si>
  <si>
    <t>Sim 1260</t>
  </si>
  <si>
    <t>Sim 1261</t>
  </si>
  <si>
    <t>Sim 1262</t>
  </si>
  <si>
    <t>Sim 1263</t>
  </si>
  <si>
    <t>Sim 1264</t>
  </si>
  <si>
    <t>Sim 1265</t>
  </si>
  <si>
    <t>Sim 1266</t>
  </si>
  <si>
    <t>Sim 1267</t>
  </si>
  <si>
    <t>Sim 1268</t>
  </si>
  <si>
    <t>Sim 1269</t>
  </si>
  <si>
    <t>Sim 1270</t>
  </si>
  <si>
    <t>Sim 1271</t>
  </si>
  <si>
    <t>Sim 1272</t>
  </si>
  <si>
    <t>Sim 1273</t>
  </si>
  <si>
    <t>Sim 1274</t>
  </si>
  <si>
    <t>Sim 1275</t>
  </si>
  <si>
    <t>Sim 1276</t>
  </si>
  <si>
    <t>Sim 1277</t>
  </si>
  <si>
    <t>Sim 1278</t>
  </si>
  <si>
    <t>Sim 1279</t>
  </si>
  <si>
    <t>Sim 1280</t>
  </si>
  <si>
    <t>Sim 1281</t>
  </si>
  <si>
    <t>Sim 1282</t>
  </si>
  <si>
    <t>Sim 1283</t>
  </si>
  <si>
    <t>Sim 1284</t>
  </si>
  <si>
    <t>Sim 1285</t>
  </si>
  <si>
    <t>Sim 1286</t>
  </si>
  <si>
    <t>Sim 1287</t>
  </si>
  <si>
    <t>Sim 1288</t>
  </si>
  <si>
    <t>Sim 1289</t>
  </si>
  <si>
    <t>Sim 1290</t>
  </si>
  <si>
    <t>Sim 1291</t>
  </si>
  <si>
    <t>Sim 1292</t>
  </si>
  <si>
    <t>Sim 1293</t>
  </si>
  <si>
    <t>Sim 1294</t>
  </si>
  <si>
    <t>Sim 1295</t>
  </si>
  <si>
    <t>Sim 1296</t>
  </si>
  <si>
    <t>Sim 1297</t>
  </si>
  <si>
    <t>Sim 1298</t>
  </si>
  <si>
    <t>Sim 1299</t>
  </si>
  <si>
    <t>Sim 1300</t>
  </si>
  <si>
    <t>Sim 1301</t>
  </si>
  <si>
    <t>Sim 1302</t>
  </si>
  <si>
    <t>Sim 1303</t>
  </si>
  <si>
    <t>Sim 1304</t>
  </si>
  <si>
    <t>Sim 1305</t>
  </si>
  <si>
    <t>Sim 1306</t>
  </si>
  <si>
    <t>Sim 1307</t>
  </si>
  <si>
    <t>Sim 1308</t>
  </si>
  <si>
    <t>Sim 1309</t>
  </si>
  <si>
    <t>Sim 1310</t>
  </si>
  <si>
    <t>Sim 1311</t>
  </si>
  <si>
    <t>Sim 1312</t>
  </si>
  <si>
    <t>Sim 1313</t>
  </si>
  <si>
    <t>Sim 1314</t>
  </si>
  <si>
    <t>Sim 1315</t>
  </si>
  <si>
    <t>Sim 1316</t>
  </si>
  <si>
    <t>Sim 1317</t>
  </si>
  <si>
    <t>Sim 1318</t>
  </si>
  <si>
    <t>Sim 1319</t>
  </si>
  <si>
    <t>Sim 1320</t>
  </si>
  <si>
    <t>Sim 1321</t>
  </si>
  <si>
    <t>Sim 1322</t>
  </si>
  <si>
    <t>Sim 1323</t>
  </si>
  <si>
    <t>Sim 1324</t>
  </si>
  <si>
    <t>Sim 1325</t>
  </si>
  <si>
    <t>Sim 1326</t>
  </si>
  <si>
    <t>Sim 1327</t>
  </si>
  <si>
    <t>Sim 1328</t>
  </si>
  <si>
    <t>Sim 1329</t>
  </si>
  <si>
    <t>Sim 1330</t>
  </si>
  <si>
    <t>Sim 1331</t>
  </si>
  <si>
    <t>Sim 1332</t>
  </si>
  <si>
    <t>Sim 1333</t>
  </si>
  <si>
    <t>Sim 1334</t>
  </si>
  <si>
    <t>Sim 1335</t>
  </si>
  <si>
    <t>Sim 1336</t>
  </si>
  <si>
    <t>Sim 1337</t>
  </si>
  <si>
    <t>Sim 1338</t>
  </si>
  <si>
    <t>Sim 1339</t>
  </si>
  <si>
    <t>Sim 1340</t>
  </si>
  <si>
    <t>Sim 1341</t>
  </si>
  <si>
    <t>Sim 1342</t>
  </si>
  <si>
    <t>Sim 1343</t>
  </si>
  <si>
    <t>Sim 1344</t>
  </si>
  <si>
    <t>Sim 1345</t>
  </si>
  <si>
    <t>Sim 1346</t>
  </si>
  <si>
    <t>Sim 1347</t>
  </si>
  <si>
    <t>Sim 1348</t>
  </si>
  <si>
    <t>Sim 1349</t>
  </si>
  <si>
    <t>Sim 1350</t>
  </si>
  <si>
    <t>Sim 1351</t>
  </si>
  <si>
    <t>Sim 1352</t>
  </si>
  <si>
    <t>Sim 1353</t>
  </si>
  <si>
    <t>Sim 1354</t>
  </si>
  <si>
    <t>Sim 1355</t>
  </si>
  <si>
    <t>Sim 1356</t>
  </si>
  <si>
    <t>Sim 1357</t>
  </si>
  <si>
    <t>Sim 1358</t>
  </si>
  <si>
    <t>Sim 1359</t>
  </si>
  <si>
    <t>Sim 1360</t>
  </si>
  <si>
    <t>Sim 1361</t>
  </si>
  <si>
    <t>Sim 1362</t>
  </si>
  <si>
    <t>Sim 1363</t>
  </si>
  <si>
    <t>Sim 1364</t>
  </si>
  <si>
    <t>Sim 1365</t>
  </si>
  <si>
    <t>Sim 1366</t>
  </si>
  <si>
    <t>Sim 1367</t>
  </si>
  <si>
    <t>Sim 1368</t>
  </si>
  <si>
    <t>Sim 1369</t>
  </si>
  <si>
    <t>Sim 1370</t>
  </si>
  <si>
    <t>Sim 1371</t>
  </si>
  <si>
    <t>Sim 1372</t>
  </si>
  <si>
    <t>Sim 1373</t>
  </si>
  <si>
    <t>Sim 1374</t>
  </si>
  <si>
    <t>Sim 1375</t>
  </si>
  <si>
    <t>Sim 1376</t>
  </si>
  <si>
    <t>Sim 1377</t>
  </si>
  <si>
    <t>Sim 1378</t>
  </si>
  <si>
    <t>Sim 1379</t>
  </si>
  <si>
    <t>Sim 1380</t>
  </si>
  <si>
    <t>Sim 1381</t>
  </si>
  <si>
    <t>Sim 1382</t>
  </si>
  <si>
    <t>Sim 1383</t>
  </si>
  <si>
    <t>Sim 1384</t>
  </si>
  <si>
    <t>Sim 1385</t>
  </si>
  <si>
    <t>Sim 1386</t>
  </si>
  <si>
    <t>Sim 1387</t>
  </si>
  <si>
    <t>Sim 1388</t>
  </si>
  <si>
    <t>Sim 1389</t>
  </si>
  <si>
    <t>Sim 1390</t>
  </si>
  <si>
    <t>Sim 1391</t>
  </si>
  <si>
    <t>Sim 1392</t>
  </si>
  <si>
    <t>Sim 1393</t>
  </si>
  <si>
    <t>Sim 1394</t>
  </si>
  <si>
    <t>Sim 1395</t>
  </si>
  <si>
    <t>Sim 1396</t>
  </si>
  <si>
    <t>Sim 1397</t>
  </si>
  <si>
    <t>Sim 1398</t>
  </si>
  <si>
    <t>Sim 1399</t>
  </si>
  <si>
    <t>Sim 1400</t>
  </si>
  <si>
    <t>Sim 1401</t>
  </si>
  <si>
    <t>Sim 1402</t>
  </si>
  <si>
    <t>Sim 1403</t>
  </si>
  <si>
    <t>Sim 1404</t>
  </si>
  <si>
    <t>Sim 1405</t>
  </si>
  <si>
    <t>Sim 1406</t>
  </si>
  <si>
    <t>Sim 1407</t>
  </si>
  <si>
    <t>Sim 1408</t>
  </si>
  <si>
    <t>Sim 1409</t>
  </si>
  <si>
    <t>Sim 1410</t>
  </si>
  <si>
    <t>Sim 1411</t>
  </si>
  <si>
    <t>Sim 1412</t>
  </si>
  <si>
    <t>Sim 1413</t>
  </si>
  <si>
    <t>Sim 1414</t>
  </si>
  <si>
    <t>Sim 1415</t>
  </si>
  <si>
    <t>Sim 1416</t>
  </si>
  <si>
    <t>Sim 1417</t>
  </si>
  <si>
    <t>Sim 1418</t>
  </si>
  <si>
    <t>Sim 1419</t>
  </si>
  <si>
    <t>Sim 1420</t>
  </si>
  <si>
    <t>Sim 1421</t>
  </si>
  <si>
    <t>Sim 1422</t>
  </si>
  <si>
    <t>Sim 1423</t>
  </si>
  <si>
    <t>Sim 1424</t>
  </si>
  <si>
    <t>Sim 1425</t>
  </si>
  <si>
    <t>Sim 1426</t>
  </si>
  <si>
    <t>Sim 1427</t>
  </si>
  <si>
    <t>Sim 1428</t>
  </si>
  <si>
    <t>Sim 1429</t>
  </si>
  <si>
    <t>Sim 1430</t>
  </si>
  <si>
    <t>Sim 1431</t>
  </si>
  <si>
    <t>Sim 1432</t>
  </si>
  <si>
    <t>Sim 1433</t>
  </si>
  <si>
    <t>Sim 1434</t>
  </si>
  <si>
    <t>Sim 1435</t>
  </si>
  <si>
    <t>Sim 1436</t>
  </si>
  <si>
    <t>Sim 1437</t>
  </si>
  <si>
    <t>Sim 1438</t>
  </si>
  <si>
    <t>Sim 1439</t>
  </si>
  <si>
    <t>Sim 1440</t>
  </si>
  <si>
    <t>Sim 1441</t>
  </si>
  <si>
    <t>Sim 1442</t>
  </si>
  <si>
    <t>Sim 1443</t>
  </si>
  <si>
    <t>Sim 1444</t>
  </si>
  <si>
    <t>Sim 1445</t>
  </si>
  <si>
    <t>Sim 1446</t>
  </si>
  <si>
    <t>Sim 1447</t>
  </si>
  <si>
    <t>Sim 1448</t>
  </si>
  <si>
    <t>Sim 1449</t>
  </si>
  <si>
    <t>Sim 1450</t>
  </si>
  <si>
    <t>Sim 1451</t>
  </si>
  <si>
    <t>Sim 1452</t>
  </si>
  <si>
    <t>Sim 1453</t>
  </si>
  <si>
    <t>Sim 1454</t>
  </si>
  <si>
    <t>Sim 1455</t>
  </si>
  <si>
    <t>Sim 1456</t>
  </si>
  <si>
    <t>Sim 1457</t>
  </si>
  <si>
    <t>Sim 1458</t>
  </si>
  <si>
    <t>Sim 1459</t>
  </si>
  <si>
    <t>Sim 1460</t>
  </si>
  <si>
    <t>Sim 1461</t>
  </si>
  <si>
    <t>Sim 1462</t>
  </si>
  <si>
    <t>Sim 1463</t>
  </si>
  <si>
    <t>Sim 1464</t>
  </si>
  <si>
    <t>Sim 1465</t>
  </si>
  <si>
    <t>Sim 1466</t>
  </si>
  <si>
    <t>Sim 1467</t>
  </si>
  <si>
    <t>Sim 1468</t>
  </si>
  <si>
    <t>Sim 1469</t>
  </si>
  <si>
    <t>Sim 1470</t>
  </si>
  <si>
    <t>Sim 1471</t>
  </si>
  <si>
    <t>Sim 1472</t>
  </si>
  <si>
    <t>Sim 1473</t>
  </si>
  <si>
    <t>Sim 1474</t>
  </si>
  <si>
    <t>Sim 1475</t>
  </si>
  <si>
    <t>Sim 1476</t>
  </si>
  <si>
    <t>Sim 1477</t>
  </si>
  <si>
    <t>Sim 1478</t>
  </si>
  <si>
    <t>Sim 1479</t>
  </si>
  <si>
    <t>Sim 1480</t>
  </si>
  <si>
    <t>Sim 1481</t>
  </si>
  <si>
    <t>Sim 1482</t>
  </si>
  <si>
    <t>Sim 1483</t>
  </si>
  <si>
    <t>Sim 1484</t>
  </si>
  <si>
    <t>Sim 1485</t>
  </si>
  <si>
    <t>Sim 1486</t>
  </si>
  <si>
    <t>Sim 1487</t>
  </si>
  <si>
    <t>Sim 1488</t>
  </si>
  <si>
    <t>Sim 1489</t>
  </si>
  <si>
    <t>Sim 1490</t>
  </si>
  <si>
    <t>Sim 1491</t>
  </si>
  <si>
    <t>Sim 1492</t>
  </si>
  <si>
    <t>Sim 1493</t>
  </si>
  <si>
    <t>Sim 1494</t>
  </si>
  <si>
    <t>Sim 1495</t>
  </si>
  <si>
    <t>Sim 1496</t>
  </si>
  <si>
    <t>Sim 1497</t>
  </si>
  <si>
    <t>Sim 1498</t>
  </si>
  <si>
    <t>Sim 1499</t>
  </si>
  <si>
    <t>Sim 1500</t>
  </si>
  <si>
    <t>Sim 1501</t>
  </si>
  <si>
    <t>Sim 1502</t>
  </si>
  <si>
    <t>Sim 1503</t>
  </si>
  <si>
    <t>Sim 1504</t>
  </si>
  <si>
    <t>Sim 1505</t>
  </si>
  <si>
    <t>Sim 1506</t>
  </si>
  <si>
    <t>Sim 1507</t>
  </si>
  <si>
    <t>Sim 1508</t>
  </si>
  <si>
    <t>Sim 1509</t>
  </si>
  <si>
    <t>Sim 1510</t>
  </si>
  <si>
    <t>Sim 1511</t>
  </si>
  <si>
    <t>Sim 1512</t>
  </si>
  <si>
    <t>Sim 1513</t>
  </si>
  <si>
    <t>Sim 1514</t>
  </si>
  <si>
    <t>Sim 1515</t>
  </si>
  <si>
    <t>Sim 1516</t>
  </si>
  <si>
    <t>Sim 1517</t>
  </si>
  <si>
    <t>Sim 1518</t>
  </si>
  <si>
    <t>Sim 1519</t>
  </si>
  <si>
    <t>Sim 1520</t>
  </si>
  <si>
    <t>Sim 1521</t>
  </si>
  <si>
    <t>Sim 1522</t>
  </si>
  <si>
    <t>Sim 1523</t>
  </si>
  <si>
    <t>Sim 1524</t>
  </si>
  <si>
    <t>Sim 1525</t>
  </si>
  <si>
    <t>Sim 1526</t>
  </si>
  <si>
    <t>Sim 1527</t>
  </si>
  <si>
    <t>Sim 1528</t>
  </si>
  <si>
    <t>Sim 1529</t>
  </si>
  <si>
    <t>Sim 1530</t>
  </si>
  <si>
    <t>Sim 1531</t>
  </si>
  <si>
    <t>Sim 1532</t>
  </si>
  <si>
    <t>Sim 1533</t>
  </si>
  <si>
    <t>Sim 1534</t>
  </si>
  <si>
    <t>Sim 1535</t>
  </si>
  <si>
    <t>Sim 1536</t>
  </si>
  <si>
    <t>Sim 1537</t>
  </si>
  <si>
    <t>Sim 1538</t>
  </si>
  <si>
    <t>Sim 1539</t>
  </si>
  <si>
    <t>Sim 1540</t>
  </si>
  <si>
    <t>Sim 1541</t>
  </si>
  <si>
    <t>Sim 1542</t>
  </si>
  <si>
    <t>Sim 1543</t>
  </si>
  <si>
    <t>Sim 1544</t>
  </si>
  <si>
    <t>Sim 1545</t>
  </si>
  <si>
    <t>Sim 1546</t>
  </si>
  <si>
    <t>Sim 1547</t>
  </si>
  <si>
    <t>Sim 1548</t>
  </si>
  <si>
    <t>Sim 1549</t>
  </si>
  <si>
    <t>Sim 1550</t>
  </si>
  <si>
    <t>Sim 1551</t>
  </si>
  <si>
    <t>Sim 1552</t>
  </si>
  <si>
    <t>Sim 1553</t>
  </si>
  <si>
    <t>Sim 1554</t>
  </si>
  <si>
    <t>Sim 1555</t>
  </si>
  <si>
    <t>Sim 1556</t>
  </si>
  <si>
    <t>Sim 1557</t>
  </si>
  <si>
    <t>Sim 1558</t>
  </si>
  <si>
    <t>Sim 1559</t>
  </si>
  <si>
    <t>Sim 1560</t>
  </si>
  <si>
    <t>Sim 1561</t>
  </si>
  <si>
    <t>Sim 1562</t>
  </si>
  <si>
    <t>Sim 1563</t>
  </si>
  <si>
    <t>Sim 1564</t>
  </si>
  <si>
    <t>Sim 1565</t>
  </si>
  <si>
    <t>Sim 1566</t>
  </si>
  <si>
    <t>Sim 1567</t>
  </si>
  <si>
    <t>Sim 1568</t>
  </si>
  <si>
    <t>Sim 1569</t>
  </si>
  <si>
    <t>Sim 1570</t>
  </si>
  <si>
    <t>Sim 1571</t>
  </si>
  <si>
    <t>Sim 1572</t>
  </si>
  <si>
    <t>Sim 1573</t>
  </si>
  <si>
    <t>Sim 1574</t>
  </si>
  <si>
    <t>Sim 1575</t>
  </si>
  <si>
    <t>Sim 1576</t>
  </si>
  <si>
    <t>Sim 1577</t>
  </si>
  <si>
    <t>Sim 1578</t>
  </si>
  <si>
    <t>Sim 1579</t>
  </si>
  <si>
    <t>Sim 1580</t>
  </si>
  <si>
    <t>Sim 1581</t>
  </si>
  <si>
    <t>Sim 1582</t>
  </si>
  <si>
    <t>Sim 1583</t>
  </si>
  <si>
    <t>Sim 1584</t>
  </si>
  <si>
    <t>Sim 1585</t>
  </si>
  <si>
    <t>Sim 1586</t>
  </si>
  <si>
    <t>Sim 1587</t>
  </si>
  <si>
    <t>Sim 1588</t>
  </si>
  <si>
    <t>Sim 1589</t>
  </si>
  <si>
    <t>Sim 1590</t>
  </si>
  <si>
    <t>Sim 1591</t>
  </si>
  <si>
    <t>Sim 1592</t>
  </si>
  <si>
    <t>Sim 1593</t>
  </si>
  <si>
    <t>Sim 1594</t>
  </si>
  <si>
    <t>Sim 1595</t>
  </si>
  <si>
    <t>Sim 1596</t>
  </si>
  <si>
    <t>Sim 1597</t>
  </si>
  <si>
    <t>Sim 1598</t>
  </si>
  <si>
    <t>Sim 1599</t>
  </si>
  <si>
    <t>Sim 1600</t>
  </si>
  <si>
    <t>Sim 1601</t>
  </si>
  <si>
    <t>Sim 1602</t>
  </si>
  <si>
    <t>Sim 1603</t>
  </si>
  <si>
    <t>Sim 1604</t>
  </si>
  <si>
    <t>Sim 1605</t>
  </si>
  <si>
    <t>Sim 1606</t>
  </si>
  <si>
    <t>Sim 1607</t>
  </si>
  <si>
    <t>Sim 1608</t>
  </si>
  <si>
    <t>Sim 1609</t>
  </si>
  <si>
    <t>Sim 1610</t>
  </si>
  <si>
    <t>Sim 1611</t>
  </si>
  <si>
    <t>Sim 1612</t>
  </si>
  <si>
    <t>Sim 1613</t>
  </si>
  <si>
    <t>Sim 1614</t>
  </si>
  <si>
    <t>Sim 1615</t>
  </si>
  <si>
    <t>Sim 1616</t>
  </si>
  <si>
    <t>Sim 1617</t>
  </si>
  <si>
    <t>Sim 1618</t>
  </si>
  <si>
    <t>Sim 1619</t>
  </si>
  <si>
    <t>Sim 1620</t>
  </si>
  <si>
    <t>Sim 1621</t>
  </si>
  <si>
    <t>Sim 1622</t>
  </si>
  <si>
    <t>Sim 1623</t>
  </si>
  <si>
    <t>Sim 1624</t>
  </si>
  <si>
    <t>Sim 1625</t>
  </si>
  <si>
    <t>Sim 1626</t>
  </si>
  <si>
    <t>Sim 1627</t>
  </si>
  <si>
    <t>Sim 1628</t>
  </si>
  <si>
    <t>Sim 1629</t>
  </si>
  <si>
    <t>Sim 1630</t>
  </si>
  <si>
    <t>Sim 1631</t>
  </si>
  <si>
    <t>Sim 1632</t>
  </si>
  <si>
    <t>Sim 1633</t>
  </si>
  <si>
    <t>Sim 1634</t>
  </si>
  <si>
    <t>Sim 1635</t>
  </si>
  <si>
    <t>Sim 1636</t>
  </si>
  <si>
    <t>Sim 1637</t>
  </si>
  <si>
    <t>Sim 1638</t>
  </si>
  <si>
    <t>Sim 1639</t>
  </si>
  <si>
    <t>Sim 1640</t>
  </si>
  <si>
    <t>Sim 1641</t>
  </si>
  <si>
    <t>Sim 1642</t>
  </si>
  <si>
    <t>Sim 1643</t>
  </si>
  <si>
    <t>Sim 1644</t>
  </si>
  <si>
    <t>Sim 1645</t>
  </si>
  <si>
    <t>Sim 1646</t>
  </si>
  <si>
    <t>Sim 1647</t>
  </si>
  <si>
    <t>Sim 1648</t>
  </si>
  <si>
    <t>Sim 1649</t>
  </si>
  <si>
    <t>Sim 1650</t>
  </si>
  <si>
    <t>Sim 1651</t>
  </si>
  <si>
    <t>Sim 1652</t>
  </si>
  <si>
    <t>Sim 1653</t>
  </si>
  <si>
    <t>Sim 1654</t>
  </si>
  <si>
    <t>Sim 1655</t>
  </si>
  <si>
    <t>Sim 1656</t>
  </si>
  <si>
    <t>Sim 1657</t>
  </si>
  <si>
    <t>Sim 1658</t>
  </si>
  <si>
    <t>Sim 1659</t>
  </si>
  <si>
    <t>Sim 1660</t>
  </si>
  <si>
    <t>Sim 1661</t>
  </si>
  <si>
    <t>Sim 1662</t>
  </si>
  <si>
    <t>Sim 1663</t>
  </si>
  <si>
    <t>Sim 1664</t>
  </si>
  <si>
    <t>Sim 1665</t>
  </si>
  <si>
    <t>Sim 1666</t>
  </si>
  <si>
    <t>Sim 1667</t>
  </si>
  <si>
    <t>Sim 1668</t>
  </si>
  <si>
    <t>Sim 1669</t>
  </si>
  <si>
    <t>Sim 1670</t>
  </si>
  <si>
    <t>Sim 1671</t>
  </si>
  <si>
    <t>Sim 1672</t>
  </si>
  <si>
    <t>Sim 1673</t>
  </si>
  <si>
    <t>Sim 1674</t>
  </si>
  <si>
    <t>Sim 1675</t>
  </si>
  <si>
    <t>Sim 1676</t>
  </si>
  <si>
    <t>Sim 1677</t>
  </si>
  <si>
    <t>Sim 1678</t>
  </si>
  <si>
    <t>Sim 1679</t>
  </si>
  <si>
    <t>Sim 1680</t>
  </si>
  <si>
    <t>Sim 1681</t>
  </si>
  <si>
    <t>Sim 1682</t>
  </si>
  <si>
    <t>Sim 1683</t>
  </si>
  <si>
    <t>Sim 1684</t>
  </si>
  <si>
    <t>Sim 1685</t>
  </si>
  <si>
    <t>Sim 1686</t>
  </si>
  <si>
    <t>Sim 1687</t>
  </si>
  <si>
    <t>Sim 1688</t>
  </si>
  <si>
    <t>Sim 1689</t>
  </si>
  <si>
    <t>Sim 1690</t>
  </si>
  <si>
    <t>Sim 1691</t>
  </si>
  <si>
    <t>Sim 1692</t>
  </si>
  <si>
    <t>Sim 1693</t>
  </si>
  <si>
    <t>Sim 1694</t>
  </si>
  <si>
    <t>Sim 1695</t>
  </si>
  <si>
    <t>Sim 1696</t>
  </si>
  <si>
    <t>Sim 1697</t>
  </si>
  <si>
    <t>Sim 1698</t>
  </si>
  <si>
    <t>Sim 1699</t>
  </si>
  <si>
    <t>Sim 1700</t>
  </si>
  <si>
    <t>Sim 1701</t>
  </si>
  <si>
    <t>Sim 1702</t>
  </si>
  <si>
    <t>Sim 1703</t>
  </si>
  <si>
    <t>Sim 1704</t>
  </si>
  <si>
    <t>Sim 1705</t>
  </si>
  <si>
    <t>Sim 1706</t>
  </si>
  <si>
    <t>Sim 1707</t>
  </si>
  <si>
    <t>Sim 1708</t>
  </si>
  <si>
    <t>Sim 1709</t>
  </si>
  <si>
    <t>Sim 1710</t>
  </si>
  <si>
    <t>Sim 1711</t>
  </si>
  <si>
    <t>Sim 1712</t>
  </si>
  <si>
    <t>Sim 1713</t>
  </si>
  <si>
    <t>Sim 1714</t>
  </si>
  <si>
    <t>Sim 1715</t>
  </si>
  <si>
    <t>Sim 1716</t>
  </si>
  <si>
    <t>Sim 1717</t>
  </si>
  <si>
    <t>Sim 1718</t>
  </si>
  <si>
    <t>Sim 1719</t>
  </si>
  <si>
    <t>Sim 1720</t>
  </si>
  <si>
    <t>Sim 1721</t>
  </si>
  <si>
    <t>Sim 1722</t>
  </si>
  <si>
    <t>Sim 1723</t>
  </si>
  <si>
    <t>Sim 1724</t>
  </si>
  <si>
    <t>Sim 1725</t>
  </si>
  <si>
    <t>Sim 1726</t>
  </si>
  <si>
    <t>Sim 1727</t>
  </si>
  <si>
    <t>Sim 1728</t>
  </si>
  <si>
    <t>Sim 1729</t>
  </si>
  <si>
    <t>Sim 1730</t>
  </si>
  <si>
    <t>Sim 1731</t>
  </si>
  <si>
    <t>Sim 1732</t>
  </si>
  <si>
    <t>Sim 1733</t>
  </si>
  <si>
    <t>Sim 1734</t>
  </si>
  <si>
    <t>Sim 1735</t>
  </si>
  <si>
    <t>Sim 1736</t>
  </si>
  <si>
    <t>Sim 1737</t>
  </si>
  <si>
    <t>Sim 1738</t>
  </si>
  <si>
    <t>Sim 1739</t>
  </si>
  <si>
    <t>Sim 1740</t>
  </si>
  <si>
    <t>Sim 1741</t>
  </si>
  <si>
    <t>Sim 1742</t>
  </si>
  <si>
    <t>Sim 1743</t>
  </si>
  <si>
    <t>Sim 1744</t>
  </si>
  <si>
    <t>Sim 1745</t>
  </si>
  <si>
    <t>Sim 1746</t>
  </si>
  <si>
    <t>Sim 1747</t>
  </si>
  <si>
    <t>Sim 1748</t>
  </si>
  <si>
    <t>Sim 1749</t>
  </si>
  <si>
    <t>Sim 1750</t>
  </si>
  <si>
    <t>Sim 1751</t>
  </si>
  <si>
    <t>Sim 1752</t>
  </si>
  <si>
    <t>Sim 1753</t>
  </si>
  <si>
    <t>Sim 1754</t>
  </si>
  <si>
    <t>Sim 1755</t>
  </si>
  <si>
    <t>Sim 1756</t>
  </si>
  <si>
    <t>Sim 1757</t>
  </si>
  <si>
    <t>Sim 1758</t>
  </si>
  <si>
    <t>Sim 1759</t>
  </si>
  <si>
    <t>Sim 1760</t>
  </si>
  <si>
    <t>Sim 1761</t>
  </si>
  <si>
    <t>Sim 1762</t>
  </si>
  <si>
    <t>Sim 1763</t>
  </si>
  <si>
    <t>Sim 1764</t>
  </si>
  <si>
    <t>Sim 1765</t>
  </si>
  <si>
    <t>Sim 1766</t>
  </si>
  <si>
    <t>Sim 1767</t>
  </si>
  <si>
    <t>Sim 1768</t>
  </si>
  <si>
    <t>Sim 1769</t>
  </si>
  <si>
    <t>Sim 1770</t>
  </si>
  <si>
    <t>Sim 1771</t>
  </si>
  <si>
    <t>Sim 1772</t>
  </si>
  <si>
    <t>Sim 1773</t>
  </si>
  <si>
    <t>Sim 1774</t>
  </si>
  <si>
    <t>Sim 1775</t>
  </si>
  <si>
    <t>Sim 1776</t>
  </si>
  <si>
    <t>Sim 1777</t>
  </si>
  <si>
    <t>Sim 1778</t>
  </si>
  <si>
    <t>Sim 1779</t>
  </si>
  <si>
    <t>Sim 1780</t>
  </si>
  <si>
    <t>Sim 1781</t>
  </si>
  <si>
    <t>Sim 1782</t>
  </si>
  <si>
    <t>Sim 1783</t>
  </si>
  <si>
    <t>Sim 1784</t>
  </si>
  <si>
    <t>Sim 1785</t>
  </si>
  <si>
    <t>Sim 1786</t>
  </si>
  <si>
    <t>Sim 1787</t>
  </si>
  <si>
    <t>Sim 1788</t>
  </si>
  <si>
    <t>Sim 1789</t>
  </si>
  <si>
    <t>Sim 1790</t>
  </si>
  <si>
    <t>Sim 1791</t>
  </si>
  <si>
    <t>Sim 1792</t>
  </si>
  <si>
    <t>Sim 1793</t>
  </si>
  <si>
    <t>Sim 1794</t>
  </si>
  <si>
    <t>Sim 1795</t>
  </si>
  <si>
    <t>Sim 1796</t>
  </si>
  <si>
    <t>Sim 1797</t>
  </si>
  <si>
    <t>Sim 1798</t>
  </si>
  <si>
    <t>Sim 1799</t>
  </si>
  <si>
    <t>Sim 1800</t>
  </si>
  <si>
    <t>Sim 1801</t>
  </si>
  <si>
    <t>Sim 1802</t>
  </si>
  <si>
    <t>Sim 1803</t>
  </si>
  <si>
    <t>Sim 1804</t>
  </si>
  <si>
    <t>Sim 1805</t>
  </si>
  <si>
    <t>Sim 1806</t>
  </si>
  <si>
    <t>Sim 1807</t>
  </si>
  <si>
    <t>Sim 1808</t>
  </si>
  <si>
    <t>Sim 1809</t>
  </si>
  <si>
    <t>Sim 1810</t>
  </si>
  <si>
    <t>Sim 1811</t>
  </si>
  <si>
    <t>Sim 1812</t>
  </si>
  <si>
    <t>Sim 1813</t>
  </si>
  <si>
    <t>Sim 1814</t>
  </si>
  <si>
    <t>Sim 1815</t>
  </si>
  <si>
    <t>Sim 1816</t>
  </si>
  <si>
    <t>Sim 1817</t>
  </si>
  <si>
    <t>Sim 1818</t>
  </si>
  <si>
    <t>Sim 1819</t>
  </si>
  <si>
    <t>Sim 1820</t>
  </si>
  <si>
    <t>Sim 1821</t>
  </si>
  <si>
    <t>Sim 1822</t>
  </si>
  <si>
    <t>Sim 1823</t>
  </si>
  <si>
    <t>Sim 1824</t>
  </si>
  <si>
    <t>Sim 1825</t>
  </si>
  <si>
    <t>Sim 1826</t>
  </si>
  <si>
    <t>Sim 1827</t>
  </si>
  <si>
    <t>Sim 1828</t>
  </si>
  <si>
    <t>Sim 1829</t>
  </si>
  <si>
    <t>Sim 1830</t>
  </si>
  <si>
    <t>Sim 1831</t>
  </si>
  <si>
    <t>Sim 1832</t>
  </si>
  <si>
    <t>Sim 1833</t>
  </si>
  <si>
    <t>Sim 1834</t>
  </si>
  <si>
    <t>Sim 1835</t>
  </si>
  <si>
    <t>Sim 1836</t>
  </si>
  <si>
    <t>Sim 1837</t>
  </si>
  <si>
    <t>Sim 1838</t>
  </si>
  <si>
    <t>Sim 1839</t>
  </si>
  <si>
    <t>Sim 1840</t>
  </si>
  <si>
    <t>Sim 1841</t>
  </si>
  <si>
    <t>Sim 1842</t>
  </si>
  <si>
    <t>Sim 1843</t>
  </si>
  <si>
    <t>Sim 1844</t>
  </si>
  <si>
    <t>Sim 1845</t>
  </si>
  <si>
    <t>Sim 1846</t>
  </si>
  <si>
    <t>Sim 1847</t>
  </si>
  <si>
    <t>Sim 1848</t>
  </si>
  <si>
    <t>Sim 1849</t>
  </si>
  <si>
    <t>Sim 1850</t>
  </si>
  <si>
    <t>Sim 1851</t>
  </si>
  <si>
    <t>Sim 1852</t>
  </si>
  <si>
    <t>Sim 1853</t>
  </si>
  <si>
    <t>Sim 1854</t>
  </si>
  <si>
    <t>Sim 1855</t>
  </si>
  <si>
    <t>Sim 1856</t>
  </si>
  <si>
    <t>Sim 1857</t>
  </si>
  <si>
    <t>Sim 1858</t>
  </si>
  <si>
    <t>Sim 1859</t>
  </si>
  <si>
    <t>Sim 1860</t>
  </si>
  <si>
    <t>Sim 1861</t>
  </si>
  <si>
    <t>Sim 1862</t>
  </si>
  <si>
    <t>Sim 1863</t>
  </si>
  <si>
    <t>Sim 1864</t>
  </si>
  <si>
    <t>Sim 1865</t>
  </si>
  <si>
    <t>Sim 1866</t>
  </si>
  <si>
    <t>Sim 1867</t>
  </si>
  <si>
    <t>Sim 1868</t>
  </si>
  <si>
    <t>Sim 1869</t>
  </si>
  <si>
    <t>Sim 1870</t>
  </si>
  <si>
    <t>Sim 1871</t>
  </si>
  <si>
    <t>Sim 1872</t>
  </si>
  <si>
    <t>Sim 1873</t>
  </si>
  <si>
    <t>Sim 1874</t>
  </si>
  <si>
    <t>Sim 1875</t>
  </si>
  <si>
    <t>Sim 1876</t>
  </si>
  <si>
    <t>Sim 1877</t>
  </si>
  <si>
    <t>Sim 1878</t>
  </si>
  <si>
    <t>Sim 1879</t>
  </si>
  <si>
    <t>Sim 1880</t>
  </si>
  <si>
    <t>Sim 1881</t>
  </si>
  <si>
    <t>Sim 1882</t>
  </si>
  <si>
    <t>Sim 1883</t>
  </si>
  <si>
    <t>Sim 1884</t>
  </si>
  <si>
    <t>Sim 1885</t>
  </si>
  <si>
    <t>Sim 1886</t>
  </si>
  <si>
    <t>Sim 1887</t>
  </si>
  <si>
    <t>Sim 1888</t>
  </si>
  <si>
    <t>Sim 1889</t>
  </si>
  <si>
    <t>Sim 1890</t>
  </si>
  <si>
    <t>Sim 1891</t>
  </si>
  <si>
    <t>Sim 1892</t>
  </si>
  <si>
    <t>Sim 1893</t>
  </si>
  <si>
    <t>Sim 1894</t>
  </si>
  <si>
    <t>Sim 1895</t>
  </si>
  <si>
    <t>Sim 1896</t>
  </si>
  <si>
    <t>Sim 1897</t>
  </si>
  <si>
    <t>Sim 1898</t>
  </si>
  <si>
    <t>Sim 1899</t>
  </si>
  <si>
    <t>Sim 1900</t>
  </si>
  <si>
    <t>Sim 1901</t>
  </si>
  <si>
    <t>Sim 1902</t>
  </si>
  <si>
    <t>Sim 1903</t>
  </si>
  <si>
    <t>Sim 1904</t>
  </si>
  <si>
    <t>Sim 1905</t>
  </si>
  <si>
    <t>Sim 1906</t>
  </si>
  <si>
    <t>Sim 1907</t>
  </si>
  <si>
    <t>Sim 1908</t>
  </si>
  <si>
    <t>Sim 1909</t>
  </si>
  <si>
    <t>Sim 1910</t>
  </si>
  <si>
    <t>Sim 1911</t>
  </si>
  <si>
    <t>Sim 1912</t>
  </si>
  <si>
    <t>Sim 1913</t>
  </si>
  <si>
    <t>Sim 1914</t>
  </si>
  <si>
    <t>Sim 1915</t>
  </si>
  <si>
    <t>Sim 1916</t>
  </si>
  <si>
    <t>Sim 1917</t>
  </si>
  <si>
    <t>Sim 1918</t>
  </si>
  <si>
    <t>Sim 1919</t>
  </si>
  <si>
    <t>Sim 1920</t>
  </si>
  <si>
    <t>Sim 1921</t>
  </si>
  <si>
    <t>Sim 1922</t>
  </si>
  <si>
    <t>Sim 1923</t>
  </si>
  <si>
    <t>Sim 1924</t>
  </si>
  <si>
    <t>Sim 1925</t>
  </si>
  <si>
    <t>Sim 1926</t>
  </si>
  <si>
    <t>Sim 1927</t>
  </si>
  <si>
    <t>Sim 1928</t>
  </si>
  <si>
    <t>Sim 1929</t>
  </si>
  <si>
    <t>Sim 1930</t>
  </si>
  <si>
    <t>Sim 1931</t>
  </si>
  <si>
    <t>Sim 1932</t>
  </si>
  <si>
    <t>Sim 1933</t>
  </si>
  <si>
    <t>Sim 1934</t>
  </si>
  <si>
    <t>Sim 1935</t>
  </si>
  <si>
    <t>Sim 1936</t>
  </si>
  <si>
    <t>Sim 1937</t>
  </si>
  <si>
    <t>Sim 1938</t>
  </si>
  <si>
    <t>Sim 1939</t>
  </si>
  <si>
    <t>Sim 1940</t>
  </si>
  <si>
    <t>Sim 1941</t>
  </si>
  <si>
    <t>Sim 1942</t>
  </si>
  <si>
    <t>Sim 1943</t>
  </si>
  <si>
    <t>Sim 1944</t>
  </si>
  <si>
    <t>Sim 1945</t>
  </si>
  <si>
    <t>Sim 1946</t>
  </si>
  <si>
    <t>Sim 1947</t>
  </si>
  <si>
    <t>Sim 1948</t>
  </si>
  <si>
    <t>Sim 1949</t>
  </si>
  <si>
    <t>Sim 1950</t>
  </si>
  <si>
    <t>Sim 1951</t>
  </si>
  <si>
    <t>Sim 1952</t>
  </si>
  <si>
    <t>Sim 1953</t>
  </si>
  <si>
    <t>Sim 1954</t>
  </si>
  <si>
    <t>Sim 1955</t>
  </si>
  <si>
    <t>Sim 1956</t>
  </si>
  <si>
    <t>Sim 1957</t>
  </si>
  <si>
    <t>Sim 1958</t>
  </si>
  <si>
    <t>Sim 1959</t>
  </si>
  <si>
    <t>Sim 1960</t>
  </si>
  <si>
    <t>Sim 1961</t>
  </si>
  <si>
    <t>Sim 1962</t>
  </si>
  <si>
    <t>Sim 1963</t>
  </si>
  <si>
    <t>Sim 1964</t>
  </si>
  <si>
    <t>Sim 1965</t>
  </si>
  <si>
    <t>Sim 1966</t>
  </si>
  <si>
    <t>Sim 1967</t>
  </si>
  <si>
    <t>Sim 1968</t>
  </si>
  <si>
    <t>Sim 1969</t>
  </si>
  <si>
    <t>Sim 1970</t>
  </si>
  <si>
    <t>Sim 1971</t>
  </si>
  <si>
    <t>Sim 1972</t>
  </si>
  <si>
    <t>Sim 1973</t>
  </si>
  <si>
    <t>Sim 1974</t>
  </si>
  <si>
    <t>Sim 1975</t>
  </si>
  <si>
    <t>Sim 1976</t>
  </si>
  <si>
    <t>Sim 1977</t>
  </si>
  <si>
    <t>Sim 1978</t>
  </si>
  <si>
    <t>Sim 1979</t>
  </si>
  <si>
    <t>Sim 1980</t>
  </si>
  <si>
    <t>Sim 1981</t>
  </si>
  <si>
    <t>Sim 1982</t>
  </si>
  <si>
    <t>Sim 1983</t>
  </si>
  <si>
    <t>Sim 1984</t>
  </si>
  <si>
    <t>Sim 1985</t>
  </si>
  <si>
    <t>Sim 1986</t>
  </si>
  <si>
    <t>Sim 1987</t>
  </si>
  <si>
    <t>Sim 1988</t>
  </si>
  <si>
    <t>Sim 1989</t>
  </si>
  <si>
    <t>Sim 1990</t>
  </si>
  <si>
    <t>Sim 1991</t>
  </si>
  <si>
    <t>Sim 1992</t>
  </si>
  <si>
    <t>Sim 1993</t>
  </si>
  <si>
    <t>Sim 1994</t>
  </si>
  <si>
    <t>Sim 1995</t>
  </si>
  <si>
    <t>Sim 1996</t>
  </si>
  <si>
    <t>Sim 1997</t>
  </si>
  <si>
    <t>Sim 1998</t>
  </si>
  <si>
    <t>Sim 1999</t>
  </si>
  <si>
    <t>Sim 2000</t>
  </si>
  <si>
    <t>Sim 2001</t>
  </si>
  <si>
    <t>Sim 2002</t>
  </si>
  <si>
    <t>Sim 2003</t>
  </si>
  <si>
    <t>Sim 2004</t>
  </si>
  <si>
    <t>Sim 2005</t>
  </si>
  <si>
    <t>Sim 2006</t>
  </si>
  <si>
    <t>Sim 2007</t>
  </si>
  <si>
    <t>Sim 2008</t>
  </si>
  <si>
    <t>Sim 2009</t>
  </si>
  <si>
    <t>Sim 2010</t>
  </si>
  <si>
    <t>Sim 2011</t>
  </si>
  <si>
    <t>Sim 2012</t>
  </si>
  <si>
    <t>Sim 2013</t>
  </si>
  <si>
    <t>Sim 2014</t>
  </si>
  <si>
    <t>Sim 2015</t>
  </si>
  <si>
    <t>Sim 2016</t>
  </si>
  <si>
    <t>Sim 2017</t>
  </si>
  <si>
    <t>Sim 2018</t>
  </si>
  <si>
    <t>Sim 2019</t>
  </si>
  <si>
    <t>Sim 2020</t>
  </si>
  <si>
    <t>Sim 2021</t>
  </si>
  <si>
    <t>Sim 2022</t>
  </si>
  <si>
    <t>Sim 2023</t>
  </si>
  <si>
    <t>Sim 2024</t>
  </si>
  <si>
    <t>Sim 2025</t>
  </si>
  <si>
    <t>Sim 2026</t>
  </si>
  <si>
    <t>Sim 2027</t>
  </si>
  <si>
    <t>Sim 2028</t>
  </si>
  <si>
    <t>Sim 2029</t>
  </si>
  <si>
    <t>Sim 2030</t>
  </si>
  <si>
    <t>Sim 2031</t>
  </si>
  <si>
    <t>Sim 2032</t>
  </si>
  <si>
    <t>Sim 2033</t>
  </si>
  <si>
    <t>Sim 2034</t>
  </si>
  <si>
    <t>Sim 2035</t>
  </si>
  <si>
    <t>Sim 2036</t>
  </si>
  <si>
    <t>Sim 2037</t>
  </si>
  <si>
    <t>Sim 2038</t>
  </si>
  <si>
    <t>Sim 2039</t>
  </si>
  <si>
    <t>Sim 2040</t>
  </si>
  <si>
    <t>Sim 2041</t>
  </si>
  <si>
    <t>Sim 2042</t>
  </si>
  <si>
    <t>Sim 2043</t>
  </si>
  <si>
    <t>Sim 2044</t>
  </si>
  <si>
    <t>Sim 2045</t>
  </si>
  <si>
    <t>Sim 2046</t>
  </si>
  <si>
    <t>Sim 2047</t>
  </si>
  <si>
    <t>Sim 2048</t>
  </si>
  <si>
    <t>Sim 2049</t>
  </si>
  <si>
    <t>Sim 2050</t>
  </si>
  <si>
    <t>Sim 2051</t>
  </si>
  <si>
    <t>Sim 2052</t>
  </si>
  <si>
    <t>Sim 2053</t>
  </si>
  <si>
    <t>Sim 2054</t>
  </si>
  <si>
    <t>Sim 2055</t>
  </si>
  <si>
    <t>Sim 2056</t>
  </si>
  <si>
    <t>Sim 2057</t>
  </si>
  <si>
    <t>Sim 2058</t>
  </si>
  <si>
    <t>Sim 2059</t>
  </si>
  <si>
    <t>Sim 2060</t>
  </si>
  <si>
    <t>Sim 2061</t>
  </si>
  <si>
    <t>Sim 2062</t>
  </si>
  <si>
    <t>Sim 2063</t>
  </si>
  <si>
    <t>Sim 2064</t>
  </si>
  <si>
    <t>Sim 2065</t>
  </si>
  <si>
    <t>Sim 2066</t>
  </si>
  <si>
    <t>Sim 2067</t>
  </si>
  <si>
    <t>Sim 2068</t>
  </si>
  <si>
    <t>Sim 2069</t>
  </si>
  <si>
    <t>Sim 2070</t>
  </si>
  <si>
    <t>Sim 2071</t>
  </si>
  <si>
    <t>Sim 2072</t>
  </si>
  <si>
    <t>Sim 2073</t>
  </si>
  <si>
    <t>Sim 2074</t>
  </si>
  <si>
    <t>Sim 2075</t>
  </si>
  <si>
    <t>Sim 2076</t>
  </si>
  <si>
    <t>Sim 2077</t>
  </si>
  <si>
    <t>Sim 2078</t>
  </si>
  <si>
    <t>Sim 2079</t>
  </si>
  <si>
    <t>Sim 2080</t>
  </si>
  <si>
    <t>Sim 2081</t>
  </si>
  <si>
    <t>Sim 2082</t>
  </si>
  <si>
    <t>Sim 2083</t>
  </si>
  <si>
    <t>Sim 2084</t>
  </si>
  <si>
    <t>Sim 2085</t>
  </si>
  <si>
    <t>Sim 2086</t>
  </si>
  <si>
    <t>Sim 2087</t>
  </si>
  <si>
    <t>Sim 2088</t>
  </si>
  <si>
    <t>Sim 2089</t>
  </si>
  <si>
    <t>Sim 2090</t>
  </si>
  <si>
    <t>Sim 2091</t>
  </si>
  <si>
    <t>Sim 2092</t>
  </si>
  <si>
    <t>Sim 2093</t>
  </si>
  <si>
    <t>Sim 2094</t>
  </si>
  <si>
    <t>Sim 2095</t>
  </si>
  <si>
    <t>Sim 2096</t>
  </si>
  <si>
    <t>Sim 2097</t>
  </si>
  <si>
    <t>Sim 2098</t>
  </si>
  <si>
    <t>Sim 2099</t>
  </si>
  <si>
    <t>Sim 2100</t>
  </si>
  <si>
    <t>Sim 2101</t>
  </si>
  <si>
    <t>Sim 2102</t>
  </si>
  <si>
    <t>Sim 2103</t>
  </si>
  <si>
    <t>Sim 2104</t>
  </si>
  <si>
    <t>Sim 2105</t>
  </si>
  <si>
    <t>Sim 2106</t>
  </si>
  <si>
    <t>Sim 2107</t>
  </si>
  <si>
    <t>Sim 2108</t>
  </si>
  <si>
    <t>Sim 2109</t>
  </si>
  <si>
    <t>Sim 2110</t>
  </si>
  <si>
    <t>Sim 2111</t>
  </si>
  <si>
    <t>Sim 2112</t>
  </si>
  <si>
    <t>Sim 2113</t>
  </si>
  <si>
    <t>Sim 2114</t>
  </si>
  <si>
    <t>Sim 2115</t>
  </si>
  <si>
    <t>Sim 2116</t>
  </si>
  <si>
    <t>Sim 2117</t>
  </si>
  <si>
    <t>Sim 2118</t>
  </si>
  <si>
    <t>Sim 2119</t>
  </si>
  <si>
    <t>Sim 2120</t>
  </si>
  <si>
    <t>Sim 2121</t>
  </si>
  <si>
    <t>Sim 2122</t>
  </si>
  <si>
    <t>Sim 2123</t>
  </si>
  <si>
    <t>Sim 2124</t>
  </si>
  <si>
    <t>Sim 2125</t>
  </si>
  <si>
    <t>Sim 2126</t>
  </si>
  <si>
    <t>Sim 2127</t>
  </si>
  <si>
    <t>Sim 2128</t>
  </si>
  <si>
    <t>Sim 2129</t>
  </si>
  <si>
    <t>Sim 2130</t>
  </si>
  <si>
    <t>Sim 2131</t>
  </si>
  <si>
    <t>Sim 2132</t>
  </si>
  <si>
    <t>Sim 2133</t>
  </si>
  <si>
    <t>Sim 2134</t>
  </si>
  <si>
    <t>Sim 2135</t>
  </si>
  <si>
    <t>Sim 2136</t>
  </si>
  <si>
    <t>Sim 2137</t>
  </si>
  <si>
    <t>Sim 2138</t>
  </si>
  <si>
    <t>Sim 2139</t>
  </si>
  <si>
    <t>Sim 2140</t>
  </si>
  <si>
    <t>Sim 2141</t>
  </si>
  <si>
    <t>Sim 2142</t>
  </si>
  <si>
    <t>Sim 2143</t>
  </si>
  <si>
    <t>Sim 2144</t>
  </si>
  <si>
    <t>Sim 2145</t>
  </si>
  <si>
    <t>Sim 2146</t>
  </si>
  <si>
    <t>Sim 2147</t>
  </si>
  <si>
    <t>Sim 2148</t>
  </si>
  <si>
    <t>Sim 2149</t>
  </si>
  <si>
    <t>Sim 2150</t>
  </si>
  <si>
    <t>Sim 2151</t>
  </si>
  <si>
    <t>Sim 2152</t>
  </si>
  <si>
    <t>Sim 2153</t>
  </si>
  <si>
    <t>Sim 2154</t>
  </si>
  <si>
    <t>Sim 2155</t>
  </si>
  <si>
    <t>Sim 2156</t>
  </si>
  <si>
    <t>Sim 2157</t>
  </si>
  <si>
    <t>Sim 2158</t>
  </si>
  <si>
    <t>Sim 2159</t>
  </si>
  <si>
    <t>Sim 2160</t>
  </si>
  <si>
    <t>Sim 2161</t>
  </si>
  <si>
    <t>Sim 2162</t>
  </si>
  <si>
    <t>Sim 2163</t>
  </si>
  <si>
    <t>Sim 2164</t>
  </si>
  <si>
    <t>Sim 2165</t>
  </si>
  <si>
    <t>Sim 2166</t>
  </si>
  <si>
    <t>Sim 2167</t>
  </si>
  <si>
    <t>Sim 2168</t>
  </si>
  <si>
    <t>Sim 2169</t>
  </si>
  <si>
    <t>Sim 2170</t>
  </si>
  <si>
    <t>Sim 2171</t>
  </si>
  <si>
    <t>Sim 2172</t>
  </si>
  <si>
    <t>Sim 2173</t>
  </si>
  <si>
    <t>Sim 2174</t>
  </si>
  <si>
    <t>Sim 2175</t>
  </si>
  <si>
    <t>Sim 2176</t>
  </si>
  <si>
    <t>Sim 2177</t>
  </si>
  <si>
    <t>Sim 2178</t>
  </si>
  <si>
    <t>Sim 2179</t>
  </si>
  <si>
    <t>Sim 2180</t>
  </si>
  <si>
    <t>Sim 2181</t>
  </si>
  <si>
    <t>Sim 2182</t>
  </si>
  <si>
    <t>Sim 2183</t>
  </si>
  <si>
    <t>Sim 2184</t>
  </si>
  <si>
    <t>Sim 2185</t>
  </si>
  <si>
    <t>Sim 2186</t>
  </si>
  <si>
    <t>Sim 2187</t>
  </si>
  <si>
    <t>Sim 2188</t>
  </si>
  <si>
    <t>Sim 2189</t>
  </si>
  <si>
    <t>Sim 2190</t>
  </si>
  <si>
    <t>Sim 2191</t>
  </si>
  <si>
    <t>Sim 2192</t>
  </si>
  <si>
    <t>Sim 2193</t>
  </si>
  <si>
    <t>Sim 2194</t>
  </si>
  <si>
    <t>Sim 2195</t>
  </si>
  <si>
    <t>Sim 2196</t>
  </si>
  <si>
    <t>Sim 2197</t>
  </si>
  <si>
    <t>Sim 2198</t>
  </si>
  <si>
    <t>Sim 2199</t>
  </si>
  <si>
    <t>Sim 2200</t>
  </si>
  <si>
    <t>Sim 2201</t>
  </si>
  <si>
    <t>Sim 2202</t>
  </si>
  <si>
    <t>Sim 2203</t>
  </si>
  <si>
    <t>Sim 2204</t>
  </si>
  <si>
    <t>Sim 2205</t>
  </si>
  <si>
    <t>Sim 2206</t>
  </si>
  <si>
    <t>Sim 2207</t>
  </si>
  <si>
    <t>Sim 2208</t>
  </si>
  <si>
    <t>Sim 2209</t>
  </si>
  <si>
    <t>Sim 2210</t>
  </si>
  <si>
    <t>Sim 2211</t>
  </si>
  <si>
    <t>Sim 2212</t>
  </si>
  <si>
    <t>Sim 2213</t>
  </si>
  <si>
    <t>Sim 2214</t>
  </si>
  <si>
    <t>Sim 2215</t>
  </si>
  <si>
    <t>Sim 2216</t>
  </si>
  <si>
    <t>Sim 2217</t>
  </si>
  <si>
    <t>Sim 2218</t>
  </si>
  <si>
    <t>Sim 2219</t>
  </si>
  <si>
    <t>Sim 2220</t>
  </si>
  <si>
    <t>Sim 2221</t>
  </si>
  <si>
    <t>Sim 2222</t>
  </si>
  <si>
    <t>Sim 2223</t>
  </si>
  <si>
    <t>Sim 2224</t>
  </si>
  <si>
    <t>Sim 2225</t>
  </si>
  <si>
    <t>Sim 2226</t>
  </si>
  <si>
    <t>Sim 2227</t>
  </si>
  <si>
    <t>Sim 2228</t>
  </si>
  <si>
    <t>Sim 2229</t>
  </si>
  <si>
    <t>Sim 2230</t>
  </si>
  <si>
    <t>Sim 2231</t>
  </si>
  <si>
    <t>Sim 2232</t>
  </si>
  <si>
    <t>Sim 2233</t>
  </si>
  <si>
    <t>Sim 2234</t>
  </si>
  <si>
    <t>Sim 2235</t>
  </si>
  <si>
    <t>Sim 2236</t>
  </si>
  <si>
    <t>Sim 2237</t>
  </si>
  <si>
    <t>Sim 2238</t>
  </si>
  <si>
    <t>Sim 2239</t>
  </si>
  <si>
    <t>Sim 2240</t>
  </si>
  <si>
    <t>Sim 2241</t>
  </si>
  <si>
    <t>Sim 2242</t>
  </si>
  <si>
    <t>Sim 2243</t>
  </si>
  <si>
    <t>Sim 2244</t>
  </si>
  <si>
    <t>Sim 2245</t>
  </si>
  <si>
    <t>Sim 2246</t>
  </si>
  <si>
    <t>Sim 2247</t>
  </si>
  <si>
    <t>Sim 2248</t>
  </si>
  <si>
    <t>Sim 2249</t>
  </si>
  <si>
    <t>Sim 2250</t>
  </si>
  <si>
    <t>Sim 2251</t>
  </si>
  <si>
    <t>Sim 2252</t>
  </si>
  <si>
    <t>Sim 2253</t>
  </si>
  <si>
    <t>Sim 2254</t>
  </si>
  <si>
    <t>Sim 2255</t>
  </si>
  <si>
    <t>Sim 2256</t>
  </si>
  <si>
    <t>Sim 2257</t>
  </si>
  <si>
    <t>Sim 2258</t>
  </si>
  <si>
    <t>Sim 2259</t>
  </si>
  <si>
    <t>Sim 2260</t>
  </si>
  <si>
    <t>Sim 2261</t>
  </si>
  <si>
    <t>Sim 2262</t>
  </si>
  <si>
    <t>Sim 2263</t>
  </si>
  <si>
    <t>Sim 2264</t>
  </si>
  <si>
    <t>Sim 2265</t>
  </si>
  <si>
    <t>Sim 2266</t>
  </si>
  <si>
    <t>Sim 2267</t>
  </si>
  <si>
    <t>Sim 2268</t>
  </si>
  <si>
    <t>Sim 2269</t>
  </si>
  <si>
    <t>Sim 2270</t>
  </si>
  <si>
    <t>Sim 2271</t>
  </si>
  <si>
    <t>Sim 2272</t>
  </si>
  <si>
    <t>Sim 2273</t>
  </si>
  <si>
    <t>Sim 2274</t>
  </si>
  <si>
    <t>Sim 2275</t>
  </si>
  <si>
    <t>Sim 2276</t>
  </si>
  <si>
    <t>Sim 2277</t>
  </si>
  <si>
    <t>Sim 2278</t>
  </si>
  <si>
    <t>Sim 2279</t>
  </si>
  <si>
    <t>Sim 2280</t>
  </si>
  <si>
    <t>Sim 2281</t>
  </si>
  <si>
    <t>Sim 2282</t>
  </si>
  <si>
    <t>Sim 2283</t>
  </si>
  <si>
    <t>Sim 2284</t>
  </si>
  <si>
    <t>Sim 2285</t>
  </si>
  <si>
    <t>Sim 2286</t>
  </si>
  <si>
    <t>Sim 2287</t>
  </si>
  <si>
    <t>Sim 2288</t>
  </si>
  <si>
    <t>Sim 2289</t>
  </si>
  <si>
    <t>Sim 2290</t>
  </si>
  <si>
    <t>Sim 2291</t>
  </si>
  <si>
    <t>Sim 2292</t>
  </si>
  <si>
    <t>Sim 2293</t>
  </si>
  <si>
    <t>Sim 2294</t>
  </si>
  <si>
    <t>Sim 2295</t>
  </si>
  <si>
    <t>Sim 2296</t>
  </si>
  <si>
    <t>Sim 2297</t>
  </si>
  <si>
    <t>Sim 2298</t>
  </si>
  <si>
    <t>Sim 2299</t>
  </si>
  <si>
    <t>Sim 2300</t>
  </si>
  <si>
    <t>Sim 2301</t>
  </si>
  <si>
    <t>Sim 2302</t>
  </si>
  <si>
    <t>Sim 2303</t>
  </si>
  <si>
    <t>Sim 2304</t>
  </si>
  <si>
    <t>Sim 2305</t>
  </si>
  <si>
    <t>Sim 2306</t>
  </si>
  <si>
    <t>Sim 2307</t>
  </si>
  <si>
    <t>Sim 2308</t>
  </si>
  <si>
    <t>Sim 2309</t>
  </si>
  <si>
    <t>Sim 2310</t>
  </si>
  <si>
    <t>Sim 2311</t>
  </si>
  <si>
    <t>Sim 2312</t>
  </si>
  <si>
    <t>Sim 2313</t>
  </si>
  <si>
    <t>Sim 2314</t>
  </si>
  <si>
    <t>Sim 2315</t>
  </si>
  <si>
    <t>Sim 2316</t>
  </si>
  <si>
    <t>Sim 2317</t>
  </si>
  <si>
    <t>Sim 2318</t>
  </si>
  <si>
    <t>Sim 2319</t>
  </si>
  <si>
    <t>Sim 2320</t>
  </si>
  <si>
    <t>Sim 2321</t>
  </si>
  <si>
    <t>Sim 2322</t>
  </si>
  <si>
    <t>Sim 2323</t>
  </si>
  <si>
    <t>Sim 2324</t>
  </si>
  <si>
    <t>Sim 2325</t>
  </si>
  <si>
    <t>Sim 2326</t>
  </si>
  <si>
    <t>Sim 2327</t>
  </si>
  <si>
    <t>Sim 2328</t>
  </si>
  <si>
    <t>Sim 2329</t>
  </si>
  <si>
    <t>Sim 2330</t>
  </si>
  <si>
    <t>Sim 2331</t>
  </si>
  <si>
    <t>Sim 2332</t>
  </si>
  <si>
    <t>Sim 2333</t>
  </si>
  <si>
    <t>Sim 2334</t>
  </si>
  <si>
    <t>Sim 2335</t>
  </si>
  <si>
    <t>Sim 2336</t>
  </si>
  <si>
    <t>Sim 2337</t>
  </si>
  <si>
    <t>Sim 2338</t>
  </si>
  <si>
    <t>Sim 2339</t>
  </si>
  <si>
    <t>Sim 2340</t>
  </si>
  <si>
    <t>Sim 2341</t>
  </si>
  <si>
    <t>Sim 2342</t>
  </si>
  <si>
    <t>Sim 2343</t>
  </si>
  <si>
    <t>Sim 2344</t>
  </si>
  <si>
    <t>Sim 2345</t>
  </si>
  <si>
    <t>Sim 2346</t>
  </si>
  <si>
    <t>Sim 2347</t>
  </si>
  <si>
    <t>Sim 2348</t>
  </si>
  <si>
    <t>Sim 2349</t>
  </si>
  <si>
    <t>Sim 2350</t>
  </si>
  <si>
    <t>Sim 2351</t>
  </si>
  <si>
    <t>Sim 2352</t>
  </si>
  <si>
    <t>Sim 2353</t>
  </si>
  <si>
    <t>Sim 2354</t>
  </si>
  <si>
    <t>Sim 2355</t>
  </si>
  <si>
    <t>Sim 2356</t>
  </si>
  <si>
    <t>Sim 2357</t>
  </si>
  <si>
    <t>Sim 2358</t>
  </si>
  <si>
    <t>Sim 2359</t>
  </si>
  <si>
    <t>Sim 2360</t>
  </si>
  <si>
    <t>Sim 2361</t>
  </si>
  <si>
    <t>Sim 2362</t>
  </si>
  <si>
    <t>Sim 2363</t>
  </si>
  <si>
    <t>Sim 2364</t>
  </si>
  <si>
    <t>Sim 2365</t>
  </si>
  <si>
    <t>Sim 2366</t>
  </si>
  <si>
    <t>Sim 2367</t>
  </si>
  <si>
    <t>Sim 2368</t>
  </si>
  <si>
    <t>Sim 2369</t>
  </si>
  <si>
    <t>Sim 2370</t>
  </si>
  <si>
    <t>Sim 2371</t>
  </si>
  <si>
    <t>Sim 2372</t>
  </si>
  <si>
    <t>Sim 2373</t>
  </si>
  <si>
    <t>Sim 2374</t>
  </si>
  <si>
    <t>Sim 2375</t>
  </si>
  <si>
    <t>Sim 2376</t>
  </si>
  <si>
    <t>Sim 2377</t>
  </si>
  <si>
    <t>Sim 2378</t>
  </si>
  <si>
    <t>Sim 2379</t>
  </si>
  <si>
    <t>Sim 2380</t>
  </si>
  <si>
    <t>Sim 2381</t>
  </si>
  <si>
    <t>Sim 2382</t>
  </si>
  <si>
    <t>Sim 2383</t>
  </si>
  <si>
    <t>Sim 2384</t>
  </si>
  <si>
    <t>Sim 2385</t>
  </si>
  <si>
    <t>Sim 2386</t>
  </si>
  <si>
    <t>Sim 2387</t>
  </si>
  <si>
    <t>Sim 2388</t>
  </si>
  <si>
    <t>Sim 2389</t>
  </si>
  <si>
    <t>Sim 2390</t>
  </si>
  <si>
    <t>Sim 2391</t>
  </si>
  <si>
    <t>Sim 2392</t>
  </si>
  <si>
    <t>Sim 2393</t>
  </si>
  <si>
    <t>Sim 2394</t>
  </si>
  <si>
    <t>Sim 2395</t>
  </si>
  <si>
    <t>Sim 2396</t>
  </si>
  <si>
    <t>Sim 2397</t>
  </si>
  <si>
    <t>Sim 2398</t>
  </si>
  <si>
    <t>Sim 2399</t>
  </si>
  <si>
    <t>Sim 2400</t>
  </si>
  <si>
    <t>Sim 2401</t>
  </si>
  <si>
    <t>Sim 2402</t>
  </si>
  <si>
    <t>Sim 2403</t>
  </si>
  <si>
    <t>Sim 2404</t>
  </si>
  <si>
    <t>Sim 2405</t>
  </si>
  <si>
    <t>Sim 2406</t>
  </si>
  <si>
    <t>Sim 2407</t>
  </si>
  <si>
    <t>Sim 2408</t>
  </si>
  <si>
    <t>Sim 2409</t>
  </si>
  <si>
    <t>Sim 2410</t>
  </si>
  <si>
    <t>Sim 2411</t>
  </si>
  <si>
    <t>Sim 2412</t>
  </si>
  <si>
    <t>Sim 2413</t>
  </si>
  <si>
    <t>Sim 2414</t>
  </si>
  <si>
    <t>Sim 2415</t>
  </si>
  <si>
    <t>Sim 2416</t>
  </si>
  <si>
    <t>Sim 2417</t>
  </si>
  <si>
    <t>Sim 2418</t>
  </si>
  <si>
    <t>Sim 2419</t>
  </si>
  <si>
    <t>Sim 2420</t>
  </si>
  <si>
    <t>Sim 2421</t>
  </si>
  <si>
    <t>Sim 2422</t>
  </si>
  <si>
    <t>Sim 2423</t>
  </si>
  <si>
    <t>Sim 2424</t>
  </si>
  <si>
    <t>Sim 2425</t>
  </si>
  <si>
    <t>Sim 2426</t>
  </si>
  <si>
    <t>Sim 2427</t>
  </si>
  <si>
    <t>Sim 2428</t>
  </si>
  <si>
    <t>Sim 2429</t>
  </si>
  <si>
    <t>Sim 2430</t>
  </si>
  <si>
    <t>Sim 2431</t>
  </si>
  <si>
    <t>Sim 2432</t>
  </si>
  <si>
    <t>Sim 2433</t>
  </si>
  <si>
    <t>Sim 2434</t>
  </si>
  <si>
    <t>Sim 2435</t>
  </si>
  <si>
    <t>Sim 2436</t>
  </si>
  <si>
    <t>Sim 2437</t>
  </si>
  <si>
    <t>Sim 2438</t>
  </si>
  <si>
    <t>Sim 2439</t>
  </si>
  <si>
    <t>Sim 2440</t>
  </si>
  <si>
    <t>Sim 2441</t>
  </si>
  <si>
    <t>Sim 2442</t>
  </si>
  <si>
    <t>Sim 2443</t>
  </si>
  <si>
    <t>Sim 2444</t>
  </si>
  <si>
    <t>Sim 2445</t>
  </si>
  <si>
    <t>Sim 2446</t>
  </si>
  <si>
    <t>Sim 2447</t>
  </si>
  <si>
    <t>Sim 2448</t>
  </si>
  <si>
    <t>Sim 2449</t>
  </si>
  <si>
    <t>Sim 2450</t>
  </si>
  <si>
    <t>Sim 2451</t>
  </si>
  <si>
    <t>Sim 2452</t>
  </si>
  <si>
    <t>Sim 2453</t>
  </si>
  <si>
    <t>Sim 2454</t>
  </si>
  <si>
    <t>Sim 2455</t>
  </si>
  <si>
    <t>Sim 2456</t>
  </si>
  <si>
    <t>Sim 2457</t>
  </si>
  <si>
    <t>Sim 2458</t>
  </si>
  <si>
    <t>Sim 2459</t>
  </si>
  <si>
    <t>Sim 2460</t>
  </si>
  <si>
    <t>Sim 2461</t>
  </si>
  <si>
    <t>Sim 2462</t>
  </si>
  <si>
    <t>Sim 2463</t>
  </si>
  <si>
    <t>Sim 2464</t>
  </si>
  <si>
    <t>Sim 2465</t>
  </si>
  <si>
    <t>Sim 2466</t>
  </si>
  <si>
    <t>Sim 2467</t>
  </si>
  <si>
    <t>Sim 2468</t>
  </si>
  <si>
    <t>Sim 2469</t>
  </si>
  <si>
    <t>Sim 2470</t>
  </si>
  <si>
    <t>Sim 2471</t>
  </si>
  <si>
    <t>Sim 2472</t>
  </si>
  <si>
    <t>Sim 2473</t>
  </si>
  <si>
    <t>Sim 2474</t>
  </si>
  <si>
    <t>Sim 2475</t>
  </si>
  <si>
    <t>Sim 2476</t>
  </si>
  <si>
    <t>Sim 2477</t>
  </si>
  <si>
    <t>Sim 2478</t>
  </si>
  <si>
    <t>Sim 2479</t>
  </si>
  <si>
    <t>Sim 2480</t>
  </si>
  <si>
    <t>Sim 2481</t>
  </si>
  <si>
    <t>Sim 2482</t>
  </si>
  <si>
    <t>Sim 2483</t>
  </si>
  <si>
    <t>Sim 2484</t>
  </si>
  <si>
    <t>Sim 2485</t>
  </si>
  <si>
    <t>Sim 2486</t>
  </si>
  <si>
    <t>Sim 2487</t>
  </si>
  <si>
    <t>Sim 2488</t>
  </si>
  <si>
    <t>Sim 2489</t>
  </si>
  <si>
    <t>Sim 2490</t>
  </si>
  <si>
    <t>Sim 2491</t>
  </si>
  <si>
    <t>Sim 2492</t>
  </si>
  <si>
    <t>Sim 2493</t>
  </si>
  <si>
    <t>Sim 2494</t>
  </si>
  <si>
    <t>Sim 2495</t>
  </si>
  <si>
    <t>Sim 2496</t>
  </si>
  <si>
    <t>Sim 2497</t>
  </si>
  <si>
    <t>Sim 2498</t>
  </si>
  <si>
    <t>Sim 2499</t>
  </si>
  <si>
    <t>Sim 2500</t>
  </si>
  <si>
    <t>Sim 2501</t>
  </si>
  <si>
    <t>Sim 2502</t>
  </si>
  <si>
    <t>Sim 2503</t>
  </si>
  <si>
    <t>Sim 2504</t>
  </si>
  <si>
    <t>Sim 2505</t>
  </si>
  <si>
    <t>Sim 2506</t>
  </si>
  <si>
    <t>Sim 2507</t>
  </si>
  <si>
    <t>Sim 2508</t>
  </si>
  <si>
    <t>Sim 2509</t>
  </si>
  <si>
    <t>Sim 2510</t>
  </si>
  <si>
    <t>Sim 2511</t>
  </si>
  <si>
    <t>Sim 2512</t>
  </si>
  <si>
    <t>Sim 2513</t>
  </si>
  <si>
    <t>Sim 2514</t>
  </si>
  <si>
    <t>Sim 2515</t>
  </si>
  <si>
    <t>Sim 2516</t>
  </si>
  <si>
    <t>Sim 2517</t>
  </si>
  <si>
    <t>Sim 2518</t>
  </si>
  <si>
    <t>Sim 2519</t>
  </si>
  <si>
    <t>Sim 2520</t>
  </si>
  <si>
    <t>Sim 2521</t>
  </si>
  <si>
    <t>Sim 2522</t>
  </si>
  <si>
    <t>Sim 2523</t>
  </si>
  <si>
    <t>Sim 2524</t>
  </si>
  <si>
    <t>Sim 2525</t>
  </si>
  <si>
    <t>Sim 2526</t>
  </si>
  <si>
    <t>Sim 2527</t>
  </si>
  <si>
    <t>Sim 2528</t>
  </si>
  <si>
    <t>Sim 2529</t>
  </si>
  <si>
    <t>Sim 2530</t>
  </si>
  <si>
    <t>Sim 2531</t>
  </si>
  <si>
    <t>Sim 2532</t>
  </si>
  <si>
    <t>Sim 2533</t>
  </si>
  <si>
    <t>Sim 2534</t>
  </si>
  <si>
    <t>Sim 2535</t>
  </si>
  <si>
    <t>Sim 2536</t>
  </si>
  <si>
    <t>Sim 2537</t>
  </si>
  <si>
    <t>Sim 2538</t>
  </si>
  <si>
    <t>Sim 2539</t>
  </si>
  <si>
    <t>Sim 2540</t>
  </si>
  <si>
    <t>Sim 2541</t>
  </si>
  <si>
    <t>Sim 2542</t>
  </si>
  <si>
    <t>Sim 2543</t>
  </si>
  <si>
    <t>Sim 2544</t>
  </si>
  <si>
    <t>Sim 2545</t>
  </si>
  <si>
    <t>Sim 2546</t>
  </si>
  <si>
    <t>Sim 2547</t>
  </si>
  <si>
    <t>Sim 2548</t>
  </si>
  <si>
    <t>Sim 2549</t>
  </si>
  <si>
    <t>Sim 2550</t>
  </si>
  <si>
    <t>Sim 2551</t>
  </si>
  <si>
    <t>Sim 2552</t>
  </si>
  <si>
    <t>Sim 2553</t>
  </si>
  <si>
    <t>Sim 2554</t>
  </si>
  <si>
    <t>Sim 2555</t>
  </si>
  <si>
    <t>Sim 2556</t>
  </si>
  <si>
    <t>Sim 2557</t>
  </si>
  <si>
    <t>Sim 2558</t>
  </si>
  <si>
    <t>Sim 2559</t>
  </si>
  <si>
    <t>Sim 2560</t>
  </si>
  <si>
    <t>Sim 2561</t>
  </si>
  <si>
    <t>Sim 2562</t>
  </si>
  <si>
    <t>Sim 2563</t>
  </si>
  <si>
    <t>Sim 2564</t>
  </si>
  <si>
    <t>Sim 2565</t>
  </si>
  <si>
    <t>Sim 2566</t>
  </si>
  <si>
    <t>Sim 2567</t>
  </si>
  <si>
    <t>Sim 2568</t>
  </si>
  <si>
    <t>Sim 2569</t>
  </si>
  <si>
    <t>Sim 2570</t>
  </si>
  <si>
    <t>Sim 2571</t>
  </si>
  <si>
    <t>Sim 2572</t>
  </si>
  <si>
    <t>Sim 2573</t>
  </si>
  <si>
    <t>Sim 2574</t>
  </si>
  <si>
    <t>Sim 2575</t>
  </si>
  <si>
    <t>Sim 2576</t>
  </si>
  <si>
    <t>Sim 2577</t>
  </si>
  <si>
    <t>Sim 2578</t>
  </si>
  <si>
    <t>Sim 2579</t>
  </si>
  <si>
    <t>Sim 2580</t>
  </si>
  <si>
    <t>Sim 2581</t>
  </si>
  <si>
    <t>Sim 2582</t>
  </si>
  <si>
    <t>Sim 2583</t>
  </si>
  <si>
    <t>Sim 2584</t>
  </si>
  <si>
    <t>Sim 2585</t>
  </si>
  <si>
    <t>Sim 2586</t>
  </si>
  <si>
    <t>Sim 2587</t>
  </si>
  <si>
    <t>Sim 2588</t>
  </si>
  <si>
    <t>Sim 2589</t>
  </si>
  <si>
    <t>Sim 2590</t>
  </si>
  <si>
    <t>Sim 2591</t>
  </si>
  <si>
    <t>Sim 2592</t>
  </si>
  <si>
    <t>Sim 2593</t>
  </si>
  <si>
    <t>Sim 2594</t>
  </si>
  <si>
    <t>Sim 2595</t>
  </si>
  <si>
    <t>Sim 2596</t>
  </si>
  <si>
    <t>Sim 2597</t>
  </si>
  <si>
    <t>Sim 2598</t>
  </si>
  <si>
    <t>Sim 2599</t>
  </si>
  <si>
    <t>Sim 2600</t>
  </si>
  <si>
    <t>Sim 2601</t>
  </si>
  <si>
    <t>Sim 2602</t>
  </si>
  <si>
    <t>Sim 2603</t>
  </si>
  <si>
    <t>Sim 2604</t>
  </si>
  <si>
    <t>Sim 2605</t>
  </si>
  <si>
    <t>Sim 2606</t>
  </si>
  <si>
    <t>Sim 2607</t>
  </si>
  <si>
    <t>Sim 2608</t>
  </si>
  <si>
    <t>Sim 2609</t>
  </si>
  <si>
    <t>Sim 2610</t>
  </si>
  <si>
    <t>Sim 2611</t>
  </si>
  <si>
    <t>Sim 2612</t>
  </si>
  <si>
    <t>Sim 2613</t>
  </si>
  <si>
    <t>Sim 2614</t>
  </si>
  <si>
    <t>Sim 2615</t>
  </si>
  <si>
    <t>Sim 2616</t>
  </si>
  <si>
    <t>Sim 2617</t>
  </si>
  <si>
    <t>Sim 2618</t>
  </si>
  <si>
    <t>Sim 2619</t>
  </si>
  <si>
    <t>Sim 2620</t>
  </si>
  <si>
    <t>Sim 2621</t>
  </si>
  <si>
    <t>Sim 2622</t>
  </si>
  <si>
    <t>Sim 2623</t>
  </si>
  <si>
    <t>Sim 2624</t>
  </si>
  <si>
    <t>Sim 2625</t>
  </si>
  <si>
    <t>Sim 2626</t>
  </si>
  <si>
    <t>Sim 2627</t>
  </si>
  <si>
    <t>Sim 2628</t>
  </si>
  <si>
    <t>Sim 2629</t>
  </si>
  <si>
    <t>Sim 2630</t>
  </si>
  <si>
    <t>Sim 2631</t>
  </si>
  <si>
    <t>Sim 2632</t>
  </si>
  <si>
    <t>Sim 2633</t>
  </si>
  <si>
    <t>Sim 2634</t>
  </si>
  <si>
    <t>Sim 2635</t>
  </si>
  <si>
    <t>Sim 2636</t>
  </si>
  <si>
    <t>Sim 2637</t>
  </si>
  <si>
    <t>Sim 2638</t>
  </si>
  <si>
    <t>Sim 2639</t>
  </si>
  <si>
    <t>Sim 2640</t>
  </si>
  <si>
    <t>Sim 2641</t>
  </si>
  <si>
    <t>Sim 2642</t>
  </si>
  <si>
    <t>Sim 2643</t>
  </si>
  <si>
    <t>Sim 2644</t>
  </si>
  <si>
    <t>Sim 2645</t>
  </si>
  <si>
    <t>Sim 2646</t>
  </si>
  <si>
    <t>Sim 2647</t>
  </si>
  <si>
    <t>Sim 2648</t>
  </si>
  <si>
    <t>Sim 2649</t>
  </si>
  <si>
    <t>Sim 2650</t>
  </si>
  <si>
    <t>Sim 2651</t>
  </si>
  <si>
    <t>Sim 2652</t>
  </si>
  <si>
    <t>Sim 2653</t>
  </si>
  <si>
    <t>Sim 2654</t>
  </si>
  <si>
    <t>Sim 2655</t>
  </si>
  <si>
    <t>Sim 2656</t>
  </si>
  <si>
    <t>Sim 2657</t>
  </si>
  <si>
    <t>Sim 2658</t>
  </si>
  <si>
    <t>Sim 2659</t>
  </si>
  <si>
    <t>Sim 2660</t>
  </si>
  <si>
    <t>Sim 2661</t>
  </si>
  <si>
    <t>Sim 2662</t>
  </si>
  <si>
    <t>Sim 2663</t>
  </si>
  <si>
    <t>Sim 2664</t>
  </si>
  <si>
    <t>Sim 2665</t>
  </si>
  <si>
    <t>Sim 2666</t>
  </si>
  <si>
    <t>Sim 2667</t>
  </si>
  <si>
    <t>Sim 2668</t>
  </si>
  <si>
    <t>Sim 2669</t>
  </si>
  <si>
    <t>Sim 2670</t>
  </si>
  <si>
    <t>Sim 2671</t>
  </si>
  <si>
    <t>Sim 2672</t>
  </si>
  <si>
    <t>Sim 2673</t>
  </si>
  <si>
    <t>Sim 2674</t>
  </si>
  <si>
    <t>Sim 2675</t>
  </si>
  <si>
    <t>Sim 2676</t>
  </si>
  <si>
    <t>Sim 2677</t>
  </si>
  <si>
    <t>Sim 2678</t>
  </si>
  <si>
    <t>Sim 2679</t>
  </si>
  <si>
    <t>Sim 2680</t>
  </si>
  <si>
    <t>Sim 2681</t>
  </si>
  <si>
    <t>Sim 2682</t>
  </si>
  <si>
    <t>Sim 2683</t>
  </si>
  <si>
    <t>Sim 2684</t>
  </si>
  <si>
    <t>Sim 2685</t>
  </si>
  <si>
    <t>Sim 2686</t>
  </si>
  <si>
    <t>Sim 2687</t>
  </si>
  <si>
    <t>Sim 2688</t>
  </si>
  <si>
    <t>Sim 2689</t>
  </si>
  <si>
    <t>Sim 2690</t>
  </si>
  <si>
    <t>Sim 2691</t>
  </si>
  <si>
    <t>Sim 2692</t>
  </si>
  <si>
    <t>Sim 2693</t>
  </si>
  <si>
    <t>Sim 2694</t>
  </si>
  <si>
    <t>Sim 2695</t>
  </si>
  <si>
    <t>Sim 2696</t>
  </si>
  <si>
    <t>Sim 2697</t>
  </si>
  <si>
    <t>Sim 2698</t>
  </si>
  <si>
    <t>Sim 2699</t>
  </si>
  <si>
    <t>Sim 2700</t>
  </si>
  <si>
    <t>Sim 2701</t>
  </si>
  <si>
    <t>Sim 2702</t>
  </si>
  <si>
    <t>Sim 2703</t>
  </si>
  <si>
    <t>Sim 2704</t>
  </si>
  <si>
    <t>Sim 2705</t>
  </si>
  <si>
    <t>Sim 2706</t>
  </si>
  <si>
    <t>Sim 2707</t>
  </si>
  <si>
    <t>Sim 2708</t>
  </si>
  <si>
    <t>Sim 2709</t>
  </si>
  <si>
    <t>Sim 2710</t>
  </si>
  <si>
    <t>Sim 2711</t>
  </si>
  <si>
    <t>Sim 2712</t>
  </si>
  <si>
    <t>Sim 2713</t>
  </si>
  <si>
    <t>Sim 2714</t>
  </si>
  <si>
    <t>Sim 2715</t>
  </si>
  <si>
    <t>Sim 2716</t>
  </si>
  <si>
    <t>Sim 2717</t>
  </si>
  <si>
    <t>Sim 2718</t>
  </si>
  <si>
    <t>Sim 2719</t>
  </si>
  <si>
    <t>Sim 2720</t>
  </si>
  <si>
    <t>Sim 2721</t>
  </si>
  <si>
    <t>Sim 2722</t>
  </si>
  <si>
    <t>Sim 2723</t>
  </si>
  <si>
    <t>Sim 2724</t>
  </si>
  <si>
    <t>Sim 2725</t>
  </si>
  <si>
    <t>Sim 2726</t>
  </si>
  <si>
    <t>Sim 2727</t>
  </si>
  <si>
    <t>Sim 2728</t>
  </si>
  <si>
    <t>Sim 2729</t>
  </si>
  <si>
    <t>Sim 2730</t>
  </si>
  <si>
    <t>Sim 2731</t>
  </si>
  <si>
    <t>Sim 2732</t>
  </si>
  <si>
    <t>Sim 2733</t>
  </si>
  <si>
    <t>Sim 2734</t>
  </si>
  <si>
    <t>Sim 2735</t>
  </si>
  <si>
    <t>Sim 2736</t>
  </si>
  <si>
    <t>Sim 2737</t>
  </si>
  <si>
    <t>Sim 2738</t>
  </si>
  <si>
    <t>Sim 2739</t>
  </si>
  <si>
    <t>Sim 2740</t>
  </si>
  <si>
    <t>Sim 2741</t>
  </si>
  <si>
    <t>Sim 2742</t>
  </si>
  <si>
    <t>Sim 2743</t>
  </si>
  <si>
    <t>Sim 2744</t>
  </si>
  <si>
    <t>Sim 2745</t>
  </si>
  <si>
    <t>Sim 2746</t>
  </si>
  <si>
    <t>Sim 2747</t>
  </si>
  <si>
    <t>Sim 2748</t>
  </si>
  <si>
    <t>Sim 2749</t>
  </si>
  <si>
    <t>Sim 2750</t>
  </si>
  <si>
    <t>Sim 2751</t>
  </si>
  <si>
    <t>Sim 2752</t>
  </si>
  <si>
    <t>Sim 2753</t>
  </si>
  <si>
    <t>Sim 2754</t>
  </si>
  <si>
    <t>Sim 2755</t>
  </si>
  <si>
    <t>Sim 2756</t>
  </si>
  <si>
    <t>Sim 2757</t>
  </si>
  <si>
    <t>Sim 2758</t>
  </si>
  <si>
    <t>Sim 2759</t>
  </si>
  <si>
    <t>Sim 2760</t>
  </si>
  <si>
    <t>Sim 2761</t>
  </si>
  <si>
    <t>Sim 2762</t>
  </si>
  <si>
    <t>Sim 2763</t>
  </si>
  <si>
    <t>Sim 2764</t>
  </si>
  <si>
    <t>Sim 2765</t>
  </si>
  <si>
    <t>Sim 2766</t>
  </si>
  <si>
    <t>Sim 2767</t>
  </si>
  <si>
    <t>Sim 2768</t>
  </si>
  <si>
    <t>Sim 2769</t>
  </si>
  <si>
    <t>Sim 2770</t>
  </si>
  <si>
    <t>Sim 2771</t>
  </si>
  <si>
    <t>Sim 2772</t>
  </si>
  <si>
    <t>Sim 2773</t>
  </si>
  <si>
    <t>Sim 2774</t>
  </si>
  <si>
    <t>Sim 2775</t>
  </si>
  <si>
    <t>Sim 2776</t>
  </si>
  <si>
    <t>Sim 2777</t>
  </si>
  <si>
    <t>Sim 2778</t>
  </si>
  <si>
    <t>Sim 2779</t>
  </si>
  <si>
    <t>Sim 2780</t>
  </si>
  <si>
    <t>Sim 2781</t>
  </si>
  <si>
    <t>Sim 2782</t>
  </si>
  <si>
    <t>Sim 2783</t>
  </si>
  <si>
    <t>Sim 2784</t>
  </si>
  <si>
    <t>Sim 2785</t>
  </si>
  <si>
    <t>Sim 2786</t>
  </si>
  <si>
    <t>Sim 2787</t>
  </si>
  <si>
    <t>Sim 2788</t>
  </si>
  <si>
    <t>Sim 2789</t>
  </si>
  <si>
    <t>Sim 2790</t>
  </si>
  <si>
    <t>Sim 2791</t>
  </si>
  <si>
    <t>Sim 2792</t>
  </si>
  <si>
    <t>Sim 2793</t>
  </si>
  <si>
    <t>Sim 2794</t>
  </si>
  <si>
    <t>Sim 2795</t>
  </si>
  <si>
    <t>Sim 2796</t>
  </si>
  <si>
    <t>Sim 2797</t>
  </si>
  <si>
    <t>Sim 2798</t>
  </si>
  <si>
    <t>Sim 2799</t>
  </si>
  <si>
    <t>Sim 2800</t>
  </si>
  <si>
    <t>Sim 2801</t>
  </si>
  <si>
    <t>Sim 2802</t>
  </si>
  <si>
    <t>Sim 2803</t>
  </si>
  <si>
    <t>Sim 2804</t>
  </si>
  <si>
    <t>Sim 2805</t>
  </si>
  <si>
    <t>Sim 2806</t>
  </si>
  <si>
    <t>Sim 2807</t>
  </si>
  <si>
    <t>Sim 2808</t>
  </si>
  <si>
    <t>Sim 2809</t>
  </si>
  <si>
    <t>Sim 2810</t>
  </si>
  <si>
    <t>Sim 2811</t>
  </si>
  <si>
    <t>Sim 2812</t>
  </si>
  <si>
    <t>Sim 2813</t>
  </si>
  <si>
    <t>Sim 2814</t>
  </si>
  <si>
    <t>Sim 2815</t>
  </si>
  <si>
    <t>Sim 2816</t>
  </si>
  <si>
    <t>Sim 2817</t>
  </si>
  <si>
    <t>Sim 2818</t>
  </si>
  <si>
    <t>Sim 2819</t>
  </si>
  <si>
    <t>Sim 2820</t>
  </si>
  <si>
    <t>Sim 2821</t>
  </si>
  <si>
    <t>Sim 2822</t>
  </si>
  <si>
    <t>Sim 2823</t>
  </si>
  <si>
    <t>Sim 2824</t>
  </si>
  <si>
    <t>Sim 2825</t>
  </si>
  <si>
    <t>Sim 2826</t>
  </si>
  <si>
    <t>Sim 2827</t>
  </si>
  <si>
    <t>Sim 2828</t>
  </si>
  <si>
    <t>Sim 2829</t>
  </si>
  <si>
    <t>Sim 2830</t>
  </si>
  <si>
    <t>Sim 2831</t>
  </si>
  <si>
    <t>Sim 2832</t>
  </si>
  <si>
    <t>Sim 2833</t>
  </si>
  <si>
    <t>Sim 2834</t>
  </si>
  <si>
    <t>Sim 2835</t>
  </si>
  <si>
    <t>Sim 2836</t>
  </si>
  <si>
    <t>Sim 2837</t>
  </si>
  <si>
    <t>Sim 2838</t>
  </si>
  <si>
    <t>Sim 2839</t>
  </si>
  <si>
    <t>Sim 2840</t>
  </si>
  <si>
    <t>Sim 2841</t>
  </si>
  <si>
    <t>Sim 2842</t>
  </si>
  <si>
    <t>Sim 2843</t>
  </si>
  <si>
    <t>Sim 2844</t>
  </si>
  <si>
    <t>Sim 2845</t>
  </si>
  <si>
    <t>Sim 2846</t>
  </si>
  <si>
    <t>Sim 2847</t>
  </si>
  <si>
    <t>Sim 2848</t>
  </si>
  <si>
    <t>Sim 2849</t>
  </si>
  <si>
    <t>Sim 2850</t>
  </si>
  <si>
    <t>Sim 2851</t>
  </si>
  <si>
    <t>Sim 2852</t>
  </si>
  <si>
    <t>Sim 2853</t>
  </si>
  <si>
    <t>Sim 2854</t>
  </si>
  <si>
    <t>Sim 2855</t>
  </si>
  <si>
    <t>Sim 2856</t>
  </si>
  <si>
    <t>Sim 2857</t>
  </si>
  <si>
    <t>Sim 2858</t>
  </si>
  <si>
    <t>Sim 2859</t>
  </si>
  <si>
    <t>Sim 2860</t>
  </si>
  <si>
    <t>Sim 2861</t>
  </si>
  <si>
    <t>Sim 2862</t>
  </si>
  <si>
    <t>Sim 2863</t>
  </si>
  <si>
    <t>Sim 2864</t>
  </si>
  <si>
    <t>Sim 2865</t>
  </si>
  <si>
    <t>Sim 2866</t>
  </si>
  <si>
    <t>Sim 2867</t>
  </si>
  <si>
    <t>Sim 2868</t>
  </si>
  <si>
    <t>Sim 2869</t>
  </si>
  <si>
    <t>Sim 2870</t>
  </si>
  <si>
    <t>Sim 2871</t>
  </si>
  <si>
    <t>Sim 2872</t>
  </si>
  <si>
    <t>Sim 2873</t>
  </si>
  <si>
    <t>Sim 2874</t>
  </si>
  <si>
    <t>Sim 2875</t>
  </si>
  <si>
    <t>Sim 2876</t>
  </si>
  <si>
    <t>Sim 2877</t>
  </si>
  <si>
    <t>Sim 2878</t>
  </si>
  <si>
    <t>Sim 2879</t>
  </si>
  <si>
    <t>Sim 2880</t>
  </si>
  <si>
    <t>Sim 2881</t>
  </si>
  <si>
    <t>Sim 2882</t>
  </si>
  <si>
    <t>Sim 2883</t>
  </si>
  <si>
    <t>Sim 2884</t>
  </si>
  <si>
    <t>Sim 2885</t>
  </si>
  <si>
    <t>Sim 2886</t>
  </si>
  <si>
    <t>Sim 2887</t>
  </si>
  <si>
    <t>Sim 2888</t>
  </si>
  <si>
    <t>Sim 2889</t>
  </si>
  <si>
    <t>Sim 2890</t>
  </si>
  <si>
    <t>Sim 2891</t>
  </si>
  <si>
    <t>Sim 2892</t>
  </si>
  <si>
    <t>Sim 2893</t>
  </si>
  <si>
    <t>Sim 2894</t>
  </si>
  <si>
    <t>Sim 2895</t>
  </si>
  <si>
    <t>Sim 2896</t>
  </si>
  <si>
    <t>Sim 2897</t>
  </si>
  <si>
    <t>Sim 2898</t>
  </si>
  <si>
    <t>Sim 2899</t>
  </si>
  <si>
    <t>Sim 2900</t>
  </si>
  <si>
    <t>Sim 2901</t>
  </si>
  <si>
    <t>Sim 2902</t>
  </si>
  <si>
    <t>Sim 2903</t>
  </si>
  <si>
    <t>Sim 2904</t>
  </si>
  <si>
    <t>Sim 2905</t>
  </si>
  <si>
    <t>Sim 2906</t>
  </si>
  <si>
    <t>Sim 2907</t>
  </si>
  <si>
    <t>Sim 2908</t>
  </si>
  <si>
    <t>Sim 2909</t>
  </si>
  <si>
    <t>Sim 2910</t>
  </si>
  <si>
    <t>Sim 2911</t>
  </si>
  <si>
    <t>Sim 2912</t>
  </si>
  <si>
    <t>Sim 2913</t>
  </si>
  <si>
    <t>Sim 2914</t>
  </si>
  <si>
    <t>Sim 2915</t>
  </si>
  <si>
    <t>Sim 2916</t>
  </si>
  <si>
    <t>Sim 2917</t>
  </si>
  <si>
    <t>Sim 2918</t>
  </si>
  <si>
    <t>Sim 2919</t>
  </si>
  <si>
    <t>Sim 2920</t>
  </si>
  <si>
    <t>Sim 2921</t>
  </si>
  <si>
    <t>Sim 2922</t>
  </si>
  <si>
    <t>Sim 2923</t>
  </si>
  <si>
    <t>Sim 2924</t>
  </si>
  <si>
    <t>Sim 2925</t>
  </si>
  <si>
    <t>Sim 2926</t>
  </si>
  <si>
    <t>Sim 2927</t>
  </si>
  <si>
    <t>Sim 2928</t>
  </si>
  <si>
    <t>Sim 2929</t>
  </si>
  <si>
    <t>Sim 2930</t>
  </si>
  <si>
    <t>Sim 2931</t>
  </si>
  <si>
    <t>Sim 2932</t>
  </si>
  <si>
    <t>Sim 2933</t>
  </si>
  <si>
    <t>Sim 2934</t>
  </si>
  <si>
    <t>Sim 2935</t>
  </si>
  <si>
    <t>Sim 2936</t>
  </si>
  <si>
    <t>Sim 2937</t>
  </si>
  <si>
    <t>Sim 2938</t>
  </si>
  <si>
    <t>Sim 2939</t>
  </si>
  <si>
    <t>Sim 2940</t>
  </si>
  <si>
    <t>Sim 2941</t>
  </si>
  <si>
    <t>Sim 2942</t>
  </si>
  <si>
    <t>Sim 2943</t>
  </si>
  <si>
    <t>Sim 2944</t>
  </si>
  <si>
    <t>Sim 2945</t>
  </si>
  <si>
    <t>Sim 2946</t>
  </si>
  <si>
    <t>Sim 2947</t>
  </si>
  <si>
    <t>Sim 2948</t>
  </si>
  <si>
    <t>Sim 2949</t>
  </si>
  <si>
    <t>Sim 2950</t>
  </si>
  <si>
    <t>Sim 2951</t>
  </si>
  <si>
    <t>Sim 2952</t>
  </si>
  <si>
    <t>Sim 2953</t>
  </si>
  <si>
    <t>Sim 2954</t>
  </si>
  <si>
    <t>Sim 2955</t>
  </si>
  <si>
    <t>Sim 2956</t>
  </si>
  <si>
    <t>Sim 2957</t>
  </si>
  <si>
    <t>Sim 2958</t>
  </si>
  <si>
    <t>Sim 2959</t>
  </si>
  <si>
    <t>Sim 2960</t>
  </si>
  <si>
    <t>Sim 2961</t>
  </si>
  <si>
    <t>Sim 2962</t>
  </si>
  <si>
    <t>Sim 2963</t>
  </si>
  <si>
    <t>Sim 2964</t>
  </si>
  <si>
    <t>Sim 2965</t>
  </si>
  <si>
    <t>Sim 2966</t>
  </si>
  <si>
    <t>Sim 2967</t>
  </si>
  <si>
    <t>Sim 2968</t>
  </si>
  <si>
    <t>Sim 2969</t>
  </si>
  <si>
    <t>Sim 2970</t>
  </si>
  <si>
    <t>Sim 2971</t>
  </si>
  <si>
    <t>Sim 2972</t>
  </si>
  <si>
    <t>Sim 2973</t>
  </si>
  <si>
    <t>Sim 2974</t>
  </si>
  <si>
    <t>Sim 2975</t>
  </si>
  <si>
    <t>Sim 2976</t>
  </si>
  <si>
    <t>Sim 2977</t>
  </si>
  <si>
    <t>Sim 2978</t>
  </si>
  <si>
    <t>Sim 2979</t>
  </si>
  <si>
    <t>Sim 2980</t>
  </si>
  <si>
    <t>Sim 2981</t>
  </si>
  <si>
    <t>Sim 2982</t>
  </si>
  <si>
    <t>Sim 2983</t>
  </si>
  <si>
    <t>Sim 2984</t>
  </si>
  <si>
    <t>Sim 2985</t>
  </si>
  <si>
    <t>Sim 2986</t>
  </si>
  <si>
    <t>Sim 2987</t>
  </si>
  <si>
    <t>Sim 2988</t>
  </si>
  <si>
    <t>Sim 2989</t>
  </si>
  <si>
    <t>Sim 2990</t>
  </si>
  <si>
    <t>Sim 2991</t>
  </si>
  <si>
    <t>Sim 2992</t>
  </si>
  <si>
    <t>Sim 2993</t>
  </si>
  <si>
    <t>Sim 2994</t>
  </si>
  <si>
    <t>Sim 2995</t>
  </si>
  <si>
    <t>Sim 2996</t>
  </si>
  <si>
    <t>Sim 2997</t>
  </si>
  <si>
    <t>Sim 2998</t>
  </si>
  <si>
    <t>Sim 2999</t>
  </si>
  <si>
    <t>Sim 3000</t>
  </si>
  <si>
    <t>Sim 3001</t>
  </si>
  <si>
    <t>Sim 3002</t>
  </si>
  <si>
    <t>Sim 3003</t>
  </si>
  <si>
    <t>Sim 3004</t>
  </si>
  <si>
    <t>Sim 3005</t>
  </si>
  <si>
    <t>Sim 3006</t>
  </si>
  <si>
    <t>Sim 3007</t>
  </si>
  <si>
    <t>Sim 3008</t>
  </si>
  <si>
    <t>Sim 3009</t>
  </si>
  <si>
    <t>Sim 3010</t>
  </si>
  <si>
    <t>Sim 3011</t>
  </si>
  <si>
    <t>Sim 3012</t>
  </si>
  <si>
    <t>Sim 3013</t>
  </si>
  <si>
    <t>Sim 3014</t>
  </si>
  <si>
    <t>Sim 3015</t>
  </si>
  <si>
    <t>Sim 3016</t>
  </si>
  <si>
    <t>Sim 3017</t>
  </si>
  <si>
    <t>Sim 3018</t>
  </si>
  <si>
    <t>Sim 3019</t>
  </si>
  <si>
    <t>Sim 3020</t>
  </si>
  <si>
    <t>Sim 3021</t>
  </si>
  <si>
    <t>Sim 3022</t>
  </si>
  <si>
    <t>Sim 3023</t>
  </si>
  <si>
    <t>Sim 3024</t>
  </si>
  <si>
    <t>Sim 3025</t>
  </si>
  <si>
    <t>Sim 3026</t>
  </si>
  <si>
    <t>Sim 3027</t>
  </si>
  <si>
    <t>Sim 3028</t>
  </si>
  <si>
    <t>Sim 3029</t>
  </si>
  <si>
    <t>Sim 3030</t>
  </si>
  <si>
    <t>Sim 3031</t>
  </si>
  <si>
    <t>Sim 3032</t>
  </si>
  <si>
    <t>Sim 3033</t>
  </si>
  <si>
    <t>Sim 3034</t>
  </si>
  <si>
    <t>Sim 3035</t>
  </si>
  <si>
    <t>Sim 3036</t>
  </si>
  <si>
    <t>Sim 3037</t>
  </si>
  <si>
    <t>Sim 3038</t>
  </si>
  <si>
    <t>Sim 3039</t>
  </si>
  <si>
    <t>Sim 3040</t>
  </si>
  <si>
    <t>Sim 3041</t>
  </si>
  <si>
    <t>Sim 3042</t>
  </si>
  <si>
    <t>Sim 3043</t>
  </si>
  <si>
    <t>Sim 3044</t>
  </si>
  <si>
    <t>Sim 3045</t>
  </si>
  <si>
    <t>Sim 3046</t>
  </si>
  <si>
    <t>Sim 3047</t>
  </si>
  <si>
    <t>Sim 3048</t>
  </si>
  <si>
    <t>Sim 3049</t>
  </si>
  <si>
    <t>Sim 3050</t>
  </si>
  <si>
    <t>Sim 3051</t>
  </si>
  <si>
    <t>Sim 3052</t>
  </si>
  <si>
    <t>Sim 3053</t>
  </si>
  <si>
    <t>Sim 3054</t>
  </si>
  <si>
    <t>Sim 3055</t>
  </si>
  <si>
    <t>Sim 3056</t>
  </si>
  <si>
    <t>Sim 3057</t>
  </si>
  <si>
    <t>Sim 3058</t>
  </si>
  <si>
    <t>Sim 3059</t>
  </si>
  <si>
    <t>Sim 3060</t>
  </si>
  <si>
    <t>Sim 3061</t>
  </si>
  <si>
    <t>Sim 3062</t>
  </si>
  <si>
    <t>Sim 3063</t>
  </si>
  <si>
    <t>Sim 3064</t>
  </si>
  <si>
    <t>Sim 3065</t>
  </si>
  <si>
    <t>Sim 3066</t>
  </si>
  <si>
    <t>Sim 3067</t>
  </si>
  <si>
    <t>Sim 3068</t>
  </si>
  <si>
    <t>Sim 3069</t>
  </si>
  <si>
    <t>Sim 3070</t>
  </si>
  <si>
    <t>Sim 3071</t>
  </si>
  <si>
    <t>Sim 3072</t>
  </si>
  <si>
    <t>Sim 3073</t>
  </si>
  <si>
    <t>Sim 3074</t>
  </si>
  <si>
    <t>Sim 3075</t>
  </si>
  <si>
    <t>Sim 3076</t>
  </si>
  <si>
    <t>Sim 3077</t>
  </si>
  <si>
    <t>Sim 3078</t>
  </si>
  <si>
    <t>Sim 3079</t>
  </si>
  <si>
    <t>Sim 3080</t>
  </si>
  <si>
    <t>Sim 3081</t>
  </si>
  <si>
    <t>Sim 3082</t>
  </si>
  <si>
    <t>Sim 3083</t>
  </si>
  <si>
    <t>Sim 3084</t>
  </si>
  <si>
    <t>Sim 3085</t>
  </si>
  <si>
    <t>Sim 3086</t>
  </si>
  <si>
    <t>Sim 3087</t>
  </si>
  <si>
    <t>Sim 3088</t>
  </si>
  <si>
    <t>Sim 3089</t>
  </si>
  <si>
    <t>Sim 3090</t>
  </si>
  <si>
    <t>Sim 3091</t>
  </si>
  <si>
    <t>Sim 3092</t>
  </si>
  <si>
    <t>Sim 3093</t>
  </si>
  <si>
    <t>Sim 3094</t>
  </si>
  <si>
    <t>Sim 3095</t>
  </si>
  <si>
    <t>Sim 3096</t>
  </si>
  <si>
    <t>Sim 3097</t>
  </si>
  <si>
    <t>Sim 3098</t>
  </si>
  <si>
    <t>Sim 3099</t>
  </si>
  <si>
    <t>Sim 3100</t>
  </si>
  <si>
    <t>Sim 3101</t>
  </si>
  <si>
    <t>Sim 3102</t>
  </si>
  <si>
    <t>Sim 3103</t>
  </si>
  <si>
    <t>Sim 3104</t>
  </si>
  <si>
    <t>Sim 3105</t>
  </si>
  <si>
    <t>Sim 3106</t>
  </si>
  <si>
    <t>Sim 3107</t>
  </si>
  <si>
    <t>Sim 3108</t>
  </si>
  <si>
    <t>Sim 3109</t>
  </si>
  <si>
    <t>Sim 3110</t>
  </si>
  <si>
    <t>Sim 3111</t>
  </si>
  <si>
    <t>Sim 3112</t>
  </si>
  <si>
    <t>Sim 3113</t>
  </si>
  <si>
    <t>Sim 3114</t>
  </si>
  <si>
    <t>Sim 3115</t>
  </si>
  <si>
    <t>Sim 3116</t>
  </si>
  <si>
    <t>Sim 3117</t>
  </si>
  <si>
    <t>Sim 3118</t>
  </si>
  <si>
    <t>Sim 3119</t>
  </si>
  <si>
    <t>Sim 3120</t>
  </si>
  <si>
    <t>Sim 3121</t>
  </si>
  <si>
    <t>Sim 3122</t>
  </si>
  <si>
    <t>Sim 3123</t>
  </si>
  <si>
    <t>Sim 3124</t>
  </si>
  <si>
    <t>Sim 3125</t>
  </si>
  <si>
    <t>Sim 3126</t>
  </si>
  <si>
    <t>Sim 3127</t>
  </si>
  <si>
    <t>Sim 3128</t>
  </si>
  <si>
    <t>Sim 3129</t>
  </si>
  <si>
    <t>Sim 3130</t>
  </si>
  <si>
    <t>Sim 3131</t>
  </si>
  <si>
    <t>Sim 3132</t>
  </si>
  <si>
    <t>Sim 3133</t>
  </si>
  <si>
    <t>Sim 3134</t>
  </si>
  <si>
    <t>Sim 3135</t>
  </si>
  <si>
    <t>Sim 3136</t>
  </si>
  <si>
    <t>Sim 3137</t>
  </si>
  <si>
    <t>Sim 3138</t>
  </si>
  <si>
    <t>Sim 3139</t>
  </si>
  <si>
    <t>Sim 3140</t>
  </si>
  <si>
    <t>Sim 3141</t>
  </si>
  <si>
    <t>Sim 3142</t>
  </si>
  <si>
    <t>Sim 3143</t>
  </si>
  <si>
    <t>Sim 3144</t>
  </si>
  <si>
    <t>Sim 3145</t>
  </si>
  <si>
    <t>Sim 3146</t>
  </si>
  <si>
    <t>Sim 3147</t>
  </si>
  <si>
    <t>Sim 3148</t>
  </si>
  <si>
    <t>Sim 3149</t>
  </si>
  <si>
    <t>Sim 3150</t>
  </si>
  <si>
    <t>Sim 3151</t>
  </si>
  <si>
    <t>Sim 3152</t>
  </si>
  <si>
    <t>Sim 3153</t>
  </si>
  <si>
    <t>Sim 3154</t>
  </si>
  <si>
    <t>Sim 3155</t>
  </si>
  <si>
    <t>Sim 3156</t>
  </si>
  <si>
    <t>Sim 3157</t>
  </si>
  <si>
    <t>Sim 3158</t>
  </si>
  <si>
    <t>Sim 3159</t>
  </si>
  <si>
    <t>Sim 3160</t>
  </si>
  <si>
    <t>Sim 3161</t>
  </si>
  <si>
    <t>Sim 3162</t>
  </si>
  <si>
    <t>Sim 3163</t>
  </si>
  <si>
    <t>Sim 3164</t>
  </si>
  <si>
    <t>Sim 3165</t>
  </si>
  <si>
    <t>Sim 3166</t>
  </si>
  <si>
    <t>Sim 3167</t>
  </si>
  <si>
    <t>Sim 3168</t>
  </si>
  <si>
    <t>Sim 3169</t>
  </si>
  <si>
    <t>Sim 3170</t>
  </si>
  <si>
    <t>Sim 3171</t>
  </si>
  <si>
    <t>Sim 3172</t>
  </si>
  <si>
    <t>Sim 3173</t>
  </si>
  <si>
    <t>Sim 3174</t>
  </si>
  <si>
    <t>Sim 3175</t>
  </si>
  <si>
    <t>Sim 3176</t>
  </si>
  <si>
    <t>Sim 3177</t>
  </si>
  <si>
    <t>Sim 3178</t>
  </si>
  <si>
    <t>Sim 3179</t>
  </si>
  <si>
    <t>Sim 3180</t>
  </si>
  <si>
    <t>Sim 3181</t>
  </si>
  <si>
    <t>Sim 3182</t>
  </si>
  <si>
    <t>Sim 3183</t>
  </si>
  <si>
    <t>Sim 3184</t>
  </si>
  <si>
    <t>Sim 3185</t>
  </si>
  <si>
    <t>Sim 3186</t>
  </si>
  <si>
    <t>Sim 3187</t>
  </si>
  <si>
    <t>Sim 3188</t>
  </si>
  <si>
    <t>Sim 3189</t>
  </si>
  <si>
    <t>Sim 3190</t>
  </si>
  <si>
    <t>Sim 3191</t>
  </si>
  <si>
    <t>Sim 3192</t>
  </si>
  <si>
    <t>Sim 3193</t>
  </si>
  <si>
    <t>Sim 3194</t>
  </si>
  <si>
    <t>Sim 3195</t>
  </si>
  <si>
    <t>Sim 3196</t>
  </si>
  <si>
    <t>Sim 3197</t>
  </si>
  <si>
    <t>Sim 3198</t>
  </si>
  <si>
    <t>Sim 3199</t>
  </si>
  <si>
    <t>Sim 3200</t>
  </si>
  <si>
    <t>Sim 3201</t>
  </si>
  <si>
    <t>Sim 3202</t>
  </si>
  <si>
    <t>Sim 3203</t>
  </si>
  <si>
    <t>Sim 3204</t>
  </si>
  <si>
    <t>Sim 3205</t>
  </si>
  <si>
    <t>Sim 3206</t>
  </si>
  <si>
    <t>Sim 3207</t>
  </si>
  <si>
    <t>Sim 3208</t>
  </si>
  <si>
    <t>Sim 3209</t>
  </si>
  <si>
    <t>Sim 3210</t>
  </si>
  <si>
    <t>Sim 3211</t>
  </si>
  <si>
    <t>Sim 3212</t>
  </si>
  <si>
    <t>Sim 3213</t>
  </si>
  <si>
    <t>Sim 3214</t>
  </si>
  <si>
    <t>Sim 3215</t>
  </si>
  <si>
    <t>Sim 3216</t>
  </si>
  <si>
    <t>Sim 3217</t>
  </si>
  <si>
    <t>Sim 3218</t>
  </si>
  <si>
    <t>Sim 3219</t>
  </si>
  <si>
    <t>Sim 3220</t>
  </si>
  <si>
    <t>Sim 3221</t>
  </si>
  <si>
    <t>Sim 3222</t>
  </si>
  <si>
    <t>Sim 3223</t>
  </si>
  <si>
    <t>Sim 3224</t>
  </si>
  <si>
    <t>Sim 3225</t>
  </si>
  <si>
    <t>Sim 3226</t>
  </si>
  <si>
    <t>Sim 3227</t>
  </si>
  <si>
    <t>Sim 3228</t>
  </si>
  <si>
    <t>Sim 3229</t>
  </si>
  <si>
    <t>Sim 3230</t>
  </si>
  <si>
    <t>Sim 3231</t>
  </si>
  <si>
    <t>Sim 3232</t>
  </si>
  <si>
    <t>Sim 3233</t>
  </si>
  <si>
    <t>Sim 3234</t>
  </si>
  <si>
    <t>Sim 3235</t>
  </si>
  <si>
    <t>Sim 3236</t>
  </si>
  <si>
    <t>Sim 3237</t>
  </si>
  <si>
    <t>Sim 3238</t>
  </si>
  <si>
    <t>Sim 3239</t>
  </si>
  <si>
    <t>Sim 3240</t>
  </si>
  <si>
    <t>Sim 3241</t>
  </si>
  <si>
    <t>Sim 3242</t>
  </si>
  <si>
    <t>Sim 3243</t>
  </si>
  <si>
    <t>Sim 3244</t>
  </si>
  <si>
    <t>Sim 3245</t>
  </si>
  <si>
    <t>Sim 3246</t>
  </si>
  <si>
    <t>Sim 3247</t>
  </si>
  <si>
    <t>Sim 3248</t>
  </si>
  <si>
    <t>Sim 3249</t>
  </si>
  <si>
    <t>Sim 3250</t>
  </si>
  <si>
    <t>Sim 3251</t>
  </si>
  <si>
    <t>Sim 3252</t>
  </si>
  <si>
    <t>Sim 3253</t>
  </si>
  <si>
    <t>Sim 3254</t>
  </si>
  <si>
    <t>Sim 3255</t>
  </si>
  <si>
    <t>Sim 3256</t>
  </si>
  <si>
    <t>Sim 3257</t>
  </si>
  <si>
    <t>Sim 3258</t>
  </si>
  <si>
    <t>Sim 3259</t>
  </si>
  <si>
    <t>Sim 3260</t>
  </si>
  <si>
    <t>Sim 3261</t>
  </si>
  <si>
    <t>Sim 3262</t>
  </si>
  <si>
    <t>Sim 3263</t>
  </si>
  <si>
    <t>Sim 3264</t>
  </si>
  <si>
    <t>Sim 3265</t>
  </si>
  <si>
    <t>Sim 3266</t>
  </si>
  <si>
    <t>Sim 3267</t>
  </si>
  <si>
    <t>Sim 3268</t>
  </si>
  <si>
    <t>Sim 3269</t>
  </si>
  <si>
    <t>Sim 3270</t>
  </si>
  <si>
    <t>Sim 3271</t>
  </si>
  <si>
    <t>Sim 3272</t>
  </si>
  <si>
    <t>Sim 3273</t>
  </si>
  <si>
    <t>Sim 3274</t>
  </si>
  <si>
    <t>Sim 3275</t>
  </si>
  <si>
    <t>Sim 3276</t>
  </si>
  <si>
    <t>Sim 3277</t>
  </si>
  <si>
    <t>Sim 3278</t>
  </si>
  <si>
    <t>Sim 3279</t>
  </si>
  <si>
    <t>Sim 3280</t>
  </si>
  <si>
    <t>Sim 3281</t>
  </si>
  <si>
    <t>Sim 3282</t>
  </si>
  <si>
    <t>Sim 3283</t>
  </si>
  <si>
    <t>Sim 3284</t>
  </si>
  <si>
    <t>Sim 3285</t>
  </si>
  <si>
    <t>Sim 3286</t>
  </si>
  <si>
    <t>Sim 3287</t>
  </si>
  <si>
    <t>Sim 3288</t>
  </si>
  <si>
    <t>Sim 3289</t>
  </si>
  <si>
    <t>Sim 3290</t>
  </si>
  <si>
    <t>Sim 3291</t>
  </si>
  <si>
    <t>Sim 3292</t>
  </si>
  <si>
    <t>Sim 3293</t>
  </si>
  <si>
    <t>Sim 3294</t>
  </si>
  <si>
    <t>Sim 3295</t>
  </si>
  <si>
    <t>Sim 3296</t>
  </si>
  <si>
    <t>Sim 3297</t>
  </si>
  <si>
    <t>Sim 3298</t>
  </si>
  <si>
    <t>Sim 3299</t>
  </si>
  <si>
    <t>Sim 3300</t>
  </si>
  <si>
    <t>Sim 3301</t>
  </si>
  <si>
    <t>Sim 3302</t>
  </si>
  <si>
    <t>Sim 3303</t>
  </si>
  <si>
    <t>Sim 3304</t>
  </si>
  <si>
    <t>Sim 3305</t>
  </si>
  <si>
    <t>Sim 3306</t>
  </si>
  <si>
    <t>Sim 3307</t>
  </si>
  <si>
    <t>Sim 3308</t>
  </si>
  <si>
    <t>Sim 3309</t>
  </si>
  <si>
    <t>Sim 3310</t>
  </si>
  <si>
    <t>Sim 3311</t>
  </si>
  <si>
    <t>Sim 3312</t>
  </si>
  <si>
    <t>Sim 3313</t>
  </si>
  <si>
    <t>Sim 3314</t>
  </si>
  <si>
    <t>Sim 3315</t>
  </si>
  <si>
    <t>Sim 3316</t>
  </si>
  <si>
    <t>Sim 3317</t>
  </si>
  <si>
    <t>Sim 3318</t>
  </si>
  <si>
    <t>Sim 3319</t>
  </si>
  <si>
    <t>Sim 3320</t>
  </si>
  <si>
    <t>Sim 3321</t>
  </si>
  <si>
    <t>Sim 3322</t>
  </si>
  <si>
    <t>Sim 3323</t>
  </si>
  <si>
    <t>Sim 3324</t>
  </si>
  <si>
    <t>Sim 3325</t>
  </si>
  <si>
    <t>Sim 3326</t>
  </si>
  <si>
    <t>Sim 3327</t>
  </si>
  <si>
    <t>Sim 3328</t>
  </si>
  <si>
    <t>Sim 3329</t>
  </si>
  <si>
    <t>Sim 3330</t>
  </si>
  <si>
    <t>Sim 3331</t>
  </si>
  <si>
    <t>Sim 3332</t>
  </si>
  <si>
    <t>Sim 3333</t>
  </si>
  <si>
    <t>Sim 3334</t>
  </si>
  <si>
    <t>Sim 3335</t>
  </si>
  <si>
    <t>Sim 3336</t>
  </si>
  <si>
    <t>Sim 3337</t>
  </si>
  <si>
    <t>Sim 3338</t>
  </si>
  <si>
    <t>Sim 3339</t>
  </si>
  <si>
    <t>Sim 3340</t>
  </si>
  <si>
    <t>Sim 3341</t>
  </si>
  <si>
    <t>Sim 3342</t>
  </si>
  <si>
    <t>Sim 3343</t>
  </si>
  <si>
    <t>Sim 3344</t>
  </si>
  <si>
    <t>Sim 3345</t>
  </si>
  <si>
    <t>Sim 3346</t>
  </si>
  <si>
    <t>Sim 3347</t>
  </si>
  <si>
    <t>Sim 3348</t>
  </si>
  <si>
    <t>Sim 3349</t>
  </si>
  <si>
    <t>Sim 3350</t>
  </si>
  <si>
    <t>Sim 3351</t>
  </si>
  <si>
    <t>Sim 3352</t>
  </si>
  <si>
    <t>Sim 3353</t>
  </si>
  <si>
    <t>Sim 3354</t>
  </si>
  <si>
    <t>Sim 3355</t>
  </si>
  <si>
    <t>Sim 3356</t>
  </si>
  <si>
    <t>Sim 3357</t>
  </si>
  <si>
    <t>Sim 3358</t>
  </si>
  <si>
    <t>Sim 3359</t>
  </si>
  <si>
    <t>Sim 3360</t>
  </si>
  <si>
    <t>Sim 3361</t>
  </si>
  <si>
    <t>Sim 3362</t>
  </si>
  <si>
    <t>Sim 3363</t>
  </si>
  <si>
    <t>Sim 3364</t>
  </si>
  <si>
    <t>Sim 3365</t>
  </si>
  <si>
    <t>Sim 3366</t>
  </si>
  <si>
    <t>Sim 3367</t>
  </si>
  <si>
    <t>Sim 3368</t>
  </si>
  <si>
    <t>Sim 3369</t>
  </si>
  <si>
    <t>Sim 3370</t>
  </si>
  <si>
    <t>Sim 3371</t>
  </si>
  <si>
    <t>Sim 3372</t>
  </si>
  <si>
    <t>Sim 3373</t>
  </si>
  <si>
    <t>Sim 3374</t>
  </si>
  <si>
    <t>Sim 3375</t>
  </si>
  <si>
    <t>Sim 3376</t>
  </si>
  <si>
    <t>Sim 3377</t>
  </si>
  <si>
    <t>Sim 3378</t>
  </si>
  <si>
    <t>Sim 3379</t>
  </si>
  <si>
    <t>Sim 3380</t>
  </si>
  <si>
    <t>Sim 3381</t>
  </si>
  <si>
    <t>Sim 3382</t>
  </si>
  <si>
    <t>Sim 3383</t>
  </si>
  <si>
    <t>Sim 3384</t>
  </si>
  <si>
    <t>Sim 3385</t>
  </si>
  <si>
    <t>Sim 3386</t>
  </si>
  <si>
    <t>Sim 3387</t>
  </si>
  <si>
    <t>Sim 3388</t>
  </si>
  <si>
    <t>Sim 3389</t>
  </si>
  <si>
    <t>Sim 3390</t>
  </si>
  <si>
    <t>Sim 3391</t>
  </si>
  <si>
    <t>Sim 3392</t>
  </si>
  <si>
    <t>Sim 3393</t>
  </si>
  <si>
    <t>Sim 3394</t>
  </si>
  <si>
    <t>Sim 3395</t>
  </si>
  <si>
    <t>Sim 3396</t>
  </si>
  <si>
    <t>Sim 3397</t>
  </si>
  <si>
    <t>Sim 3398</t>
  </si>
  <si>
    <t>Sim 3399</t>
  </si>
  <si>
    <t>Sim 3400</t>
  </si>
  <si>
    <t>Sim 3401</t>
  </si>
  <si>
    <t>Sim 3402</t>
  </si>
  <si>
    <t>Sim 3403</t>
  </si>
  <si>
    <t>Sim 3404</t>
  </si>
  <si>
    <t>Sim 3405</t>
  </si>
  <si>
    <t>Sim 3406</t>
  </si>
  <si>
    <t>Sim 3407</t>
  </si>
  <si>
    <t>Sim 3408</t>
  </si>
  <si>
    <t>Sim 3409</t>
  </si>
  <si>
    <t>Sim 3410</t>
  </si>
  <si>
    <t>Sim 3411</t>
  </si>
  <si>
    <t>Sim 3412</t>
  </si>
  <si>
    <t>Sim 3413</t>
  </si>
  <si>
    <t>Sim 3414</t>
  </si>
  <si>
    <t>Sim 3415</t>
  </si>
  <si>
    <t>Sim 3416</t>
  </si>
  <si>
    <t>Sim 3417</t>
  </si>
  <si>
    <t>Sim 3418</t>
  </si>
  <si>
    <t>Sim 3419</t>
  </si>
  <si>
    <t>Sim 3420</t>
  </si>
  <si>
    <t>Sim 3421</t>
  </si>
  <si>
    <t>Sim 3422</t>
  </si>
  <si>
    <t>Sim 3423</t>
  </si>
  <si>
    <t>Sim 3424</t>
  </si>
  <si>
    <t>Sim 3425</t>
  </si>
  <si>
    <t>Sim 3426</t>
  </si>
  <si>
    <t>Sim 3427</t>
  </si>
  <si>
    <t>Sim 3428</t>
  </si>
  <si>
    <t>Sim 3429</t>
  </si>
  <si>
    <t>Sim 3430</t>
  </si>
  <si>
    <t>Sim 3431</t>
  </si>
  <si>
    <t>Sim 3432</t>
  </si>
  <si>
    <t>Sim 3433</t>
  </si>
  <si>
    <t>Sim 3434</t>
  </si>
  <si>
    <t>Sim 3435</t>
  </si>
  <si>
    <t>Sim 3436</t>
  </si>
  <si>
    <t>Sim 3437</t>
  </si>
  <si>
    <t>Sim 3438</t>
  </si>
  <si>
    <t>Sim 3439</t>
  </si>
  <si>
    <t>Sim 3440</t>
  </si>
  <si>
    <t>Sim 3441</t>
  </si>
  <si>
    <t>Sim 3442</t>
  </si>
  <si>
    <t>Sim 3443</t>
  </si>
  <si>
    <t>Sim 3444</t>
  </si>
  <si>
    <t>Sim 3445</t>
  </si>
  <si>
    <t>Sim 3446</t>
  </si>
  <si>
    <t>Sim 3447</t>
  </si>
  <si>
    <t>Sim 3448</t>
  </si>
  <si>
    <t>Sim 3449</t>
  </si>
  <si>
    <t>Sim 3450</t>
  </si>
  <si>
    <t>Sim 3451</t>
  </si>
  <si>
    <t>Sim 3452</t>
  </si>
  <si>
    <t>Sim 3453</t>
  </si>
  <si>
    <t>Sim 3454</t>
  </si>
  <si>
    <t>Sim 3455</t>
  </si>
  <si>
    <t>Sim 3456</t>
  </si>
  <si>
    <t>Sim 3457</t>
  </si>
  <si>
    <t>Sim 3458</t>
  </si>
  <si>
    <t>Sim 3459</t>
  </si>
  <si>
    <t>Sim 3460</t>
  </si>
  <si>
    <t>Sim 3461</t>
  </si>
  <si>
    <t>Sim 3462</t>
  </si>
  <si>
    <t>Sim 3463</t>
  </si>
  <si>
    <t>Sim 3464</t>
  </si>
  <si>
    <t>Sim 3465</t>
  </si>
  <si>
    <t>Sim 3466</t>
  </si>
  <si>
    <t>Sim 3467</t>
  </si>
  <si>
    <t>Sim 3468</t>
  </si>
  <si>
    <t>Sim 3469</t>
  </si>
  <si>
    <t>Sim 3470</t>
  </si>
  <si>
    <t>Sim 3471</t>
  </si>
  <si>
    <t>Sim 3472</t>
  </si>
  <si>
    <t>Sim 3473</t>
  </si>
  <si>
    <t>Sim 3474</t>
  </si>
  <si>
    <t>Sim 3475</t>
  </si>
  <si>
    <t>Sim 3476</t>
  </si>
  <si>
    <t>Sim 3477</t>
  </si>
  <si>
    <t>Sim 3478</t>
  </si>
  <si>
    <t>Sim 3479</t>
  </si>
  <si>
    <t>Sim 3480</t>
  </si>
  <si>
    <t>Sim 3481</t>
  </si>
  <si>
    <t>Sim 3482</t>
  </si>
  <si>
    <t>Sim 3483</t>
  </si>
  <si>
    <t>Sim 3484</t>
  </si>
  <si>
    <t>Sim 3485</t>
  </si>
  <si>
    <t>Sim 3486</t>
  </si>
  <si>
    <t>Sim 3487</t>
  </si>
  <si>
    <t>Sim 3488</t>
  </si>
  <si>
    <t>Sim 3489</t>
  </si>
  <si>
    <t>Sim 3490</t>
  </si>
  <si>
    <t>Sim 3491</t>
  </si>
  <si>
    <t>Sim 3492</t>
  </si>
  <si>
    <t>Sim 3493</t>
  </si>
  <si>
    <t>Sim 3494</t>
  </si>
  <si>
    <t>Sim 3495</t>
  </si>
  <si>
    <t>Sim 3496</t>
  </si>
  <si>
    <t>Sim 3497</t>
  </si>
  <si>
    <t>Sim 3498</t>
  </si>
  <si>
    <t>Sim 3499</t>
  </si>
  <si>
    <t>Sim 3500</t>
  </si>
  <si>
    <t>Sim 3501</t>
  </si>
  <si>
    <t>Sim 3502</t>
  </si>
  <si>
    <t>Sim 3503</t>
  </si>
  <si>
    <t>Sim 3504</t>
  </si>
  <si>
    <t>Sim 3505</t>
  </si>
  <si>
    <t>Sim 3506</t>
  </si>
  <si>
    <t>Sim 3507</t>
  </si>
  <si>
    <t>Sim 3508</t>
  </si>
  <si>
    <t>Sim 3509</t>
  </si>
  <si>
    <t>Sim 3510</t>
  </si>
  <si>
    <t>Sim 3511</t>
  </si>
  <si>
    <t>Sim 3512</t>
  </si>
  <si>
    <t>Sim 3513</t>
  </si>
  <si>
    <t>Sim 3514</t>
  </si>
  <si>
    <t>Sim 3515</t>
  </si>
  <si>
    <t>Sim 3516</t>
  </si>
  <si>
    <t>Sim 3517</t>
  </si>
  <si>
    <t>Sim 3518</t>
  </si>
  <si>
    <t>Sim 3519</t>
  </si>
  <si>
    <t>Sim 3520</t>
  </si>
  <si>
    <t>Sim 3521</t>
  </si>
  <si>
    <t>Sim 3522</t>
  </si>
  <si>
    <t>Sim 3523</t>
  </si>
  <si>
    <t>Sim 3524</t>
  </si>
  <si>
    <t>Sim 3525</t>
  </si>
  <si>
    <t>Sim 3526</t>
  </si>
  <si>
    <t>Sim 3527</t>
  </si>
  <si>
    <t>Sim 3528</t>
  </si>
  <si>
    <t>Sim 3529</t>
  </si>
  <si>
    <t>Sim 3530</t>
  </si>
  <si>
    <t>Sim 3531</t>
  </si>
  <si>
    <t>Sim 3532</t>
  </si>
  <si>
    <t>Sim 3533</t>
  </si>
  <si>
    <t>Sim 3534</t>
  </si>
  <si>
    <t>Sim 3535</t>
  </si>
  <si>
    <t>Sim 3536</t>
  </si>
  <si>
    <t>Sim 3537</t>
  </si>
  <si>
    <t>Sim 3538</t>
  </si>
  <si>
    <t>Sim 3539</t>
  </si>
  <si>
    <t>Sim 3540</t>
  </si>
  <si>
    <t>Sim 3541</t>
  </si>
  <si>
    <t>Sim 3542</t>
  </si>
  <si>
    <t>Sim 3543</t>
  </si>
  <si>
    <t>Sim 3544</t>
  </si>
  <si>
    <t>Sim 3545</t>
  </si>
  <si>
    <t>Sim 3546</t>
  </si>
  <si>
    <t>Sim 3547</t>
  </si>
  <si>
    <t>Sim 3548</t>
  </si>
  <si>
    <t>Sim 3549</t>
  </si>
  <si>
    <t>Sim 3550</t>
  </si>
  <si>
    <t>Sim 3551</t>
  </si>
  <si>
    <t>Sim 3552</t>
  </si>
  <si>
    <t>Sim 3553</t>
  </si>
  <si>
    <t>Sim 3554</t>
  </si>
  <si>
    <t>Sim 3555</t>
  </si>
  <si>
    <t>Sim 3556</t>
  </si>
  <si>
    <t>Sim 3557</t>
  </si>
  <si>
    <t>Sim 3558</t>
  </si>
  <si>
    <t>Sim 3559</t>
  </si>
  <si>
    <t>Sim 3560</t>
  </si>
  <si>
    <t>Sim 3561</t>
  </si>
  <si>
    <t>Sim 3562</t>
  </si>
  <si>
    <t>Sim 3563</t>
  </si>
  <si>
    <t>Sim 3564</t>
  </si>
  <si>
    <t>Sim 3565</t>
  </si>
  <si>
    <t>Sim 3566</t>
  </si>
  <si>
    <t>Sim 3567</t>
  </si>
  <si>
    <t>Sim 3568</t>
  </si>
  <si>
    <t>Sim 3569</t>
  </si>
  <si>
    <t>Sim 3570</t>
  </si>
  <si>
    <t>Sim 3571</t>
  </si>
  <si>
    <t>Sim 3572</t>
  </si>
  <si>
    <t>Sim 3573</t>
  </si>
  <si>
    <t>Sim 3574</t>
  </si>
  <si>
    <t>Sim 3575</t>
  </si>
  <si>
    <t>Sim 3576</t>
  </si>
  <si>
    <t>Sim 3577</t>
  </si>
  <si>
    <t>Sim 3578</t>
  </si>
  <si>
    <t>Sim 3579</t>
  </si>
  <si>
    <t>Sim 3580</t>
  </si>
  <si>
    <t>Sim 3581</t>
  </si>
  <si>
    <t>Sim 3582</t>
  </si>
  <si>
    <t>Sim 3583</t>
  </si>
  <si>
    <t>Sim 3584</t>
  </si>
  <si>
    <t>Sim 3585</t>
  </si>
  <si>
    <t>Sim 3586</t>
  </si>
  <si>
    <t>Sim 3587</t>
  </si>
  <si>
    <t>Sim 3588</t>
  </si>
  <si>
    <t>Sim 3589</t>
  </si>
  <si>
    <t>Sim 3590</t>
  </si>
  <si>
    <t>Sim 3591</t>
  </si>
  <si>
    <t>Sim 3592</t>
  </si>
  <si>
    <t>Sim 3593</t>
  </si>
  <si>
    <t>Sim 3594</t>
  </si>
  <si>
    <t>Sim 3595</t>
  </si>
  <si>
    <t>Sim 3596</t>
  </si>
  <si>
    <t>Sim 3597</t>
  </si>
  <si>
    <t>Sim 3598</t>
  </si>
  <si>
    <t>Sim 3599</t>
  </si>
  <si>
    <t>Sim 3600</t>
  </si>
  <si>
    <t>Sim 3601</t>
  </si>
  <si>
    <t>Sim 3602</t>
  </si>
  <si>
    <t>Sim 3603</t>
  </si>
  <si>
    <t>Sim 3604</t>
  </si>
  <si>
    <t>Sim 3605</t>
  </si>
  <si>
    <t>Sim 3606</t>
  </si>
  <si>
    <t>Sim 3607</t>
  </si>
  <si>
    <t>Sim 3608</t>
  </si>
  <si>
    <t>Sim 3609</t>
  </si>
  <si>
    <t>Sim 3610</t>
  </si>
  <si>
    <t>Sim 3611</t>
  </si>
  <si>
    <t>Sim 3612</t>
  </si>
  <si>
    <t>Sim 3613</t>
  </si>
  <si>
    <t>Sim 3614</t>
  </si>
  <si>
    <t>Sim 3615</t>
  </si>
  <si>
    <t>Sim 3616</t>
  </si>
  <si>
    <t>Sim 3617</t>
  </si>
  <si>
    <t>Sim 3618</t>
  </si>
  <si>
    <t>Sim 3619</t>
  </si>
  <si>
    <t>Sim 3620</t>
  </si>
  <si>
    <t>Sim 3621</t>
  </si>
  <si>
    <t>Sim 3622</t>
  </si>
  <si>
    <t>Sim 3623</t>
  </si>
  <si>
    <t>Sim 3624</t>
  </si>
  <si>
    <t>Sim 3625</t>
  </si>
  <si>
    <t>Sim 3626</t>
  </si>
  <si>
    <t>Sim 3627</t>
  </si>
  <si>
    <t>Sim 3628</t>
  </si>
  <si>
    <t>Sim 3629</t>
  </si>
  <si>
    <t>Sim 3630</t>
  </si>
  <si>
    <t>Sim 3631</t>
  </si>
  <si>
    <t>Sim 3632</t>
  </si>
  <si>
    <t>Sim 3633</t>
  </si>
  <si>
    <t>Sim 3634</t>
  </si>
  <si>
    <t>Sim 3635</t>
  </si>
  <si>
    <t>Sim 3636</t>
  </si>
  <si>
    <t>Sim 3637</t>
  </si>
  <si>
    <t>Sim 3638</t>
  </si>
  <si>
    <t>Sim 3639</t>
  </si>
  <si>
    <t>Sim 3640</t>
  </si>
  <si>
    <t>Sim 3641</t>
  </si>
  <si>
    <t>Sim 3642</t>
  </si>
  <si>
    <t>Sim 3643</t>
  </si>
  <si>
    <t>Sim 3644</t>
  </si>
  <si>
    <t>Sim 3645</t>
  </si>
  <si>
    <t>Sim 3646</t>
  </si>
  <si>
    <t>Sim 3647</t>
  </si>
  <si>
    <t>Sim 3648</t>
  </si>
  <si>
    <t>Sim 3649</t>
  </si>
  <si>
    <t>Sim 3650</t>
  </si>
  <si>
    <t>Sim 3651</t>
  </si>
  <si>
    <t>Sim 3652</t>
  </si>
  <si>
    <t>Sim 3653</t>
  </si>
  <si>
    <t>Sim 3654</t>
  </si>
  <si>
    <t>Sim 3655</t>
  </si>
  <si>
    <t>Sim 3656</t>
  </si>
  <si>
    <t>Sim 3657</t>
  </si>
  <si>
    <t>Sim 3658</t>
  </si>
  <si>
    <t>Sim 3659</t>
  </si>
  <si>
    <t>Sim 3660</t>
  </si>
  <si>
    <t>Sim 3661</t>
  </si>
  <si>
    <t>Sim 3662</t>
  </si>
  <si>
    <t>Sim 3663</t>
  </si>
  <si>
    <t>Sim 3664</t>
  </si>
  <si>
    <t>Sim 3665</t>
  </si>
  <si>
    <t>Sim 3666</t>
  </si>
  <si>
    <t>Sim 3667</t>
  </si>
  <si>
    <t>Sim 3668</t>
  </si>
  <si>
    <t>Sim 3669</t>
  </si>
  <si>
    <t>Sim 3670</t>
  </si>
  <si>
    <t>Sim 3671</t>
  </si>
  <si>
    <t>Sim 3672</t>
  </si>
  <si>
    <t>Sim 3673</t>
  </si>
  <si>
    <t>Sim 3674</t>
  </si>
  <si>
    <t>Sim 3675</t>
  </si>
  <si>
    <t>Sim 3676</t>
  </si>
  <si>
    <t>Sim 3677</t>
  </si>
  <si>
    <t>Sim 3678</t>
  </si>
  <si>
    <t>Sim 3679</t>
  </si>
  <si>
    <t>Sim 3680</t>
  </si>
  <si>
    <t>Sim 3681</t>
  </si>
  <si>
    <t>Sim 3682</t>
  </si>
  <si>
    <t>Sim 3683</t>
  </si>
  <si>
    <t>Sim 3684</t>
  </si>
  <si>
    <t>Sim 3685</t>
  </si>
  <si>
    <t>Sim 3686</t>
  </si>
  <si>
    <t>Sim 3687</t>
  </si>
  <si>
    <t>Sim 3688</t>
  </si>
  <si>
    <t>Sim 3689</t>
  </si>
  <si>
    <t>Sim 3690</t>
  </si>
  <si>
    <t>Sim 3691</t>
  </si>
  <si>
    <t>Sim 3692</t>
  </si>
  <si>
    <t>Sim 3693</t>
  </si>
  <si>
    <t>Sim 3694</t>
  </si>
  <si>
    <t>Sim 3695</t>
  </si>
  <si>
    <t>Sim 3696</t>
  </si>
  <si>
    <t>Sim 3697</t>
  </si>
  <si>
    <t>Sim 3698</t>
  </si>
  <si>
    <t>Sim 3699</t>
  </si>
  <si>
    <t>Sim 3700</t>
  </si>
  <si>
    <t>Sim 3701</t>
  </si>
  <si>
    <t>Sim 3702</t>
  </si>
  <si>
    <t>Sim 3703</t>
  </si>
  <si>
    <t>Sim 3704</t>
  </si>
  <si>
    <t>Sim 3705</t>
  </si>
  <si>
    <t>Sim 3706</t>
  </si>
  <si>
    <t>Sim 3707</t>
  </si>
  <si>
    <t>Sim 3708</t>
  </si>
  <si>
    <t>Sim 3709</t>
  </si>
  <si>
    <t>Sim 3710</t>
  </si>
  <si>
    <t>Sim 3711</t>
  </si>
  <si>
    <t>Sim 3712</t>
  </si>
  <si>
    <t>Sim 3713</t>
  </si>
  <si>
    <t>Sim 3714</t>
  </si>
  <si>
    <t>Sim 3715</t>
  </si>
  <si>
    <t>Sim 3716</t>
  </si>
  <si>
    <t>Sim 3717</t>
  </si>
  <si>
    <t>Sim 3718</t>
  </si>
  <si>
    <t>Sim 3719</t>
  </si>
  <si>
    <t>Sim 3720</t>
  </si>
  <si>
    <t>Sim 3721</t>
  </si>
  <si>
    <t>Sim 3722</t>
  </si>
  <si>
    <t>Sim 3723</t>
  </si>
  <si>
    <t>Sim 3724</t>
  </si>
  <si>
    <t>Sim 3725</t>
  </si>
  <si>
    <t>Sim 3726</t>
  </si>
  <si>
    <t>Sim 3727</t>
  </si>
  <si>
    <t>Sim 3728</t>
  </si>
  <si>
    <t>Sim 3729</t>
  </si>
  <si>
    <t>Sim 3730</t>
  </si>
  <si>
    <t>Sim 3731</t>
  </si>
  <si>
    <t>Sim 3732</t>
  </si>
  <si>
    <t>Sim 3733</t>
  </si>
  <si>
    <t>Sim 3734</t>
  </si>
  <si>
    <t>Sim 3735</t>
  </si>
  <si>
    <t>Sim 3736</t>
  </si>
  <si>
    <t>Sim 3737</t>
  </si>
  <si>
    <t>Sim 3738</t>
  </si>
  <si>
    <t>Sim 3739</t>
  </si>
  <si>
    <t>Sim 3740</t>
  </si>
  <si>
    <t>Sim 3741</t>
  </si>
  <si>
    <t>Sim 3742</t>
  </si>
  <si>
    <t>Sim 3743</t>
  </si>
  <si>
    <t>Sim 3744</t>
  </si>
  <si>
    <t>Sim 3745</t>
  </si>
  <si>
    <t>Sim 3746</t>
  </si>
  <si>
    <t>Sim 3747</t>
  </si>
  <si>
    <t>Sim 3748</t>
  </si>
  <si>
    <t>Sim 3749</t>
  </si>
  <si>
    <t>Sim 3750</t>
  </si>
  <si>
    <t>Sim 3751</t>
  </si>
  <si>
    <t>Sim 3752</t>
  </si>
  <si>
    <t>Sim 3753</t>
  </si>
  <si>
    <t>Sim 3754</t>
  </si>
  <si>
    <t>Sim 3755</t>
  </si>
  <si>
    <t>Sim 3756</t>
  </si>
  <si>
    <t>Sim 3757</t>
  </si>
  <si>
    <t>Sim 3758</t>
  </si>
  <si>
    <t>Sim 3759</t>
  </si>
  <si>
    <t>Sim 3760</t>
  </si>
  <si>
    <t>Sim 3761</t>
  </si>
  <si>
    <t>Sim 3762</t>
  </si>
  <si>
    <t>Sim 3763</t>
  </si>
  <si>
    <t>Sim 3764</t>
  </si>
  <si>
    <t>Sim 3765</t>
  </si>
  <si>
    <t>Sim 3766</t>
  </si>
  <si>
    <t>Sim 3767</t>
  </si>
  <si>
    <t>Sim 3768</t>
  </si>
  <si>
    <t>Sim 3769</t>
  </si>
  <si>
    <t>Sim 3770</t>
  </si>
  <si>
    <t>Sim 3771</t>
  </si>
  <si>
    <t>Sim 3772</t>
  </si>
  <si>
    <t>Sim 3773</t>
  </si>
  <si>
    <t>Sim 3774</t>
  </si>
  <si>
    <t>Sim 3775</t>
  </si>
  <si>
    <t>Sim 3776</t>
  </si>
  <si>
    <t>Sim 3777</t>
  </si>
  <si>
    <t>Sim 3778</t>
  </si>
  <si>
    <t>Sim 3779</t>
  </si>
  <si>
    <t>Sim 3780</t>
  </si>
  <si>
    <t>Sim 3781</t>
  </si>
  <si>
    <t>Sim 3782</t>
  </si>
  <si>
    <t>Sim 3783</t>
  </si>
  <si>
    <t>Sim 3784</t>
  </si>
  <si>
    <t>Sim 3785</t>
  </si>
  <si>
    <t>Sim 3786</t>
  </si>
  <si>
    <t>Sim 3787</t>
  </si>
  <si>
    <t>Sim 3788</t>
  </si>
  <si>
    <t>Sim 3789</t>
  </si>
  <si>
    <t>Sim 3790</t>
  </si>
  <si>
    <t>Sim 3791</t>
  </si>
  <si>
    <t>Sim 3792</t>
  </si>
  <si>
    <t>Sim 3793</t>
  </si>
  <si>
    <t>Sim 3794</t>
  </si>
  <si>
    <t>Sim 3795</t>
  </si>
  <si>
    <t>Sim 3796</t>
  </si>
  <si>
    <t>Sim 3797</t>
  </si>
  <si>
    <t>Sim 3798</t>
  </si>
  <si>
    <t>Sim 3799</t>
  </si>
  <si>
    <t>Sim 3800</t>
  </si>
  <si>
    <t>Sim 3801</t>
  </si>
  <si>
    <t>Sim 3802</t>
  </si>
  <si>
    <t>Sim 3803</t>
  </si>
  <si>
    <t>Sim 3804</t>
  </si>
  <si>
    <t>Sim 3805</t>
  </si>
  <si>
    <t>Sim 3806</t>
  </si>
  <si>
    <t>Sim 3807</t>
  </si>
  <si>
    <t>Sim 3808</t>
  </si>
  <si>
    <t>Sim 3809</t>
  </si>
  <si>
    <t>Sim 3810</t>
  </si>
  <si>
    <t>Sim 3811</t>
  </si>
  <si>
    <t>Sim 3812</t>
  </si>
  <si>
    <t>Sim 3813</t>
  </si>
  <si>
    <t>Sim 3814</t>
  </si>
  <si>
    <t>Sim 3815</t>
  </si>
  <si>
    <t>Sim 3816</t>
  </si>
  <si>
    <t>Sim 3817</t>
  </si>
  <si>
    <t>Sim 3818</t>
  </si>
  <si>
    <t>Sim 3819</t>
  </si>
  <si>
    <t>Sim 3820</t>
  </si>
  <si>
    <t>Sim 3821</t>
  </si>
  <si>
    <t>Sim 3822</t>
  </si>
  <si>
    <t>Sim 3823</t>
  </si>
  <si>
    <t>Sim 3824</t>
  </si>
  <si>
    <t>Sim 3825</t>
  </si>
  <si>
    <t>Sim 3826</t>
  </si>
  <si>
    <t>Sim 3827</t>
  </si>
  <si>
    <t>Sim 3828</t>
  </si>
  <si>
    <t>Sim 3829</t>
  </si>
  <si>
    <t>Sim 3830</t>
  </si>
  <si>
    <t>Sim 3831</t>
  </si>
  <si>
    <t>Sim 3832</t>
  </si>
  <si>
    <t>Sim 3833</t>
  </si>
  <si>
    <t>Sim 3834</t>
  </si>
  <si>
    <t>Sim 3835</t>
  </si>
  <si>
    <t>Sim 3836</t>
  </si>
  <si>
    <t>Sim 3837</t>
  </si>
  <si>
    <t>Sim 3838</t>
  </si>
  <si>
    <t>Sim 3839</t>
  </si>
  <si>
    <t>Sim 3840</t>
  </si>
  <si>
    <t>Sim 3841</t>
  </si>
  <si>
    <t>Sim 3842</t>
  </si>
  <si>
    <t>Sim 3843</t>
  </si>
  <si>
    <t>Sim 3844</t>
  </si>
  <si>
    <t>Sim 3845</t>
  </si>
  <si>
    <t>Sim 3846</t>
  </si>
  <si>
    <t>Sim 3847</t>
  </si>
  <si>
    <t>Sim 3848</t>
  </si>
  <si>
    <t>Sim 3849</t>
  </si>
  <si>
    <t>Sim 3850</t>
  </si>
  <si>
    <t>Sim 3851</t>
  </si>
  <si>
    <t>Sim 3852</t>
  </si>
  <si>
    <t>Sim 3853</t>
  </si>
  <si>
    <t>Sim 3854</t>
  </si>
  <si>
    <t>Sim 3855</t>
  </si>
  <si>
    <t>Sim 3856</t>
  </si>
  <si>
    <t>Sim 3857</t>
  </si>
  <si>
    <t>Sim 3858</t>
  </si>
  <si>
    <t>Sim 3859</t>
  </si>
  <si>
    <t>Sim 3860</t>
  </si>
  <si>
    <t>Sim 3861</t>
  </si>
  <si>
    <t>Sim 3862</t>
  </si>
  <si>
    <t>Sim 3863</t>
  </si>
  <si>
    <t>Sim 3864</t>
  </si>
  <si>
    <t>Sim 3865</t>
  </si>
  <si>
    <t>Sim 3866</t>
  </si>
  <si>
    <t>Sim 3867</t>
  </si>
  <si>
    <t>Sim 3868</t>
  </si>
  <si>
    <t>Sim 3869</t>
  </si>
  <si>
    <t>Sim 3870</t>
  </si>
  <si>
    <t>Sim 3871</t>
  </si>
  <si>
    <t>Sim 3872</t>
  </si>
  <si>
    <t>Sim 3873</t>
  </si>
  <si>
    <t>Sim 3874</t>
  </si>
  <si>
    <t>Sim 3875</t>
  </si>
  <si>
    <t>Sim 3876</t>
  </si>
  <si>
    <t>Sim 3877</t>
  </si>
  <si>
    <t>Sim 3878</t>
  </si>
  <si>
    <t>Sim 3879</t>
  </si>
  <si>
    <t>Sim 3880</t>
  </si>
  <si>
    <t>Sim 3881</t>
  </si>
  <si>
    <t>Sim 3882</t>
  </si>
  <si>
    <t>Sim 3883</t>
  </si>
  <si>
    <t>Sim 3884</t>
  </si>
  <si>
    <t>Sim 3885</t>
  </si>
  <si>
    <t>Sim 3886</t>
  </si>
  <si>
    <t>Sim 3887</t>
  </si>
  <si>
    <t>Sim 3888</t>
  </si>
  <si>
    <t>Sim 3889</t>
  </si>
  <si>
    <t>Sim 3890</t>
  </si>
  <si>
    <t>Sim 3891</t>
  </si>
  <si>
    <t>Sim 3892</t>
  </si>
  <si>
    <t>Sim 3893</t>
  </si>
  <si>
    <t>Sim 3894</t>
  </si>
  <si>
    <t>Sim 3895</t>
  </si>
  <si>
    <t>Sim 3896</t>
  </si>
  <si>
    <t>Sim 3897</t>
  </si>
  <si>
    <t>Sim 3898</t>
  </si>
  <si>
    <t>Sim 3899</t>
  </si>
  <si>
    <t>Sim 3900</t>
  </si>
  <si>
    <t>Sim 3901</t>
  </si>
  <si>
    <t>Sim 3902</t>
  </si>
  <si>
    <t>Sim 3903</t>
  </si>
  <si>
    <t>Sim 3904</t>
  </si>
  <si>
    <t>Sim 3905</t>
  </si>
  <si>
    <t>Sim 3906</t>
  </si>
  <si>
    <t>Sim 3907</t>
  </si>
  <si>
    <t>Sim 3908</t>
  </si>
  <si>
    <t>Sim 3909</t>
  </si>
  <si>
    <t>Sim 3910</t>
  </si>
  <si>
    <t>Sim 3911</t>
  </si>
  <si>
    <t>Sim 3912</t>
  </si>
  <si>
    <t>Sim 3913</t>
  </si>
  <si>
    <t>Sim 3914</t>
  </si>
  <si>
    <t>Sim 3915</t>
  </si>
  <si>
    <t>Sim 3916</t>
  </si>
  <si>
    <t>Sim 3917</t>
  </si>
  <si>
    <t>Sim 3918</t>
  </si>
  <si>
    <t>Sim 3919</t>
  </si>
  <si>
    <t>Sim 3920</t>
  </si>
  <si>
    <t>Sim 3921</t>
  </si>
  <si>
    <t>Sim 3922</t>
  </si>
  <si>
    <t>Sim 3923</t>
  </si>
  <si>
    <t>Sim 3924</t>
  </si>
  <si>
    <t>Sim 3925</t>
  </si>
  <si>
    <t>Sim 3926</t>
  </si>
  <si>
    <t>Sim 3927</t>
  </si>
  <si>
    <t>Sim 3928</t>
  </si>
  <si>
    <t>Sim 3929</t>
  </si>
  <si>
    <t>Sim 3930</t>
  </si>
  <si>
    <t>Sim 3931</t>
  </si>
  <si>
    <t>Sim 3932</t>
  </si>
  <si>
    <t>Sim 3933</t>
  </si>
  <si>
    <t>Sim 3934</t>
  </si>
  <si>
    <t>Sim 3935</t>
  </si>
  <si>
    <t>Sim 3936</t>
  </si>
  <si>
    <t>Sim 3937</t>
  </si>
  <si>
    <t>Sim 3938</t>
  </si>
  <si>
    <t>Sim 3939</t>
  </si>
  <si>
    <t>Sim 3940</t>
  </si>
  <si>
    <t>Sim 3941</t>
  </si>
  <si>
    <t>Sim 3942</t>
  </si>
  <si>
    <t>Sim 3943</t>
  </si>
  <si>
    <t>Sim 3944</t>
  </si>
  <si>
    <t>Sim 3945</t>
  </si>
  <si>
    <t>Sim 3946</t>
  </si>
  <si>
    <t>Sim 3947</t>
  </si>
  <si>
    <t>Sim 3948</t>
  </si>
  <si>
    <t>Sim 3949</t>
  </si>
  <si>
    <t>Sim 3950</t>
  </si>
  <si>
    <t>Sim 3951</t>
  </si>
  <si>
    <t>Sim 3952</t>
  </si>
  <si>
    <t>Sim 3953</t>
  </si>
  <si>
    <t>Sim 3954</t>
  </si>
  <si>
    <t>Sim 3955</t>
  </si>
  <si>
    <t>Sim 3956</t>
  </si>
  <si>
    <t>Sim 3957</t>
  </si>
  <si>
    <t>Sim 3958</t>
  </si>
  <si>
    <t>Sim 3959</t>
  </si>
  <si>
    <t>Sim 3960</t>
  </si>
  <si>
    <t>Sim 3961</t>
  </si>
  <si>
    <t>Sim 3962</t>
  </si>
  <si>
    <t>Sim 3963</t>
  </si>
  <si>
    <t>Sim 3964</t>
  </si>
  <si>
    <t>Sim 3965</t>
  </si>
  <si>
    <t>Sim 3966</t>
  </si>
  <si>
    <t>Sim 3967</t>
  </si>
  <si>
    <t>Sim 3968</t>
  </si>
  <si>
    <t>Sim 3969</t>
  </si>
  <si>
    <t>Sim 3970</t>
  </si>
  <si>
    <t>Sim 3971</t>
  </si>
  <si>
    <t>Sim 3972</t>
  </si>
  <si>
    <t>Sim 3973</t>
  </si>
  <si>
    <t>Sim 3974</t>
  </si>
  <si>
    <t>Sim 3975</t>
  </si>
  <si>
    <t>Sim 3976</t>
  </si>
  <si>
    <t>Sim 3977</t>
  </si>
  <si>
    <t>Sim 3978</t>
  </si>
  <si>
    <t>Sim 3979</t>
  </si>
  <si>
    <t>Sim 3980</t>
  </si>
  <si>
    <t>Sim 3981</t>
  </si>
  <si>
    <t>Sim 3982</t>
  </si>
  <si>
    <t>Sim 3983</t>
  </si>
  <si>
    <t>Sim 3984</t>
  </si>
  <si>
    <t>Sim 3985</t>
  </si>
  <si>
    <t>Sim 3986</t>
  </si>
  <si>
    <t>Sim 3987</t>
  </si>
  <si>
    <t>Sim 3988</t>
  </si>
  <si>
    <t>Sim 3989</t>
  </si>
  <si>
    <t>Sim 3990</t>
  </si>
  <si>
    <t>Sim 3991</t>
  </si>
  <si>
    <t>Sim 3992</t>
  </si>
  <si>
    <t>Sim 3993</t>
  </si>
  <si>
    <t>Sim 3994</t>
  </si>
  <si>
    <t>Sim 3995</t>
  </si>
  <si>
    <t>Sim 3996</t>
  </si>
  <si>
    <t>Sim 3997</t>
  </si>
  <si>
    <t>Sim 3998</t>
  </si>
  <si>
    <t>Sim 3999</t>
  </si>
  <si>
    <t>Sim 4000</t>
  </si>
  <si>
    <t>Sim 4001</t>
  </si>
  <si>
    <t>Sim 4002</t>
  </si>
  <si>
    <t>Sim 4003</t>
  </si>
  <si>
    <t>Sim 4004</t>
  </si>
  <si>
    <t>Sim 4005</t>
  </si>
  <si>
    <t>Sim 4006</t>
  </si>
  <si>
    <t>Sim 4007</t>
  </si>
  <si>
    <t>Sim 4008</t>
  </si>
  <si>
    <t>Sim 4009</t>
  </si>
  <si>
    <t>Sim 4010</t>
  </si>
  <si>
    <t>Sim 4011</t>
  </si>
  <si>
    <t>Sim 4012</t>
  </si>
  <si>
    <t>Sim 4013</t>
  </si>
  <si>
    <t>Sim 4014</t>
  </si>
  <si>
    <t>Sim 4015</t>
  </si>
  <si>
    <t>Sim 4016</t>
  </si>
  <si>
    <t>Sim 4017</t>
  </si>
  <si>
    <t>Sim 4018</t>
  </si>
  <si>
    <t>Sim 4019</t>
  </si>
  <si>
    <t>Sim 4020</t>
  </si>
  <si>
    <t>Sim 4021</t>
  </si>
  <si>
    <t>Sim 4022</t>
  </si>
  <si>
    <t>Sim 4023</t>
  </si>
  <si>
    <t>Sim 4024</t>
  </si>
  <si>
    <t>Sim 4025</t>
  </si>
  <si>
    <t>Sim 4026</t>
  </si>
  <si>
    <t>Sim 4027</t>
  </si>
  <si>
    <t>Sim 4028</t>
  </si>
  <si>
    <t>Sim 4029</t>
  </si>
  <si>
    <t>Sim 4030</t>
  </si>
  <si>
    <t>Sim 4031</t>
  </si>
  <si>
    <t>Sim 4032</t>
  </si>
  <si>
    <t>Sim 4033</t>
  </si>
  <si>
    <t>Sim 4034</t>
  </si>
  <si>
    <t>Sim 4035</t>
  </si>
  <si>
    <t>Sim 4036</t>
  </si>
  <si>
    <t>Sim 4037</t>
  </si>
  <si>
    <t>Sim 4038</t>
  </si>
  <si>
    <t>Sim 4039</t>
  </si>
  <si>
    <t>Sim 4040</t>
  </si>
  <si>
    <t>Sim 4041</t>
  </si>
  <si>
    <t>Sim 4042</t>
  </si>
  <si>
    <t>Sim 4043</t>
  </si>
  <si>
    <t>Sim 4044</t>
  </si>
  <si>
    <t>Sim 4045</t>
  </si>
  <si>
    <t>Sim 4046</t>
  </si>
  <si>
    <t>Sim 4047</t>
  </si>
  <si>
    <t>Sim 4048</t>
  </si>
  <si>
    <t>Sim 4049</t>
  </si>
  <si>
    <t>Sim 4050</t>
  </si>
  <si>
    <t>Sim 4051</t>
  </si>
  <si>
    <t>Sim 4052</t>
  </si>
  <si>
    <t>Sim 4053</t>
  </si>
  <si>
    <t>Sim 4054</t>
  </si>
  <si>
    <t>Sim 4055</t>
  </si>
  <si>
    <t>Sim 4056</t>
  </si>
  <si>
    <t>Sim 4057</t>
  </si>
  <si>
    <t>Sim 4058</t>
  </si>
  <si>
    <t>Sim 4059</t>
  </si>
  <si>
    <t>Sim 4060</t>
  </si>
  <si>
    <t>Sim 4061</t>
  </si>
  <si>
    <t>Sim 4062</t>
  </si>
  <si>
    <t>Sim 4063</t>
  </si>
  <si>
    <t>Sim 4064</t>
  </si>
  <si>
    <t>Sim 4065</t>
  </si>
  <si>
    <t>Sim 4066</t>
  </si>
  <si>
    <t>Sim 4067</t>
  </si>
  <si>
    <t>Sim 4068</t>
  </si>
  <si>
    <t>Sim 4069</t>
  </si>
  <si>
    <t>Sim 4070</t>
  </si>
  <si>
    <t>Sim 4071</t>
  </si>
  <si>
    <t>Sim 4072</t>
  </si>
  <si>
    <t>Sim 4073</t>
  </si>
  <si>
    <t>Sim 4074</t>
  </si>
  <si>
    <t>Sim 4075</t>
  </si>
  <si>
    <t>Sim 4076</t>
  </si>
  <si>
    <t>Sim 4077</t>
  </si>
  <si>
    <t>Sim 4078</t>
  </si>
  <si>
    <t>Sim 4079</t>
  </si>
  <si>
    <t>Sim 4080</t>
  </si>
  <si>
    <t>Sim 4081</t>
  </si>
  <si>
    <t>Sim 4082</t>
  </si>
  <si>
    <t>Sim 4083</t>
  </si>
  <si>
    <t>Sim 4084</t>
  </si>
  <si>
    <t>Sim 4085</t>
  </si>
  <si>
    <t>Sim 4086</t>
  </si>
  <si>
    <t>Sim 4087</t>
  </si>
  <si>
    <t>Sim 4088</t>
  </si>
  <si>
    <t>Sim 4089</t>
  </si>
  <si>
    <t>Sim 4090</t>
  </si>
  <si>
    <t>Sim 4091</t>
  </si>
  <si>
    <t>Sim 4092</t>
  </si>
  <si>
    <t>Sim 4093</t>
  </si>
  <si>
    <t>Sim 4094</t>
  </si>
  <si>
    <t>Sim 4095</t>
  </si>
  <si>
    <t>Sim 4096</t>
  </si>
  <si>
    <t>Sim 4097</t>
  </si>
  <si>
    <t>Sim 4098</t>
  </si>
  <si>
    <t>Sim 4099</t>
  </si>
  <si>
    <t>Sim 4100</t>
  </si>
  <si>
    <t>Sim 4101</t>
  </si>
  <si>
    <t>Sim 4102</t>
  </si>
  <si>
    <t>Sim 4103</t>
  </si>
  <si>
    <t>Sim 4104</t>
  </si>
  <si>
    <t>Sim 4105</t>
  </si>
  <si>
    <t>Sim 4106</t>
  </si>
  <si>
    <t>Sim 4107</t>
  </si>
  <si>
    <t>Sim 4108</t>
  </si>
  <si>
    <t>Sim 4109</t>
  </si>
  <si>
    <t>Sim 4110</t>
  </si>
  <si>
    <t>Sim 4111</t>
  </si>
  <si>
    <t>Sim 4112</t>
  </si>
  <si>
    <t>Sim 4113</t>
  </si>
  <si>
    <t>Sim 4114</t>
  </si>
  <si>
    <t>Sim 4115</t>
  </si>
  <si>
    <t>Sim 4116</t>
  </si>
  <si>
    <t>Sim 4117</t>
  </si>
  <si>
    <t>Sim 4118</t>
  </si>
  <si>
    <t>Sim 4119</t>
  </si>
  <si>
    <t>Sim 4120</t>
  </si>
  <si>
    <t>Sim 4121</t>
  </si>
  <si>
    <t>Sim 4122</t>
  </si>
  <si>
    <t>Sim 4123</t>
  </si>
  <si>
    <t>Sim 4124</t>
  </si>
  <si>
    <t>Sim 4125</t>
  </si>
  <si>
    <t>Sim 4126</t>
  </si>
  <si>
    <t>Sim 4127</t>
  </si>
  <si>
    <t>Sim 4128</t>
  </si>
  <si>
    <t>Sim 4129</t>
  </si>
  <si>
    <t>Sim 4130</t>
  </si>
  <si>
    <t>Sim 4131</t>
  </si>
  <si>
    <t>Sim 4132</t>
  </si>
  <si>
    <t>Sim 4133</t>
  </si>
  <si>
    <t>Sim 4134</t>
  </si>
  <si>
    <t>Sim 4135</t>
  </si>
  <si>
    <t>Sim 4136</t>
  </si>
  <si>
    <t>Sim 4137</t>
  </si>
  <si>
    <t>Sim 4138</t>
  </si>
  <si>
    <t>Sim 4139</t>
  </si>
  <si>
    <t>Sim 4140</t>
  </si>
  <si>
    <t>Sim 4141</t>
  </si>
  <si>
    <t>Sim 4142</t>
  </si>
  <si>
    <t>Sim 4143</t>
  </si>
  <si>
    <t>Sim 4144</t>
  </si>
  <si>
    <t>Sim 4145</t>
  </si>
  <si>
    <t>Sim 4146</t>
  </si>
  <si>
    <t>Sim 4147</t>
  </si>
  <si>
    <t>Sim 4148</t>
  </si>
  <si>
    <t>Sim 4149</t>
  </si>
  <si>
    <t>Sim 4150</t>
  </si>
  <si>
    <t>Sim 4151</t>
  </si>
  <si>
    <t>Sim 4152</t>
  </si>
  <si>
    <t>Sim 4153</t>
  </si>
  <si>
    <t>Sim 4154</t>
  </si>
  <si>
    <t>Sim 4155</t>
  </si>
  <si>
    <t>Sim 4156</t>
  </si>
  <si>
    <t>Sim 4157</t>
  </si>
  <si>
    <t>Sim 4158</t>
  </si>
  <si>
    <t>Sim 4159</t>
  </si>
  <si>
    <t>Sim 4160</t>
  </si>
  <si>
    <t>Sim 4161</t>
  </si>
  <si>
    <t>Sim 4162</t>
  </si>
  <si>
    <t>Sim 4163</t>
  </si>
  <si>
    <t>Sim 4164</t>
  </si>
  <si>
    <t>Sim 4165</t>
  </si>
  <si>
    <t>Sim 4166</t>
  </si>
  <si>
    <t>Sim 4167</t>
  </si>
  <si>
    <t>Sim 4168</t>
  </si>
  <si>
    <t>Sim 4169</t>
  </si>
  <si>
    <t>Sim 4170</t>
  </si>
  <si>
    <t>Sim 4171</t>
  </si>
  <si>
    <t>Sim 4172</t>
  </si>
  <si>
    <t>Sim 4173</t>
  </si>
  <si>
    <t>Sim 4174</t>
  </si>
  <si>
    <t>Sim 4175</t>
  </si>
  <si>
    <t>Sim 4176</t>
  </si>
  <si>
    <t>Sim 4177</t>
  </si>
  <si>
    <t>Sim 4178</t>
  </si>
  <si>
    <t>Sim 4179</t>
  </si>
  <si>
    <t>Sim 4180</t>
  </si>
  <si>
    <t>Sim 4181</t>
  </si>
  <si>
    <t>Sim 4182</t>
  </si>
  <si>
    <t>Sim 4183</t>
  </si>
  <si>
    <t>Sim 4184</t>
  </si>
  <si>
    <t>Sim 4185</t>
  </si>
  <si>
    <t>Sim 4186</t>
  </si>
  <si>
    <t>Sim 4187</t>
  </si>
  <si>
    <t>Sim 4188</t>
  </si>
  <si>
    <t>Sim 4189</t>
  </si>
  <si>
    <t>Sim 4190</t>
  </si>
  <si>
    <t>Sim 4191</t>
  </si>
  <si>
    <t>Sim 4192</t>
  </si>
  <si>
    <t>Sim 4193</t>
  </si>
  <si>
    <t>Sim 4194</t>
  </si>
  <si>
    <t>Sim 4195</t>
  </si>
  <si>
    <t>Sim 4196</t>
  </si>
  <si>
    <t>Sim 4197</t>
  </si>
  <si>
    <t>Sim 4198</t>
  </si>
  <si>
    <t>Sim 4199</t>
  </si>
  <si>
    <t>Sim 4200</t>
  </si>
  <si>
    <t>Sim 4201</t>
  </si>
  <si>
    <t>Sim 4202</t>
  </si>
  <si>
    <t>Sim 4203</t>
  </si>
  <si>
    <t>Sim 4204</t>
  </si>
  <si>
    <t>Sim 4205</t>
  </si>
  <si>
    <t>Sim 4206</t>
  </si>
  <si>
    <t>Sim 4207</t>
  </si>
  <si>
    <t>Sim 4208</t>
  </si>
  <si>
    <t>Sim 4209</t>
  </si>
  <si>
    <t>Sim 4210</t>
  </si>
  <si>
    <t>Sim 4211</t>
  </si>
  <si>
    <t>Sim 4212</t>
  </si>
  <si>
    <t>Sim 4213</t>
  </si>
  <si>
    <t>Sim 4214</t>
  </si>
  <si>
    <t>Sim 4215</t>
  </si>
  <si>
    <t>Sim 4216</t>
  </si>
  <si>
    <t>Sim 4217</t>
  </si>
  <si>
    <t>Sim 4218</t>
  </si>
  <si>
    <t>Sim 4219</t>
  </si>
  <si>
    <t>Sim 4220</t>
  </si>
  <si>
    <t>Sim 4221</t>
  </si>
  <si>
    <t>Sim 4222</t>
  </si>
  <si>
    <t>Sim 4223</t>
  </si>
  <si>
    <t>Sim 4224</t>
  </si>
  <si>
    <t>Sim 4225</t>
  </si>
  <si>
    <t>Sim 4226</t>
  </si>
  <si>
    <t>Sim 4227</t>
  </si>
  <si>
    <t>Sim 4228</t>
  </si>
  <si>
    <t>Sim 4229</t>
  </si>
  <si>
    <t>Sim 4230</t>
  </si>
  <si>
    <t>Sim 4231</t>
  </si>
  <si>
    <t>Sim 4232</t>
  </si>
  <si>
    <t>Sim 4233</t>
  </si>
  <si>
    <t>Sim 4234</t>
  </si>
  <si>
    <t>Sim 4235</t>
  </si>
  <si>
    <t>Sim 4236</t>
  </si>
  <si>
    <t>Sim 4237</t>
  </si>
  <si>
    <t>Sim 4238</t>
  </si>
  <si>
    <t>Sim 4239</t>
  </si>
  <si>
    <t>Sim 4240</t>
  </si>
  <si>
    <t>Sim 4241</t>
  </si>
  <si>
    <t>Sim 4242</t>
  </si>
  <si>
    <t>Sim 4243</t>
  </si>
  <si>
    <t>Sim 4244</t>
  </si>
  <si>
    <t>Sim 4245</t>
  </si>
  <si>
    <t>Sim 4246</t>
  </si>
  <si>
    <t>Sim 4247</t>
  </si>
  <si>
    <t>Sim 4248</t>
  </si>
  <si>
    <t>Sim 4249</t>
  </si>
  <si>
    <t>Sim 4250</t>
  </si>
  <si>
    <t>Sim 4251</t>
  </si>
  <si>
    <t>Sim 4252</t>
  </si>
  <si>
    <t>Sim 4253</t>
  </si>
  <si>
    <t>Sim 4254</t>
  </si>
  <si>
    <t>Sim 4255</t>
  </si>
  <si>
    <t>Sim 4256</t>
  </si>
  <si>
    <t>Sim 4257</t>
  </si>
  <si>
    <t>Sim 4258</t>
  </si>
  <si>
    <t>Sim 4259</t>
  </si>
  <si>
    <t>Sim 4260</t>
  </si>
  <si>
    <t>Sim 4261</t>
  </si>
  <si>
    <t>Sim 4262</t>
  </si>
  <si>
    <t>Sim 4263</t>
  </si>
  <si>
    <t>Sim 4264</t>
  </si>
  <si>
    <t>Sim 4265</t>
  </si>
  <si>
    <t>Sim 4266</t>
  </si>
  <si>
    <t>Sim 4267</t>
  </si>
  <si>
    <t>Sim 4268</t>
  </si>
  <si>
    <t>Sim 4269</t>
  </si>
  <si>
    <t>Sim 4270</t>
  </si>
  <si>
    <t>Sim 4271</t>
  </si>
  <si>
    <t>Sim 4272</t>
  </si>
  <si>
    <t>Sim 4273</t>
  </si>
  <si>
    <t>Sim 4274</t>
  </si>
  <si>
    <t>Sim 4275</t>
  </si>
  <si>
    <t>Sim 4276</t>
  </si>
  <si>
    <t>Sim 4277</t>
  </si>
  <si>
    <t>Sim 4278</t>
  </si>
  <si>
    <t>Sim 4279</t>
  </si>
  <si>
    <t>Sim 4280</t>
  </si>
  <si>
    <t>Sim 4281</t>
  </si>
  <si>
    <t>Sim 4282</t>
  </si>
  <si>
    <t>Sim 4283</t>
  </si>
  <si>
    <t>Sim 4284</t>
  </si>
  <si>
    <t>Sim 4285</t>
  </si>
  <si>
    <t>Sim 4286</t>
  </si>
  <si>
    <t>Sim 4287</t>
  </si>
  <si>
    <t>Sim 4288</t>
  </si>
  <si>
    <t>Sim 4289</t>
  </si>
  <si>
    <t>Sim 4290</t>
  </si>
  <si>
    <t>Sim 4291</t>
  </si>
  <si>
    <t>Sim 4292</t>
  </si>
  <si>
    <t>Sim 4293</t>
  </si>
  <si>
    <t>Sim 4294</t>
  </si>
  <si>
    <t>Sim 4295</t>
  </si>
  <si>
    <t>Sim 4296</t>
  </si>
  <si>
    <t>Sim 4297</t>
  </si>
  <si>
    <t>Sim 4298</t>
  </si>
  <si>
    <t>Sim 4299</t>
  </si>
  <si>
    <t>Sim 4300</t>
  </si>
  <si>
    <t>Sim 4301</t>
  </si>
  <si>
    <t>Sim 4302</t>
  </si>
  <si>
    <t>Sim 4303</t>
  </si>
  <si>
    <t>Sim 4304</t>
  </si>
  <si>
    <t>Sim 4305</t>
  </si>
  <si>
    <t>Sim 4306</t>
  </si>
  <si>
    <t>Sim 4307</t>
  </si>
  <si>
    <t>Sim 4308</t>
  </si>
  <si>
    <t>Sim 4309</t>
  </si>
  <si>
    <t>Sim 4310</t>
  </si>
  <si>
    <t>Sim 4311</t>
  </si>
  <si>
    <t>Sim 4312</t>
  </si>
  <si>
    <t>Sim 4313</t>
  </si>
  <si>
    <t>Sim 4314</t>
  </si>
  <si>
    <t>Sim 4315</t>
  </si>
  <si>
    <t>Sim 4316</t>
  </si>
  <si>
    <t>Sim 4317</t>
  </si>
  <si>
    <t>Sim 4318</t>
  </si>
  <si>
    <t>Sim 4319</t>
  </si>
  <si>
    <t>Sim 4320</t>
  </si>
  <si>
    <t>Sim 4321</t>
  </si>
  <si>
    <t>Sim 4322</t>
  </si>
  <si>
    <t>Sim 4323</t>
  </si>
  <si>
    <t>Sim 4324</t>
  </si>
  <si>
    <t>Sim 4325</t>
  </si>
  <si>
    <t>Sim 4326</t>
  </si>
  <si>
    <t>Sim 4327</t>
  </si>
  <si>
    <t>Sim 4328</t>
  </si>
  <si>
    <t>Sim 4329</t>
  </si>
  <si>
    <t>Sim 4330</t>
  </si>
  <si>
    <t>Sim 4331</t>
  </si>
  <si>
    <t>Sim 4332</t>
  </si>
  <si>
    <t>Sim 4333</t>
  </si>
  <si>
    <t>Sim 4334</t>
  </si>
  <si>
    <t>Sim 4335</t>
  </si>
  <si>
    <t>Sim 4336</t>
  </si>
  <si>
    <t>Sim 4337</t>
  </si>
  <si>
    <t>Sim 4338</t>
  </si>
  <si>
    <t>Sim 4339</t>
  </si>
  <si>
    <t>Sim 4340</t>
  </si>
  <si>
    <t>Sim 4341</t>
  </si>
  <si>
    <t>Sim 4342</t>
  </si>
  <si>
    <t>Sim 4343</t>
  </si>
  <si>
    <t>Sim 4344</t>
  </si>
  <si>
    <t>Sim 4345</t>
  </si>
  <si>
    <t>Sim 4346</t>
  </si>
  <si>
    <t>Sim 4347</t>
  </si>
  <si>
    <t>Sim 4348</t>
  </si>
  <si>
    <t>Sim 4349</t>
  </si>
  <si>
    <t>Sim 4350</t>
  </si>
  <si>
    <t>Sim 4351</t>
  </si>
  <si>
    <t>Sim 4352</t>
  </si>
  <si>
    <t>Sim 4353</t>
  </si>
  <si>
    <t>Sim 4354</t>
  </si>
  <si>
    <t>Sim 4355</t>
  </si>
  <si>
    <t>Sim 4356</t>
  </si>
  <si>
    <t>Sim 4357</t>
  </si>
  <si>
    <t>Sim 4358</t>
  </si>
  <si>
    <t>Sim 4359</t>
  </si>
  <si>
    <t>Sim 4360</t>
  </si>
  <si>
    <t>Sim 4361</t>
  </si>
  <si>
    <t>Sim 4362</t>
  </si>
  <si>
    <t>Sim 4363</t>
  </si>
  <si>
    <t>Sim 4364</t>
  </si>
  <si>
    <t>Sim 4365</t>
  </si>
  <si>
    <t>Sim 4366</t>
  </si>
  <si>
    <t>Sim 4367</t>
  </si>
  <si>
    <t>Sim 4368</t>
  </si>
  <si>
    <t>Sim 4369</t>
  </si>
  <si>
    <t>Sim 4370</t>
  </si>
  <si>
    <t>Sim 4371</t>
  </si>
  <si>
    <t>Sim 4372</t>
  </si>
  <si>
    <t>Sim 4373</t>
  </si>
  <si>
    <t>Sim 4374</t>
  </si>
  <si>
    <t>Sim 4375</t>
  </si>
  <si>
    <t>Sim 4376</t>
  </si>
  <si>
    <t>Sim 4377</t>
  </si>
  <si>
    <t>Sim 4378</t>
  </si>
  <si>
    <t>Sim 4379</t>
  </si>
  <si>
    <t>Sim 4380</t>
  </si>
  <si>
    <t>Sim 4381</t>
  </si>
  <si>
    <t>Sim 4382</t>
  </si>
  <si>
    <t>Sim 4383</t>
  </si>
  <si>
    <t>Sim 4384</t>
  </si>
  <si>
    <t>Sim 4385</t>
  </si>
  <si>
    <t>Sim 4386</t>
  </si>
  <si>
    <t>Sim 4387</t>
  </si>
  <si>
    <t>Sim 4388</t>
  </si>
  <si>
    <t>Sim 4389</t>
  </si>
  <si>
    <t>Sim 4390</t>
  </si>
  <si>
    <t>Sim 4391</t>
  </si>
  <si>
    <t>Sim 4392</t>
  </si>
  <si>
    <t>Sim 4393</t>
  </si>
  <si>
    <t>Sim 4394</t>
  </si>
  <si>
    <t>Sim 4395</t>
  </si>
  <si>
    <t>Sim 4396</t>
  </si>
  <si>
    <t>Sim 4397</t>
  </si>
  <si>
    <t>Sim 4398</t>
  </si>
  <si>
    <t>Sim 4399</t>
  </si>
  <si>
    <t>Sim 4400</t>
  </si>
  <si>
    <t>Sim 4401</t>
  </si>
  <si>
    <t>Sim 4402</t>
  </si>
  <si>
    <t>Sim 4403</t>
  </si>
  <si>
    <t>Sim 4404</t>
  </si>
  <si>
    <t>Sim 4405</t>
  </si>
  <si>
    <t>Sim 4406</t>
  </si>
  <si>
    <t>Sim 4407</t>
  </si>
  <si>
    <t>Sim 4408</t>
  </si>
  <si>
    <t>Sim 4409</t>
  </si>
  <si>
    <t>Sim 4410</t>
  </si>
  <si>
    <t>Sim 4411</t>
  </si>
  <si>
    <t>Sim 4412</t>
  </si>
  <si>
    <t>Sim 4413</t>
  </si>
  <si>
    <t>Sim 4414</t>
  </si>
  <si>
    <t>Sim 4415</t>
  </si>
  <si>
    <t>Sim 4416</t>
  </si>
  <si>
    <t>Sim 4417</t>
  </si>
  <si>
    <t>Sim 4418</t>
  </si>
  <si>
    <t>Sim 4419</t>
  </si>
  <si>
    <t>Sim 4420</t>
  </si>
  <si>
    <t>Sim 4421</t>
  </si>
  <si>
    <t>Sim 4422</t>
  </si>
  <si>
    <t>Sim 4423</t>
  </si>
  <si>
    <t>Sim 4424</t>
  </si>
  <si>
    <t>Sim 4425</t>
  </si>
  <si>
    <t>Sim 4426</t>
  </si>
  <si>
    <t>Sim 4427</t>
  </si>
  <si>
    <t>Sim 4428</t>
  </si>
  <si>
    <t>Sim 4429</t>
  </si>
  <si>
    <t>Sim 4430</t>
  </si>
  <si>
    <t>Sim 4431</t>
  </si>
  <si>
    <t>Sim 4432</t>
  </si>
  <si>
    <t>Sim 4433</t>
  </si>
  <si>
    <t>Sim 4434</t>
  </si>
  <si>
    <t>Sim 4435</t>
  </si>
  <si>
    <t>Sim 4436</t>
  </si>
  <si>
    <t>Sim 4437</t>
  </si>
  <si>
    <t>Sim 4438</t>
  </si>
  <si>
    <t>Sim 4439</t>
  </si>
  <si>
    <t>Sim 4440</t>
  </si>
  <si>
    <t>Sim 4441</t>
  </si>
  <si>
    <t>Sim 4442</t>
  </si>
  <si>
    <t>Sim 4443</t>
  </si>
  <si>
    <t>Sim 4444</t>
  </si>
  <si>
    <t>Sim 4445</t>
  </si>
  <si>
    <t>Sim 4446</t>
  </si>
  <si>
    <t>Sim 4447</t>
  </si>
  <si>
    <t>Sim 4448</t>
  </si>
  <si>
    <t>Sim 4449</t>
  </si>
  <si>
    <t>Sim 4450</t>
  </si>
  <si>
    <t>Sim 4451</t>
  </si>
  <si>
    <t>Sim 4452</t>
  </si>
  <si>
    <t>Sim 4453</t>
  </si>
  <si>
    <t>Sim 4454</t>
  </si>
  <si>
    <t>Sim 4455</t>
  </si>
  <si>
    <t>Sim 4456</t>
  </si>
  <si>
    <t>Sim 4457</t>
  </si>
  <si>
    <t>Sim 4458</t>
  </si>
  <si>
    <t>Sim 4459</t>
  </si>
  <si>
    <t>Sim 4460</t>
  </si>
  <si>
    <t>Sim 4461</t>
  </si>
  <si>
    <t>Sim 4462</t>
  </si>
  <si>
    <t>Sim 4463</t>
  </si>
  <si>
    <t>Sim 4464</t>
  </si>
  <si>
    <t>Sim 4465</t>
  </si>
  <si>
    <t>Sim 4466</t>
  </si>
  <si>
    <t>Sim 4467</t>
  </si>
  <si>
    <t>Sim 4468</t>
  </si>
  <si>
    <t>Sim 4469</t>
  </si>
  <si>
    <t>Sim 4470</t>
  </si>
  <si>
    <t>Sim 4471</t>
  </si>
  <si>
    <t>Sim 4472</t>
  </si>
  <si>
    <t>Sim 4473</t>
  </si>
  <si>
    <t>Sim 4474</t>
  </si>
  <si>
    <t>Sim 4475</t>
  </si>
  <si>
    <t>Sim 4476</t>
  </si>
  <si>
    <t>Sim 4477</t>
  </si>
  <si>
    <t>Sim 4478</t>
  </si>
  <si>
    <t>Sim 4479</t>
  </si>
  <si>
    <t>Sim 4480</t>
  </si>
  <si>
    <t>Sim 4481</t>
  </si>
  <si>
    <t>Sim 4482</t>
  </si>
  <si>
    <t>Sim 4483</t>
  </si>
  <si>
    <t>Sim 4484</t>
  </si>
  <si>
    <t>Sim 4485</t>
  </si>
  <si>
    <t>Sim 4486</t>
  </si>
  <si>
    <t>Sim 4487</t>
  </si>
  <si>
    <t>Sim 4488</t>
  </si>
  <si>
    <t>Sim 4489</t>
  </si>
  <si>
    <t>Sim 4490</t>
  </si>
  <si>
    <t>Sim 4491</t>
  </si>
  <si>
    <t>Sim 4492</t>
  </si>
  <si>
    <t>Sim 4493</t>
  </si>
  <si>
    <t>Sim 4494</t>
  </si>
  <si>
    <t>Sim 4495</t>
  </si>
  <si>
    <t>Sim 4496</t>
  </si>
  <si>
    <t>Sim 4497</t>
  </si>
  <si>
    <t>Sim 4498</t>
  </si>
  <si>
    <t>Sim 4499</t>
  </si>
  <si>
    <t>Sim 4500</t>
  </si>
  <si>
    <t>Sim 4501</t>
  </si>
  <si>
    <t>Sim 4502</t>
  </si>
  <si>
    <t>Sim 4503</t>
  </si>
  <si>
    <t>Sim 4504</t>
  </si>
  <si>
    <t>Sim 4505</t>
  </si>
  <si>
    <t>Sim 4506</t>
  </si>
  <si>
    <t>Sim 4507</t>
  </si>
  <si>
    <t>Sim 4508</t>
  </si>
  <si>
    <t>Sim 4509</t>
  </si>
  <si>
    <t>Sim 4510</t>
  </si>
  <si>
    <t>Sim 4511</t>
  </si>
  <si>
    <t>Sim 4512</t>
  </si>
  <si>
    <t>Sim 4513</t>
  </si>
  <si>
    <t>Sim 4514</t>
  </si>
  <si>
    <t>Sim 4515</t>
  </si>
  <si>
    <t>Sim 4516</t>
  </si>
  <si>
    <t>Sim 4517</t>
  </si>
  <si>
    <t>Sim 4518</t>
  </si>
  <si>
    <t>Sim 4519</t>
  </si>
  <si>
    <t>Sim 4520</t>
  </si>
  <si>
    <t>Sim 4521</t>
  </si>
  <si>
    <t>Sim 4522</t>
  </si>
  <si>
    <t>Sim 4523</t>
  </si>
  <si>
    <t>Sim 4524</t>
  </si>
  <si>
    <t>Sim 4525</t>
  </si>
  <si>
    <t>Sim 4526</t>
  </si>
  <si>
    <t>Sim 4527</t>
  </si>
  <si>
    <t>Sim 4528</t>
  </si>
  <si>
    <t>Sim 4529</t>
  </si>
  <si>
    <t>Sim 4530</t>
  </si>
  <si>
    <t>Sim 4531</t>
  </si>
  <si>
    <t>Sim 4532</t>
  </si>
  <si>
    <t>Sim 4533</t>
  </si>
  <si>
    <t>Sim 4534</t>
  </si>
  <si>
    <t>Sim 4535</t>
  </si>
  <si>
    <t>Sim 4536</t>
  </si>
  <si>
    <t>Sim 4537</t>
  </si>
  <si>
    <t>Sim 4538</t>
  </si>
  <si>
    <t>Sim 4539</t>
  </si>
  <si>
    <t>Sim 4540</t>
  </si>
  <si>
    <t>Sim 4541</t>
  </si>
  <si>
    <t>Sim 4542</t>
  </si>
  <si>
    <t>Sim 4543</t>
  </si>
  <si>
    <t>Sim 4544</t>
  </si>
  <si>
    <t>Sim 4545</t>
  </si>
  <si>
    <t>Sim 4546</t>
  </si>
  <si>
    <t>Sim 4547</t>
  </si>
  <si>
    <t>Sim 4548</t>
  </si>
  <si>
    <t>Sim 4549</t>
  </si>
  <si>
    <t>Sim 4550</t>
  </si>
  <si>
    <t>Sim 4551</t>
  </si>
  <si>
    <t>Sim 4552</t>
  </si>
  <si>
    <t>Sim 4553</t>
  </si>
  <si>
    <t>Sim 4554</t>
  </si>
  <si>
    <t>Sim 4555</t>
  </si>
  <si>
    <t>Sim 4556</t>
  </si>
  <si>
    <t>Sim 4557</t>
  </si>
  <si>
    <t>Sim 4558</t>
  </si>
  <si>
    <t>Sim 4559</t>
  </si>
  <si>
    <t>Sim 4560</t>
  </si>
  <si>
    <t>Sim 4561</t>
  </si>
  <si>
    <t>Sim 4562</t>
  </si>
  <si>
    <t>Sim 4563</t>
  </si>
  <si>
    <t>Sim 4564</t>
  </si>
  <si>
    <t>Sim 4565</t>
  </si>
  <si>
    <t>Sim 4566</t>
  </si>
  <si>
    <t>Sim 4567</t>
  </si>
  <si>
    <t>Sim 4568</t>
  </si>
  <si>
    <t>Sim 4569</t>
  </si>
  <si>
    <t>Sim 4570</t>
  </si>
  <si>
    <t>Sim 4571</t>
  </si>
  <si>
    <t>Sim 4572</t>
  </si>
  <si>
    <t>Sim 4573</t>
  </si>
  <si>
    <t>Sim 4574</t>
  </si>
  <si>
    <t>Sim 4575</t>
  </si>
  <si>
    <t>Sim 4576</t>
  </si>
  <si>
    <t>Sim 4577</t>
  </si>
  <si>
    <t>Sim 4578</t>
  </si>
  <si>
    <t>Sim 4579</t>
  </si>
  <si>
    <t>Sim 4580</t>
  </si>
  <si>
    <t>Sim 4581</t>
  </si>
  <si>
    <t>Sim 4582</t>
  </si>
  <si>
    <t>Sim 4583</t>
  </si>
  <si>
    <t>Sim 4584</t>
  </si>
  <si>
    <t>Sim 4585</t>
  </si>
  <si>
    <t>Sim 4586</t>
  </si>
  <si>
    <t>Sim 4587</t>
  </si>
  <si>
    <t>Sim 4588</t>
  </si>
  <si>
    <t>Sim 4589</t>
  </si>
  <si>
    <t>Sim 4590</t>
  </si>
  <si>
    <t>Sim 4591</t>
  </si>
  <si>
    <t>Sim 4592</t>
  </si>
  <si>
    <t>Sim 4593</t>
  </si>
  <si>
    <t>Sim 4594</t>
  </si>
  <si>
    <t>Sim 4595</t>
  </si>
  <si>
    <t>Sim 4596</t>
  </si>
  <si>
    <t>Sim 4597</t>
  </si>
  <si>
    <t>Sim 4598</t>
  </si>
  <si>
    <t>Sim 4599</t>
  </si>
  <si>
    <t>Sim 4600</t>
  </si>
  <si>
    <t>Sim 4601</t>
  </si>
  <si>
    <t>Sim 4602</t>
  </si>
  <si>
    <t>Sim 4603</t>
  </si>
  <si>
    <t>Sim 4604</t>
  </si>
  <si>
    <t>Sim 4605</t>
  </si>
  <si>
    <t>Sim 4606</t>
  </si>
  <si>
    <t>Sim 4607</t>
  </si>
  <si>
    <t>Sim 4608</t>
  </si>
  <si>
    <t>Sim 4609</t>
  </si>
  <si>
    <t>Sim 4610</t>
  </si>
  <si>
    <t>Sim 4611</t>
  </si>
  <si>
    <t>Sim 4612</t>
  </si>
  <si>
    <t>Sim 4613</t>
  </si>
  <si>
    <t>Sim 4614</t>
  </si>
  <si>
    <t>Sim 4615</t>
  </si>
  <si>
    <t>Sim 4616</t>
  </si>
  <si>
    <t>Sim 4617</t>
  </si>
  <si>
    <t>Sim 4618</t>
  </si>
  <si>
    <t>Sim 4619</t>
  </si>
  <si>
    <t>Sim 4620</t>
  </si>
  <si>
    <t>Sim 4621</t>
  </si>
  <si>
    <t>Sim 4622</t>
  </si>
  <si>
    <t>Sim 4623</t>
  </si>
  <si>
    <t>Sim 4624</t>
  </si>
  <si>
    <t>Sim 4625</t>
  </si>
  <si>
    <t>Sim 4626</t>
  </si>
  <si>
    <t>Sim 4627</t>
  </si>
  <si>
    <t>Sim 4628</t>
  </si>
  <si>
    <t>Sim 4629</t>
  </si>
  <si>
    <t>Sim 4630</t>
  </si>
  <si>
    <t>Sim 4631</t>
  </si>
  <si>
    <t>Sim 4632</t>
  </si>
  <si>
    <t>Sim 4633</t>
  </si>
  <si>
    <t>Sim 4634</t>
  </si>
  <si>
    <t>Sim 4635</t>
  </si>
  <si>
    <t>Sim 4636</t>
  </si>
  <si>
    <t>Sim 4637</t>
  </si>
  <si>
    <t>Sim 4638</t>
  </si>
  <si>
    <t>Sim 4639</t>
  </si>
  <si>
    <t>Sim 4640</t>
  </si>
  <si>
    <t>Sim 4641</t>
  </si>
  <si>
    <t>Sim 4642</t>
  </si>
  <si>
    <t>Sim 4643</t>
  </si>
  <si>
    <t>Sim 4644</t>
  </si>
  <si>
    <t>Sim 4645</t>
  </si>
  <si>
    <t>Sim 4646</t>
  </si>
  <si>
    <t>Sim 4647</t>
  </si>
  <si>
    <t>Sim 4648</t>
  </si>
  <si>
    <t>Sim 4649</t>
  </si>
  <si>
    <t>Sim 4650</t>
  </si>
  <si>
    <t>Sim 4651</t>
  </si>
  <si>
    <t>Sim 4652</t>
  </si>
  <si>
    <t>Sim 4653</t>
  </si>
  <si>
    <t>Sim 4654</t>
  </si>
  <si>
    <t>Sim 4655</t>
  </si>
  <si>
    <t>Sim 4656</t>
  </si>
  <si>
    <t>Sim 4657</t>
  </si>
  <si>
    <t>Sim 4658</t>
  </si>
  <si>
    <t>Sim 4659</t>
  </si>
  <si>
    <t>Sim 4660</t>
  </si>
  <si>
    <t>Sim 4661</t>
  </si>
  <si>
    <t>Sim 4662</t>
  </si>
  <si>
    <t>Sim 4663</t>
  </si>
  <si>
    <t>Sim 4664</t>
  </si>
  <si>
    <t>Sim 4665</t>
  </si>
  <si>
    <t>Sim 4666</t>
  </si>
  <si>
    <t>Sim 4667</t>
  </si>
  <si>
    <t>Sim 4668</t>
  </si>
  <si>
    <t>Sim 4669</t>
  </si>
  <si>
    <t>Sim 4670</t>
  </si>
  <si>
    <t>Sim 4671</t>
  </si>
  <si>
    <t>Sim 4672</t>
  </si>
  <si>
    <t>Sim 4673</t>
  </si>
  <si>
    <t>Sim 4674</t>
  </si>
  <si>
    <t>Sim 4675</t>
  </si>
  <si>
    <t>Sim 4676</t>
  </si>
  <si>
    <t>Sim 4677</t>
  </si>
  <si>
    <t>Sim 4678</t>
  </si>
  <si>
    <t>Sim 4679</t>
  </si>
  <si>
    <t>Sim 4680</t>
  </si>
  <si>
    <t>Sim 4681</t>
  </si>
  <si>
    <t>Sim 4682</t>
  </si>
  <si>
    <t>Sim 4683</t>
  </si>
  <si>
    <t>Sim 4684</t>
  </si>
  <si>
    <t>Sim 4685</t>
  </si>
  <si>
    <t>Sim 4686</t>
  </si>
  <si>
    <t>Sim 4687</t>
  </si>
  <si>
    <t>Sim 4688</t>
  </si>
  <si>
    <t>Sim 4689</t>
  </si>
  <si>
    <t>Sim 4690</t>
  </si>
  <si>
    <t>Sim 4691</t>
  </si>
  <si>
    <t>Sim 4692</t>
  </si>
  <si>
    <t>Sim 4693</t>
  </si>
  <si>
    <t>Sim 4694</t>
  </si>
  <si>
    <t>Sim 4695</t>
  </si>
  <si>
    <t>Sim 4696</t>
  </si>
  <si>
    <t>Sim 4697</t>
  </si>
  <si>
    <t>Sim 4698</t>
  </si>
  <si>
    <t>Sim 4699</t>
  </si>
  <si>
    <t>Sim 4700</t>
  </si>
  <si>
    <t>Sim 4701</t>
  </si>
  <si>
    <t>Sim 4702</t>
  </si>
  <si>
    <t>Sim 4703</t>
  </si>
  <si>
    <t>Sim 4704</t>
  </si>
  <si>
    <t>Sim 4705</t>
  </si>
  <si>
    <t>Sim 4706</t>
  </si>
  <si>
    <t>Sim 4707</t>
  </si>
  <si>
    <t>Sim 4708</t>
  </si>
  <si>
    <t>Sim 4709</t>
  </si>
  <si>
    <t>Sim 4710</t>
  </si>
  <si>
    <t>Sim 4711</t>
  </si>
  <si>
    <t>Sim 4712</t>
  </si>
  <si>
    <t>Sim 4713</t>
  </si>
  <si>
    <t>Sim 4714</t>
  </si>
  <si>
    <t>Sim 4715</t>
  </si>
  <si>
    <t>Sim 4716</t>
  </si>
  <si>
    <t>Sim 4717</t>
  </si>
  <si>
    <t>Sim 4718</t>
  </si>
  <si>
    <t>Sim 4719</t>
  </si>
  <si>
    <t>Sim 4720</t>
  </si>
  <si>
    <t>Sim 4721</t>
  </si>
  <si>
    <t>Sim 4722</t>
  </si>
  <si>
    <t>Sim 4723</t>
  </si>
  <si>
    <t>Sim 4724</t>
  </si>
  <si>
    <t>Sim 4725</t>
  </si>
  <si>
    <t>Sim 4726</t>
  </si>
  <si>
    <t>Sim 4727</t>
  </si>
  <si>
    <t>Sim 4728</t>
  </si>
  <si>
    <t>Sim 4729</t>
  </si>
  <si>
    <t>Sim 4730</t>
  </si>
  <si>
    <t>Sim 4731</t>
  </si>
  <si>
    <t>Sim 4732</t>
  </si>
  <si>
    <t>Sim 4733</t>
  </si>
  <si>
    <t>Sim 4734</t>
  </si>
  <si>
    <t>Sim 4735</t>
  </si>
  <si>
    <t>Sim 4736</t>
  </si>
  <si>
    <t>Sim 4737</t>
  </si>
  <si>
    <t>Sim 4738</t>
  </si>
  <si>
    <t>Sim 4739</t>
  </si>
  <si>
    <t>Sim 4740</t>
  </si>
  <si>
    <t>Sim 4741</t>
  </si>
  <si>
    <t>Sim 4742</t>
  </si>
  <si>
    <t>Sim 4743</t>
  </si>
  <si>
    <t>Sim 4744</t>
  </si>
  <si>
    <t>Sim 4745</t>
  </si>
  <si>
    <t>Sim 4746</t>
  </si>
  <si>
    <t>Sim 4747</t>
  </si>
  <si>
    <t>Sim 4748</t>
  </si>
  <si>
    <t>Sim 4749</t>
  </si>
  <si>
    <t>Sim 4750</t>
  </si>
  <si>
    <t>Sim 4751</t>
  </si>
  <si>
    <t>Sim 4752</t>
  </si>
  <si>
    <t>Sim 4753</t>
  </si>
  <si>
    <t>Sim 4754</t>
  </si>
  <si>
    <t>Sim 4755</t>
  </si>
  <si>
    <t>Sim 4756</t>
  </si>
  <si>
    <t>Sim 4757</t>
  </si>
  <si>
    <t>Sim 4758</t>
  </si>
  <si>
    <t>Sim 4759</t>
  </si>
  <si>
    <t>Sim 4760</t>
  </si>
  <si>
    <t>Sim 4761</t>
  </si>
  <si>
    <t>Sim 4762</t>
  </si>
  <si>
    <t>Sim 4763</t>
  </si>
  <si>
    <t>Sim 4764</t>
  </si>
  <si>
    <t>Sim 4765</t>
  </si>
  <si>
    <t>Sim 4766</t>
  </si>
  <si>
    <t>Sim 4767</t>
  </si>
  <si>
    <t>Sim 4768</t>
  </si>
  <si>
    <t>Sim 4769</t>
  </si>
  <si>
    <t>Sim 4770</t>
  </si>
  <si>
    <t>Sim 4771</t>
  </si>
  <si>
    <t>Sim 4772</t>
  </si>
  <si>
    <t>Sim 4773</t>
  </si>
  <si>
    <t>Sim 4774</t>
  </si>
  <si>
    <t>Sim 4775</t>
  </si>
  <si>
    <t>Sim 4776</t>
  </si>
  <si>
    <t>Sim 4777</t>
  </si>
  <si>
    <t>Sim 4778</t>
  </si>
  <si>
    <t>Sim 4779</t>
  </si>
  <si>
    <t>Sim 4780</t>
  </si>
  <si>
    <t>Sim 4781</t>
  </si>
  <si>
    <t>Sim 4782</t>
  </si>
  <si>
    <t>Sim 4783</t>
  </si>
  <si>
    <t>Sim 4784</t>
  </si>
  <si>
    <t>Sim 4785</t>
  </si>
  <si>
    <t>Sim 4786</t>
  </si>
  <si>
    <t>Sim 4787</t>
  </si>
  <si>
    <t>Sim 4788</t>
  </si>
  <si>
    <t>Sim 4789</t>
  </si>
  <si>
    <t>Sim 4790</t>
  </si>
  <si>
    <t>Sim 4791</t>
  </si>
  <si>
    <t>Sim 4792</t>
  </si>
  <si>
    <t>Sim 4793</t>
  </si>
  <si>
    <t>Sim 4794</t>
  </si>
  <si>
    <t>Sim 4795</t>
  </si>
  <si>
    <t>Sim 4796</t>
  </si>
  <si>
    <t>Sim 4797</t>
  </si>
  <si>
    <t>Sim 4798</t>
  </si>
  <si>
    <t>Sim 4799</t>
  </si>
  <si>
    <t>Sim 4800</t>
  </si>
  <si>
    <t>Sim 4801</t>
  </si>
  <si>
    <t>Sim 4802</t>
  </si>
  <si>
    <t>Sim 4803</t>
  </si>
  <si>
    <t>Sim 4804</t>
  </si>
  <si>
    <t>Sim 4805</t>
  </si>
  <si>
    <t>Sim 4806</t>
  </si>
  <si>
    <t>Sim 4807</t>
  </si>
  <si>
    <t>Sim 4808</t>
  </si>
  <si>
    <t>Sim 4809</t>
  </si>
  <si>
    <t>Sim 4810</t>
  </si>
  <si>
    <t>Sim 4811</t>
  </si>
  <si>
    <t>Sim 4812</t>
  </si>
  <si>
    <t>Sim 4813</t>
  </si>
  <si>
    <t>Sim 4814</t>
  </si>
  <si>
    <t>Sim 4815</t>
  </si>
  <si>
    <t>Sim 4816</t>
  </si>
  <si>
    <t>Sim 4817</t>
  </si>
  <si>
    <t>Sim 4818</t>
  </si>
  <si>
    <t>Sim 4819</t>
  </si>
  <si>
    <t>Sim 4820</t>
  </si>
  <si>
    <t>Sim 4821</t>
  </si>
  <si>
    <t>Sim 4822</t>
  </si>
  <si>
    <t>Sim 4823</t>
  </si>
  <si>
    <t>Sim 4824</t>
  </si>
  <si>
    <t>Sim 4825</t>
  </si>
  <si>
    <t>Sim 4826</t>
  </si>
  <si>
    <t>Sim 4827</t>
  </si>
  <si>
    <t>Sim 4828</t>
  </si>
  <si>
    <t>Sim 4829</t>
  </si>
  <si>
    <t>Sim 4830</t>
  </si>
  <si>
    <t>Sim 4831</t>
  </si>
  <si>
    <t>Sim 4832</t>
  </si>
  <si>
    <t>Sim 4833</t>
  </si>
  <si>
    <t>Sim 4834</t>
  </si>
  <si>
    <t>Sim 4835</t>
  </si>
  <si>
    <t>Sim 4836</t>
  </si>
  <si>
    <t>Sim 4837</t>
  </si>
  <si>
    <t>Sim 4838</t>
  </si>
  <si>
    <t>Sim 4839</t>
  </si>
  <si>
    <t>Sim 4840</t>
  </si>
  <si>
    <t>Sim 4841</t>
  </si>
  <si>
    <t>Sim 4842</t>
  </si>
  <si>
    <t>Sim 4843</t>
  </si>
  <si>
    <t>Sim 4844</t>
  </si>
  <si>
    <t>Sim 4845</t>
  </si>
  <si>
    <t>Sim 4846</t>
  </si>
  <si>
    <t>Sim 4847</t>
  </si>
  <si>
    <t>Sim 4848</t>
  </si>
  <si>
    <t>Sim 4849</t>
  </si>
  <si>
    <t>Sim 4850</t>
  </si>
  <si>
    <t>Sim 4851</t>
  </si>
  <si>
    <t>Sim 4852</t>
  </si>
  <si>
    <t>Sim 4853</t>
  </si>
  <si>
    <t>Sim 4854</t>
  </si>
  <si>
    <t>Sim 4855</t>
  </si>
  <si>
    <t>Sim 4856</t>
  </si>
  <si>
    <t>Sim 4857</t>
  </si>
  <si>
    <t>Sim 4858</t>
  </si>
  <si>
    <t>Sim 4859</t>
  </si>
  <si>
    <t>Sim 4860</t>
  </si>
  <si>
    <t>Sim 4861</t>
  </si>
  <si>
    <t>Sim 4862</t>
  </si>
  <si>
    <t>Sim 4863</t>
  </si>
  <si>
    <t>Sim 4864</t>
  </si>
  <si>
    <t>Sim 4865</t>
  </si>
  <si>
    <t>Sim 4866</t>
  </si>
  <si>
    <t>Sim 4867</t>
  </si>
  <si>
    <t>Sim 4868</t>
  </si>
  <si>
    <t>Sim 4869</t>
  </si>
  <si>
    <t>Sim 4870</t>
  </si>
  <si>
    <t>Sim 4871</t>
  </si>
  <si>
    <t>Sim 4872</t>
  </si>
  <si>
    <t>Sim 4873</t>
  </si>
  <si>
    <t>Sim 4874</t>
  </si>
  <si>
    <t>Sim 4875</t>
  </si>
  <si>
    <t>Sim 4876</t>
  </si>
  <si>
    <t>Sim 4877</t>
  </si>
  <si>
    <t>Sim 4878</t>
  </si>
  <si>
    <t>Sim 4879</t>
  </si>
  <si>
    <t>Sim 4880</t>
  </si>
  <si>
    <t>Sim 4881</t>
  </si>
  <si>
    <t>Sim 4882</t>
  </si>
  <si>
    <t>Sim 4883</t>
  </si>
  <si>
    <t>Sim 4884</t>
  </si>
  <si>
    <t>Sim 4885</t>
  </si>
  <si>
    <t>Sim 4886</t>
  </si>
  <si>
    <t>Sim 4887</t>
  </si>
  <si>
    <t>Sim 4888</t>
  </si>
  <si>
    <t>Sim 4889</t>
  </si>
  <si>
    <t>Sim 4890</t>
  </si>
  <si>
    <t>Sim 4891</t>
  </si>
  <si>
    <t>Sim 4892</t>
  </si>
  <si>
    <t>Sim 4893</t>
  </si>
  <si>
    <t>Sim 4894</t>
  </si>
  <si>
    <t>Sim 4895</t>
  </si>
  <si>
    <t>Sim 4896</t>
  </si>
  <si>
    <t>Sim 4897</t>
  </si>
  <si>
    <t>Sim 4898</t>
  </si>
  <si>
    <t>Sim 4899</t>
  </si>
  <si>
    <t>Sim 4900</t>
  </si>
  <si>
    <t>Sim 4901</t>
  </si>
  <si>
    <t>Sim 4902</t>
  </si>
  <si>
    <t>Sim 4903</t>
  </si>
  <si>
    <t>Sim 4904</t>
  </si>
  <si>
    <t>Sim 4905</t>
  </si>
  <si>
    <t>Sim 4906</t>
  </si>
  <si>
    <t>Sim 4907</t>
  </si>
  <si>
    <t>Sim 4908</t>
  </si>
  <si>
    <t>Sim 4909</t>
  </si>
  <si>
    <t>Sim 4910</t>
  </si>
  <si>
    <t>Sim 4911</t>
  </si>
  <si>
    <t>Sim 4912</t>
  </si>
  <si>
    <t>Sim 4913</t>
  </si>
  <si>
    <t>Sim 4914</t>
  </si>
  <si>
    <t>Sim 4915</t>
  </si>
  <si>
    <t>Sim 4916</t>
  </si>
  <si>
    <t>Sim 4917</t>
  </si>
  <si>
    <t>Sim 4918</t>
  </si>
  <si>
    <t>Sim 4919</t>
  </si>
  <si>
    <t>Sim 4920</t>
  </si>
  <si>
    <t>Sim 4921</t>
  </si>
  <si>
    <t>Sim 4922</t>
  </si>
  <si>
    <t>Sim 4923</t>
  </si>
  <si>
    <t>Sim 4924</t>
  </si>
  <si>
    <t>Sim 4925</t>
  </si>
  <si>
    <t>Sim 4926</t>
  </si>
  <si>
    <t>Sim 4927</t>
  </si>
  <si>
    <t>Sim 4928</t>
  </si>
  <si>
    <t>Sim 4929</t>
  </si>
  <si>
    <t>Sim 4930</t>
  </si>
  <si>
    <t>Sim 4931</t>
  </si>
  <si>
    <t>Sim 4932</t>
  </si>
  <si>
    <t>Sim 4933</t>
  </si>
  <si>
    <t>Sim 4934</t>
  </si>
  <si>
    <t>Sim 4935</t>
  </si>
  <si>
    <t>Sim 4936</t>
  </si>
  <si>
    <t>Sim 4937</t>
  </si>
  <si>
    <t>Sim 4938</t>
  </si>
  <si>
    <t>Sim 4939</t>
  </si>
  <si>
    <t>Sim 4940</t>
  </si>
  <si>
    <t>Sim 4941</t>
  </si>
  <si>
    <t>Sim 4942</t>
  </si>
  <si>
    <t>Sim 4943</t>
  </si>
  <si>
    <t>Sim 4944</t>
  </si>
  <si>
    <t>Sim 4945</t>
  </si>
  <si>
    <t>Sim 4946</t>
  </si>
  <si>
    <t>Sim 4947</t>
  </si>
  <si>
    <t>Sim 4948</t>
  </si>
  <si>
    <t>Sim 4949</t>
  </si>
  <si>
    <t>Sim 4950</t>
  </si>
  <si>
    <t>Sim 4951</t>
  </si>
  <si>
    <t>Sim 4952</t>
  </si>
  <si>
    <t>Sim 4953</t>
  </si>
  <si>
    <t>Sim 4954</t>
  </si>
  <si>
    <t>Sim 4955</t>
  </si>
  <si>
    <t>Sim 4956</t>
  </si>
  <si>
    <t>Sim 4957</t>
  </si>
  <si>
    <t>Sim 4958</t>
  </si>
  <si>
    <t>Sim 4959</t>
  </si>
  <si>
    <t>Sim 4960</t>
  </si>
  <si>
    <t>Sim 4961</t>
  </si>
  <si>
    <t>Sim 4962</t>
  </si>
  <si>
    <t>Sim 4963</t>
  </si>
  <si>
    <t>Sim 4964</t>
  </si>
  <si>
    <t>Sim 4965</t>
  </si>
  <si>
    <t>Sim 4966</t>
  </si>
  <si>
    <t>Sim 4967</t>
  </si>
  <si>
    <t>Sim 4968</t>
  </si>
  <si>
    <t>Sim 4969</t>
  </si>
  <si>
    <t>Sim 4970</t>
  </si>
  <si>
    <t>Sim 4971</t>
  </si>
  <si>
    <t>Sim 4972</t>
  </si>
  <si>
    <t>Sim 4973</t>
  </si>
  <si>
    <t>Sim 4974</t>
  </si>
  <si>
    <t>Sim 4975</t>
  </si>
  <si>
    <t>Sim 4976</t>
  </si>
  <si>
    <t>Sim 4977</t>
  </si>
  <si>
    <t>Sim 4978</t>
  </si>
  <si>
    <t>Sim 4979</t>
  </si>
  <si>
    <t>Sim 4980</t>
  </si>
  <si>
    <t>Sim 4981</t>
  </si>
  <si>
    <t>Sim 4982</t>
  </si>
  <si>
    <t>Sim 4983</t>
  </si>
  <si>
    <t>Sim 4984</t>
  </si>
  <si>
    <t>Sim 4985</t>
  </si>
  <si>
    <t>Sim 4986</t>
  </si>
  <si>
    <t>Sim 4987</t>
  </si>
  <si>
    <t>Sim 4988</t>
  </si>
  <si>
    <t>Sim 4989</t>
  </si>
  <si>
    <t>Sim 4990</t>
  </si>
  <si>
    <t>Sim 4991</t>
  </si>
  <si>
    <t>Sim 4992</t>
  </si>
  <si>
    <t>Sim 4993</t>
  </si>
  <si>
    <t>Sim 4994</t>
  </si>
  <si>
    <t>Sim 4995</t>
  </si>
  <si>
    <t>Sim 4996</t>
  </si>
  <si>
    <t>Sim 4997</t>
  </si>
  <si>
    <t>Sim 4998</t>
  </si>
  <si>
    <t>Sim 4999</t>
  </si>
  <si>
    <t>Sim 5000</t>
  </si>
  <si>
    <t>Sim 5001</t>
  </si>
  <si>
    <t>Sim 5002</t>
  </si>
  <si>
    <t>Sim 5003</t>
  </si>
  <si>
    <t>Sim 5004</t>
  </si>
  <si>
    <t>Sim 5005</t>
  </si>
  <si>
    <t>Sim 5006</t>
  </si>
  <si>
    <t>Sim 5007</t>
  </si>
  <si>
    <t>Sim 5008</t>
  </si>
  <si>
    <t>Sim 5009</t>
  </si>
  <si>
    <t>Sim 5010</t>
  </si>
  <si>
    <t>Sim 5011</t>
  </si>
  <si>
    <t>Sim 5012</t>
  </si>
  <si>
    <t>Sim 5013</t>
  </si>
  <si>
    <t>Sim 5014</t>
  </si>
  <si>
    <t>Sim 5015</t>
  </si>
  <si>
    <t>Sim 5016</t>
  </si>
  <si>
    <t>Sim 5017</t>
  </si>
  <si>
    <t>Sim 5018</t>
  </si>
  <si>
    <t>Sim 5019</t>
  </si>
  <si>
    <t>Sim 5020</t>
  </si>
  <si>
    <t>Sim 5021</t>
  </si>
  <si>
    <t>Sim 5022</t>
  </si>
  <si>
    <t>Sim 5023</t>
  </si>
  <si>
    <t>Sim 5024</t>
  </si>
  <si>
    <t>Sim 5025</t>
  </si>
  <si>
    <t>Sim 5026</t>
  </si>
  <si>
    <t>Sim 5027</t>
  </si>
  <si>
    <t>Sim 5028</t>
  </si>
  <si>
    <t>Sim 5029</t>
  </si>
  <si>
    <t>Sim 5030</t>
  </si>
  <si>
    <t>Sim 5031</t>
  </si>
  <si>
    <t>Sim 5032</t>
  </si>
  <si>
    <t>Sim 5033</t>
  </si>
  <si>
    <t>Sim 5034</t>
  </si>
  <si>
    <t>Sim 5035</t>
  </si>
  <si>
    <t>Sim 5036</t>
  </si>
  <si>
    <t>Sim 5037</t>
  </si>
  <si>
    <t>Sim 5038</t>
  </si>
  <si>
    <t>Sim 5039</t>
  </si>
  <si>
    <t>Sim 5040</t>
  </si>
  <si>
    <t>Sim 5041</t>
  </si>
  <si>
    <t>Sim 5042</t>
  </si>
  <si>
    <t>Sim 5043</t>
  </si>
  <si>
    <t>Sim 5044</t>
  </si>
  <si>
    <t>Sim 5045</t>
  </si>
  <si>
    <t>Sim 5046</t>
  </si>
  <si>
    <t>Sim 5047</t>
  </si>
  <si>
    <t>Sim 5048</t>
  </si>
  <si>
    <t>Sim 5049</t>
  </si>
  <si>
    <t>Sim 5050</t>
  </si>
  <si>
    <t>Sim 5051</t>
  </si>
  <si>
    <t>Sim 5052</t>
  </si>
  <si>
    <t>Sim 5053</t>
  </si>
  <si>
    <t>Sim 5054</t>
  </si>
  <si>
    <t>Sim 5055</t>
  </si>
  <si>
    <t>Sim 5056</t>
  </si>
  <si>
    <t>Sim 5057</t>
  </si>
  <si>
    <t>Sim 5058</t>
  </si>
  <si>
    <t>Sim 5059</t>
  </si>
  <si>
    <t>Sim 5060</t>
  </si>
  <si>
    <t>Sim 5061</t>
  </si>
  <si>
    <t>Sim 5062</t>
  </si>
  <si>
    <t>Sim 5063</t>
  </si>
  <si>
    <t>Sim 5064</t>
  </si>
  <si>
    <t>Sim 5065</t>
  </si>
  <si>
    <t>Sim 5066</t>
  </si>
  <si>
    <t>Sim 5067</t>
  </si>
  <si>
    <t>Sim 5068</t>
  </si>
  <si>
    <t>Sim 5069</t>
  </si>
  <si>
    <t>Sim 5070</t>
  </si>
  <si>
    <t>Sim 5071</t>
  </si>
  <si>
    <t>Sim 5072</t>
  </si>
  <si>
    <t>Sim 5073</t>
  </si>
  <si>
    <t>Sim 5074</t>
  </si>
  <si>
    <t>Sim 5075</t>
  </si>
  <si>
    <t>Sim 5076</t>
  </si>
  <si>
    <t>Sim 5077</t>
  </si>
  <si>
    <t>Sim 5078</t>
  </si>
  <si>
    <t>Sim 5079</t>
  </si>
  <si>
    <t>Sim 5080</t>
  </si>
  <si>
    <t>Sim 5081</t>
  </si>
  <si>
    <t>Sim 5082</t>
  </si>
  <si>
    <t>Sim 5083</t>
  </si>
  <si>
    <t>Sim 5084</t>
  </si>
  <si>
    <t>Sim 5085</t>
  </si>
  <si>
    <t>Sim 5086</t>
  </si>
  <si>
    <t>Sim 5087</t>
  </si>
  <si>
    <t>Sim 5088</t>
  </si>
  <si>
    <t>Sim 5089</t>
  </si>
  <si>
    <t>Sim 5090</t>
  </si>
  <si>
    <t>Sim 5091</t>
  </si>
  <si>
    <t>Sim 5092</t>
  </si>
  <si>
    <t>Sim 5093</t>
  </si>
  <si>
    <t>Sim 5094</t>
  </si>
  <si>
    <t>Sim 5095</t>
  </si>
  <si>
    <t>Sim 5096</t>
  </si>
  <si>
    <t>Sim 5097</t>
  </si>
  <si>
    <t>Sim 5098</t>
  </si>
  <si>
    <t>Sim 5099</t>
  </si>
  <si>
    <t>Sim 5100</t>
  </si>
  <si>
    <t>Sim 5101</t>
  </si>
  <si>
    <t>Sim 5102</t>
  </si>
  <si>
    <t>Sim 5103</t>
  </si>
  <si>
    <t>Sim 5104</t>
  </si>
  <si>
    <t>Sim 5105</t>
  </si>
  <si>
    <t>Sim 5106</t>
  </si>
  <si>
    <t>Sim 5107</t>
  </si>
  <si>
    <t>Sim 5108</t>
  </si>
  <si>
    <t>Sim 5109</t>
  </si>
  <si>
    <t>Sim 5110</t>
  </si>
  <si>
    <t>Sim 5111</t>
  </si>
  <si>
    <t>Sim 5112</t>
  </si>
  <si>
    <t>Sim 5113</t>
  </si>
  <si>
    <t>Sim 5114</t>
  </si>
  <si>
    <t>Sim 5115</t>
  </si>
  <si>
    <t>Sim 5116</t>
  </si>
  <si>
    <t>Sim 5117</t>
  </si>
  <si>
    <t>Sim 5118</t>
  </si>
  <si>
    <t>Sim 5119</t>
  </si>
  <si>
    <t>Sim 5120</t>
  </si>
  <si>
    <t>Sim 5121</t>
  </si>
  <si>
    <t>Sim 5122</t>
  </si>
  <si>
    <t>Sim 5123</t>
  </si>
  <si>
    <t>Sim 5124</t>
  </si>
  <si>
    <t>Sim 5125</t>
  </si>
  <si>
    <t>Sim 5126</t>
  </si>
  <si>
    <t>Sim 5127</t>
  </si>
  <si>
    <t>Sim 5128</t>
  </si>
  <si>
    <t>Sim 5129</t>
  </si>
  <si>
    <t>Sim 5130</t>
  </si>
  <si>
    <t>Sim 5131</t>
  </si>
  <si>
    <t>Sim 5132</t>
  </si>
  <si>
    <t>Sim 5133</t>
  </si>
  <si>
    <t>Sim 5134</t>
  </si>
  <si>
    <t>Sim 5135</t>
  </si>
  <si>
    <t>Sim 5136</t>
  </si>
  <si>
    <t>Sim 5137</t>
  </si>
  <si>
    <t>Sim 5138</t>
  </si>
  <si>
    <t>Sim 5139</t>
  </si>
  <si>
    <t>Sim 5140</t>
  </si>
  <si>
    <t>Sim 5141</t>
  </si>
  <si>
    <t>Sim 5142</t>
  </si>
  <si>
    <t>Sim 5143</t>
  </si>
  <si>
    <t>Sim 5144</t>
  </si>
  <si>
    <t>Sim 5145</t>
  </si>
  <si>
    <t>Sim 5146</t>
  </si>
  <si>
    <t>Sim 5147</t>
  </si>
  <si>
    <t>Sim 5148</t>
  </si>
  <si>
    <t>Sim 5149</t>
  </si>
  <si>
    <t>Sim 5150</t>
  </si>
  <si>
    <t>Sim 5151</t>
  </si>
  <si>
    <t>Sim 5152</t>
  </si>
  <si>
    <t>Sim 5153</t>
  </si>
  <si>
    <t>Sim 5154</t>
  </si>
  <si>
    <t>Sim 5155</t>
  </si>
  <si>
    <t>Sim 5156</t>
  </si>
  <si>
    <t>Sim 5157</t>
  </si>
  <si>
    <t>Sim 5158</t>
  </si>
  <si>
    <t>Sim 5159</t>
  </si>
  <si>
    <t>Sim 5160</t>
  </si>
  <si>
    <t>Sim 5161</t>
  </si>
  <si>
    <t>Sim 5162</t>
  </si>
  <si>
    <t>Sim 5163</t>
  </si>
  <si>
    <t>Sim 5164</t>
  </si>
  <si>
    <t>Sim 5165</t>
  </si>
  <si>
    <t>Sim 5166</t>
  </si>
  <si>
    <t>Sim 5167</t>
  </si>
  <si>
    <t>Sim 5168</t>
  </si>
  <si>
    <t>Sim 5169</t>
  </si>
  <si>
    <t>Sim 5170</t>
  </si>
  <si>
    <t>Sim 5171</t>
  </si>
  <si>
    <t>Sim 5172</t>
  </si>
  <si>
    <t>Sim 5173</t>
  </si>
  <si>
    <t>Sim 5174</t>
  </si>
  <si>
    <t>Sim 5175</t>
  </si>
  <si>
    <t>Sim 5176</t>
  </si>
  <si>
    <t>Sim 5177</t>
  </si>
  <si>
    <t>Sim 5178</t>
  </si>
  <si>
    <t>Sim 5179</t>
  </si>
  <si>
    <t>Sim 5180</t>
  </si>
  <si>
    <t>Sim 5181</t>
  </si>
  <si>
    <t>Sim 5182</t>
  </si>
  <si>
    <t>Sim 5183</t>
  </si>
  <si>
    <t>Sim 5184</t>
  </si>
  <si>
    <t>Sim 5185</t>
  </si>
  <si>
    <t>Sim 5186</t>
  </si>
  <si>
    <t>Sim 5187</t>
  </si>
  <si>
    <t>Sim 5188</t>
  </si>
  <si>
    <t>Sim 5189</t>
  </si>
  <si>
    <t>Sim 5190</t>
  </si>
  <si>
    <t>Sim 5191</t>
  </si>
  <si>
    <t>Sim 5192</t>
  </si>
  <si>
    <t>Sim 5193</t>
  </si>
  <si>
    <t>Sim 5194</t>
  </si>
  <si>
    <t>Sim 5195</t>
  </si>
  <si>
    <t>Sim 5196</t>
  </si>
  <si>
    <t>Sim 5197</t>
  </si>
  <si>
    <t>Sim 5198</t>
  </si>
  <si>
    <t>Sim 5199</t>
  </si>
  <si>
    <t>Sim 5200</t>
  </si>
  <si>
    <t>Sim 5201</t>
  </si>
  <si>
    <t>Sim 5202</t>
  </si>
  <si>
    <t>Sim 5203</t>
  </si>
  <si>
    <t>Sim 5204</t>
  </si>
  <si>
    <t>Sim 5205</t>
  </si>
  <si>
    <t>Sim 5206</t>
  </si>
  <si>
    <t>Sim 5207</t>
  </si>
  <si>
    <t>Sim 5208</t>
  </si>
  <si>
    <t>Sim 5209</t>
  </si>
  <si>
    <t>Sim 5210</t>
  </si>
  <si>
    <t>Sim 5211</t>
  </si>
  <si>
    <t>Sim 5212</t>
  </si>
  <si>
    <t>Sim 5213</t>
  </si>
  <si>
    <t>Sim 5214</t>
  </si>
  <si>
    <t>Sim 5215</t>
  </si>
  <si>
    <t>Sim 5216</t>
  </si>
  <si>
    <t>Sim 5217</t>
  </si>
  <si>
    <t>Sim 5218</t>
  </si>
  <si>
    <t>Sim 5219</t>
  </si>
  <si>
    <t>Sim 5220</t>
  </si>
  <si>
    <t>Sim 5221</t>
  </si>
  <si>
    <t>Sim 5222</t>
  </si>
  <si>
    <t>Sim 5223</t>
  </si>
  <si>
    <t>Sim 5224</t>
  </si>
  <si>
    <t>Sim 5225</t>
  </si>
  <si>
    <t>Sim 5226</t>
  </si>
  <si>
    <t>Sim 5227</t>
  </si>
  <si>
    <t>Sim 5228</t>
  </si>
  <si>
    <t>Sim 5229</t>
  </si>
  <si>
    <t>Sim 5230</t>
  </si>
  <si>
    <t>Sim 5231</t>
  </si>
  <si>
    <t>Sim 5232</t>
  </si>
  <si>
    <t>Sim 5233</t>
  </si>
  <si>
    <t>Sim 5234</t>
  </si>
  <si>
    <t>Sim 5235</t>
  </si>
  <si>
    <t>Sim 5236</t>
  </si>
  <si>
    <t>Sim 5237</t>
  </si>
  <si>
    <t>Sim 5238</t>
  </si>
  <si>
    <t>Sim 5239</t>
  </si>
  <si>
    <t>Sim 5240</t>
  </si>
  <si>
    <t>Sim 5241</t>
  </si>
  <si>
    <t>Sim 5242</t>
  </si>
  <si>
    <t>Sim 5243</t>
  </si>
  <si>
    <t>Sim 5244</t>
  </si>
  <si>
    <t>Sim 5245</t>
  </si>
  <si>
    <t>Sim 5246</t>
  </si>
  <si>
    <t>Sim 5247</t>
  </si>
  <si>
    <t>Sim 5248</t>
  </si>
  <si>
    <t>Sim 5249</t>
  </si>
  <si>
    <t>Sim 5250</t>
  </si>
  <si>
    <t>Sim 5251</t>
  </si>
  <si>
    <t>Sim 5252</t>
  </si>
  <si>
    <t>Sim 5253</t>
  </si>
  <si>
    <t>Sim 5254</t>
  </si>
  <si>
    <t>Sim 5255</t>
  </si>
  <si>
    <t>Sim 5256</t>
  </si>
  <si>
    <t>Sim 5257</t>
  </si>
  <si>
    <t>Sim 5258</t>
  </si>
  <si>
    <t>Sim 5259</t>
  </si>
  <si>
    <t>Sim 5260</t>
  </si>
  <si>
    <t>Sim 5261</t>
  </si>
  <si>
    <t>Sim 5262</t>
  </si>
  <si>
    <t>Sim 5263</t>
  </si>
  <si>
    <t>Sim 5264</t>
  </si>
  <si>
    <t>Sim 5265</t>
  </si>
  <si>
    <t>Sim 5266</t>
  </si>
  <si>
    <t>Sim 5267</t>
  </si>
  <si>
    <t>Sim 5268</t>
  </si>
  <si>
    <t>Sim 5269</t>
  </si>
  <si>
    <t>Sim 5270</t>
  </si>
  <si>
    <t>Sim 5271</t>
  </si>
  <si>
    <t>Sim 5272</t>
  </si>
  <si>
    <t>Sim 5273</t>
  </si>
  <si>
    <t>Sim 5274</t>
  </si>
  <si>
    <t>Sim 5275</t>
  </si>
  <si>
    <t>Sim 5276</t>
  </si>
  <si>
    <t>Sim 5277</t>
  </si>
  <si>
    <t>Sim 5278</t>
  </si>
  <si>
    <t>Sim 5279</t>
  </si>
  <si>
    <t>Sim 5280</t>
  </si>
  <si>
    <t>Sim 5281</t>
  </si>
  <si>
    <t>Sim 5282</t>
  </si>
  <si>
    <t>Sim 5283</t>
  </si>
  <si>
    <t>Sim 5284</t>
  </si>
  <si>
    <t>Sim 5285</t>
  </si>
  <si>
    <t>Sim 5286</t>
  </si>
  <si>
    <t>Sim 5287</t>
  </si>
  <si>
    <t>Sim 5288</t>
  </si>
  <si>
    <t>Sim 5289</t>
  </si>
  <si>
    <t>Sim 5290</t>
  </si>
  <si>
    <t>Sim 5291</t>
  </si>
  <si>
    <t>Sim 5292</t>
  </si>
  <si>
    <t>Sim 5293</t>
  </si>
  <si>
    <t>Sim 5294</t>
  </si>
  <si>
    <t>Sim 5295</t>
  </si>
  <si>
    <t>Sim 5296</t>
  </si>
  <si>
    <t>Sim 5297</t>
  </si>
  <si>
    <t>Sim 5298</t>
  </si>
  <si>
    <t>Sim 5299</t>
  </si>
  <si>
    <t>Sim 5300</t>
  </si>
  <si>
    <t>Sim 5301</t>
  </si>
  <si>
    <t>Sim 5302</t>
  </si>
  <si>
    <t>Sim 5303</t>
  </si>
  <si>
    <t>Sim 5304</t>
  </si>
  <si>
    <t>Sim 5305</t>
  </si>
  <si>
    <t>Sim 5306</t>
  </si>
  <si>
    <t>Sim 5307</t>
  </si>
  <si>
    <t>Sim 5308</t>
  </si>
  <si>
    <t>Sim 5309</t>
  </si>
  <si>
    <t>Sim 5310</t>
  </si>
  <si>
    <t>Sim 5311</t>
  </si>
  <si>
    <t>Sim 5312</t>
  </si>
  <si>
    <t>Sim 5313</t>
  </si>
  <si>
    <t>Sim 5314</t>
  </si>
  <si>
    <t>Sim 5315</t>
  </si>
  <si>
    <t>Sim 5316</t>
  </si>
  <si>
    <t>Sim 5317</t>
  </si>
  <si>
    <t>Sim 5318</t>
  </si>
  <si>
    <t>Sim 5319</t>
  </si>
  <si>
    <t>Sim 5320</t>
  </si>
  <si>
    <t>Sim 5321</t>
  </si>
  <si>
    <t>Sim 5322</t>
  </si>
  <si>
    <t>Sim 5323</t>
  </si>
  <si>
    <t>Sim 5324</t>
  </si>
  <si>
    <t>Sim 5325</t>
  </si>
  <si>
    <t>Sim 5326</t>
  </si>
  <si>
    <t>Sim 5327</t>
  </si>
  <si>
    <t>Sim 5328</t>
  </si>
  <si>
    <t>Sim 5329</t>
  </si>
  <si>
    <t>Sim 5330</t>
  </si>
  <si>
    <t>Sim 5331</t>
  </si>
  <si>
    <t>Sim 5332</t>
  </si>
  <si>
    <t>Sim 5333</t>
  </si>
  <si>
    <t>Sim 5334</t>
  </si>
  <si>
    <t>Sim 5335</t>
  </si>
  <si>
    <t>Sim 5336</t>
  </si>
  <si>
    <t>Sim 5337</t>
  </si>
  <si>
    <t>Sim 5338</t>
  </si>
  <si>
    <t>Sim 5339</t>
  </si>
  <si>
    <t>Sim 5340</t>
  </si>
  <si>
    <t>Sim 5341</t>
  </si>
  <si>
    <t>Sim 5342</t>
  </si>
  <si>
    <t>Sim 5343</t>
  </si>
  <si>
    <t>Sim 5344</t>
  </si>
  <si>
    <t>Sim 5345</t>
  </si>
  <si>
    <t>Sim 5346</t>
  </si>
  <si>
    <t>Sim 5347</t>
  </si>
  <si>
    <t>Sim 5348</t>
  </si>
  <si>
    <t>Sim 5349</t>
  </si>
  <si>
    <t>Sim 5350</t>
  </si>
  <si>
    <t>Sim 5351</t>
  </si>
  <si>
    <t>Sim 5352</t>
  </si>
  <si>
    <t>Sim 5353</t>
  </si>
  <si>
    <t>Sim 5354</t>
  </si>
  <si>
    <t>Sim 5355</t>
  </si>
  <si>
    <t>Sim 5356</t>
  </si>
  <si>
    <t>Sim 5357</t>
  </si>
  <si>
    <t>Sim 5358</t>
  </si>
  <si>
    <t>Sim 5359</t>
  </si>
  <si>
    <t>Sim 5360</t>
  </si>
  <si>
    <t>Sim 5361</t>
  </si>
  <si>
    <t>Sim 5362</t>
  </si>
  <si>
    <t>Sim 5363</t>
  </si>
  <si>
    <t>Sim 5364</t>
  </si>
  <si>
    <t>Sim 5365</t>
  </si>
  <si>
    <t>Sim 5366</t>
  </si>
  <si>
    <t>Sim 5367</t>
  </si>
  <si>
    <t>Sim 5368</t>
  </si>
  <si>
    <t>Sim 5369</t>
  </si>
  <si>
    <t>Sim 5370</t>
  </si>
  <si>
    <t>Sim 5371</t>
  </si>
  <si>
    <t>Sim 5372</t>
  </si>
  <si>
    <t>Sim 5373</t>
  </si>
  <si>
    <t>Sim 5374</t>
  </si>
  <si>
    <t>Sim 5375</t>
  </si>
  <si>
    <t>Sim 5376</t>
  </si>
  <si>
    <t>Sim 5377</t>
  </si>
  <si>
    <t>Sim 5378</t>
  </si>
  <si>
    <t>Sim 5379</t>
  </si>
  <si>
    <t>Sim 5380</t>
  </si>
  <si>
    <t>Sim 5381</t>
  </si>
  <si>
    <t>Sim 5382</t>
  </si>
  <si>
    <t>Sim 5383</t>
  </si>
  <si>
    <t>Sim 5384</t>
  </si>
  <si>
    <t>Sim 5385</t>
  </si>
  <si>
    <t>Sim 5386</t>
  </si>
  <si>
    <t>Sim 5387</t>
  </si>
  <si>
    <t>Sim 5388</t>
  </si>
  <si>
    <t>Sim 5389</t>
  </si>
  <si>
    <t>Sim 5390</t>
  </si>
  <si>
    <t>Sim 5391</t>
  </si>
  <si>
    <t>Sim 5392</t>
  </si>
  <si>
    <t>Sim 5393</t>
  </si>
  <si>
    <t>Sim 5394</t>
  </si>
  <si>
    <t>Sim 5395</t>
  </si>
  <si>
    <t>Sim 5396</t>
  </si>
  <si>
    <t>Sim 5397</t>
  </si>
  <si>
    <t>Sim 5398</t>
  </si>
  <si>
    <t>Sim 5399</t>
  </si>
  <si>
    <t>Sim 5400</t>
  </si>
  <si>
    <t>Sim 5401</t>
  </si>
  <si>
    <t>Sim 5402</t>
  </si>
  <si>
    <t>Sim 5403</t>
  </si>
  <si>
    <t>Sim 5404</t>
  </si>
  <si>
    <t>Sim 5405</t>
  </si>
  <si>
    <t>Sim 5406</t>
  </si>
  <si>
    <t>Sim 5407</t>
  </si>
  <si>
    <t>Sim 5408</t>
  </si>
  <si>
    <t>Sim 5409</t>
  </si>
  <si>
    <t>Sim 5410</t>
  </si>
  <si>
    <t>Sim 5411</t>
  </si>
  <si>
    <t>Sim 5412</t>
  </si>
  <si>
    <t>Sim 5413</t>
  </si>
  <si>
    <t>Sim 5414</t>
  </si>
  <si>
    <t>Sim 5415</t>
  </si>
  <si>
    <t>Sim 5416</t>
  </si>
  <si>
    <t>Sim 5417</t>
  </si>
  <si>
    <t>Sim 5418</t>
  </si>
  <si>
    <t>Sim 5419</t>
  </si>
  <si>
    <t>Sim 5420</t>
  </si>
  <si>
    <t>Sim 5421</t>
  </si>
  <si>
    <t>Sim 5422</t>
  </si>
  <si>
    <t>Sim 5423</t>
  </si>
  <si>
    <t>Sim 5424</t>
  </si>
  <si>
    <t>Sim 5425</t>
  </si>
  <si>
    <t>Sim 5426</t>
  </si>
  <si>
    <t>Sim 5427</t>
  </si>
  <si>
    <t>Sim 5428</t>
  </si>
  <si>
    <t>Sim 5429</t>
  </si>
  <si>
    <t>Sim 5430</t>
  </si>
  <si>
    <t>Sim 5431</t>
  </si>
  <si>
    <t>Sim 5432</t>
  </si>
  <si>
    <t>Sim 5433</t>
  </si>
  <si>
    <t>Sim 5434</t>
  </si>
  <si>
    <t>Sim 5435</t>
  </si>
  <si>
    <t>Sim 5436</t>
  </si>
  <si>
    <t>Sim 5437</t>
  </si>
  <si>
    <t>Sim 5438</t>
  </si>
  <si>
    <t>Sim 5439</t>
  </si>
  <si>
    <t>Sim 5440</t>
  </si>
  <si>
    <t>Sim 5441</t>
  </si>
  <si>
    <t>Sim 5442</t>
  </si>
  <si>
    <t>Sim 5443</t>
  </si>
  <si>
    <t>Sim 5444</t>
  </si>
  <si>
    <t>Sim 5445</t>
  </si>
  <si>
    <t>Sim 5446</t>
  </si>
  <si>
    <t>Sim 5447</t>
  </si>
  <si>
    <t>Sim 5448</t>
  </si>
  <si>
    <t>Sim 5449</t>
  </si>
  <si>
    <t>Sim 5450</t>
  </si>
  <si>
    <t>Sim 5451</t>
  </si>
  <si>
    <t>Sim 5452</t>
  </si>
  <si>
    <t>Sim 5453</t>
  </si>
  <si>
    <t>Sim 5454</t>
  </si>
  <si>
    <t>Sim 5455</t>
  </si>
  <si>
    <t>Sim 5456</t>
  </si>
  <si>
    <t>Sim 5457</t>
  </si>
  <si>
    <t>Sim 5458</t>
  </si>
  <si>
    <t>Sim 5459</t>
  </si>
  <si>
    <t>Sim 5460</t>
  </si>
  <si>
    <t>Sim 5461</t>
  </si>
  <si>
    <t>Sim 5462</t>
  </si>
  <si>
    <t>Sim 5463</t>
  </si>
  <si>
    <t>Sim 5464</t>
  </si>
  <si>
    <t>Sim 5465</t>
  </si>
  <si>
    <t>Sim 5466</t>
  </si>
  <si>
    <t>Sim 5467</t>
  </si>
  <si>
    <t>Sim 5468</t>
  </si>
  <si>
    <t>Sim 5469</t>
  </si>
  <si>
    <t>Sim 5470</t>
  </si>
  <si>
    <t>Sim 5471</t>
  </si>
  <si>
    <t>Sim 5472</t>
  </si>
  <si>
    <t>Sim 5473</t>
  </si>
  <si>
    <t>Sim 5474</t>
  </si>
  <si>
    <t>Sim 5475</t>
  </si>
  <si>
    <t>Sim 5476</t>
  </si>
  <si>
    <t>Sim 5477</t>
  </si>
  <si>
    <t>Sim 5478</t>
  </si>
  <si>
    <t>Sim 5479</t>
  </si>
  <si>
    <t>Sim 5480</t>
  </si>
  <si>
    <t>Sim 5481</t>
  </si>
  <si>
    <t>Sim 5482</t>
  </si>
  <si>
    <t>Sim 5483</t>
  </si>
  <si>
    <t>Sim 5484</t>
  </si>
  <si>
    <t>Sim 5485</t>
  </si>
  <si>
    <t>Sim 5486</t>
  </si>
  <si>
    <t>Sim 5487</t>
  </si>
  <si>
    <t>Sim 5488</t>
  </si>
  <si>
    <t>Sim 5489</t>
  </si>
  <si>
    <t>Sim 5490</t>
  </si>
  <si>
    <t>Sim 5491</t>
  </si>
  <si>
    <t>Sim 5492</t>
  </si>
  <si>
    <t>Sim 5493</t>
  </si>
  <si>
    <t>Sim 5494</t>
  </si>
  <si>
    <t>Sim 5495</t>
  </si>
  <si>
    <t>Sim 5496</t>
  </si>
  <si>
    <t>Sim 5497</t>
  </si>
  <si>
    <t>Sim 5498</t>
  </si>
  <si>
    <t>Sim 5499</t>
  </si>
  <si>
    <t>Sim 5500</t>
  </si>
  <si>
    <t>Sim 5501</t>
  </si>
  <si>
    <t>Sim 5502</t>
  </si>
  <si>
    <t>Sim 5503</t>
  </si>
  <si>
    <t>Sim 5504</t>
  </si>
  <si>
    <t>Sim 5505</t>
  </si>
  <si>
    <t>Sim 5506</t>
  </si>
  <si>
    <t>Sim 5507</t>
  </si>
  <si>
    <t>Sim 5508</t>
  </si>
  <si>
    <t>Sim 5509</t>
  </si>
  <si>
    <t>Sim 5510</t>
  </si>
  <si>
    <t>Sim 5511</t>
  </si>
  <si>
    <t>Sim 5512</t>
  </si>
  <si>
    <t>Sim 5513</t>
  </si>
  <si>
    <t>Sim 5514</t>
  </si>
  <si>
    <t>Sim 5515</t>
  </si>
  <si>
    <t>Sim 5516</t>
  </si>
  <si>
    <t>Sim 5517</t>
  </si>
  <si>
    <t>Sim 5518</t>
  </si>
  <si>
    <t>Sim 5519</t>
  </si>
  <si>
    <t>Sim 5520</t>
  </si>
  <si>
    <t>Sim 5521</t>
  </si>
  <si>
    <t>Sim 5522</t>
  </si>
  <si>
    <t>Sim 5523</t>
  </si>
  <si>
    <t>Sim 5524</t>
  </si>
  <si>
    <t>Sim 5525</t>
  </si>
  <si>
    <t>Sim 5526</t>
  </si>
  <si>
    <t>Sim 5527</t>
  </si>
  <si>
    <t>Sim 5528</t>
  </si>
  <si>
    <t>Sim 5529</t>
  </si>
  <si>
    <t>Sim 5530</t>
  </si>
  <si>
    <t>Sim 5531</t>
  </si>
  <si>
    <t>Sim 5532</t>
  </si>
  <si>
    <t>Sim 5533</t>
  </si>
  <si>
    <t>Sim 5534</t>
  </si>
  <si>
    <t>Sim 5535</t>
  </si>
  <si>
    <t>Sim 5536</t>
  </si>
  <si>
    <t>Sim 5537</t>
  </si>
  <si>
    <t>Sim 5538</t>
  </si>
  <si>
    <t>Sim 5539</t>
  </si>
  <si>
    <t>Sim 5540</t>
  </si>
  <si>
    <t>Sim 5541</t>
  </si>
  <si>
    <t>Sim 5542</t>
  </si>
  <si>
    <t>Sim 5543</t>
  </si>
  <si>
    <t>Sim 5544</t>
  </si>
  <si>
    <t>Sim 5545</t>
  </si>
  <si>
    <t>Sim 5546</t>
  </si>
  <si>
    <t>Sim 5547</t>
  </si>
  <si>
    <t>Sim 5548</t>
  </si>
  <si>
    <t>Sim 5549</t>
  </si>
  <si>
    <t>Sim 5550</t>
  </si>
  <si>
    <t>Sim 5551</t>
  </si>
  <si>
    <t>Sim 5552</t>
  </si>
  <si>
    <t>Sim 5553</t>
  </si>
  <si>
    <t>Sim 5554</t>
  </si>
  <si>
    <t>Sim 5555</t>
  </si>
  <si>
    <t>Sim 5556</t>
  </si>
  <si>
    <t>Sim 5557</t>
  </si>
  <si>
    <t>Sim 5558</t>
  </si>
  <si>
    <t>Sim 5559</t>
  </si>
  <si>
    <t>Sim 5560</t>
  </si>
  <si>
    <t>Sim 5561</t>
  </si>
  <si>
    <t>Sim 5562</t>
  </si>
  <si>
    <t>Sim 5563</t>
  </si>
  <si>
    <t>Sim 5564</t>
  </si>
  <si>
    <t>Sim 5565</t>
  </si>
  <si>
    <t>Sim 5566</t>
  </si>
  <si>
    <t>Sim 5567</t>
  </si>
  <si>
    <t>Sim 5568</t>
  </si>
  <si>
    <t>Sim 5569</t>
  </si>
  <si>
    <t>Sim 5570</t>
  </si>
  <si>
    <t>Sim 5571</t>
  </si>
  <si>
    <t>Sim 5572</t>
  </si>
  <si>
    <t>Sim 5573</t>
  </si>
  <si>
    <t>Sim 5574</t>
  </si>
  <si>
    <t>Sim 5575</t>
  </si>
  <si>
    <t>Sim 5576</t>
  </si>
  <si>
    <t>Sim 5577</t>
  </si>
  <si>
    <t>Sim 5578</t>
  </si>
  <si>
    <t>Sim 5579</t>
  </si>
  <si>
    <t>Sim 5580</t>
  </si>
  <si>
    <t>Sim 5581</t>
  </si>
  <si>
    <t>Sim 5582</t>
  </si>
  <si>
    <t>Sim 5583</t>
  </si>
  <si>
    <t>Sim 5584</t>
  </si>
  <si>
    <t>Sim 5585</t>
  </si>
  <si>
    <t>Sim 5586</t>
  </si>
  <si>
    <t>Sim 5587</t>
  </si>
  <si>
    <t>Sim 5588</t>
  </si>
  <si>
    <t>Sim 5589</t>
  </si>
  <si>
    <t>Sim 5590</t>
  </si>
  <si>
    <t>Sim 5591</t>
  </si>
  <si>
    <t>Sim 5592</t>
  </si>
  <si>
    <t>Sim 5593</t>
  </si>
  <si>
    <t>Sim 5594</t>
  </si>
  <si>
    <t>Sim 5595</t>
  </si>
  <si>
    <t>Sim 5596</t>
  </si>
  <si>
    <t>Sim 5597</t>
  </si>
  <si>
    <t>Sim 5598</t>
  </si>
  <si>
    <t>Sim 5599</t>
  </si>
  <si>
    <t>Sim 5600</t>
  </si>
  <si>
    <t>Sim 5601</t>
  </si>
  <si>
    <t>Sim 5602</t>
  </si>
  <si>
    <t>Sim 5603</t>
  </si>
  <si>
    <t>Sim 5604</t>
  </si>
  <si>
    <t>Sim 5605</t>
  </si>
  <si>
    <t>Sim 5606</t>
  </si>
  <si>
    <t>Sim 5607</t>
  </si>
  <si>
    <t>Sim 5608</t>
  </si>
  <si>
    <t>Sim 5609</t>
  </si>
  <si>
    <t>Sim 5610</t>
  </si>
  <si>
    <t>Sim 5611</t>
  </si>
  <si>
    <t>Sim 5612</t>
  </si>
  <si>
    <t>Sim 5613</t>
  </si>
  <si>
    <t>Sim 5614</t>
  </si>
  <si>
    <t>Sim 5615</t>
  </si>
  <si>
    <t>Sim 5616</t>
  </si>
  <si>
    <t>Sim 5617</t>
  </si>
  <si>
    <t>Sim 5618</t>
  </si>
  <si>
    <t>Sim 5619</t>
  </si>
  <si>
    <t>Sim 5620</t>
  </si>
  <si>
    <t>Sim 5621</t>
  </si>
  <si>
    <t>Sim 5622</t>
  </si>
  <si>
    <t>Sim 5623</t>
  </si>
  <si>
    <t>Sim 5624</t>
  </si>
  <si>
    <t>Sim 5625</t>
  </si>
  <si>
    <t>Sim 5626</t>
  </si>
  <si>
    <t>Sim 5627</t>
  </si>
  <si>
    <t>Sim 5628</t>
  </si>
  <si>
    <t>Sim 5629</t>
  </si>
  <si>
    <t>Sim 5630</t>
  </si>
  <si>
    <t>Sim 5631</t>
  </si>
  <si>
    <t>Sim 5632</t>
  </si>
  <si>
    <t>Sim 5633</t>
  </si>
  <si>
    <t>Sim 5634</t>
  </si>
  <si>
    <t>Sim 5635</t>
  </si>
  <si>
    <t>Sim 5636</t>
  </si>
  <si>
    <t>Sim 5637</t>
  </si>
  <si>
    <t>Sim 5638</t>
  </si>
  <si>
    <t>Sim 5639</t>
  </si>
  <si>
    <t>Sim 5640</t>
  </si>
  <si>
    <t>Sim 5641</t>
  </si>
  <si>
    <t>Sim 5642</t>
  </si>
  <si>
    <t>Sim 5643</t>
  </si>
  <si>
    <t>Sim 5644</t>
  </si>
  <si>
    <t>Sim 5645</t>
  </si>
  <si>
    <t>Sim 5646</t>
  </si>
  <si>
    <t>Sim 5647</t>
  </si>
  <si>
    <t>Sim 5648</t>
  </si>
  <si>
    <t>Sim 5649</t>
  </si>
  <si>
    <t>Sim 5650</t>
  </si>
  <si>
    <t>Sim 5651</t>
  </si>
  <si>
    <t>Sim 5652</t>
  </si>
  <si>
    <t>Sim 5653</t>
  </si>
  <si>
    <t>Sim 5654</t>
  </si>
  <si>
    <t>Sim 5655</t>
  </si>
  <si>
    <t>Sim 5656</t>
  </si>
  <si>
    <t>Sim 5657</t>
  </si>
  <si>
    <t>Sim 5658</t>
  </si>
  <si>
    <t>Sim 5659</t>
  </si>
  <si>
    <t>Sim 5660</t>
  </si>
  <si>
    <t>Sim 5661</t>
  </si>
  <si>
    <t>Sim 5662</t>
  </si>
  <si>
    <t>Sim 5663</t>
  </si>
  <si>
    <t>Sim 5664</t>
  </si>
  <si>
    <t>Sim 5665</t>
  </si>
  <si>
    <t>Sim 5666</t>
  </si>
  <si>
    <t>Sim 5667</t>
  </si>
  <si>
    <t>Sim 5668</t>
  </si>
  <si>
    <t>Sim 5669</t>
  </si>
  <si>
    <t>Sim 5670</t>
  </si>
  <si>
    <t>Sim 5671</t>
  </si>
  <si>
    <t>Sim 5672</t>
  </si>
  <si>
    <t>Sim 5673</t>
  </si>
  <si>
    <t>Sim 5674</t>
  </si>
  <si>
    <t>Sim 5675</t>
  </si>
  <si>
    <t>Sim 5676</t>
  </si>
  <si>
    <t>Sim 5677</t>
  </si>
  <si>
    <t>Sim 5678</t>
  </si>
  <si>
    <t>Sim 5679</t>
  </si>
  <si>
    <t>Sim 5680</t>
  </si>
  <si>
    <t>Sim 5681</t>
  </si>
  <si>
    <t>Sim 5682</t>
  </si>
  <si>
    <t>Sim 5683</t>
  </si>
  <si>
    <t>Sim 5684</t>
  </si>
  <si>
    <t>Sim 5685</t>
  </si>
  <si>
    <t>Sim 5686</t>
  </si>
  <si>
    <t>Sim 5687</t>
  </si>
  <si>
    <t>Sim 5688</t>
  </si>
  <si>
    <t>Sim 5689</t>
  </si>
  <si>
    <t>Sim 5690</t>
  </si>
  <si>
    <t>Sim 5691</t>
  </si>
  <si>
    <t>Sim 5692</t>
  </si>
  <si>
    <t>Sim 5693</t>
  </si>
  <si>
    <t>Sim 5694</t>
  </si>
  <si>
    <t>Sim 5695</t>
  </si>
  <si>
    <t>Sim 5696</t>
  </si>
  <si>
    <t>Sim 5697</t>
  </si>
  <si>
    <t>Sim 5698</t>
  </si>
  <si>
    <t>Sim 5699</t>
  </si>
  <si>
    <t>Sim 5700</t>
  </si>
  <si>
    <t>Sim 5701</t>
  </si>
  <si>
    <t>Sim 5702</t>
  </si>
  <si>
    <t>Sim 5703</t>
  </si>
  <si>
    <t>Sim 5704</t>
  </si>
  <si>
    <t>Sim 5705</t>
  </si>
  <si>
    <t>Sim 5706</t>
  </si>
  <si>
    <t>Sim 5707</t>
  </si>
  <si>
    <t>Sim 5708</t>
  </si>
  <si>
    <t>Sim 5709</t>
  </si>
  <si>
    <t>Sim 5710</t>
  </si>
  <si>
    <t>Sim 5711</t>
  </si>
  <si>
    <t>Sim 5712</t>
  </si>
  <si>
    <t>Sim 5713</t>
  </si>
  <si>
    <t>Sim 5714</t>
  </si>
  <si>
    <t>Sim 5715</t>
  </si>
  <si>
    <t>Sim 5716</t>
  </si>
  <si>
    <t>Sim 5717</t>
  </si>
  <si>
    <t>Sim 5718</t>
  </si>
  <si>
    <t>Sim 5719</t>
  </si>
  <si>
    <t>Sim 5720</t>
  </si>
  <si>
    <t>Sim 5721</t>
  </si>
  <si>
    <t>Sim 5722</t>
  </si>
  <si>
    <t>Sim 5723</t>
  </si>
  <si>
    <t>Sim 5724</t>
  </si>
  <si>
    <t>Sim 5725</t>
  </si>
  <si>
    <t>Sim 5726</t>
  </si>
  <si>
    <t>Sim 5727</t>
  </si>
  <si>
    <t>Sim 5728</t>
  </si>
  <si>
    <t>Sim 5729</t>
  </si>
  <si>
    <t>Sim 5730</t>
  </si>
  <si>
    <t>Sim 5731</t>
  </si>
  <si>
    <t>Sim 5732</t>
  </si>
  <si>
    <t>Sim 5733</t>
  </si>
  <si>
    <t>Sim 5734</t>
  </si>
  <si>
    <t>Sim 5735</t>
  </si>
  <si>
    <t>Sim 5736</t>
  </si>
  <si>
    <t>Sim 5737</t>
  </si>
  <si>
    <t>Sim 5738</t>
  </si>
  <si>
    <t>Sim 5739</t>
  </si>
  <si>
    <t>Sim 5740</t>
  </si>
  <si>
    <t>Sim 5741</t>
  </si>
  <si>
    <t>Sim 5742</t>
  </si>
  <si>
    <t>Sim 5743</t>
  </si>
  <si>
    <t>Sim 5744</t>
  </si>
  <si>
    <t>Sim 5745</t>
  </si>
  <si>
    <t>Sim 5746</t>
  </si>
  <si>
    <t>Sim 5747</t>
  </si>
  <si>
    <t>Sim 5748</t>
  </si>
  <si>
    <t>Sim 5749</t>
  </si>
  <si>
    <t>Sim 5750</t>
  </si>
  <si>
    <t>Sim 5751</t>
  </si>
  <si>
    <t>Sim 5752</t>
  </si>
  <si>
    <t>Sim 5753</t>
  </si>
  <si>
    <t>Sim 5754</t>
  </si>
  <si>
    <t>Sim 5755</t>
  </si>
  <si>
    <t>Sim 5756</t>
  </si>
  <si>
    <t>Sim 5757</t>
  </si>
  <si>
    <t>Sim 5758</t>
  </si>
  <si>
    <t>Sim 5759</t>
  </si>
  <si>
    <t>Sim 5760</t>
  </si>
  <si>
    <t>Sim 5761</t>
  </si>
  <si>
    <t>Sim 5762</t>
  </si>
  <si>
    <t>Sim 5763</t>
  </si>
  <si>
    <t>Sim 5764</t>
  </si>
  <si>
    <t>Sim 5765</t>
  </si>
  <si>
    <t>Sim 5766</t>
  </si>
  <si>
    <t>Sim 5767</t>
  </si>
  <si>
    <t>Sim 5768</t>
  </si>
  <si>
    <t>Sim 5769</t>
  </si>
  <si>
    <t>Sim 5770</t>
  </si>
  <si>
    <t>Sim 5771</t>
  </si>
  <si>
    <t>Sim 5772</t>
  </si>
  <si>
    <t>Sim 5773</t>
  </si>
  <si>
    <t>Sim 5774</t>
  </si>
  <si>
    <t>Sim 5775</t>
  </si>
  <si>
    <t>Sim 5776</t>
  </si>
  <si>
    <t>Sim 5777</t>
  </si>
  <si>
    <t>Sim 5778</t>
  </si>
  <si>
    <t>Sim 5779</t>
  </si>
  <si>
    <t>Sim 5780</t>
  </si>
  <si>
    <t>Sim 5781</t>
  </si>
  <si>
    <t>Sim 5782</t>
  </si>
  <si>
    <t>Sim 5783</t>
  </si>
  <si>
    <t>Sim 5784</t>
  </si>
  <si>
    <t>Sim 5785</t>
  </si>
  <si>
    <t>Sim 5786</t>
  </si>
  <si>
    <t>Sim 5787</t>
  </si>
  <si>
    <t>Sim 5788</t>
  </si>
  <si>
    <t>Sim 5789</t>
  </si>
  <si>
    <t>Sim 5790</t>
  </si>
  <si>
    <t>Sim 5791</t>
  </si>
  <si>
    <t>Sim 5792</t>
  </si>
  <si>
    <t>Sim 5793</t>
  </si>
  <si>
    <t>Sim 5794</t>
  </si>
  <si>
    <t>Sim 5795</t>
  </si>
  <si>
    <t>Sim 5796</t>
  </si>
  <si>
    <t>Sim 5797</t>
  </si>
  <si>
    <t>Sim 5798</t>
  </si>
  <si>
    <t>Sim 5799</t>
  </si>
  <si>
    <t>Sim 5800</t>
  </si>
  <si>
    <t>Sim 5801</t>
  </si>
  <si>
    <t>Sim 5802</t>
  </si>
  <si>
    <t>Sim 5803</t>
  </si>
  <si>
    <t>Sim 5804</t>
  </si>
  <si>
    <t>Sim 5805</t>
  </si>
  <si>
    <t>Sim 5806</t>
  </si>
  <si>
    <t>Sim 5807</t>
  </si>
  <si>
    <t>Sim 5808</t>
  </si>
  <si>
    <t>Sim 5809</t>
  </si>
  <si>
    <t>Sim 5810</t>
  </si>
  <si>
    <t>Sim 5811</t>
  </si>
  <si>
    <t>Sim 5812</t>
  </si>
  <si>
    <t>Sim 5813</t>
  </si>
  <si>
    <t>Sim 5814</t>
  </si>
  <si>
    <t>Sim 5815</t>
  </si>
  <si>
    <t>Sim 5816</t>
  </si>
  <si>
    <t>Sim 5817</t>
  </si>
  <si>
    <t>Sim 5818</t>
  </si>
  <si>
    <t>Sim 5819</t>
  </si>
  <si>
    <t>Sim 5820</t>
  </si>
  <si>
    <t>Sim 5821</t>
  </si>
  <si>
    <t>Sim 5822</t>
  </si>
  <si>
    <t>Sim 5823</t>
  </si>
  <si>
    <t>Sim 5824</t>
  </si>
  <si>
    <t>Sim 5825</t>
  </si>
  <si>
    <t>Sim 5826</t>
  </si>
  <si>
    <t>Sim 5827</t>
  </si>
  <si>
    <t>Sim 5828</t>
  </si>
  <si>
    <t>Sim 5829</t>
  </si>
  <si>
    <t>Sim 5830</t>
  </si>
  <si>
    <t>Sim 5831</t>
  </si>
  <si>
    <t>Sim 5832</t>
  </si>
  <si>
    <t>Sim 5833</t>
  </si>
  <si>
    <t>Sim 5834</t>
  </si>
  <si>
    <t>Sim 5835</t>
  </si>
  <si>
    <t>Sim 5836</t>
  </si>
  <si>
    <t>Sim 5837</t>
  </si>
  <si>
    <t>Sim 5838</t>
  </si>
  <si>
    <t>Sim 5839</t>
  </si>
  <si>
    <t>Sim 5840</t>
  </si>
  <si>
    <t>Sim 5841</t>
  </si>
  <si>
    <t>Sim 5842</t>
  </si>
  <si>
    <t>Sim 5843</t>
  </si>
  <si>
    <t>Sim 5844</t>
  </si>
  <si>
    <t>Sim 5845</t>
  </si>
  <si>
    <t>Sim 5846</t>
  </si>
  <si>
    <t>Sim 5847</t>
  </si>
  <si>
    <t>Sim 5848</t>
  </si>
  <si>
    <t>Sim 5849</t>
  </si>
  <si>
    <t>Sim 5850</t>
  </si>
  <si>
    <t>Sim 5851</t>
  </si>
  <si>
    <t>Sim 5852</t>
  </si>
  <si>
    <t>Sim 5853</t>
  </si>
  <si>
    <t>Sim 5854</t>
  </si>
  <si>
    <t>Sim 5855</t>
  </si>
  <si>
    <t>Sim 5856</t>
  </si>
  <si>
    <t>Sim 5857</t>
  </si>
  <si>
    <t>Sim 5858</t>
  </si>
  <si>
    <t>Sim 5859</t>
  </si>
  <si>
    <t>Sim 5860</t>
  </si>
  <si>
    <t>Sim 5861</t>
  </si>
  <si>
    <t>Sim 5862</t>
  </si>
  <si>
    <t>Sim 5863</t>
  </si>
  <si>
    <t>Sim 5864</t>
  </si>
  <si>
    <t>Sim 5865</t>
  </si>
  <si>
    <t>Sim 5866</t>
  </si>
  <si>
    <t>Sim 5867</t>
  </si>
  <si>
    <t>Sim 5868</t>
  </si>
  <si>
    <t>Sim 5869</t>
  </si>
  <si>
    <t>Sim 5870</t>
  </si>
  <si>
    <t>Sim 5871</t>
  </si>
  <si>
    <t>Sim 5872</t>
  </si>
  <si>
    <t>Sim 5873</t>
  </si>
  <si>
    <t>Sim 5874</t>
  </si>
  <si>
    <t>Sim 5875</t>
  </si>
  <si>
    <t>Sim 5876</t>
  </si>
  <si>
    <t>Sim 5877</t>
  </si>
  <si>
    <t>Sim 5878</t>
  </si>
  <si>
    <t>Sim 5879</t>
  </si>
  <si>
    <t>Sim 5880</t>
  </si>
  <si>
    <t>Sim 5881</t>
  </si>
  <si>
    <t>Sim 5882</t>
  </si>
  <si>
    <t>Sim 5883</t>
  </si>
  <si>
    <t>Sim 5884</t>
  </si>
  <si>
    <t>Sim 5885</t>
  </si>
  <si>
    <t>Sim 5886</t>
  </si>
  <si>
    <t>Sim 5887</t>
  </si>
  <si>
    <t>Sim 5888</t>
  </si>
  <si>
    <t>Sim 5889</t>
  </si>
  <si>
    <t>Sim 5890</t>
  </si>
  <si>
    <t>Sim 5891</t>
  </si>
  <si>
    <t>Sim 5892</t>
  </si>
  <si>
    <t>Sim 5893</t>
  </si>
  <si>
    <t>Sim 5894</t>
  </si>
  <si>
    <t>Sim 5895</t>
  </si>
  <si>
    <t>Sim 5896</t>
  </si>
  <si>
    <t>Sim 5897</t>
  </si>
  <si>
    <t>Sim 5898</t>
  </si>
  <si>
    <t>Sim 5899</t>
  </si>
  <si>
    <t>Sim 5900</t>
  </si>
  <si>
    <t>Sim 5901</t>
  </si>
  <si>
    <t>Sim 5902</t>
  </si>
  <si>
    <t>Sim 5903</t>
  </si>
  <si>
    <t>Sim 5904</t>
  </si>
  <si>
    <t>Sim 5905</t>
  </si>
  <si>
    <t>Sim 5906</t>
  </si>
  <si>
    <t>Sim 5907</t>
  </si>
  <si>
    <t>Sim 5908</t>
  </si>
  <si>
    <t>Sim 5909</t>
  </si>
  <si>
    <t>Sim 5910</t>
  </si>
  <si>
    <t>Sim 5911</t>
  </si>
  <si>
    <t>Sim 5912</t>
  </si>
  <si>
    <t>Sim 5913</t>
  </si>
  <si>
    <t>Sim 5914</t>
  </si>
  <si>
    <t>Sim 5915</t>
  </si>
  <si>
    <t>Sim 5916</t>
  </si>
  <si>
    <t>Sim 5917</t>
  </si>
  <si>
    <t>Sim 5918</t>
  </si>
  <si>
    <t>Sim 5919</t>
  </si>
  <si>
    <t>Sim 5920</t>
  </si>
  <si>
    <t>Sim 5921</t>
  </si>
  <si>
    <t>Sim 5922</t>
  </si>
  <si>
    <t>Sim 5923</t>
  </si>
  <si>
    <t>Sim 5924</t>
  </si>
  <si>
    <t>Sim 5925</t>
  </si>
  <si>
    <t>Sim 5926</t>
  </si>
  <si>
    <t>Sim 5927</t>
  </si>
  <si>
    <t>Sim 5928</t>
  </si>
  <si>
    <t>Sim 5929</t>
  </si>
  <si>
    <t>Sim 5930</t>
  </si>
  <si>
    <t>Sim 5931</t>
  </si>
  <si>
    <t>Sim 5932</t>
  </si>
  <si>
    <t>Sim 5933</t>
  </si>
  <si>
    <t>Sim 5934</t>
  </si>
  <si>
    <t>Sim 5935</t>
  </si>
  <si>
    <t>Sim 5936</t>
  </si>
  <si>
    <t>Sim 5937</t>
  </si>
  <si>
    <t>Sim 5938</t>
  </si>
  <si>
    <t>Sim 5939</t>
  </si>
  <si>
    <t>Sim 5940</t>
  </si>
  <si>
    <t>Sim 5941</t>
  </si>
  <si>
    <t>Sim 5942</t>
  </si>
  <si>
    <t>Sim 5943</t>
  </si>
  <si>
    <t>Sim 5944</t>
  </si>
  <si>
    <t>Sim 5945</t>
  </si>
  <si>
    <t>Sim 5946</t>
  </si>
  <si>
    <t>Sim 5947</t>
  </si>
  <si>
    <t>Sim 5948</t>
  </si>
  <si>
    <t>Sim 5949</t>
  </si>
  <si>
    <t>Sim 5950</t>
  </si>
  <si>
    <t>Sim 5951</t>
  </si>
  <si>
    <t>Sim 5952</t>
  </si>
  <si>
    <t>Sim 5953</t>
  </si>
  <si>
    <t>Sim 5954</t>
  </si>
  <si>
    <t>Sim 5955</t>
  </si>
  <si>
    <t>Sim 5956</t>
  </si>
  <si>
    <t>Sim 5957</t>
  </si>
  <si>
    <t>Sim 5958</t>
  </si>
  <si>
    <t>Sim 5959</t>
  </si>
  <si>
    <t>Sim 5960</t>
  </si>
  <si>
    <t>Sim 5961</t>
  </si>
  <si>
    <t>Sim 5962</t>
  </si>
  <si>
    <t>Sim 5963</t>
  </si>
  <si>
    <t>Sim 5964</t>
  </si>
  <si>
    <t>Sim 5965</t>
  </si>
  <si>
    <t>Sim 5966</t>
  </si>
  <si>
    <t>Sim 5967</t>
  </si>
  <si>
    <t>Sim 5968</t>
  </si>
  <si>
    <t>Sim 5969</t>
  </si>
  <si>
    <t>Sim 5970</t>
  </si>
  <si>
    <t>Sim 5971</t>
  </si>
  <si>
    <t>Sim 5972</t>
  </si>
  <si>
    <t>Sim 5973</t>
  </si>
  <si>
    <t>Sim 5974</t>
  </si>
  <si>
    <t>Sim 5975</t>
  </si>
  <si>
    <t>Sim 5976</t>
  </si>
  <si>
    <t>Sim 5977</t>
  </si>
  <si>
    <t>Sim 5978</t>
  </si>
  <si>
    <t>Sim 5979</t>
  </si>
  <si>
    <t>Sim 5980</t>
  </si>
  <si>
    <t>Sim 5981</t>
  </si>
  <si>
    <t>Sim 5982</t>
  </si>
  <si>
    <t>Sim 5983</t>
  </si>
  <si>
    <t>Sim 5984</t>
  </si>
  <si>
    <t>Sim 5985</t>
  </si>
  <si>
    <t>Sim 5986</t>
  </si>
  <si>
    <t>Sim 5987</t>
  </si>
  <si>
    <t>Sim 5988</t>
  </si>
  <si>
    <t>Sim 5989</t>
  </si>
  <si>
    <t>Sim 5990</t>
  </si>
  <si>
    <t>Sim 5991</t>
  </si>
  <si>
    <t>Sim 5992</t>
  </si>
  <si>
    <t>Sim 5993</t>
  </si>
  <si>
    <t>Sim 5994</t>
  </si>
  <si>
    <t>Sim 5995</t>
  </si>
  <si>
    <t>Sim 5996</t>
  </si>
  <si>
    <t>Sim 5997</t>
  </si>
  <si>
    <t>Sim 5998</t>
  </si>
  <si>
    <t>Sim 5999</t>
  </si>
  <si>
    <t>Sim 6000</t>
  </si>
  <si>
    <t>Sim 6001</t>
  </si>
  <si>
    <t>Sim 6002</t>
  </si>
  <si>
    <t>Sim 6003</t>
  </si>
  <si>
    <t>Sim 6004</t>
  </si>
  <si>
    <t>Sim 6005</t>
  </si>
  <si>
    <t>Sim 6006</t>
  </si>
  <si>
    <t>Sim 6007</t>
  </si>
  <si>
    <t>Sim 6008</t>
  </si>
  <si>
    <t>Sim 6009</t>
  </si>
  <si>
    <t>Sim 6010</t>
  </si>
  <si>
    <t>Sim 6011</t>
  </si>
  <si>
    <t>Sim 6012</t>
  </si>
  <si>
    <t>Sim 6013</t>
  </si>
  <si>
    <t>Sim 6014</t>
  </si>
  <si>
    <t>Sim 6015</t>
  </si>
  <si>
    <t>Sim 6016</t>
  </si>
  <si>
    <t>Sim 6017</t>
  </si>
  <si>
    <t>Sim 6018</t>
  </si>
  <si>
    <t>Sim 6019</t>
  </si>
  <si>
    <t>Sim 6020</t>
  </si>
  <si>
    <t>Sim 6021</t>
  </si>
  <si>
    <t>Sim 6022</t>
  </si>
  <si>
    <t>Sim 6023</t>
  </si>
  <si>
    <t>Sim 6024</t>
  </si>
  <si>
    <t>Sim 6025</t>
  </si>
  <si>
    <t>Sim 6026</t>
  </si>
  <si>
    <t>Sim 6027</t>
  </si>
  <si>
    <t>Sim 6028</t>
  </si>
  <si>
    <t>Sim 6029</t>
  </si>
  <si>
    <t>Sim 6030</t>
  </si>
  <si>
    <t>Sim 6031</t>
  </si>
  <si>
    <t>Sim 6032</t>
  </si>
  <si>
    <t>Sim 6033</t>
  </si>
  <si>
    <t>Sim 6034</t>
  </si>
  <si>
    <t>Sim 6035</t>
  </si>
  <si>
    <t>Sim 6036</t>
  </si>
  <si>
    <t>Sim 6037</t>
  </si>
  <si>
    <t>Sim 6038</t>
  </si>
  <si>
    <t>Sim 6039</t>
  </si>
  <si>
    <t>Sim 6040</t>
  </si>
  <si>
    <t>Sim 6041</t>
  </si>
  <si>
    <t>Sim 6042</t>
  </si>
  <si>
    <t>Sim 6043</t>
  </si>
  <si>
    <t>Sim 6044</t>
  </si>
  <si>
    <t>Sim 6045</t>
  </si>
  <si>
    <t>Sim 6046</t>
  </si>
  <si>
    <t>Sim 6047</t>
  </si>
  <si>
    <t>Sim 6048</t>
  </si>
  <si>
    <t>Sim 6049</t>
  </si>
  <si>
    <t>Sim 6050</t>
  </si>
  <si>
    <t>Sim 6051</t>
  </si>
  <si>
    <t>Sim 6052</t>
  </si>
  <si>
    <t>Sim 6053</t>
  </si>
  <si>
    <t>Sim 6054</t>
  </si>
  <si>
    <t>Sim 6055</t>
  </si>
  <si>
    <t>Sim 6056</t>
  </si>
  <si>
    <t>Sim 6057</t>
  </si>
  <si>
    <t>Sim 6058</t>
  </si>
  <si>
    <t>Sim 6059</t>
  </si>
  <si>
    <t>Sim 6060</t>
  </si>
  <si>
    <t>Sim 6061</t>
  </si>
  <si>
    <t>Sim 6062</t>
  </si>
  <si>
    <t>Sim 6063</t>
  </si>
  <si>
    <t>Sim 6064</t>
  </si>
  <si>
    <t>Sim 6065</t>
  </si>
  <si>
    <t>Sim 6066</t>
  </si>
  <si>
    <t>Sim 6067</t>
  </si>
  <si>
    <t>Sim 6068</t>
  </si>
  <si>
    <t>Sim 6069</t>
  </si>
  <si>
    <t>Sim 6070</t>
  </si>
  <si>
    <t>Sim 6071</t>
  </si>
  <si>
    <t>Sim 6072</t>
  </si>
  <si>
    <t>Sim 6073</t>
  </si>
  <si>
    <t>Sim 6074</t>
  </si>
  <si>
    <t>Sim 6075</t>
  </si>
  <si>
    <t>Sim 6076</t>
  </si>
  <si>
    <t>Sim 6077</t>
  </si>
  <si>
    <t>Sim 6078</t>
  </si>
  <si>
    <t>Sim 6079</t>
  </si>
  <si>
    <t>Sim 6080</t>
  </si>
  <si>
    <t>Sim 6081</t>
  </si>
  <si>
    <t>Sim 6082</t>
  </si>
  <si>
    <t>Sim 6083</t>
  </si>
  <si>
    <t>Sim 6084</t>
  </si>
  <si>
    <t>Sim 6085</t>
  </si>
  <si>
    <t>Sim 6086</t>
  </si>
  <si>
    <t>Sim 6087</t>
  </si>
  <si>
    <t>Sim 6088</t>
  </si>
  <si>
    <t>Sim 6089</t>
  </si>
  <si>
    <t>Sim 6090</t>
  </si>
  <si>
    <t>Sim 6091</t>
  </si>
  <si>
    <t>Sim 6092</t>
  </si>
  <si>
    <t>Sim 6093</t>
  </si>
  <si>
    <t>Sim 6094</t>
  </si>
  <si>
    <t>Sim 6095</t>
  </si>
  <si>
    <t>Sim 6096</t>
  </si>
  <si>
    <t>Sim 6097</t>
  </si>
  <si>
    <t>Sim 6098</t>
  </si>
  <si>
    <t>Sim 6099</t>
  </si>
  <si>
    <t>Sim 6100</t>
  </si>
  <si>
    <t>Sim 6101</t>
  </si>
  <si>
    <t>Sim 6102</t>
  </si>
  <si>
    <t>Sim 6103</t>
  </si>
  <si>
    <t>Sim 6104</t>
  </si>
  <si>
    <t>Sim 6105</t>
  </si>
  <si>
    <t>Sim 6106</t>
  </si>
  <si>
    <t>Sim 6107</t>
  </si>
  <si>
    <t>Sim 6108</t>
  </si>
  <si>
    <t>Sim 6109</t>
  </si>
  <si>
    <t>Sim 6110</t>
  </si>
  <si>
    <t>Sim 6111</t>
  </si>
  <si>
    <t>Sim 6112</t>
  </si>
  <si>
    <t>Sim 6113</t>
  </si>
  <si>
    <t>Sim 6114</t>
  </si>
  <si>
    <t>Sim 6115</t>
  </si>
  <si>
    <t>Sim 6116</t>
  </si>
  <si>
    <t>Sim 6117</t>
  </si>
  <si>
    <t>Sim 6118</t>
  </si>
  <si>
    <t>Sim 6119</t>
  </si>
  <si>
    <t>Sim 6120</t>
  </si>
  <si>
    <t>Sim 6121</t>
  </si>
  <si>
    <t>Sim 6122</t>
  </si>
  <si>
    <t>Sim 6123</t>
  </si>
  <si>
    <t>Sim 6124</t>
  </si>
  <si>
    <t>Sim 6125</t>
  </si>
  <si>
    <t>Sim 6126</t>
  </si>
  <si>
    <t>Sim 6127</t>
  </si>
  <si>
    <t>Sim 6128</t>
  </si>
  <si>
    <t>Sim 6129</t>
  </si>
  <si>
    <t>Sim 6130</t>
  </si>
  <si>
    <t>Sim 6131</t>
  </si>
  <si>
    <t>Sim 6132</t>
  </si>
  <si>
    <t>Sim 6133</t>
  </si>
  <si>
    <t>Sim 6134</t>
  </si>
  <si>
    <t>Sim 6135</t>
  </si>
  <si>
    <t>Sim 6136</t>
  </si>
  <si>
    <t>Sim 6137</t>
  </si>
  <si>
    <t>Sim 6138</t>
  </si>
  <si>
    <t>Sim 6139</t>
  </si>
  <si>
    <t>Sim 6140</t>
  </si>
  <si>
    <t>Sim 6141</t>
  </si>
  <si>
    <t>Sim 6142</t>
  </si>
  <si>
    <t>Sim 6143</t>
  </si>
  <si>
    <t>Sim 6144</t>
  </si>
  <si>
    <t>Sim 6145</t>
  </si>
  <si>
    <t>Sim 6146</t>
  </si>
  <si>
    <t>Sim 6147</t>
  </si>
  <si>
    <t>Sim 6148</t>
  </si>
  <si>
    <t>Sim 6149</t>
  </si>
  <si>
    <t>Sim 6150</t>
  </si>
  <si>
    <t>Sim 6151</t>
  </si>
  <si>
    <t>Sim 6152</t>
  </si>
  <si>
    <t>Sim 6153</t>
  </si>
  <si>
    <t>Sim 6154</t>
  </si>
  <si>
    <t>Sim 6155</t>
  </si>
  <si>
    <t>Sim 6156</t>
  </si>
  <si>
    <t>Sim 6157</t>
  </si>
  <si>
    <t>Sim 6158</t>
  </si>
  <si>
    <t>Sim 6159</t>
  </si>
  <si>
    <t>Sim 6160</t>
  </si>
  <si>
    <t>Sim 6161</t>
  </si>
  <si>
    <t>Sim 6162</t>
  </si>
  <si>
    <t>Sim 6163</t>
  </si>
  <si>
    <t>Sim 6164</t>
  </si>
  <si>
    <t>Sim 6165</t>
  </si>
  <si>
    <t>Sim 6166</t>
  </si>
  <si>
    <t>Sim 6167</t>
  </si>
  <si>
    <t>Sim 6168</t>
  </si>
  <si>
    <t>Sim 6169</t>
  </si>
  <si>
    <t>Sim 6170</t>
  </si>
  <si>
    <t>Sim 6171</t>
  </si>
  <si>
    <t>Sim 6172</t>
  </si>
  <si>
    <t>Sim 6173</t>
  </si>
  <si>
    <t>Sim 6174</t>
  </si>
  <si>
    <t>Sim 6175</t>
  </si>
  <si>
    <t>Sim 6176</t>
  </si>
  <si>
    <t>Sim 6177</t>
  </si>
  <si>
    <t>Sim 6178</t>
  </si>
  <si>
    <t>Sim 6179</t>
  </si>
  <si>
    <t>Sim 6180</t>
  </si>
  <si>
    <t>Sim 6181</t>
  </si>
  <si>
    <t>Sim 6182</t>
  </si>
  <si>
    <t>Sim 6183</t>
  </si>
  <si>
    <t>Sim 6184</t>
  </si>
  <si>
    <t>Sim 6185</t>
  </si>
  <si>
    <t>Sim 6186</t>
  </si>
  <si>
    <t>Sim 6187</t>
  </si>
  <si>
    <t>Sim 6188</t>
  </si>
  <si>
    <t>Sim 6189</t>
  </si>
  <si>
    <t>Sim 6190</t>
  </si>
  <si>
    <t>Sim 6191</t>
  </si>
  <si>
    <t>Sim 6192</t>
  </si>
  <si>
    <t>Sim 6193</t>
  </si>
  <si>
    <t>Sim 6194</t>
  </si>
  <si>
    <t>Sim 6195</t>
  </si>
  <si>
    <t>Sim 6196</t>
  </si>
  <si>
    <t>Sim 6197</t>
  </si>
  <si>
    <t>Sim 6198</t>
  </si>
  <si>
    <t>Sim 6199</t>
  </si>
  <si>
    <t>Sim 6200</t>
  </si>
  <si>
    <t>Sim 6201</t>
  </si>
  <si>
    <t>Sim 6202</t>
  </si>
  <si>
    <t>Sim 6203</t>
  </si>
  <si>
    <t>Sim 6204</t>
  </si>
  <si>
    <t>Sim 6205</t>
  </si>
  <si>
    <t>Sim 6206</t>
  </si>
  <si>
    <t>Sim 6207</t>
  </si>
  <si>
    <t>Sim 6208</t>
  </si>
  <si>
    <t>Sim 6209</t>
  </si>
  <si>
    <t>Sim 6210</t>
  </si>
  <si>
    <t>Sim 6211</t>
  </si>
  <si>
    <t>Sim 6212</t>
  </si>
  <si>
    <t>Sim 6213</t>
  </si>
  <si>
    <t>Sim 6214</t>
  </si>
  <si>
    <t>Sim 6215</t>
  </si>
  <si>
    <t>Sim 6216</t>
  </si>
  <si>
    <t>Sim 6217</t>
  </si>
  <si>
    <t>Sim 6218</t>
  </si>
  <si>
    <t>Sim 6219</t>
  </si>
  <si>
    <t>Sim 6220</t>
  </si>
  <si>
    <t>Sim 6221</t>
  </si>
  <si>
    <t>Sim 6222</t>
  </si>
  <si>
    <t>Sim 6223</t>
  </si>
  <si>
    <t>Sim 6224</t>
  </si>
  <si>
    <t>Sim 6225</t>
  </si>
  <si>
    <t>Sim 6226</t>
  </si>
  <si>
    <t>Sim 6227</t>
  </si>
  <si>
    <t>Sim 6228</t>
  </si>
  <si>
    <t>Sim 6229</t>
  </si>
  <si>
    <t>Sim 6230</t>
  </si>
  <si>
    <t>Sim 6231</t>
  </si>
  <si>
    <t>Sim 6232</t>
  </si>
  <si>
    <t>Sim 6233</t>
  </si>
  <si>
    <t>Sim 6234</t>
  </si>
  <si>
    <t>Sim 6235</t>
  </si>
  <si>
    <t>Sim 6236</t>
  </si>
  <si>
    <t>Sim 6237</t>
  </si>
  <si>
    <t>Sim 6238</t>
  </si>
  <si>
    <t>Sim 6239</t>
  </si>
  <si>
    <t>Sim 6240</t>
  </si>
  <si>
    <t>Sim 6241</t>
  </si>
  <si>
    <t>Sim 6242</t>
  </si>
  <si>
    <t>Sim 6243</t>
  </si>
  <si>
    <t>Sim 6244</t>
  </si>
  <si>
    <t>Sim 6245</t>
  </si>
  <si>
    <t>Sim 6246</t>
  </si>
  <si>
    <t>Sim 6247</t>
  </si>
  <si>
    <t>Sim 6248</t>
  </si>
  <si>
    <t>Sim 6249</t>
  </si>
  <si>
    <t>Sim 6250</t>
  </si>
  <si>
    <t>Sim 6251</t>
  </si>
  <si>
    <t>Sim 6252</t>
  </si>
  <si>
    <t>Sim 6253</t>
  </si>
  <si>
    <t>Sim 6254</t>
  </si>
  <si>
    <t>Sim 6255</t>
  </si>
  <si>
    <t>Sim 6256</t>
  </si>
  <si>
    <t>Sim 6257</t>
  </si>
  <si>
    <t>Sim 6258</t>
  </si>
  <si>
    <t>Sim 6259</t>
  </si>
  <si>
    <t>Sim 6260</t>
  </si>
  <si>
    <t>Sim 6261</t>
  </si>
  <si>
    <t>Sim 6262</t>
  </si>
  <si>
    <t>Sim 6263</t>
  </si>
  <si>
    <t>Sim 6264</t>
  </si>
  <si>
    <t>Sim 6265</t>
  </si>
  <si>
    <t>Sim 6266</t>
  </si>
  <si>
    <t>Sim 6267</t>
  </si>
  <si>
    <t>Sim 6268</t>
  </si>
  <si>
    <t>Sim 6269</t>
  </si>
  <si>
    <t>Sim 6270</t>
  </si>
  <si>
    <t>Sim 6271</t>
  </si>
  <si>
    <t>Sim 6272</t>
  </si>
  <si>
    <t>Sim 6273</t>
  </si>
  <si>
    <t>Sim 6274</t>
  </si>
  <si>
    <t>Sim 6275</t>
  </si>
  <si>
    <t>Sim 6276</t>
  </si>
  <si>
    <t>Sim 6277</t>
  </si>
  <si>
    <t>Sim 6278</t>
  </si>
  <si>
    <t>Sim 6279</t>
  </si>
  <si>
    <t>Sim 6280</t>
  </si>
  <si>
    <t>Sim 6281</t>
  </si>
  <si>
    <t>Sim 6282</t>
  </si>
  <si>
    <t>Sim 6283</t>
  </si>
  <si>
    <t>Sim 6284</t>
  </si>
  <si>
    <t>Sim 6285</t>
  </si>
  <si>
    <t>Sim 6286</t>
  </si>
  <si>
    <t>Sim 6287</t>
  </si>
  <si>
    <t>Sim 6288</t>
  </si>
  <si>
    <t>Sim 6289</t>
  </si>
  <si>
    <t>Sim 6290</t>
  </si>
  <si>
    <t>Sim 6291</t>
  </si>
  <si>
    <t>Sim 6292</t>
  </si>
  <si>
    <t>Sim 6293</t>
  </si>
  <si>
    <t>Sim 6294</t>
  </si>
  <si>
    <t>Sim 6295</t>
  </si>
  <si>
    <t>Sim 6296</t>
  </si>
  <si>
    <t>Sim 6297</t>
  </si>
  <si>
    <t>Sim 6298</t>
  </si>
  <si>
    <t>Sim 6299</t>
  </si>
  <si>
    <t>Sim 6300</t>
  </si>
  <si>
    <t>Sim 6301</t>
  </si>
  <si>
    <t>Sim 6302</t>
  </si>
  <si>
    <t>Sim 6303</t>
  </si>
  <si>
    <t>Sim 6304</t>
  </si>
  <si>
    <t>Sim 6305</t>
  </si>
  <si>
    <t>Sim 6306</t>
  </si>
  <si>
    <t>Sim 6307</t>
  </si>
  <si>
    <t>Sim 6308</t>
  </si>
  <si>
    <t>Sim 6309</t>
  </si>
  <si>
    <t>Sim 6310</t>
  </si>
  <si>
    <t>Sim 6311</t>
  </si>
  <si>
    <t>Sim 6312</t>
  </si>
  <si>
    <t>Sim 6313</t>
  </si>
  <si>
    <t>Sim 6314</t>
  </si>
  <si>
    <t>Sim 6315</t>
  </si>
  <si>
    <t>Sim 6316</t>
  </si>
  <si>
    <t>Sim 6317</t>
  </si>
  <si>
    <t>Sim 6318</t>
  </si>
  <si>
    <t>Sim 6319</t>
  </si>
  <si>
    <t>Sim 6320</t>
  </si>
  <si>
    <t>Sim 6321</t>
  </si>
  <si>
    <t>Sim 6322</t>
  </si>
  <si>
    <t>Sim 6323</t>
  </si>
  <si>
    <t>Sim 6324</t>
  </si>
  <si>
    <t>Sim 6325</t>
  </si>
  <si>
    <t>Sim 6326</t>
  </si>
  <si>
    <t>Sim 6327</t>
  </si>
  <si>
    <t>Sim 6328</t>
  </si>
  <si>
    <t>Sim 6329</t>
  </si>
  <si>
    <t>Sim 6330</t>
  </si>
  <si>
    <t>Sim 6331</t>
  </si>
  <si>
    <t>Sim 6332</t>
  </si>
  <si>
    <t>Sim 6333</t>
  </si>
  <si>
    <t>Sim 6334</t>
  </si>
  <si>
    <t>Sim 6335</t>
  </si>
  <si>
    <t>Sim 6336</t>
  </si>
  <si>
    <t>Sim 6337</t>
  </si>
  <si>
    <t>Sim 6338</t>
  </si>
  <si>
    <t>Sim 6339</t>
  </si>
  <si>
    <t>Sim 6340</t>
  </si>
  <si>
    <t>Sim 6341</t>
  </si>
  <si>
    <t>Sim 6342</t>
  </si>
  <si>
    <t>Sim 6343</t>
  </si>
  <si>
    <t>Sim 6344</t>
  </si>
  <si>
    <t>Sim 6345</t>
  </si>
  <si>
    <t>Sim 6346</t>
  </si>
  <si>
    <t>Sim 6347</t>
  </si>
  <si>
    <t>Sim 6348</t>
  </si>
  <si>
    <t>Sim 6349</t>
  </si>
  <si>
    <t>Sim 6350</t>
  </si>
  <si>
    <t>Sim 6351</t>
  </si>
  <si>
    <t>Sim 6352</t>
  </si>
  <si>
    <t>Sim 6353</t>
  </si>
  <si>
    <t>Sim 6354</t>
  </si>
  <si>
    <t>Sim 6355</t>
  </si>
  <si>
    <t>Sim 6356</t>
  </si>
  <si>
    <t>Sim 6357</t>
  </si>
  <si>
    <t>Sim 6358</t>
  </si>
  <si>
    <t>Sim 6359</t>
  </si>
  <si>
    <t>Sim 6360</t>
  </si>
  <si>
    <t>Sim 6361</t>
  </si>
  <si>
    <t>Sim 6362</t>
  </si>
  <si>
    <t>Sim 6363</t>
  </si>
  <si>
    <t>Sim 6364</t>
  </si>
  <si>
    <t>Sim 6365</t>
  </si>
  <si>
    <t>Sim 6366</t>
  </si>
  <si>
    <t>Sim 6367</t>
  </si>
  <si>
    <t>Sim 6368</t>
  </si>
  <si>
    <t>Sim 6369</t>
  </si>
  <si>
    <t>Sim 6370</t>
  </si>
  <si>
    <t>Sim 6371</t>
  </si>
  <si>
    <t>Sim 6372</t>
  </si>
  <si>
    <t>Sim 6373</t>
  </si>
  <si>
    <t>Sim 6374</t>
  </si>
  <si>
    <t>Sim 6375</t>
  </si>
  <si>
    <t>Sim 6376</t>
  </si>
  <si>
    <t>Sim 6377</t>
  </si>
  <si>
    <t>Sim 6378</t>
  </si>
  <si>
    <t>Sim 6379</t>
  </si>
  <si>
    <t>Sim 6380</t>
  </si>
  <si>
    <t>Sim 6381</t>
  </si>
  <si>
    <t>Sim 6382</t>
  </si>
  <si>
    <t>Sim 6383</t>
  </si>
  <si>
    <t>Sim 6384</t>
  </si>
  <si>
    <t>Sim 6385</t>
  </si>
  <si>
    <t>Sim 6386</t>
  </si>
  <si>
    <t>Sim 6387</t>
  </si>
  <si>
    <t>Sim 6388</t>
  </si>
  <si>
    <t>Sim 6389</t>
  </si>
  <si>
    <t>Sim 6390</t>
  </si>
  <si>
    <t>Sim 6391</t>
  </si>
  <si>
    <t>Sim 6392</t>
  </si>
  <si>
    <t>Sim 6393</t>
  </si>
  <si>
    <t>Sim 6394</t>
  </si>
  <si>
    <t>Sim 6395</t>
  </si>
  <si>
    <t>Sim 6396</t>
  </si>
  <si>
    <t>Sim 6397</t>
  </si>
  <si>
    <t>Sim 6398</t>
  </si>
  <si>
    <t>Sim 6399</t>
  </si>
  <si>
    <t>Sim 6400</t>
  </si>
  <si>
    <t>Sim 6401</t>
  </si>
  <si>
    <t>Sim 6402</t>
  </si>
  <si>
    <t>Sim 6403</t>
  </si>
  <si>
    <t>Sim 6404</t>
  </si>
  <si>
    <t>Sim 6405</t>
  </si>
  <si>
    <t>Sim 6406</t>
  </si>
  <si>
    <t>Sim 6407</t>
  </si>
  <si>
    <t>Sim 6408</t>
  </si>
  <si>
    <t>Sim 6409</t>
  </si>
  <si>
    <t>Sim 6410</t>
  </si>
  <si>
    <t>Sim 6411</t>
  </si>
  <si>
    <t>Sim 6412</t>
  </si>
  <si>
    <t>Sim 6413</t>
  </si>
  <si>
    <t>Sim 6414</t>
  </si>
  <si>
    <t>Sim 6415</t>
  </si>
  <si>
    <t>Sim 6416</t>
  </si>
  <si>
    <t>Sim 6417</t>
  </si>
  <si>
    <t>Sim 6418</t>
  </si>
  <si>
    <t>Sim 6419</t>
  </si>
  <si>
    <t>Sim 6420</t>
  </si>
  <si>
    <t>Sim 6421</t>
  </si>
  <si>
    <t>Sim 6422</t>
  </si>
  <si>
    <t>Sim 6423</t>
  </si>
  <si>
    <t>Sim 6424</t>
  </si>
  <si>
    <t>Sim 6425</t>
  </si>
  <si>
    <t>Sim 6426</t>
  </si>
  <si>
    <t>Sim 6427</t>
  </si>
  <si>
    <t>Sim 6428</t>
  </si>
  <si>
    <t>Sim 6429</t>
  </si>
  <si>
    <t>Sim 6430</t>
  </si>
  <si>
    <t>Sim 6431</t>
  </si>
  <si>
    <t>Sim 6432</t>
  </si>
  <si>
    <t>Sim 6433</t>
  </si>
  <si>
    <t>Sim 6434</t>
  </si>
  <si>
    <t>Sim 6435</t>
  </si>
  <si>
    <t>Sim 6436</t>
  </si>
  <si>
    <t>Sim 6437</t>
  </si>
  <si>
    <t>Sim 6438</t>
  </si>
  <si>
    <t>Sim 6439</t>
  </si>
  <si>
    <t>Sim 6440</t>
  </si>
  <si>
    <t>Sim 6441</t>
  </si>
  <si>
    <t>Sim 6442</t>
  </si>
  <si>
    <t>Sim 6443</t>
  </si>
  <si>
    <t>Sim 6444</t>
  </si>
  <si>
    <t>Sim 6445</t>
  </si>
  <si>
    <t>Sim 6446</t>
  </si>
  <si>
    <t>Sim 6447</t>
  </si>
  <si>
    <t>Sim 6448</t>
  </si>
  <si>
    <t>Sim 6449</t>
  </si>
  <si>
    <t>Sim 6450</t>
  </si>
  <si>
    <t>Sim 6451</t>
  </si>
  <si>
    <t>Sim 6452</t>
  </si>
  <si>
    <t>Sim 6453</t>
  </si>
  <si>
    <t>Sim 6454</t>
  </si>
  <si>
    <t>Sim 6455</t>
  </si>
  <si>
    <t>Sim 6456</t>
  </si>
  <si>
    <t>Sim 6457</t>
  </si>
  <si>
    <t>Sim 6458</t>
  </si>
  <si>
    <t>Sim 6459</t>
  </si>
  <si>
    <t>Sim 6460</t>
  </si>
  <si>
    <t>Sim 6461</t>
  </si>
  <si>
    <t>Sim 6462</t>
  </si>
  <si>
    <t>Sim 6463</t>
  </si>
  <si>
    <t>Sim 6464</t>
  </si>
  <si>
    <t>Sim 6465</t>
  </si>
  <si>
    <t>Sim 6466</t>
  </si>
  <si>
    <t>Sim 6467</t>
  </si>
  <si>
    <t>Sim 6468</t>
  </si>
  <si>
    <t>Sim 6469</t>
  </si>
  <si>
    <t>Sim 6470</t>
  </si>
  <si>
    <t>Sim 6471</t>
  </si>
  <si>
    <t>Sim 6472</t>
  </si>
  <si>
    <t>Sim 6473</t>
  </si>
  <si>
    <t>Sim 6474</t>
  </si>
  <si>
    <t>Sim 6475</t>
  </si>
  <si>
    <t>Sim 6476</t>
  </si>
  <si>
    <t>Sim 6477</t>
  </si>
  <si>
    <t>Sim 6478</t>
  </si>
  <si>
    <t>Sim 6479</t>
  </si>
  <si>
    <t>Sim 6480</t>
  </si>
  <si>
    <t>Sim 6481</t>
  </si>
  <si>
    <t>Sim 6482</t>
  </si>
  <si>
    <t>Sim 6483</t>
  </si>
  <si>
    <t>Sim 6484</t>
  </si>
  <si>
    <t>Sim 6485</t>
  </si>
  <si>
    <t>Sim 6486</t>
  </si>
  <si>
    <t>Sim 6487</t>
  </si>
  <si>
    <t>Sim 6488</t>
  </si>
  <si>
    <t>Sim 6489</t>
  </si>
  <si>
    <t>Sim 6490</t>
  </si>
  <si>
    <t>Sim 6491</t>
  </si>
  <si>
    <t>Sim 6492</t>
  </si>
  <si>
    <t>Sim 6493</t>
  </si>
  <si>
    <t>Sim 6494</t>
  </si>
  <si>
    <t>Sim 6495</t>
  </si>
  <si>
    <t>Sim 6496</t>
  </si>
  <si>
    <t>Sim 6497</t>
  </si>
  <si>
    <t>Sim 6498</t>
  </si>
  <si>
    <t>Sim 6499</t>
  </si>
  <si>
    <t>Sim 6500</t>
  </si>
  <si>
    <t>Sim 6501</t>
  </si>
  <si>
    <t>Sim 6502</t>
  </si>
  <si>
    <t>Sim 6503</t>
  </si>
  <si>
    <t>Sim 6504</t>
  </si>
  <si>
    <t>Sim 6505</t>
  </si>
  <si>
    <t>Sim 6506</t>
  </si>
  <si>
    <t>Sim 6507</t>
  </si>
  <si>
    <t>Sim 6508</t>
  </si>
  <si>
    <t>Sim 6509</t>
  </si>
  <si>
    <t>Sim 6510</t>
  </si>
  <si>
    <t>Sim 6511</t>
  </si>
  <si>
    <t>Sim 6512</t>
  </si>
  <si>
    <t>Sim 6513</t>
  </si>
  <si>
    <t>Sim 6514</t>
  </si>
  <si>
    <t>Sim 6515</t>
  </si>
  <si>
    <t>Sim 6516</t>
  </si>
  <si>
    <t>Sim 6517</t>
  </si>
  <si>
    <t>Sim 6518</t>
  </si>
  <si>
    <t>Sim 6519</t>
  </si>
  <si>
    <t>Sim 6520</t>
  </si>
  <si>
    <t>Sim 6521</t>
  </si>
  <si>
    <t>Sim 6522</t>
  </si>
  <si>
    <t>Sim 6523</t>
  </si>
  <si>
    <t>Sim 6524</t>
  </si>
  <si>
    <t>Sim 6525</t>
  </si>
  <si>
    <t>Sim 6526</t>
  </si>
  <si>
    <t>Sim 6527</t>
  </si>
  <si>
    <t>Sim 6528</t>
  </si>
  <si>
    <t>Sim 6529</t>
  </si>
  <si>
    <t>Sim 6530</t>
  </si>
  <si>
    <t>Sim 6531</t>
  </si>
  <si>
    <t>Sim 6532</t>
  </si>
  <si>
    <t>Sim 6533</t>
  </si>
  <si>
    <t>Sim 6534</t>
  </si>
  <si>
    <t>Sim 6535</t>
  </si>
  <si>
    <t>Sim 6536</t>
  </si>
  <si>
    <t>Sim 6537</t>
  </si>
  <si>
    <t>Sim 6538</t>
  </si>
  <si>
    <t>Sim 6539</t>
  </si>
  <si>
    <t>Sim 6540</t>
  </si>
  <si>
    <t>Sim 6541</t>
  </si>
  <si>
    <t>Sim 6542</t>
  </si>
  <si>
    <t>Sim 6543</t>
  </si>
  <si>
    <t>Sim 6544</t>
  </si>
  <si>
    <t>Sim 6545</t>
  </si>
  <si>
    <t>Sim 6546</t>
  </si>
  <si>
    <t>Sim 6547</t>
  </si>
  <si>
    <t>Sim 6548</t>
  </si>
  <si>
    <t>Sim 6549</t>
  </si>
  <si>
    <t>Sim 6550</t>
  </si>
  <si>
    <t>Sim 6551</t>
  </si>
  <si>
    <t>Sim 6552</t>
  </si>
  <si>
    <t>Sim 6553</t>
  </si>
  <si>
    <t>Sim 6554</t>
  </si>
  <si>
    <t>Sim 6555</t>
  </si>
  <si>
    <t>Sim 6556</t>
  </si>
  <si>
    <t>Sim 6557</t>
  </si>
  <si>
    <t>Sim 6558</t>
  </si>
  <si>
    <t>Sim 6559</t>
  </si>
  <si>
    <t>Sim 6560</t>
  </si>
  <si>
    <t>Sim 6561</t>
  </si>
  <si>
    <t>Sim 6562</t>
  </si>
  <si>
    <t>Sim 6563</t>
  </si>
  <si>
    <t>Sim 6564</t>
  </si>
  <si>
    <t>Sim 6565</t>
  </si>
  <si>
    <t>Sim 6566</t>
  </si>
  <si>
    <t>Sim 6567</t>
  </si>
  <si>
    <t>Sim 6568</t>
  </si>
  <si>
    <t>Sim 6569</t>
  </si>
  <si>
    <t>Sim 6570</t>
  </si>
  <si>
    <t>Sim 6571</t>
  </si>
  <si>
    <t>Sim 6572</t>
  </si>
  <si>
    <t>Sim 6573</t>
  </si>
  <si>
    <t>Sim 6574</t>
  </si>
  <si>
    <t>Sim 6575</t>
  </si>
  <si>
    <t>Sim 6576</t>
  </si>
  <si>
    <t>Sim 6577</t>
  </si>
  <si>
    <t>Sim 6578</t>
  </si>
  <si>
    <t>Sim 6579</t>
  </si>
  <si>
    <t>Sim 6580</t>
  </si>
  <si>
    <t>Sim 6581</t>
  </si>
  <si>
    <t>Sim 6582</t>
  </si>
  <si>
    <t>Sim 6583</t>
  </si>
  <si>
    <t>Sim 6584</t>
  </si>
  <si>
    <t>Sim 6585</t>
  </si>
  <si>
    <t>Sim 6586</t>
  </si>
  <si>
    <t>Sim 6587</t>
  </si>
  <si>
    <t>Sim 6588</t>
  </si>
  <si>
    <t>Sim 6589</t>
  </si>
  <si>
    <t>Sim 6590</t>
  </si>
  <si>
    <t>Sim 6591</t>
  </si>
  <si>
    <t>Sim 6592</t>
  </si>
  <si>
    <t>Sim 6593</t>
  </si>
  <si>
    <t>Sim 6594</t>
  </si>
  <si>
    <t>Sim 6595</t>
  </si>
  <si>
    <t>Sim 6596</t>
  </si>
  <si>
    <t>Sim 6597</t>
  </si>
  <si>
    <t>Sim 6598</t>
  </si>
  <si>
    <t>Sim 6599</t>
  </si>
  <si>
    <t>Sim 6600</t>
  </si>
  <si>
    <t>Sim 6601</t>
  </si>
  <si>
    <t>Sim 6602</t>
  </si>
  <si>
    <t>Sim 6603</t>
  </si>
  <si>
    <t>Sim 6604</t>
  </si>
  <si>
    <t>Sim 6605</t>
  </si>
  <si>
    <t>Sim 6606</t>
  </si>
  <si>
    <t>Sim 6607</t>
  </si>
  <si>
    <t>Sim 6608</t>
  </si>
  <si>
    <t>Sim 6609</t>
  </si>
  <si>
    <t>Sim 6610</t>
  </si>
  <si>
    <t>Sim 6611</t>
  </si>
  <si>
    <t>Sim 6612</t>
  </si>
  <si>
    <t>Sim 6613</t>
  </si>
  <si>
    <t>Sim 6614</t>
  </si>
  <si>
    <t>Sim 6615</t>
  </si>
  <si>
    <t>Sim 6616</t>
  </si>
  <si>
    <t>Sim 6617</t>
  </si>
  <si>
    <t>Sim 6618</t>
  </si>
  <si>
    <t>Sim 6619</t>
  </si>
  <si>
    <t>Sim 6620</t>
  </si>
  <si>
    <t>Sim 6621</t>
  </si>
  <si>
    <t>Sim 6622</t>
  </si>
  <si>
    <t>Sim 6623</t>
  </si>
  <si>
    <t>Sim 6624</t>
  </si>
  <si>
    <t>Sim 6625</t>
  </si>
  <si>
    <t>Sim 6626</t>
  </si>
  <si>
    <t>Sim 6627</t>
  </si>
  <si>
    <t>Sim 6628</t>
  </si>
  <si>
    <t>Sim 6629</t>
  </si>
  <si>
    <t>Sim 6630</t>
  </si>
  <si>
    <t>Sim 6631</t>
  </si>
  <si>
    <t>Sim 6632</t>
  </si>
  <si>
    <t>Sim 6633</t>
  </si>
  <si>
    <t>Sim 6634</t>
  </si>
  <si>
    <t>Sim 6635</t>
  </si>
  <si>
    <t>Sim 6636</t>
  </si>
  <si>
    <t>Sim 6637</t>
  </si>
  <si>
    <t>Sim 6638</t>
  </si>
  <si>
    <t>Sim 6639</t>
  </si>
  <si>
    <t>Sim 6640</t>
  </si>
  <si>
    <t>Sim 6641</t>
  </si>
  <si>
    <t>Sim 6642</t>
  </si>
  <si>
    <t>Sim 6643</t>
  </si>
  <si>
    <t>Sim 6644</t>
  </si>
  <si>
    <t>Sim 6645</t>
  </si>
  <si>
    <t>Sim 6646</t>
  </si>
  <si>
    <t>Sim 6647</t>
  </si>
  <si>
    <t>Sim 6648</t>
  </si>
  <si>
    <t>Sim 6649</t>
  </si>
  <si>
    <t>Sim 6650</t>
  </si>
  <si>
    <t>Sim 6651</t>
  </si>
  <si>
    <t>Sim 6652</t>
  </si>
  <si>
    <t>Sim 6653</t>
  </si>
  <si>
    <t>Sim 6654</t>
  </si>
  <si>
    <t>Sim 6655</t>
  </si>
  <si>
    <t>Sim 6656</t>
  </si>
  <si>
    <t>Sim 6657</t>
  </si>
  <si>
    <t>Sim 6658</t>
  </si>
  <si>
    <t>Sim 6659</t>
  </si>
  <si>
    <t>Sim 6660</t>
  </si>
  <si>
    <t>Sim 6661</t>
  </si>
  <si>
    <t>Sim 6662</t>
  </si>
  <si>
    <t>Sim 6663</t>
  </si>
  <si>
    <t>Sim 6664</t>
  </si>
  <si>
    <t>Sim 6665</t>
  </si>
  <si>
    <t>Sim 6666</t>
  </si>
  <si>
    <t>Sim 6667</t>
  </si>
  <si>
    <t>Sim 6668</t>
  </si>
  <si>
    <t>Sim 6669</t>
  </si>
  <si>
    <t>Sim 6670</t>
  </si>
  <si>
    <t>Sim 6671</t>
  </si>
  <si>
    <t>Sim 6672</t>
  </si>
  <si>
    <t>Sim 6673</t>
  </si>
  <si>
    <t>Sim 6674</t>
  </si>
  <si>
    <t>Sim 6675</t>
  </si>
  <si>
    <t>Sim 6676</t>
  </si>
  <si>
    <t>Sim 6677</t>
  </si>
  <si>
    <t>Sim 6678</t>
  </si>
  <si>
    <t>Sim 6679</t>
  </si>
  <si>
    <t>Sim 6680</t>
  </si>
  <si>
    <t>Sim 6681</t>
  </si>
  <si>
    <t>Sim 6682</t>
  </si>
  <si>
    <t>Sim 6683</t>
  </si>
  <si>
    <t>Sim 6684</t>
  </si>
  <si>
    <t>Sim 6685</t>
  </si>
  <si>
    <t>Sim 6686</t>
  </si>
  <si>
    <t>Sim 6687</t>
  </si>
  <si>
    <t>Sim 6688</t>
  </si>
  <si>
    <t>Sim 6689</t>
  </si>
  <si>
    <t>Sim 6690</t>
  </si>
  <si>
    <t>Sim 6691</t>
  </si>
  <si>
    <t>Sim 6692</t>
  </si>
  <si>
    <t>Sim 6693</t>
  </si>
  <si>
    <t>Sim 6694</t>
  </si>
  <si>
    <t>Sim 6695</t>
  </si>
  <si>
    <t>Sim 6696</t>
  </si>
  <si>
    <t>Sim 6697</t>
  </si>
  <si>
    <t>Sim 6698</t>
  </si>
  <si>
    <t>Sim 6699</t>
  </si>
  <si>
    <t>Sim 6700</t>
  </si>
  <si>
    <t>Sim 6701</t>
  </si>
  <si>
    <t>Sim 6702</t>
  </si>
  <si>
    <t>Sim 6703</t>
  </si>
  <si>
    <t>Sim 6704</t>
  </si>
  <si>
    <t>Sim 6705</t>
  </si>
  <si>
    <t>Sim 6706</t>
  </si>
  <si>
    <t>Sim 6707</t>
  </si>
  <si>
    <t>Sim 6708</t>
  </si>
  <si>
    <t>Sim 6709</t>
  </si>
  <si>
    <t>Sim 6710</t>
  </si>
  <si>
    <t>Sim 6711</t>
  </si>
  <si>
    <t>Sim 6712</t>
  </si>
  <si>
    <t>Sim 6713</t>
  </si>
  <si>
    <t>Sim 6714</t>
  </si>
  <si>
    <t>Sim 6715</t>
  </si>
  <si>
    <t>Sim 6716</t>
  </si>
  <si>
    <t>Sim 6717</t>
  </si>
  <si>
    <t>Sim 6718</t>
  </si>
  <si>
    <t>Sim 6719</t>
  </si>
  <si>
    <t>Sim 6720</t>
  </si>
  <si>
    <t>Sim 6721</t>
  </si>
  <si>
    <t>Sim 6722</t>
  </si>
  <si>
    <t>Sim 6723</t>
  </si>
  <si>
    <t>Sim 6724</t>
  </si>
  <si>
    <t>Sim 6725</t>
  </si>
  <si>
    <t>Sim 6726</t>
  </si>
  <si>
    <t>Sim 6727</t>
  </si>
  <si>
    <t>Sim 6728</t>
  </si>
  <si>
    <t>Sim 6729</t>
  </si>
  <si>
    <t>Sim 6730</t>
  </si>
  <si>
    <t>Sim 6731</t>
  </si>
  <si>
    <t>Sim 6732</t>
  </si>
  <si>
    <t>Sim 6733</t>
  </si>
  <si>
    <t>Sim 6734</t>
  </si>
  <si>
    <t>Sim 6735</t>
  </si>
  <si>
    <t>Sim 6736</t>
  </si>
  <si>
    <t>Sim 6737</t>
  </si>
  <si>
    <t>Sim 6738</t>
  </si>
  <si>
    <t>Sim 6739</t>
  </si>
  <si>
    <t>Sim 6740</t>
  </si>
  <si>
    <t>Sim 6741</t>
  </si>
  <si>
    <t>Sim 6742</t>
  </si>
  <si>
    <t>Sim 6743</t>
  </si>
  <si>
    <t>Sim 6744</t>
  </si>
  <si>
    <t>Sim 6745</t>
  </si>
  <si>
    <t>Sim 6746</t>
  </si>
  <si>
    <t>Sim 6747</t>
  </si>
  <si>
    <t>Sim 6748</t>
  </si>
  <si>
    <t>Sim 6749</t>
  </si>
  <si>
    <t>Sim 6750</t>
  </si>
  <si>
    <t>Sim 6751</t>
  </si>
  <si>
    <t>Sim 6752</t>
  </si>
  <si>
    <t>Sim 6753</t>
  </si>
  <si>
    <t>Sim 6754</t>
  </si>
  <si>
    <t>Sim 6755</t>
  </si>
  <si>
    <t>Sim 6756</t>
  </si>
  <si>
    <t>Sim 6757</t>
  </si>
  <si>
    <t>Sim 6758</t>
  </si>
  <si>
    <t>Sim 6759</t>
  </si>
  <si>
    <t>Sim 6760</t>
  </si>
  <si>
    <t>Sim 6761</t>
  </si>
  <si>
    <t>Sim 6762</t>
  </si>
  <si>
    <t>Sim 6763</t>
  </si>
  <si>
    <t>Sim 6764</t>
  </si>
  <si>
    <t>Sim 6765</t>
  </si>
  <si>
    <t>Sim 6766</t>
  </si>
  <si>
    <t>Sim 6767</t>
  </si>
  <si>
    <t>Sim 6768</t>
  </si>
  <si>
    <t>Sim 6769</t>
  </si>
  <si>
    <t>Sim 6770</t>
  </si>
  <si>
    <t>Sim 6771</t>
  </si>
  <si>
    <t>Sim 6772</t>
  </si>
  <si>
    <t>Sim 6773</t>
  </si>
  <si>
    <t>Sim 6774</t>
  </si>
  <si>
    <t>Sim 6775</t>
  </si>
  <si>
    <t>Sim 6776</t>
  </si>
  <si>
    <t>Sim 6777</t>
  </si>
  <si>
    <t>Sim 6778</t>
  </si>
  <si>
    <t>Sim 6779</t>
  </si>
  <si>
    <t>Sim 6780</t>
  </si>
  <si>
    <t>Sim 6781</t>
  </si>
  <si>
    <t>Sim 6782</t>
  </si>
  <si>
    <t>Sim 6783</t>
  </si>
  <si>
    <t>Sim 6784</t>
  </si>
  <si>
    <t>Sim 6785</t>
  </si>
  <si>
    <t>Sim 6786</t>
  </si>
  <si>
    <t>Sim 6787</t>
  </si>
  <si>
    <t>Sim 6788</t>
  </si>
  <si>
    <t>Sim 6789</t>
  </si>
  <si>
    <t>Sim 6790</t>
  </si>
  <si>
    <t>Sim 6791</t>
  </si>
  <si>
    <t>Sim 6792</t>
  </si>
  <si>
    <t>Sim 6793</t>
  </si>
  <si>
    <t>Sim 6794</t>
  </si>
  <si>
    <t>Sim 6795</t>
  </si>
  <si>
    <t>Sim 6796</t>
  </si>
  <si>
    <t>Sim 6797</t>
  </si>
  <si>
    <t>Sim 6798</t>
  </si>
  <si>
    <t>Sim 6799</t>
  </si>
  <si>
    <t>Sim 6800</t>
  </si>
  <si>
    <t>Sim 6801</t>
  </si>
  <si>
    <t>Sim 6802</t>
  </si>
  <si>
    <t>Sim 6803</t>
  </si>
  <si>
    <t>Sim 6804</t>
  </si>
  <si>
    <t>Sim 6805</t>
  </si>
  <si>
    <t>Sim 6806</t>
  </si>
  <si>
    <t>Sim 6807</t>
  </si>
  <si>
    <t>Sim 6808</t>
  </si>
  <si>
    <t>Sim 6809</t>
  </si>
  <si>
    <t>Sim 6810</t>
  </si>
  <si>
    <t>Sim 6811</t>
  </si>
  <si>
    <t>Sim 6812</t>
  </si>
  <si>
    <t>Sim 6813</t>
  </si>
  <si>
    <t>Sim 6814</t>
  </si>
  <si>
    <t>Sim 6815</t>
  </si>
  <si>
    <t>Sim 6816</t>
  </si>
  <si>
    <t>Sim 6817</t>
  </si>
  <si>
    <t>Sim 6818</t>
  </si>
  <si>
    <t>Sim 6819</t>
  </si>
  <si>
    <t>Sim 6820</t>
  </si>
  <si>
    <t>Sim 6821</t>
  </si>
  <si>
    <t>Sim 6822</t>
  </si>
  <si>
    <t>Sim 6823</t>
  </si>
  <si>
    <t>Sim 6824</t>
  </si>
  <si>
    <t>Sim 6825</t>
  </si>
  <si>
    <t>Sim 6826</t>
  </si>
  <si>
    <t>Sim 6827</t>
  </si>
  <si>
    <t>Sim 6828</t>
  </si>
  <si>
    <t>Sim 6829</t>
  </si>
  <si>
    <t>Sim 6830</t>
  </si>
  <si>
    <t>Sim 6831</t>
  </si>
  <si>
    <t>Sim 6832</t>
  </si>
  <si>
    <t>Sim 6833</t>
  </si>
  <si>
    <t>Sim 6834</t>
  </si>
  <si>
    <t>Sim 6835</t>
  </si>
  <si>
    <t>Sim 6836</t>
  </si>
  <si>
    <t>Sim 6837</t>
  </si>
  <si>
    <t>Sim 6838</t>
  </si>
  <si>
    <t>Sim 6839</t>
  </si>
  <si>
    <t>Sim 6840</t>
  </si>
  <si>
    <t>Sim 6841</t>
  </si>
  <si>
    <t>Sim 6842</t>
  </si>
  <si>
    <t>Sim 6843</t>
  </si>
  <si>
    <t>Sim 6844</t>
  </si>
  <si>
    <t>Sim 6845</t>
  </si>
  <si>
    <t>Sim 6846</t>
  </si>
  <si>
    <t>Sim 6847</t>
  </si>
  <si>
    <t>Sim 6848</t>
  </si>
  <si>
    <t>Sim 6849</t>
  </si>
  <si>
    <t>Sim 6850</t>
  </si>
  <si>
    <t>Sim 6851</t>
  </si>
  <si>
    <t>Sim 6852</t>
  </si>
  <si>
    <t>Sim 6853</t>
  </si>
  <si>
    <t>Sim 6854</t>
  </si>
  <si>
    <t>Sim 6855</t>
  </si>
  <si>
    <t>Sim 6856</t>
  </si>
  <si>
    <t>Sim 6857</t>
  </si>
  <si>
    <t>Sim 6858</t>
  </si>
  <si>
    <t>Sim 6859</t>
  </si>
  <si>
    <t>Sim 6860</t>
  </si>
  <si>
    <t>Sim 6861</t>
  </si>
  <si>
    <t>Sim 6862</t>
  </si>
  <si>
    <t>Sim 6863</t>
  </si>
  <si>
    <t>Sim 6864</t>
  </si>
  <si>
    <t>Sim 6865</t>
  </si>
  <si>
    <t>Sim 6866</t>
  </si>
  <si>
    <t>Sim 6867</t>
  </si>
  <si>
    <t>Sim 6868</t>
  </si>
  <si>
    <t>Sim 6869</t>
  </si>
  <si>
    <t>Sim 6870</t>
  </si>
  <si>
    <t>Sim 6871</t>
  </si>
  <si>
    <t>Sim 6872</t>
  </si>
  <si>
    <t>Sim 6873</t>
  </si>
  <si>
    <t>Sim 6874</t>
  </si>
  <si>
    <t>Sim 6875</t>
  </si>
  <si>
    <t>Sim 6876</t>
  </si>
  <si>
    <t>Sim 6877</t>
  </si>
  <si>
    <t>Sim 6878</t>
  </si>
  <si>
    <t>Sim 6879</t>
  </si>
  <si>
    <t>Sim 6880</t>
  </si>
  <si>
    <t>Sim 6881</t>
  </si>
  <si>
    <t>Sim 6882</t>
  </si>
  <si>
    <t>Sim 6883</t>
  </si>
  <si>
    <t>Sim 6884</t>
  </si>
  <si>
    <t>Sim 6885</t>
  </si>
  <si>
    <t>Sim 6886</t>
  </si>
  <si>
    <t>Sim 6887</t>
  </si>
  <si>
    <t>Sim 6888</t>
  </si>
  <si>
    <t>Sim 6889</t>
  </si>
  <si>
    <t>Sim 6890</t>
  </si>
  <si>
    <t>Sim 6891</t>
  </si>
  <si>
    <t>Sim 6892</t>
  </si>
  <si>
    <t>Sim 6893</t>
  </si>
  <si>
    <t>Sim 6894</t>
  </si>
  <si>
    <t>Sim 6895</t>
  </si>
  <si>
    <t>Sim 6896</t>
  </si>
  <si>
    <t>Sim 6897</t>
  </si>
  <si>
    <t>Sim 6898</t>
  </si>
  <si>
    <t>Sim 6899</t>
  </si>
  <si>
    <t>Sim 6900</t>
  </si>
  <si>
    <t>Sim 6901</t>
  </si>
  <si>
    <t>Sim 6902</t>
  </si>
  <si>
    <t>Sim 6903</t>
  </si>
  <si>
    <t>Sim 6904</t>
  </si>
  <si>
    <t>Sim 6905</t>
  </si>
  <si>
    <t>Sim 6906</t>
  </si>
  <si>
    <t>Sim 6907</t>
  </si>
  <si>
    <t>Sim 6908</t>
  </si>
  <si>
    <t>Sim 6909</t>
  </si>
  <si>
    <t>Sim 6910</t>
  </si>
  <si>
    <t>Sim 6911</t>
  </si>
  <si>
    <t>Sim 6912</t>
  </si>
  <si>
    <t>Sim 6913</t>
  </si>
  <si>
    <t>Sim 6914</t>
  </si>
  <si>
    <t>Sim 6915</t>
  </si>
  <si>
    <t>Sim 6916</t>
  </si>
  <si>
    <t>Sim 6917</t>
  </si>
  <si>
    <t>Sim 6918</t>
  </si>
  <si>
    <t>Sim 6919</t>
  </si>
  <si>
    <t>Sim 6920</t>
  </si>
  <si>
    <t>Sim 6921</t>
  </si>
  <si>
    <t>Sim 6922</t>
  </si>
  <si>
    <t>Sim 6923</t>
  </si>
  <si>
    <t>Sim 6924</t>
  </si>
  <si>
    <t>Sim 6925</t>
  </si>
  <si>
    <t>Sim 6926</t>
  </si>
  <si>
    <t>Sim 6927</t>
  </si>
  <si>
    <t>Sim 6928</t>
  </si>
  <si>
    <t>Sim 6929</t>
  </si>
  <si>
    <t>Sim 6930</t>
  </si>
  <si>
    <t>Sim 6931</t>
  </si>
  <si>
    <t>Sim 6932</t>
  </si>
  <si>
    <t>Sim 6933</t>
  </si>
  <si>
    <t>Sim 6934</t>
  </si>
  <si>
    <t>Sim 6935</t>
  </si>
  <si>
    <t>Sim 6936</t>
  </si>
  <si>
    <t>Sim 6937</t>
  </si>
  <si>
    <t>Sim 6938</t>
  </si>
  <si>
    <t>Sim 6939</t>
  </si>
  <si>
    <t>Sim 6940</t>
  </si>
  <si>
    <t>Sim 6941</t>
  </si>
  <si>
    <t>Sim 6942</t>
  </si>
  <si>
    <t>Sim 6943</t>
  </si>
  <si>
    <t>Sim 6944</t>
  </si>
  <si>
    <t>Sim 6945</t>
  </si>
  <si>
    <t>Sim 6946</t>
  </si>
  <si>
    <t>Sim 6947</t>
  </si>
  <si>
    <t>Sim 6948</t>
  </si>
  <si>
    <t>Sim 6949</t>
  </si>
  <si>
    <t>Sim 6950</t>
  </si>
  <si>
    <t>Sim 6951</t>
  </si>
  <si>
    <t>Sim 6952</t>
  </si>
  <si>
    <t>Sim 6953</t>
  </si>
  <si>
    <t>Sim 6954</t>
  </si>
  <si>
    <t>Sim 6955</t>
  </si>
  <si>
    <t>Sim 6956</t>
  </si>
  <si>
    <t>Sim 6957</t>
  </si>
  <si>
    <t>Sim 6958</t>
  </si>
  <si>
    <t>Sim 6959</t>
  </si>
  <si>
    <t>Sim 6960</t>
  </si>
  <si>
    <t>Sim 6961</t>
  </si>
  <si>
    <t>Sim 6962</t>
  </si>
  <si>
    <t>Sim 6963</t>
  </si>
  <si>
    <t>Sim 6964</t>
  </si>
  <si>
    <t>Sim 6965</t>
  </si>
  <si>
    <t>Sim 6966</t>
  </si>
  <si>
    <t>Sim 6967</t>
  </si>
  <si>
    <t>Sim 6968</t>
  </si>
  <si>
    <t>Sim 6969</t>
  </si>
  <si>
    <t>Sim 6970</t>
  </si>
  <si>
    <t>Sim 6971</t>
  </si>
  <si>
    <t>Sim 6972</t>
  </si>
  <si>
    <t>Sim 6973</t>
  </si>
  <si>
    <t>Sim 6974</t>
  </si>
  <si>
    <t>Sim 6975</t>
  </si>
  <si>
    <t>Sim 6976</t>
  </si>
  <si>
    <t>Sim 6977</t>
  </si>
  <si>
    <t>Sim 6978</t>
  </si>
  <si>
    <t>Sim 6979</t>
  </si>
  <si>
    <t>Sim 6980</t>
  </si>
  <si>
    <t>Sim 6981</t>
  </si>
  <si>
    <t>Sim 6982</t>
  </si>
  <si>
    <t>Sim 6983</t>
  </si>
  <si>
    <t>Sim 6984</t>
  </si>
  <si>
    <t>Sim 6985</t>
  </si>
  <si>
    <t>Sim 6986</t>
  </si>
  <si>
    <t>Sim 6987</t>
  </si>
  <si>
    <t>Sim 6988</t>
  </si>
  <si>
    <t>Sim 6989</t>
  </si>
  <si>
    <t>Sim 6990</t>
  </si>
  <si>
    <t>Sim 6991</t>
  </si>
  <si>
    <t>Sim 6992</t>
  </si>
  <si>
    <t>Sim 6993</t>
  </si>
  <si>
    <t>Sim 6994</t>
  </si>
  <si>
    <t>Sim 6995</t>
  </si>
  <si>
    <t>Sim 6996</t>
  </si>
  <si>
    <t>Sim 6997</t>
  </si>
  <si>
    <t>Sim 6998</t>
  </si>
  <si>
    <t>Sim 6999</t>
  </si>
  <si>
    <t>Sim 7000</t>
  </si>
  <si>
    <t>Sim 7001</t>
  </si>
  <si>
    <t>Sim 7002</t>
  </si>
  <si>
    <t>Sim 7003</t>
  </si>
  <si>
    <t>Sim 7004</t>
  </si>
  <si>
    <t>Sim 7005</t>
  </si>
  <si>
    <t>Sim 7006</t>
  </si>
  <si>
    <t>Sim 7007</t>
  </si>
  <si>
    <t>Sim 7008</t>
  </si>
  <si>
    <t>Sim 7009</t>
  </si>
  <si>
    <t>Sim 7010</t>
  </si>
  <si>
    <t>Sim 7011</t>
  </si>
  <si>
    <t>Sim 7012</t>
  </si>
  <si>
    <t>Sim 7013</t>
  </si>
  <si>
    <t>Sim 7014</t>
  </si>
  <si>
    <t>Sim 7015</t>
  </si>
  <si>
    <t>Sim 7016</t>
  </si>
  <si>
    <t>Sim 7017</t>
  </si>
  <si>
    <t>Sim 7018</t>
  </si>
  <si>
    <t>Sim 7019</t>
  </si>
  <si>
    <t>Sim 7020</t>
  </si>
  <si>
    <t>Sim 7021</t>
  </si>
  <si>
    <t>Sim 7022</t>
  </si>
  <si>
    <t>Sim 7023</t>
  </si>
  <si>
    <t>Sim 7024</t>
  </si>
  <si>
    <t>Sim 7025</t>
  </si>
  <si>
    <t>Sim 7026</t>
  </si>
  <si>
    <t>Sim 7027</t>
  </si>
  <si>
    <t>Sim 7028</t>
  </si>
  <si>
    <t>Sim 7029</t>
  </si>
  <si>
    <t>Sim 7030</t>
  </si>
  <si>
    <t>Sim 7031</t>
  </si>
  <si>
    <t>Sim 7032</t>
  </si>
  <si>
    <t>Sim 7033</t>
  </si>
  <si>
    <t>Sim 7034</t>
  </si>
  <si>
    <t>Sim 7035</t>
  </si>
  <si>
    <t>Sim 7036</t>
  </si>
  <si>
    <t>Sim 7037</t>
  </si>
  <si>
    <t>Sim 7038</t>
  </si>
  <si>
    <t>Sim 7039</t>
  </si>
  <si>
    <t>Sim 7040</t>
  </si>
  <si>
    <t>Sim 7041</t>
  </si>
  <si>
    <t>Sim 7042</t>
  </si>
  <si>
    <t>Sim 7043</t>
  </si>
  <si>
    <t>Sim 7044</t>
  </si>
  <si>
    <t>Sim 7045</t>
  </si>
  <si>
    <t>Sim 7046</t>
  </si>
  <si>
    <t>Sim 7047</t>
  </si>
  <si>
    <t>Sim 7048</t>
  </si>
  <si>
    <t>Sim 7049</t>
  </si>
  <si>
    <t>Sim 7050</t>
  </si>
  <si>
    <t>Sim 7051</t>
  </si>
  <si>
    <t>Sim 7052</t>
  </si>
  <si>
    <t>Sim 7053</t>
  </si>
  <si>
    <t>Sim 7054</t>
  </si>
  <si>
    <t>Sim 7055</t>
  </si>
  <si>
    <t>Sim 7056</t>
  </si>
  <si>
    <t>Sim 7057</t>
  </si>
  <si>
    <t>Sim 7058</t>
  </si>
  <si>
    <t>Sim 7059</t>
  </si>
  <si>
    <t>Sim 7060</t>
  </si>
  <si>
    <t>Sim 7061</t>
  </si>
  <si>
    <t>Sim 7062</t>
  </si>
  <si>
    <t>Sim 7063</t>
  </si>
  <si>
    <t>Sim 7064</t>
  </si>
  <si>
    <t>Sim 7065</t>
  </si>
  <si>
    <t>Sim 7066</t>
  </si>
  <si>
    <t>Sim 7067</t>
  </si>
  <si>
    <t>Sim 7068</t>
  </si>
  <si>
    <t>Sim 7069</t>
  </si>
  <si>
    <t>Sim 7070</t>
  </si>
  <si>
    <t>Sim 7071</t>
  </si>
  <si>
    <t>Sim 7072</t>
  </si>
  <si>
    <t>Sim 7073</t>
  </si>
  <si>
    <t>Sim 7074</t>
  </si>
  <si>
    <t>Sim 7075</t>
  </si>
  <si>
    <t>Sim 7076</t>
  </si>
  <si>
    <t>Sim 7077</t>
  </si>
  <si>
    <t>Sim 7078</t>
  </si>
  <si>
    <t>Sim 7079</t>
  </si>
  <si>
    <t>Sim 7080</t>
  </si>
  <si>
    <t>Sim 7081</t>
  </si>
  <si>
    <t>Sim 7082</t>
  </si>
  <si>
    <t>Sim 7083</t>
  </si>
  <si>
    <t>Sim 7084</t>
  </si>
  <si>
    <t>Sim 7085</t>
  </si>
  <si>
    <t>Sim 7086</t>
  </si>
  <si>
    <t>Sim 7087</t>
  </si>
  <si>
    <t>Sim 7088</t>
  </si>
  <si>
    <t>Sim 7089</t>
  </si>
  <si>
    <t>Sim 7090</t>
  </si>
  <si>
    <t>Sim 7091</t>
  </si>
  <si>
    <t>Sim 7092</t>
  </si>
  <si>
    <t>Sim 7093</t>
  </si>
  <si>
    <t>Sim 7094</t>
  </si>
  <si>
    <t>Sim 7095</t>
  </si>
  <si>
    <t>Sim 7096</t>
  </si>
  <si>
    <t>Sim 7097</t>
  </si>
  <si>
    <t>Sim 7098</t>
  </si>
  <si>
    <t>Sim 7099</t>
  </si>
  <si>
    <t>Sim 7100</t>
  </si>
  <si>
    <t>Sim 7101</t>
  </si>
  <si>
    <t>Sim 7102</t>
  </si>
  <si>
    <t>Sim 7103</t>
  </si>
  <si>
    <t>Sim 7104</t>
  </si>
  <si>
    <t>Sim 7105</t>
  </si>
  <si>
    <t>Sim 7106</t>
  </si>
  <si>
    <t>Sim 7107</t>
  </si>
  <si>
    <t>Sim 7108</t>
  </si>
  <si>
    <t>Sim 7109</t>
  </si>
  <si>
    <t>Sim 7110</t>
  </si>
  <si>
    <t>Sim 7111</t>
  </si>
  <si>
    <t>Sim 7112</t>
  </si>
  <si>
    <t>Sim 7113</t>
  </si>
  <si>
    <t>Sim 7114</t>
  </si>
  <si>
    <t>Sim 7115</t>
  </si>
  <si>
    <t>Sim 7116</t>
  </si>
  <si>
    <t>Sim 7117</t>
  </si>
  <si>
    <t>Sim 7118</t>
  </si>
  <si>
    <t>Sim 7119</t>
  </si>
  <si>
    <t>Sim 7120</t>
  </si>
  <si>
    <t>Sim 7121</t>
  </si>
  <si>
    <t>Sim 7122</t>
  </si>
  <si>
    <t>Sim 7123</t>
  </si>
  <si>
    <t>Sim 7124</t>
  </si>
  <si>
    <t>Sim 7125</t>
  </si>
  <si>
    <t>Sim 7126</t>
  </si>
  <si>
    <t>Sim 7127</t>
  </si>
  <si>
    <t>Sim 7128</t>
  </si>
  <si>
    <t>Sim 7129</t>
  </si>
  <si>
    <t>Sim 7130</t>
  </si>
  <si>
    <t>Sim 7131</t>
  </si>
  <si>
    <t>Sim 7132</t>
  </si>
  <si>
    <t>Sim 7133</t>
  </si>
  <si>
    <t>Sim 7134</t>
  </si>
  <si>
    <t>Sim 7135</t>
  </si>
  <si>
    <t>Sim 7136</t>
  </si>
  <si>
    <t>Sim 7137</t>
  </si>
  <si>
    <t>Sim 7138</t>
  </si>
  <si>
    <t>Sim 7139</t>
  </si>
  <si>
    <t>Sim 7140</t>
  </si>
  <si>
    <t>Sim 7141</t>
  </si>
  <si>
    <t>Sim 7142</t>
  </si>
  <si>
    <t>Sim 7143</t>
  </si>
  <si>
    <t>Sim 7144</t>
  </si>
  <si>
    <t>Sim 7145</t>
  </si>
  <si>
    <t>Sim 7146</t>
  </si>
  <si>
    <t>Sim 7147</t>
  </si>
  <si>
    <t>Sim 7148</t>
  </si>
  <si>
    <t>Sim 7149</t>
  </si>
  <si>
    <t>Sim 7150</t>
  </si>
  <si>
    <t>Sim 7151</t>
  </si>
  <si>
    <t>Sim 7152</t>
  </si>
  <si>
    <t>Sim 7153</t>
  </si>
  <si>
    <t>Sim 7154</t>
  </si>
  <si>
    <t>Sim 7155</t>
  </si>
  <si>
    <t>Sim 7156</t>
  </si>
  <si>
    <t>Sim 7157</t>
  </si>
  <si>
    <t>Sim 7158</t>
  </si>
  <si>
    <t>Sim 7159</t>
  </si>
  <si>
    <t>Sim 7160</t>
  </si>
  <si>
    <t>Sim 7161</t>
  </si>
  <si>
    <t>Sim 7162</t>
  </si>
  <si>
    <t>Sim 7163</t>
  </si>
  <si>
    <t>Sim 7164</t>
  </si>
  <si>
    <t>Sim 7165</t>
  </si>
  <si>
    <t>Sim 7166</t>
  </si>
  <si>
    <t>Sim 7167</t>
  </si>
  <si>
    <t>Sim 7168</t>
  </si>
  <si>
    <t>Sim 7169</t>
  </si>
  <si>
    <t>Sim 7170</t>
  </si>
  <si>
    <t>Sim 7171</t>
  </si>
  <si>
    <t>Sim 7172</t>
  </si>
  <si>
    <t>Sim 7173</t>
  </si>
  <si>
    <t>Sim 7174</t>
  </si>
  <si>
    <t>Sim 7175</t>
  </si>
  <si>
    <t>Sim 7176</t>
  </si>
  <si>
    <t>Sim 7177</t>
  </si>
  <si>
    <t>Sim 7178</t>
  </si>
  <si>
    <t>Sim 7179</t>
  </si>
  <si>
    <t>Sim 7180</t>
  </si>
  <si>
    <t>Sim 7181</t>
  </si>
  <si>
    <t>Sim 7182</t>
  </si>
  <si>
    <t>Sim 7183</t>
  </si>
  <si>
    <t>Sim 7184</t>
  </si>
  <si>
    <t>Sim 7185</t>
  </si>
  <si>
    <t>Sim 7186</t>
  </si>
  <si>
    <t>Sim 7187</t>
  </si>
  <si>
    <t>Sim 7188</t>
  </si>
  <si>
    <t>Sim 7189</t>
  </si>
  <si>
    <t>Sim 7190</t>
  </si>
  <si>
    <t>Sim 7191</t>
  </si>
  <si>
    <t>Sim 7192</t>
  </si>
  <si>
    <t>Sim 7193</t>
  </si>
  <si>
    <t>Sim 7194</t>
  </si>
  <si>
    <t>Sim 7195</t>
  </si>
  <si>
    <t>Sim 7196</t>
  </si>
  <si>
    <t>Sim 7197</t>
  </si>
  <si>
    <t>Sim 7198</t>
  </si>
  <si>
    <t>Sim 7199</t>
  </si>
  <si>
    <t>Sim 7200</t>
  </si>
  <si>
    <t>Sim 7201</t>
  </si>
  <si>
    <t>Sim 7202</t>
  </si>
  <si>
    <t>Sim 7203</t>
  </si>
  <si>
    <t>Sim 7204</t>
  </si>
  <si>
    <t>Sim 7205</t>
  </si>
  <si>
    <t>Sim 7206</t>
  </si>
  <si>
    <t>Sim 7207</t>
  </si>
  <si>
    <t>Sim 7208</t>
  </si>
  <si>
    <t>Sim 7209</t>
  </si>
  <si>
    <t>Sim 7210</t>
  </si>
  <si>
    <t>Sim 7211</t>
  </si>
  <si>
    <t>Sim 7212</t>
  </si>
  <si>
    <t>Sim 7213</t>
  </si>
  <si>
    <t>Sim 7214</t>
  </si>
  <si>
    <t>Sim 7215</t>
  </si>
  <si>
    <t>Sim 7216</t>
  </si>
  <si>
    <t>Sim 7217</t>
  </si>
  <si>
    <t>Sim 7218</t>
  </si>
  <si>
    <t>Sim 7219</t>
  </si>
  <si>
    <t>Sim 7220</t>
  </si>
  <si>
    <t>Sim 7221</t>
  </si>
  <si>
    <t>Sim 7222</t>
  </si>
  <si>
    <t>Sim 7223</t>
  </si>
  <si>
    <t>Sim 7224</t>
  </si>
  <si>
    <t>Sim 7225</t>
  </si>
  <si>
    <t>Sim 7226</t>
  </si>
  <si>
    <t>Sim 7227</t>
  </si>
  <si>
    <t>Sim 7228</t>
  </si>
  <si>
    <t>Sim 7229</t>
  </si>
  <si>
    <t>Sim 7230</t>
  </si>
  <si>
    <t>Sim 7231</t>
  </si>
  <si>
    <t>Sim 7232</t>
  </si>
  <si>
    <t>Sim 7233</t>
  </si>
  <si>
    <t>Sim 7234</t>
  </si>
  <si>
    <t>Sim 7235</t>
  </si>
  <si>
    <t>Sim 7236</t>
  </si>
  <si>
    <t>Sim 7237</t>
  </si>
  <si>
    <t>Sim 7238</t>
  </si>
  <si>
    <t>Sim 7239</t>
  </si>
  <si>
    <t>Sim 7240</t>
  </si>
  <si>
    <t>Sim 7241</t>
  </si>
  <si>
    <t>Sim 7242</t>
  </si>
  <si>
    <t>Sim 7243</t>
  </si>
  <si>
    <t>Sim 7244</t>
  </si>
  <si>
    <t>Sim 7245</t>
  </si>
  <si>
    <t>Sim 7246</t>
  </si>
  <si>
    <t>Sim 7247</t>
  </si>
  <si>
    <t>Sim 7248</t>
  </si>
  <si>
    <t>Sim 7249</t>
  </si>
  <si>
    <t>Sim 7250</t>
  </si>
  <si>
    <t>Sim 7251</t>
  </si>
  <si>
    <t>Sim 7252</t>
  </si>
  <si>
    <t>Sim 7253</t>
  </si>
  <si>
    <t>Sim 7254</t>
  </si>
  <si>
    <t>Sim 7255</t>
  </si>
  <si>
    <t>Sim 7256</t>
  </si>
  <si>
    <t>Sim 7257</t>
  </si>
  <si>
    <t>Sim 7258</t>
  </si>
  <si>
    <t>Sim 7259</t>
  </si>
  <si>
    <t>Sim 7260</t>
  </si>
  <si>
    <t>Sim 7261</t>
  </si>
  <si>
    <t>Sim 7262</t>
  </si>
  <si>
    <t>Sim 7263</t>
  </si>
  <si>
    <t>Sim 7264</t>
  </si>
  <si>
    <t>Sim 7265</t>
  </si>
  <si>
    <t>Sim 7266</t>
  </si>
  <si>
    <t>Sim 7267</t>
  </si>
  <si>
    <t>Sim 7268</t>
  </si>
  <si>
    <t>Sim 7269</t>
  </si>
  <si>
    <t>Sim 7270</t>
  </si>
  <si>
    <t>Sim 7271</t>
  </si>
  <si>
    <t>Sim 7272</t>
  </si>
  <si>
    <t>Sim 7273</t>
  </si>
  <si>
    <t>Sim 7274</t>
  </si>
  <si>
    <t>Sim 7275</t>
  </si>
  <si>
    <t>Sim 7276</t>
  </si>
  <si>
    <t>Sim 7277</t>
  </si>
  <si>
    <t>Sim 7278</t>
  </si>
  <si>
    <t>Sim 7279</t>
  </si>
  <si>
    <t>Sim 7280</t>
  </si>
  <si>
    <t>Sim 7281</t>
  </si>
  <si>
    <t>Sim 7282</t>
  </si>
  <si>
    <t>Sim 7283</t>
  </si>
  <si>
    <t>Sim 7284</t>
  </si>
  <si>
    <t>Sim 7285</t>
  </si>
  <si>
    <t>Sim 7286</t>
  </si>
  <si>
    <t>Sim 7287</t>
  </si>
  <si>
    <t>Sim 7288</t>
  </si>
  <si>
    <t>Sim 7289</t>
  </si>
  <si>
    <t>Sim 7290</t>
  </si>
  <si>
    <t>Sim 7291</t>
  </si>
  <si>
    <t>Sim 7292</t>
  </si>
  <si>
    <t>Sim 7293</t>
  </si>
  <si>
    <t>Sim 7294</t>
  </si>
  <si>
    <t>Sim 7295</t>
  </si>
  <si>
    <t>Sim 7296</t>
  </si>
  <si>
    <t>Sim 7297</t>
  </si>
  <si>
    <t>Sim 7298</t>
  </si>
  <si>
    <t>Sim 7299</t>
  </si>
  <si>
    <t>Sim 7300</t>
  </si>
  <si>
    <t>Sim 7301</t>
  </si>
  <si>
    <t>Sim 7302</t>
  </si>
  <si>
    <t>Sim 7303</t>
  </si>
  <si>
    <t>Sim 7304</t>
  </si>
  <si>
    <t>Sim 7305</t>
  </si>
  <si>
    <t>Sim 7306</t>
  </si>
  <si>
    <t>Sim 7307</t>
  </si>
  <si>
    <t>Sim 7308</t>
  </si>
  <si>
    <t>Sim 7309</t>
  </si>
  <si>
    <t>Sim 7310</t>
  </si>
  <si>
    <t>Sim 7311</t>
  </si>
  <si>
    <t>Sim 7312</t>
  </si>
  <si>
    <t>Sim 7313</t>
  </si>
  <si>
    <t>Sim 7314</t>
  </si>
  <si>
    <t>Sim 7315</t>
  </si>
  <si>
    <t>Sim 7316</t>
  </si>
  <si>
    <t>Sim 7317</t>
  </si>
  <si>
    <t>Sim 7318</t>
  </si>
  <si>
    <t>Sim 7319</t>
  </si>
  <si>
    <t>Sim 7320</t>
  </si>
  <si>
    <t>Sim 7321</t>
  </si>
  <si>
    <t>Sim 7322</t>
  </si>
  <si>
    <t>Sim 7323</t>
  </si>
  <si>
    <t>Sim 7324</t>
  </si>
  <si>
    <t>Sim 7325</t>
  </si>
  <si>
    <t>Sim 7326</t>
  </si>
  <si>
    <t>Sim 7327</t>
  </si>
  <si>
    <t>Sim 7328</t>
  </si>
  <si>
    <t>Sim 7329</t>
  </si>
  <si>
    <t>Sim 7330</t>
  </si>
  <si>
    <t>Sim 7331</t>
  </si>
  <si>
    <t>Sim 7332</t>
  </si>
  <si>
    <t>Sim 7333</t>
  </si>
  <si>
    <t>Sim 7334</t>
  </si>
  <si>
    <t>Sim 7335</t>
  </si>
  <si>
    <t>Sim 7336</t>
  </si>
  <si>
    <t>Sim 7337</t>
  </si>
  <si>
    <t>Sim 7338</t>
  </si>
  <si>
    <t>Sim 7339</t>
  </si>
  <si>
    <t>Sim 7340</t>
  </si>
  <si>
    <t>Sim 7341</t>
  </si>
  <si>
    <t>Sim 7342</t>
  </si>
  <si>
    <t>Sim 7343</t>
  </si>
  <si>
    <t>Sim 7344</t>
  </si>
  <si>
    <t>Sim 7345</t>
  </si>
  <si>
    <t>Sim 7346</t>
  </si>
  <si>
    <t>Sim 7347</t>
  </si>
  <si>
    <t>Sim 7348</t>
  </si>
  <si>
    <t>Sim 7349</t>
  </si>
  <si>
    <t>Sim 7350</t>
  </si>
  <si>
    <t>Sim 7351</t>
  </si>
  <si>
    <t>Sim 7352</t>
  </si>
  <si>
    <t>Sim 7353</t>
  </si>
  <si>
    <t>Sim 7354</t>
  </si>
  <si>
    <t>Sim 7355</t>
  </si>
  <si>
    <t>Sim 7356</t>
  </si>
  <si>
    <t>Sim 7357</t>
  </si>
  <si>
    <t>Sim 7358</t>
  </si>
  <si>
    <t>Sim 7359</t>
  </si>
  <si>
    <t>Sim 7360</t>
  </si>
  <si>
    <t>Sim 7361</t>
  </si>
  <si>
    <t>Sim 7362</t>
  </si>
  <si>
    <t>Sim 7363</t>
  </si>
  <si>
    <t>Sim 7364</t>
  </si>
  <si>
    <t>Sim 7365</t>
  </si>
  <si>
    <t>Sim 7366</t>
  </si>
  <si>
    <t>Sim 7367</t>
  </si>
  <si>
    <t>Sim 7368</t>
  </si>
  <si>
    <t>Sim 7369</t>
  </si>
  <si>
    <t>Sim 7370</t>
  </si>
  <si>
    <t>Sim 7371</t>
  </si>
  <si>
    <t>Sim 7372</t>
  </si>
  <si>
    <t>Sim 7373</t>
  </si>
  <si>
    <t>Sim 7374</t>
  </si>
  <si>
    <t>Sim 7375</t>
  </si>
  <si>
    <t>Sim 7376</t>
  </si>
  <si>
    <t>Sim 7377</t>
  </si>
  <si>
    <t>Sim 7378</t>
  </si>
  <si>
    <t>Sim 7379</t>
  </si>
  <si>
    <t>Sim 7380</t>
  </si>
  <si>
    <t>Sim 7381</t>
  </si>
  <si>
    <t>Sim 7382</t>
  </si>
  <si>
    <t>Sim 7383</t>
  </si>
  <si>
    <t>Sim 7384</t>
  </si>
  <si>
    <t>Sim 7385</t>
  </si>
  <si>
    <t>Sim 7386</t>
  </si>
  <si>
    <t>Sim 7387</t>
  </si>
  <si>
    <t>Sim 7388</t>
  </si>
  <si>
    <t>Sim 7389</t>
  </si>
  <si>
    <t>Sim 7390</t>
  </si>
  <si>
    <t>Sim 7391</t>
  </si>
  <si>
    <t>Sim 7392</t>
  </si>
  <si>
    <t>Sim 7393</t>
  </si>
  <si>
    <t>Sim 7394</t>
  </si>
  <si>
    <t>Sim 7395</t>
  </si>
  <si>
    <t>Sim 7396</t>
  </si>
  <si>
    <t>Sim 7397</t>
  </si>
  <si>
    <t>Sim 7398</t>
  </si>
  <si>
    <t>Sim 7399</t>
  </si>
  <si>
    <t>Sim 7400</t>
  </si>
  <si>
    <t>Sim 7401</t>
  </si>
  <si>
    <t>Sim 7402</t>
  </si>
  <si>
    <t>Sim 7403</t>
  </si>
  <si>
    <t>Sim 7404</t>
  </si>
  <si>
    <t>Sim 7405</t>
  </si>
  <si>
    <t>Sim 7406</t>
  </si>
  <si>
    <t>Sim 7407</t>
  </si>
  <si>
    <t>Sim 7408</t>
  </si>
  <si>
    <t>Sim 7409</t>
  </si>
  <si>
    <t>Sim 7410</t>
  </si>
  <si>
    <t>Sim 7411</t>
  </si>
  <si>
    <t>Sim 7412</t>
  </si>
  <si>
    <t>Sim 7413</t>
  </si>
  <si>
    <t>Sim 7414</t>
  </si>
  <si>
    <t>Sim 7415</t>
  </si>
  <si>
    <t>Sim 7416</t>
  </si>
  <si>
    <t>Sim 7417</t>
  </si>
  <si>
    <t>Sim 7418</t>
  </si>
  <si>
    <t>Sim 7419</t>
  </si>
  <si>
    <t>Sim 7420</t>
  </si>
  <si>
    <t>Sim 7421</t>
  </si>
  <si>
    <t>Sim 7422</t>
  </si>
  <si>
    <t>Sim 7423</t>
  </si>
  <si>
    <t>Sim 7424</t>
  </si>
  <si>
    <t>Sim 7425</t>
  </si>
  <si>
    <t>Sim 7426</t>
  </si>
  <si>
    <t>Sim 7427</t>
  </si>
  <si>
    <t>Sim 7428</t>
  </si>
  <si>
    <t>Sim 7429</t>
  </si>
  <si>
    <t>Sim 7430</t>
  </si>
  <si>
    <t>Sim 7431</t>
  </si>
  <si>
    <t>Sim 7432</t>
  </si>
  <si>
    <t>Sim 7433</t>
  </si>
  <si>
    <t>Sim 7434</t>
  </si>
  <si>
    <t>Sim 7435</t>
  </si>
  <si>
    <t>Sim 7436</t>
  </si>
  <si>
    <t>Sim 7437</t>
  </si>
  <si>
    <t>Sim 7438</t>
  </si>
  <si>
    <t>Sim 7439</t>
  </si>
  <si>
    <t>Sim 7440</t>
  </si>
  <si>
    <t>Sim 7441</t>
  </si>
  <si>
    <t>Sim 7442</t>
  </si>
  <si>
    <t>Sim 7443</t>
  </si>
  <si>
    <t>Sim 7444</t>
  </si>
  <si>
    <t>Sim 7445</t>
  </si>
  <si>
    <t>Sim 7446</t>
  </si>
  <si>
    <t>Sim 7447</t>
  </si>
  <si>
    <t>Sim 7448</t>
  </si>
  <si>
    <t>Sim 7449</t>
  </si>
  <si>
    <t>Sim 7450</t>
  </si>
  <si>
    <t>Sim 7451</t>
  </si>
  <si>
    <t>Sim 7452</t>
  </si>
  <si>
    <t>Sim 7453</t>
  </si>
  <si>
    <t>Sim 7454</t>
  </si>
  <si>
    <t>Sim 7455</t>
  </si>
  <si>
    <t>Sim 7456</t>
  </si>
  <si>
    <t>Sim 7457</t>
  </si>
  <si>
    <t>Sim 7458</t>
  </si>
  <si>
    <t>Sim 7459</t>
  </si>
  <si>
    <t>Sim 7460</t>
  </si>
  <si>
    <t>Sim 7461</t>
  </si>
  <si>
    <t>Sim 7462</t>
  </si>
  <si>
    <t>Sim 7463</t>
  </si>
  <si>
    <t>Sim 7464</t>
  </si>
  <si>
    <t>Sim 7465</t>
  </si>
  <si>
    <t>Sim 7466</t>
  </si>
  <si>
    <t>Sim 7467</t>
  </si>
  <si>
    <t>Sim 7468</t>
  </si>
  <si>
    <t>Sim 7469</t>
  </si>
  <si>
    <t>Sim 7470</t>
  </si>
  <si>
    <t>Sim 7471</t>
  </si>
  <si>
    <t>Sim 7472</t>
  </si>
  <si>
    <t>Sim 7473</t>
  </si>
  <si>
    <t>Sim 7474</t>
  </si>
  <si>
    <t>Sim 7475</t>
  </si>
  <si>
    <t>Sim 7476</t>
  </si>
  <si>
    <t>Sim 7477</t>
  </si>
  <si>
    <t>Sim 7478</t>
  </si>
  <si>
    <t>Sim 7479</t>
  </si>
  <si>
    <t>Sim 7480</t>
  </si>
  <si>
    <t>Sim 7481</t>
  </si>
  <si>
    <t>Sim 7482</t>
  </si>
  <si>
    <t>Sim 7483</t>
  </si>
  <si>
    <t>Sim 7484</t>
  </si>
  <si>
    <t>Sim 7485</t>
  </si>
  <si>
    <t>Sim 7486</t>
  </si>
  <si>
    <t>Sim 7487</t>
  </si>
  <si>
    <t>Sim 7488</t>
  </si>
  <si>
    <t>Sim 7489</t>
  </si>
  <si>
    <t>Sim 7490</t>
  </si>
  <si>
    <t>Sim 7491</t>
  </si>
  <si>
    <t>Sim 7492</t>
  </si>
  <si>
    <t>Sim 7493</t>
  </si>
  <si>
    <t>Sim 7494</t>
  </si>
  <si>
    <t>Sim 7495</t>
  </si>
  <si>
    <t>Sim 7496</t>
  </si>
  <si>
    <t>Sim 7497</t>
  </si>
  <si>
    <t>Sim 7498</t>
  </si>
  <si>
    <t>Sim 7499</t>
  </si>
  <si>
    <t>Sim 7500</t>
  </si>
  <si>
    <t>Sim 7501</t>
  </si>
  <si>
    <t>Sim 7502</t>
  </si>
  <si>
    <t>Sim 7503</t>
  </si>
  <si>
    <t>Sim 7504</t>
  </si>
  <si>
    <t>Sim 7505</t>
  </si>
  <si>
    <t>Sim 7506</t>
  </si>
  <si>
    <t>Sim 7507</t>
  </si>
  <si>
    <t>Sim 7508</t>
  </si>
  <si>
    <t>Sim 7509</t>
  </si>
  <si>
    <t>Sim 7510</t>
  </si>
  <si>
    <t>Sim 7511</t>
  </si>
  <si>
    <t>Sim 7512</t>
  </si>
  <si>
    <t>Sim 7513</t>
  </si>
  <si>
    <t>Sim 7514</t>
  </si>
  <si>
    <t>Sim 7515</t>
  </si>
  <si>
    <t>Sim 7516</t>
  </si>
  <si>
    <t>Sim 7517</t>
  </si>
  <si>
    <t>Sim 7518</t>
  </si>
  <si>
    <t>Sim 7519</t>
  </si>
  <si>
    <t>Sim 7520</t>
  </si>
  <si>
    <t>Sim 7521</t>
  </si>
  <si>
    <t>Sim 7522</t>
  </si>
  <si>
    <t>Sim 7523</t>
  </si>
  <si>
    <t>Sim 7524</t>
  </si>
  <si>
    <t>Sim 7525</t>
  </si>
  <si>
    <t>Sim 7526</t>
  </si>
  <si>
    <t>Sim 7527</t>
  </si>
  <si>
    <t>Sim 7528</t>
  </si>
  <si>
    <t>Sim 7529</t>
  </si>
  <si>
    <t>Sim 7530</t>
  </si>
  <si>
    <t>Sim 7531</t>
  </si>
  <si>
    <t>Sim 7532</t>
  </si>
  <si>
    <t>Sim 7533</t>
  </si>
  <si>
    <t>Sim 7534</t>
  </si>
  <si>
    <t>Sim 7535</t>
  </si>
  <si>
    <t>Sim 7536</t>
  </si>
  <si>
    <t>Sim 7537</t>
  </si>
  <si>
    <t>Sim 7538</t>
  </si>
  <si>
    <t>Sim 7539</t>
  </si>
  <si>
    <t>Sim 7540</t>
  </si>
  <si>
    <t>Sim 7541</t>
  </si>
  <si>
    <t>Sim 7542</t>
  </si>
  <si>
    <t>Sim 7543</t>
  </si>
  <si>
    <t>Sim 7544</t>
  </si>
  <si>
    <t>Sim 7545</t>
  </si>
  <si>
    <t>Sim 7546</t>
  </si>
  <si>
    <t>Sim 7547</t>
  </si>
  <si>
    <t>Sim 7548</t>
  </si>
  <si>
    <t>Sim 7549</t>
  </si>
  <si>
    <t>Sim 7550</t>
  </si>
  <si>
    <t>Sim 7551</t>
  </si>
  <si>
    <t>Sim 7552</t>
  </si>
  <si>
    <t>Sim 7553</t>
  </si>
  <si>
    <t>Sim 7554</t>
  </si>
  <si>
    <t>Sim 7555</t>
  </si>
  <si>
    <t>Sim 7556</t>
  </si>
  <si>
    <t>Sim 7557</t>
  </si>
  <si>
    <t>Sim 7558</t>
  </si>
  <si>
    <t>Sim 7559</t>
  </si>
  <si>
    <t>Sim 7560</t>
  </si>
  <si>
    <t>Sim 7561</t>
  </si>
  <si>
    <t>Sim 7562</t>
  </si>
  <si>
    <t>Sim 7563</t>
  </si>
  <si>
    <t>Sim 7564</t>
  </si>
  <si>
    <t>Sim 7565</t>
  </si>
  <si>
    <t>Sim 7566</t>
  </si>
  <si>
    <t>Sim 7567</t>
  </si>
  <si>
    <t>Sim 7568</t>
  </si>
  <si>
    <t>Sim 7569</t>
  </si>
  <si>
    <t>Sim 7570</t>
  </si>
  <si>
    <t>Sim 7571</t>
  </si>
  <si>
    <t>Sim 7572</t>
  </si>
  <si>
    <t>Sim 7573</t>
  </si>
  <si>
    <t>Sim 7574</t>
  </si>
  <si>
    <t>Sim 7575</t>
  </si>
  <si>
    <t>Sim 7576</t>
  </si>
  <si>
    <t>Sim 7577</t>
  </si>
  <si>
    <t>Sim 7578</t>
  </si>
  <si>
    <t>Sim 7579</t>
  </si>
  <si>
    <t>Sim 7580</t>
  </si>
  <si>
    <t>Sim 7581</t>
  </si>
  <si>
    <t>Sim 7582</t>
  </si>
  <si>
    <t>Sim 7583</t>
  </si>
  <si>
    <t>Sim 7584</t>
  </si>
  <si>
    <t>Sim 7585</t>
  </si>
  <si>
    <t>Sim 7586</t>
  </si>
  <si>
    <t>Sim 7587</t>
  </si>
  <si>
    <t>Sim 7588</t>
  </si>
  <si>
    <t>Sim 7589</t>
  </si>
  <si>
    <t>Sim 7590</t>
  </si>
  <si>
    <t>Sim 7591</t>
  </si>
  <si>
    <t>Sim 7592</t>
  </si>
  <si>
    <t>Sim 7593</t>
  </si>
  <si>
    <t>Sim 7594</t>
  </si>
  <si>
    <t>Sim 7595</t>
  </si>
  <si>
    <t>Sim 7596</t>
  </si>
  <si>
    <t>Sim 7597</t>
  </si>
  <si>
    <t>Sim 7598</t>
  </si>
  <si>
    <t>Sim 7599</t>
  </si>
  <si>
    <t>Sim 7600</t>
  </si>
  <si>
    <t>Sim 7601</t>
  </si>
  <si>
    <t>Sim 7602</t>
  </si>
  <si>
    <t>Sim 7603</t>
  </si>
  <si>
    <t>Sim 7604</t>
  </si>
  <si>
    <t>Sim 7605</t>
  </si>
  <si>
    <t>Sim 7606</t>
  </si>
  <si>
    <t>Sim 7607</t>
  </si>
  <si>
    <t>Sim 7608</t>
  </si>
  <si>
    <t>Sim 7609</t>
  </si>
  <si>
    <t>Sim 7610</t>
  </si>
  <si>
    <t>Sim 7611</t>
  </si>
  <si>
    <t>Sim 7612</t>
  </si>
  <si>
    <t>Sim 7613</t>
  </si>
  <si>
    <t>Sim 7614</t>
  </si>
  <si>
    <t>Sim 7615</t>
  </si>
  <si>
    <t>Sim 7616</t>
  </si>
  <si>
    <t>Sim 7617</t>
  </si>
  <si>
    <t>Sim 7618</t>
  </si>
  <si>
    <t>Sim 7619</t>
  </si>
  <si>
    <t>Sim 7620</t>
  </si>
  <si>
    <t>Sim 7621</t>
  </si>
  <si>
    <t>Sim 7622</t>
  </si>
  <si>
    <t>Sim 7623</t>
  </si>
  <si>
    <t>Sim 7624</t>
  </si>
  <si>
    <t>Sim 7625</t>
  </si>
  <si>
    <t>Sim 7626</t>
  </si>
  <si>
    <t>Sim 7627</t>
  </si>
  <si>
    <t>Sim 7628</t>
  </si>
  <si>
    <t>Sim 7629</t>
  </si>
  <si>
    <t>Sim 7630</t>
  </si>
  <si>
    <t>Sim 7631</t>
  </si>
  <si>
    <t>Sim 7632</t>
  </si>
  <si>
    <t>Sim 7633</t>
  </si>
  <si>
    <t>Sim 7634</t>
  </si>
  <si>
    <t>Sim 7635</t>
  </si>
  <si>
    <t>Sim 7636</t>
  </si>
  <si>
    <t>Sim 7637</t>
  </si>
  <si>
    <t>Sim 7638</t>
  </si>
  <si>
    <t>Sim 7639</t>
  </si>
  <si>
    <t>Sim 7640</t>
  </si>
  <si>
    <t>Sim 7641</t>
  </si>
  <si>
    <t>Sim 7642</t>
  </si>
  <si>
    <t>Sim 7643</t>
  </si>
  <si>
    <t>Sim 7644</t>
  </si>
  <si>
    <t>Sim 7645</t>
  </si>
  <si>
    <t>Sim 7646</t>
  </si>
  <si>
    <t>Sim 7647</t>
  </si>
  <si>
    <t>Sim 7648</t>
  </si>
  <si>
    <t>Sim 7649</t>
  </si>
  <si>
    <t>Sim 7650</t>
  </si>
  <si>
    <t>Sim 7651</t>
  </si>
  <si>
    <t>Sim 7652</t>
  </si>
  <si>
    <t>Sim 7653</t>
  </si>
  <si>
    <t>Sim 7654</t>
  </si>
  <si>
    <t>Sim 7655</t>
  </si>
  <si>
    <t>Sim 7656</t>
  </si>
  <si>
    <t>Sim 7657</t>
  </si>
  <si>
    <t>Sim 7658</t>
  </si>
  <si>
    <t>Sim 7659</t>
  </si>
  <si>
    <t>Sim 7660</t>
  </si>
  <si>
    <t>Sim 7661</t>
  </si>
  <si>
    <t>Sim 7662</t>
  </si>
  <si>
    <t>Sim 7663</t>
  </si>
  <si>
    <t>Sim 7664</t>
  </si>
  <si>
    <t>Sim 7665</t>
  </si>
  <si>
    <t>Sim 7666</t>
  </si>
  <si>
    <t>Sim 7667</t>
  </si>
  <si>
    <t>Sim 7668</t>
  </si>
  <si>
    <t>Sim 7669</t>
  </si>
  <si>
    <t>Sim 7670</t>
  </si>
  <si>
    <t>Sim 7671</t>
  </si>
  <si>
    <t>Sim 7672</t>
  </si>
  <si>
    <t>Sim 7673</t>
  </si>
  <si>
    <t>Sim 7674</t>
  </si>
  <si>
    <t>Sim 7675</t>
  </si>
  <si>
    <t>Sim 7676</t>
  </si>
  <si>
    <t>Sim 7677</t>
  </si>
  <si>
    <t>Sim 7678</t>
  </si>
  <si>
    <t>Sim 7679</t>
  </si>
  <si>
    <t>Sim 7680</t>
  </si>
  <si>
    <t>Sim 7681</t>
  </si>
  <si>
    <t>Sim 7682</t>
  </si>
  <si>
    <t>Sim 7683</t>
  </si>
  <si>
    <t>Sim 7684</t>
  </si>
  <si>
    <t>Sim 7685</t>
  </si>
  <si>
    <t>Sim 7686</t>
  </si>
  <si>
    <t>Sim 7687</t>
  </si>
  <si>
    <t>Sim 7688</t>
  </si>
  <si>
    <t>Sim 7689</t>
  </si>
  <si>
    <t>Sim 7690</t>
  </si>
  <si>
    <t>Sim 7691</t>
  </si>
  <si>
    <t>Sim 7692</t>
  </si>
  <si>
    <t>Sim 7693</t>
  </si>
  <si>
    <t>Sim 7694</t>
  </si>
  <si>
    <t>Sim 7695</t>
  </si>
  <si>
    <t>Sim 7696</t>
  </si>
  <si>
    <t>Sim 7697</t>
  </si>
  <si>
    <t>Sim 7698</t>
  </si>
  <si>
    <t>Sim 7699</t>
  </si>
  <si>
    <t>Sim 7700</t>
  </si>
  <si>
    <t>Sim 7701</t>
  </si>
  <si>
    <t>Sim 7702</t>
  </si>
  <si>
    <t>Sim 7703</t>
  </si>
  <si>
    <t>Sim 7704</t>
  </si>
  <si>
    <t>Sim 7705</t>
  </si>
  <si>
    <t>Sim 7706</t>
  </si>
  <si>
    <t>Sim 7707</t>
  </si>
  <si>
    <t>Sim 7708</t>
  </si>
  <si>
    <t>Sim 7709</t>
  </si>
  <si>
    <t>Sim 7710</t>
  </si>
  <si>
    <t>Sim 7711</t>
  </si>
  <si>
    <t>Sim 7712</t>
  </si>
  <si>
    <t>Sim 7713</t>
  </si>
  <si>
    <t>Sim 7714</t>
  </si>
  <si>
    <t>Sim 7715</t>
  </si>
  <si>
    <t>Sim 7716</t>
  </si>
  <si>
    <t>Sim 7717</t>
  </si>
  <si>
    <t>Sim 7718</t>
  </si>
  <si>
    <t>Sim 7719</t>
  </si>
  <si>
    <t>Sim 7720</t>
  </si>
  <si>
    <t>Sim 7721</t>
  </si>
  <si>
    <t>Sim 7722</t>
  </si>
  <si>
    <t>Sim 7723</t>
  </si>
  <si>
    <t>Sim 7724</t>
  </si>
  <si>
    <t>Sim 7725</t>
  </si>
  <si>
    <t>Sim 7726</t>
  </si>
  <si>
    <t>Sim 7727</t>
  </si>
  <si>
    <t>Sim 7728</t>
  </si>
  <si>
    <t>Sim 7729</t>
  </si>
  <si>
    <t>Sim 7730</t>
  </si>
  <si>
    <t>Sim 7731</t>
  </si>
  <si>
    <t>Sim 7732</t>
  </si>
  <si>
    <t>Sim 7733</t>
  </si>
  <si>
    <t>Sim 7734</t>
  </si>
  <si>
    <t>Sim 7735</t>
  </si>
  <si>
    <t>Sim 7736</t>
  </si>
  <si>
    <t>Sim 7737</t>
  </si>
  <si>
    <t>Sim 7738</t>
  </si>
  <si>
    <t>Sim 7739</t>
  </si>
  <si>
    <t>Sim 7740</t>
  </si>
  <si>
    <t>Sim 7741</t>
  </si>
  <si>
    <t>Sim 7742</t>
  </si>
  <si>
    <t>Sim 7743</t>
  </si>
  <si>
    <t>Sim 7744</t>
  </si>
  <si>
    <t>Sim 7745</t>
  </si>
  <si>
    <t>Sim 7746</t>
  </si>
  <si>
    <t>Sim 7747</t>
  </si>
  <si>
    <t>Sim 7748</t>
  </si>
  <si>
    <t>Sim 7749</t>
  </si>
  <si>
    <t>Sim 7750</t>
  </si>
  <si>
    <t>Sim 7751</t>
  </si>
  <si>
    <t>Sim 7752</t>
  </si>
  <si>
    <t>Sim 7753</t>
  </si>
  <si>
    <t>Sim 7754</t>
  </si>
  <si>
    <t>Sim 7755</t>
  </si>
  <si>
    <t>Sim 7756</t>
  </si>
  <si>
    <t>Sim 7757</t>
  </si>
  <si>
    <t>Sim 7758</t>
  </si>
  <si>
    <t>Sim 7759</t>
  </si>
  <si>
    <t>Sim 7760</t>
  </si>
  <si>
    <t>Sim 7761</t>
  </si>
  <si>
    <t>Sim 7762</t>
  </si>
  <si>
    <t>Sim 7763</t>
  </si>
  <si>
    <t>Sim 7764</t>
  </si>
  <si>
    <t>Sim 7765</t>
  </si>
  <si>
    <t>Sim 7766</t>
  </si>
  <si>
    <t>Sim 7767</t>
  </si>
  <si>
    <t>Sim 7768</t>
  </si>
  <si>
    <t>Sim 7769</t>
  </si>
  <si>
    <t>Sim 7770</t>
  </si>
  <si>
    <t>Sim 7771</t>
  </si>
  <si>
    <t>Sim 7772</t>
  </si>
  <si>
    <t>Sim 7773</t>
  </si>
  <si>
    <t>Sim 7774</t>
  </si>
  <si>
    <t>Sim 7775</t>
  </si>
  <si>
    <t>Sim 7776</t>
  </si>
  <si>
    <t>Sim 7777</t>
  </si>
  <si>
    <t>Sim 7778</t>
  </si>
  <si>
    <t>Sim 7779</t>
  </si>
  <si>
    <t>Sim 7780</t>
  </si>
  <si>
    <t>Sim 7781</t>
  </si>
  <si>
    <t>Sim 7782</t>
  </si>
  <si>
    <t>Sim 7783</t>
  </si>
  <si>
    <t>Sim 7784</t>
  </si>
  <si>
    <t>Sim 7785</t>
  </si>
  <si>
    <t>Sim 7786</t>
  </si>
  <si>
    <t>Sim 7787</t>
  </si>
  <si>
    <t>Sim 7788</t>
  </si>
  <si>
    <t>Sim 7789</t>
  </si>
  <si>
    <t>Sim 7790</t>
  </si>
  <si>
    <t>Sim 7791</t>
  </si>
  <si>
    <t>Sim 7792</t>
  </si>
  <si>
    <t>Sim 7793</t>
  </si>
  <si>
    <t>Sim 7794</t>
  </si>
  <si>
    <t>Sim 7795</t>
  </si>
  <si>
    <t>Sim 7796</t>
  </si>
  <si>
    <t>Sim 7797</t>
  </si>
  <si>
    <t>Sim 7798</t>
  </si>
  <si>
    <t>Sim 7799</t>
  </si>
  <si>
    <t>Sim 7800</t>
  </si>
  <si>
    <t>Sim 7801</t>
  </si>
  <si>
    <t>Sim 7802</t>
  </si>
  <si>
    <t>Sim 7803</t>
  </si>
  <si>
    <t>Sim 7804</t>
  </si>
  <si>
    <t>Sim 7805</t>
  </si>
  <si>
    <t>Sim 7806</t>
  </si>
  <si>
    <t>Sim 7807</t>
  </si>
  <si>
    <t>Sim 7808</t>
  </si>
  <si>
    <t>Sim 7809</t>
  </si>
  <si>
    <t>Sim 7810</t>
  </si>
  <si>
    <t>Sim 7811</t>
  </si>
  <si>
    <t>Sim 7812</t>
  </si>
  <si>
    <t>Sim 7813</t>
  </si>
  <si>
    <t>Sim 7814</t>
  </si>
  <si>
    <t>Sim 7815</t>
  </si>
  <si>
    <t>Sim 7816</t>
  </si>
  <si>
    <t>Sim 7817</t>
  </si>
  <si>
    <t>Sim 7818</t>
  </si>
  <si>
    <t>Sim 7819</t>
  </si>
  <si>
    <t>Sim 7820</t>
  </si>
  <si>
    <t>Sim 7821</t>
  </si>
  <si>
    <t>Sim 7822</t>
  </si>
  <si>
    <t>Sim 7823</t>
  </si>
  <si>
    <t>Sim 7824</t>
  </si>
  <si>
    <t>Sim 7825</t>
  </si>
  <si>
    <t>Sim 7826</t>
  </si>
  <si>
    <t>Sim 7827</t>
  </si>
  <si>
    <t>Sim 7828</t>
  </si>
  <si>
    <t>Sim 7829</t>
  </si>
  <si>
    <t>Sim 7830</t>
  </si>
  <si>
    <t>Sim 7831</t>
  </si>
  <si>
    <t>Sim 7832</t>
  </si>
  <si>
    <t>Sim 7833</t>
  </si>
  <si>
    <t>Sim 7834</t>
  </si>
  <si>
    <t>Sim 7835</t>
  </si>
  <si>
    <t>Sim 7836</t>
  </si>
  <si>
    <t>Sim 7837</t>
  </si>
  <si>
    <t>Sim 7838</t>
  </si>
  <si>
    <t>Sim 7839</t>
  </si>
  <si>
    <t>Sim 7840</t>
  </si>
  <si>
    <t>Sim 7841</t>
  </si>
  <si>
    <t>Sim 7842</t>
  </si>
  <si>
    <t>Sim 7843</t>
  </si>
  <si>
    <t>Sim 7844</t>
  </si>
  <si>
    <t>Sim 7845</t>
  </si>
  <si>
    <t>Sim 7846</t>
  </si>
  <si>
    <t>Sim 7847</t>
  </si>
  <si>
    <t>Sim 7848</t>
  </si>
  <si>
    <t>Sim 7849</t>
  </si>
  <si>
    <t>Sim 7850</t>
  </si>
  <si>
    <t>Sim 7851</t>
  </si>
  <si>
    <t>Sim 7852</t>
  </si>
  <si>
    <t>Sim 7853</t>
  </si>
  <si>
    <t>Sim 7854</t>
  </si>
  <si>
    <t>Sim 7855</t>
  </si>
  <si>
    <t>Sim 7856</t>
  </si>
  <si>
    <t>Sim 7857</t>
  </si>
  <si>
    <t>Sim 7858</t>
  </si>
  <si>
    <t>Sim 7859</t>
  </si>
  <si>
    <t>Sim 7860</t>
  </si>
  <si>
    <t>Sim 7861</t>
  </si>
  <si>
    <t>Sim 7862</t>
  </si>
  <si>
    <t>Sim 7863</t>
  </si>
  <si>
    <t>Sim 7864</t>
  </si>
  <si>
    <t>Sim 7865</t>
  </si>
  <si>
    <t>Sim 7866</t>
  </si>
  <si>
    <t>Sim 7867</t>
  </si>
  <si>
    <t>Sim 7868</t>
  </si>
  <si>
    <t>Sim 7869</t>
  </si>
  <si>
    <t>Sim 7870</t>
  </si>
  <si>
    <t>Sim 7871</t>
  </si>
  <si>
    <t>Sim 7872</t>
  </si>
  <si>
    <t>Sim 7873</t>
  </si>
  <si>
    <t>Sim 7874</t>
  </si>
  <si>
    <t>Sim 7875</t>
  </si>
  <si>
    <t>Sim 7876</t>
  </si>
  <si>
    <t>Sim 7877</t>
  </si>
  <si>
    <t>Sim 7878</t>
  </si>
  <si>
    <t>Sim 7879</t>
  </si>
  <si>
    <t>Sim 7880</t>
  </si>
  <si>
    <t>Sim 7881</t>
  </si>
  <si>
    <t>Sim 7882</t>
  </si>
  <si>
    <t>Sim 7883</t>
  </si>
  <si>
    <t>Sim 7884</t>
  </si>
  <si>
    <t>Sim 7885</t>
  </si>
  <si>
    <t>Sim 7886</t>
  </si>
  <si>
    <t>Sim 7887</t>
  </si>
  <si>
    <t>Sim 7888</t>
  </si>
  <si>
    <t>Sim 7889</t>
  </si>
  <si>
    <t>Sim 7890</t>
  </si>
  <si>
    <t>Sim 7891</t>
  </si>
  <si>
    <t>Sim 7892</t>
  </si>
  <si>
    <t>Sim 7893</t>
  </si>
  <si>
    <t>Sim 7894</t>
  </si>
  <si>
    <t>Sim 7895</t>
  </si>
  <si>
    <t>Sim 7896</t>
  </si>
  <si>
    <t>Sim 7897</t>
  </si>
  <si>
    <t>Sim 7898</t>
  </si>
  <si>
    <t>Sim 7899</t>
  </si>
  <si>
    <t>Sim 7900</t>
  </si>
  <si>
    <t>Sim 7901</t>
  </si>
  <si>
    <t>Sim 7902</t>
  </si>
  <si>
    <t>Sim 7903</t>
  </si>
  <si>
    <t>Sim 7904</t>
  </si>
  <si>
    <t>Sim 7905</t>
  </si>
  <si>
    <t>Sim 7906</t>
  </si>
  <si>
    <t>Sim 7907</t>
  </si>
  <si>
    <t>Sim 7908</t>
  </si>
  <si>
    <t>Sim 7909</t>
  </si>
  <si>
    <t>Sim 7910</t>
  </si>
  <si>
    <t>Sim 7911</t>
  </si>
  <si>
    <t>Sim 7912</t>
  </si>
  <si>
    <t>Sim 7913</t>
  </si>
  <si>
    <t>Sim 7914</t>
  </si>
  <si>
    <t>Sim 7915</t>
  </si>
  <si>
    <t>Sim 7916</t>
  </si>
  <si>
    <t>Sim 7917</t>
  </si>
  <si>
    <t>Sim 7918</t>
  </si>
  <si>
    <t>Sim 7919</t>
  </si>
  <si>
    <t>Sim 7920</t>
  </si>
  <si>
    <t>Sim 7921</t>
  </si>
  <si>
    <t>Sim 7922</t>
  </si>
  <si>
    <t>Sim 7923</t>
  </si>
  <si>
    <t>Sim 7924</t>
  </si>
  <si>
    <t>Sim 7925</t>
  </si>
  <si>
    <t>Sim 7926</t>
  </si>
  <si>
    <t>Sim 7927</t>
  </si>
  <si>
    <t>Sim 7928</t>
  </si>
  <si>
    <t>Sim 7929</t>
  </si>
  <si>
    <t>Sim 7930</t>
  </si>
  <si>
    <t>Sim 7931</t>
  </si>
  <si>
    <t>Sim 7932</t>
  </si>
  <si>
    <t>Sim 7933</t>
  </si>
  <si>
    <t>Sim 7934</t>
  </si>
  <si>
    <t>Sim 7935</t>
  </si>
  <si>
    <t>Sim 7936</t>
  </si>
  <si>
    <t>Sim 7937</t>
  </si>
  <si>
    <t>Sim 7938</t>
  </si>
  <si>
    <t>Sim 7939</t>
  </si>
  <si>
    <t>Sim 7940</t>
  </si>
  <si>
    <t>Sim 7941</t>
  </si>
  <si>
    <t>Sim 7942</t>
  </si>
  <si>
    <t>Sim 7943</t>
  </si>
  <si>
    <t>Sim 7944</t>
  </si>
  <si>
    <t>Sim 7945</t>
  </si>
  <si>
    <t>Sim 7946</t>
  </si>
  <si>
    <t>Sim 7947</t>
  </si>
  <si>
    <t>Sim 7948</t>
  </si>
  <si>
    <t>Sim 7949</t>
  </si>
  <si>
    <t>Sim 7950</t>
  </si>
  <si>
    <t>Sim 7951</t>
  </si>
  <si>
    <t>Sim 7952</t>
  </si>
  <si>
    <t>Sim 7953</t>
  </si>
  <si>
    <t>Sim 7954</t>
  </si>
  <si>
    <t>Sim 7955</t>
  </si>
  <si>
    <t>Sim 7956</t>
  </si>
  <si>
    <t>Sim 7957</t>
  </si>
  <si>
    <t>Sim 7958</t>
  </si>
  <si>
    <t>Sim 7959</t>
  </si>
  <si>
    <t>Sim 7960</t>
  </si>
  <si>
    <t>Sim 7961</t>
  </si>
  <si>
    <t>Sim 7962</t>
  </si>
  <si>
    <t>Sim 7963</t>
  </si>
  <si>
    <t>Sim 7964</t>
  </si>
  <si>
    <t>Sim 7965</t>
  </si>
  <si>
    <t>Sim 7966</t>
  </si>
  <si>
    <t>Sim 7967</t>
  </si>
  <si>
    <t>Sim 7968</t>
  </si>
  <si>
    <t>Sim 7969</t>
  </si>
  <si>
    <t>Sim 7970</t>
  </si>
  <si>
    <t>Sim 7971</t>
  </si>
  <si>
    <t>Sim 7972</t>
  </si>
  <si>
    <t>Sim 7973</t>
  </si>
  <si>
    <t>Sim 7974</t>
  </si>
  <si>
    <t>Sim 7975</t>
  </si>
  <si>
    <t>Sim 7976</t>
  </si>
  <si>
    <t>Sim 7977</t>
  </si>
  <si>
    <t>Sim 7978</t>
  </si>
  <si>
    <t>Sim 7979</t>
  </si>
  <si>
    <t>Sim 7980</t>
  </si>
  <si>
    <t>Sim 7981</t>
  </si>
  <si>
    <t>Sim 7982</t>
  </si>
  <si>
    <t>Sim 7983</t>
  </si>
  <si>
    <t>Sim 7984</t>
  </si>
  <si>
    <t>Sim 7985</t>
  </si>
  <si>
    <t>Sim 7986</t>
  </si>
  <si>
    <t>Sim 7987</t>
  </si>
  <si>
    <t>Sim 7988</t>
  </si>
  <si>
    <t>Sim 7989</t>
  </si>
  <si>
    <t>Sim 7990</t>
  </si>
  <si>
    <t>Sim 7991</t>
  </si>
  <si>
    <t>Sim 7992</t>
  </si>
  <si>
    <t>Sim 7993</t>
  </si>
  <si>
    <t>Sim 7994</t>
  </si>
  <si>
    <t>Sim 7995</t>
  </si>
  <si>
    <t>Sim 7996</t>
  </si>
  <si>
    <t>Sim 7997</t>
  </si>
  <si>
    <t>Sim 7998</t>
  </si>
  <si>
    <t>Sim 7999</t>
  </si>
  <si>
    <t>Sim 8000</t>
  </si>
  <si>
    <t>Sim 8001</t>
  </si>
  <si>
    <t>Sim 8002</t>
  </si>
  <si>
    <t>Sim 8003</t>
  </si>
  <si>
    <t>Sim 8004</t>
  </si>
  <si>
    <t>Sim 8005</t>
  </si>
  <si>
    <t>Sim 8006</t>
  </si>
  <si>
    <t>Sim 8007</t>
  </si>
  <si>
    <t>Sim 8008</t>
  </si>
  <si>
    <t>Sim 8009</t>
  </si>
  <si>
    <t>Sim 8010</t>
  </si>
  <si>
    <t>Sim 8011</t>
  </si>
  <si>
    <t>Sim 8012</t>
  </si>
  <si>
    <t>Sim 8013</t>
  </si>
  <si>
    <t>Sim 8014</t>
  </si>
  <si>
    <t>Sim 8015</t>
  </si>
  <si>
    <t>Sim 8016</t>
  </si>
  <si>
    <t>Sim 8017</t>
  </si>
  <si>
    <t>Sim 8018</t>
  </si>
  <si>
    <t>Sim 8019</t>
  </si>
  <si>
    <t>Sim 8020</t>
  </si>
  <si>
    <t>Sim 8021</t>
  </si>
  <si>
    <t>Sim 8022</t>
  </si>
  <si>
    <t>Sim 8023</t>
  </si>
  <si>
    <t>Sim 8024</t>
  </si>
  <si>
    <t>Sim 8025</t>
  </si>
  <si>
    <t>Sim 8026</t>
  </si>
  <si>
    <t>Sim 8027</t>
  </si>
  <si>
    <t>Sim 8028</t>
  </si>
  <si>
    <t>Sim 8029</t>
  </si>
  <si>
    <t>Sim 8030</t>
  </si>
  <si>
    <t>Sim 8031</t>
  </si>
  <si>
    <t>Sim 8032</t>
  </si>
  <si>
    <t>Sim 8033</t>
  </si>
  <si>
    <t>Sim 8034</t>
  </si>
  <si>
    <t>Sim 8035</t>
  </si>
  <si>
    <t>Sim 8036</t>
  </si>
  <si>
    <t>Sim 8037</t>
  </si>
  <si>
    <t>Sim 8038</t>
  </si>
  <si>
    <t>Sim 8039</t>
  </si>
  <si>
    <t>Sim 8040</t>
  </si>
  <si>
    <t>Sim 8041</t>
  </si>
  <si>
    <t>Sim 8042</t>
  </si>
  <si>
    <t>Sim 8043</t>
  </si>
  <si>
    <t>Sim 8044</t>
  </si>
  <si>
    <t>Sim 8045</t>
  </si>
  <si>
    <t>Sim 8046</t>
  </si>
  <si>
    <t>Sim 8047</t>
  </si>
  <si>
    <t>Sim 8048</t>
  </si>
  <si>
    <t>Sim 8049</t>
  </si>
  <si>
    <t>Sim 8050</t>
  </si>
  <si>
    <t>Sim 8051</t>
  </si>
  <si>
    <t>Sim 8052</t>
  </si>
  <si>
    <t>Sim 8053</t>
  </si>
  <si>
    <t>Sim 8054</t>
  </si>
  <si>
    <t>Sim 8055</t>
  </si>
  <si>
    <t>Sim 8056</t>
  </si>
  <si>
    <t>Sim 8057</t>
  </si>
  <si>
    <t>Sim 8058</t>
  </si>
  <si>
    <t>Sim 8059</t>
  </si>
  <si>
    <t>Sim 8060</t>
  </si>
  <si>
    <t>Sim 8061</t>
  </si>
  <si>
    <t>Sim 8062</t>
  </si>
  <si>
    <t>Sim 8063</t>
  </si>
  <si>
    <t>Sim 8064</t>
  </si>
  <si>
    <t>Sim 8065</t>
  </si>
  <si>
    <t>Sim 8066</t>
  </si>
  <si>
    <t>Sim 8067</t>
  </si>
  <si>
    <t>Sim 8068</t>
  </si>
  <si>
    <t>Sim 8069</t>
  </si>
  <si>
    <t>Sim 8070</t>
  </si>
  <si>
    <t>Sim 8071</t>
  </si>
  <si>
    <t>Sim 8072</t>
  </si>
  <si>
    <t>Sim 8073</t>
  </si>
  <si>
    <t>Sim 8074</t>
  </si>
  <si>
    <t>Sim 8075</t>
  </si>
  <si>
    <t>Sim 8076</t>
  </si>
  <si>
    <t>Sim 8077</t>
  </si>
  <si>
    <t>Sim 8078</t>
  </si>
  <si>
    <t>Sim 8079</t>
  </si>
  <si>
    <t>Sim 8080</t>
  </si>
  <si>
    <t>Sim 8081</t>
  </si>
  <si>
    <t>Sim 8082</t>
  </si>
  <si>
    <t>Sim 8083</t>
  </si>
  <si>
    <t>Sim 8084</t>
  </si>
  <si>
    <t>Sim 8085</t>
  </si>
  <si>
    <t>Sim 8086</t>
  </si>
  <si>
    <t>Sim 8087</t>
  </si>
  <si>
    <t>Sim 8088</t>
  </si>
  <si>
    <t>Sim 8089</t>
  </si>
  <si>
    <t>Sim 8090</t>
  </si>
  <si>
    <t>Sim 8091</t>
  </si>
  <si>
    <t>Sim 8092</t>
  </si>
  <si>
    <t>Sim 8093</t>
  </si>
  <si>
    <t>Sim 8094</t>
  </si>
  <si>
    <t>Sim 8095</t>
  </si>
  <si>
    <t>Sim 8096</t>
  </si>
  <si>
    <t>Sim 8097</t>
  </si>
  <si>
    <t>Sim 8098</t>
  </si>
  <si>
    <t>Sim 8099</t>
  </si>
  <si>
    <t>Sim 8100</t>
  </si>
  <si>
    <t>Sim 8101</t>
  </si>
  <si>
    <t>Sim 8102</t>
  </si>
  <si>
    <t>Sim 8103</t>
  </si>
  <si>
    <t>Sim 8104</t>
  </si>
  <si>
    <t>Sim 8105</t>
  </si>
  <si>
    <t>Sim 8106</t>
  </si>
  <si>
    <t>Sim 8107</t>
  </si>
  <si>
    <t>Sim 8108</t>
  </si>
  <si>
    <t>Sim 8109</t>
  </si>
  <si>
    <t>Sim 8110</t>
  </si>
  <si>
    <t>Sim 8111</t>
  </si>
  <si>
    <t>Sim 8112</t>
  </si>
  <si>
    <t>Sim 8113</t>
  </si>
  <si>
    <t>Sim 8114</t>
  </si>
  <si>
    <t>Sim 8115</t>
  </si>
  <si>
    <t>Sim 8116</t>
  </si>
  <si>
    <t>Sim 8117</t>
  </si>
  <si>
    <t>Sim 8118</t>
  </si>
  <si>
    <t>Sim 8119</t>
  </si>
  <si>
    <t>Sim 8120</t>
  </si>
  <si>
    <t>Sim 8121</t>
  </si>
  <si>
    <t>Sim 8122</t>
  </si>
  <si>
    <t>Sim 8123</t>
  </si>
  <si>
    <t>Sim 8124</t>
  </si>
  <si>
    <t>Sim 8125</t>
  </si>
  <si>
    <t>Sim 8126</t>
  </si>
  <si>
    <t>Sim 8127</t>
  </si>
  <si>
    <t>Sim 8128</t>
  </si>
  <si>
    <t>Sim 8129</t>
  </si>
  <si>
    <t>Sim 8130</t>
  </si>
  <si>
    <t>Sim 8131</t>
  </si>
  <si>
    <t>Sim 8132</t>
  </si>
  <si>
    <t>Sim 8133</t>
  </si>
  <si>
    <t>Sim 8134</t>
  </si>
  <si>
    <t>Sim 8135</t>
  </si>
  <si>
    <t>Sim 8136</t>
  </si>
  <si>
    <t>Sim 8137</t>
  </si>
  <si>
    <t>Sim 8138</t>
  </si>
  <si>
    <t>Sim 8139</t>
  </si>
  <si>
    <t>Sim 8140</t>
  </si>
  <si>
    <t>Sim 8141</t>
  </si>
  <si>
    <t>Sim 8142</t>
  </si>
  <si>
    <t>Sim 8143</t>
  </si>
  <si>
    <t>Sim 8144</t>
  </si>
  <si>
    <t>Sim 8145</t>
  </si>
  <si>
    <t>Sim 8146</t>
  </si>
  <si>
    <t>Sim 8147</t>
  </si>
  <si>
    <t>Sim 8148</t>
  </si>
  <si>
    <t>Sim 8149</t>
  </si>
  <si>
    <t>Sim 8150</t>
  </si>
  <si>
    <t>Sim 8151</t>
  </si>
  <si>
    <t>Sim 8152</t>
  </si>
  <si>
    <t>Sim 8153</t>
  </si>
  <si>
    <t>Sim 8154</t>
  </si>
  <si>
    <t>Sim 8155</t>
  </si>
  <si>
    <t>Sim 8156</t>
  </si>
  <si>
    <t>Sim 8157</t>
  </si>
  <si>
    <t>Sim 8158</t>
  </si>
  <si>
    <t>Sim 8159</t>
  </si>
  <si>
    <t>Sim 8160</t>
  </si>
  <si>
    <t>Sim 8161</t>
  </si>
  <si>
    <t>Sim 8162</t>
  </si>
  <si>
    <t>Sim 8163</t>
  </si>
  <si>
    <t>Sim 8164</t>
  </si>
  <si>
    <t>Sim 8165</t>
  </si>
  <si>
    <t>Sim 8166</t>
  </si>
  <si>
    <t>Sim 8167</t>
  </si>
  <si>
    <t>Sim 8168</t>
  </si>
  <si>
    <t>Sim 8169</t>
  </si>
  <si>
    <t>Sim 8170</t>
  </si>
  <si>
    <t>Sim 8171</t>
  </si>
  <si>
    <t>Sim 8172</t>
  </si>
  <si>
    <t>Sim 8173</t>
  </si>
  <si>
    <t>Sim 8174</t>
  </si>
  <si>
    <t>Sim 8175</t>
  </si>
  <si>
    <t>Sim 8176</t>
  </si>
  <si>
    <t>Sim 8177</t>
  </si>
  <si>
    <t>Sim 8178</t>
  </si>
  <si>
    <t>Sim 8179</t>
  </si>
  <si>
    <t>Sim 8180</t>
  </si>
  <si>
    <t>Sim 8181</t>
  </si>
  <si>
    <t>Sim 8182</t>
  </si>
  <si>
    <t>Sim 8183</t>
  </si>
  <si>
    <t>Sim 8184</t>
  </si>
  <si>
    <t>Sim 8185</t>
  </si>
  <si>
    <t>Sim 8186</t>
  </si>
  <si>
    <t>Sim 8187</t>
  </si>
  <si>
    <t>Sim 8188</t>
  </si>
  <si>
    <t>Sim 8189</t>
  </si>
  <si>
    <t>Sim 8190</t>
  </si>
  <si>
    <t>Sim 8191</t>
  </si>
  <si>
    <t>Sim 8192</t>
  </si>
  <si>
    <t>Sim 8193</t>
  </si>
  <si>
    <t>Sim 8194</t>
  </si>
  <si>
    <t>Sim 8195</t>
  </si>
  <si>
    <t>Sim 8196</t>
  </si>
  <si>
    <t>Sim 8197</t>
  </si>
  <si>
    <t>Sim 8198</t>
  </si>
  <si>
    <t>Sim 8199</t>
  </si>
  <si>
    <t>Sim 8200</t>
  </si>
  <si>
    <t>Sim 8201</t>
  </si>
  <si>
    <t>Sim 8202</t>
  </si>
  <si>
    <t>Sim 8203</t>
  </si>
  <si>
    <t>Sim 8204</t>
  </si>
  <si>
    <t>Sim 8205</t>
  </si>
  <si>
    <t>Sim 8206</t>
  </si>
  <si>
    <t>Sim 8207</t>
  </si>
  <si>
    <t>Sim 8208</t>
  </si>
  <si>
    <t>Sim 8209</t>
  </si>
  <si>
    <t>Sim 8210</t>
  </si>
  <si>
    <t>Sim 8211</t>
  </si>
  <si>
    <t>Sim 8212</t>
  </si>
  <si>
    <t>Sim 8213</t>
  </si>
  <si>
    <t>Sim 8214</t>
  </si>
  <si>
    <t>Sim 8215</t>
  </si>
  <si>
    <t>Sim 8216</t>
  </si>
  <si>
    <t>Sim 8217</t>
  </si>
  <si>
    <t>Sim 8218</t>
  </si>
  <si>
    <t>Sim 8219</t>
  </si>
  <si>
    <t>Sim 8220</t>
  </si>
  <si>
    <t>Sim 8221</t>
  </si>
  <si>
    <t>Sim 8222</t>
  </si>
  <si>
    <t>Sim 8223</t>
  </si>
  <si>
    <t>Sim 8224</t>
  </si>
  <si>
    <t>Sim 8225</t>
  </si>
  <si>
    <t>Sim 8226</t>
  </si>
  <si>
    <t>Sim 8227</t>
  </si>
  <si>
    <t>Sim 8228</t>
  </si>
  <si>
    <t>Sim 8229</t>
  </si>
  <si>
    <t>Sim 8230</t>
  </si>
  <si>
    <t>Sim 8231</t>
  </si>
  <si>
    <t>Sim 8232</t>
  </si>
  <si>
    <t>Sim 8233</t>
  </si>
  <si>
    <t>Sim 8234</t>
  </si>
  <si>
    <t>Sim 8235</t>
  </si>
  <si>
    <t>Sim 8236</t>
  </si>
  <si>
    <t>Sim 8237</t>
  </si>
  <si>
    <t>Sim 8238</t>
  </si>
  <si>
    <t>Sim 8239</t>
  </si>
  <si>
    <t>Sim 8240</t>
  </si>
  <si>
    <t>Sim 8241</t>
  </si>
  <si>
    <t>Sim 8242</t>
  </si>
  <si>
    <t>Sim 8243</t>
  </si>
  <si>
    <t>Sim 8244</t>
  </si>
  <si>
    <t>Sim 8245</t>
  </si>
  <si>
    <t>Sim 8246</t>
  </si>
  <si>
    <t>Sim 8247</t>
  </si>
  <si>
    <t>Sim 8248</t>
  </si>
  <si>
    <t>Sim 8249</t>
  </si>
  <si>
    <t>Sim 8250</t>
  </si>
  <si>
    <t>Sim 8251</t>
  </si>
  <si>
    <t>Sim 8252</t>
  </si>
  <si>
    <t>Sim 8253</t>
  </si>
  <si>
    <t>Sim 8254</t>
  </si>
  <si>
    <t>Sim 8255</t>
  </si>
  <si>
    <t>Sim 8256</t>
  </si>
  <si>
    <t>Sim 8257</t>
  </si>
  <si>
    <t>Sim 8258</t>
  </si>
  <si>
    <t>Sim 8259</t>
  </si>
  <si>
    <t>Sim 8260</t>
  </si>
  <si>
    <t>Sim 8261</t>
  </si>
  <si>
    <t>Sim 8262</t>
  </si>
  <si>
    <t>Sim 8263</t>
  </si>
  <si>
    <t>Sim 8264</t>
  </si>
  <si>
    <t>Sim 8265</t>
  </si>
  <si>
    <t>Sim 8266</t>
  </si>
  <si>
    <t>Sim 8267</t>
  </si>
  <si>
    <t>Sim 8268</t>
  </si>
  <si>
    <t>Sim 8269</t>
  </si>
  <si>
    <t>Sim 8270</t>
  </si>
  <si>
    <t>Sim 8271</t>
  </si>
  <si>
    <t>Sim 8272</t>
  </si>
  <si>
    <t>Sim 8273</t>
  </si>
  <si>
    <t>Sim 8274</t>
  </si>
  <si>
    <t>Sim 8275</t>
  </si>
  <si>
    <t>Sim 8276</t>
  </si>
  <si>
    <t>Sim 8277</t>
  </si>
  <si>
    <t>Sim 8278</t>
  </si>
  <si>
    <t>Sim 8279</t>
  </si>
  <si>
    <t>Sim 8280</t>
  </si>
  <si>
    <t>Sim 8281</t>
  </si>
  <si>
    <t>Sim 8282</t>
  </si>
  <si>
    <t>Sim 8283</t>
  </si>
  <si>
    <t>Sim 8284</t>
  </si>
  <si>
    <t>Sim 8285</t>
  </si>
  <si>
    <t>Sim 8286</t>
  </si>
  <si>
    <t>Sim 8287</t>
  </si>
  <si>
    <t>Sim 8288</t>
  </si>
  <si>
    <t>Sim 8289</t>
  </si>
  <si>
    <t>Sim 8290</t>
  </si>
  <si>
    <t>Sim 8291</t>
  </si>
  <si>
    <t>Sim 8292</t>
  </si>
  <si>
    <t>Sim 8293</t>
  </si>
  <si>
    <t>Sim 8294</t>
  </si>
  <si>
    <t>Sim 8295</t>
  </si>
  <si>
    <t>Sim 8296</t>
  </si>
  <si>
    <t>Sim 8297</t>
  </si>
  <si>
    <t>Sim 8298</t>
  </si>
  <si>
    <t>Sim 8299</t>
  </si>
  <si>
    <t>Sim 8300</t>
  </si>
  <si>
    <t>Sim 8301</t>
  </si>
  <si>
    <t>Sim 8302</t>
  </si>
  <si>
    <t>Sim 8303</t>
  </si>
  <si>
    <t>Sim 8304</t>
  </si>
  <si>
    <t>Sim 8305</t>
  </si>
  <si>
    <t>Sim 8306</t>
  </si>
  <si>
    <t>Sim 8307</t>
  </si>
  <si>
    <t>Sim 8308</t>
  </si>
  <si>
    <t>Sim 8309</t>
  </si>
  <si>
    <t>Sim 8310</t>
  </si>
  <si>
    <t>Sim 8311</t>
  </si>
  <si>
    <t>Sim 8312</t>
  </si>
  <si>
    <t>Sim 8313</t>
  </si>
  <si>
    <t>Sim 8314</t>
  </si>
  <si>
    <t>Sim 8315</t>
  </si>
  <si>
    <t>Sim 8316</t>
  </si>
  <si>
    <t>Sim 8317</t>
  </si>
  <si>
    <t>Sim 8318</t>
  </si>
  <si>
    <t>Sim 8319</t>
  </si>
  <si>
    <t>Sim 8320</t>
  </si>
  <si>
    <t>Sim 8321</t>
  </si>
  <si>
    <t>Sim 8322</t>
  </si>
  <si>
    <t>Sim 8323</t>
  </si>
  <si>
    <t>Sim 8324</t>
  </si>
  <si>
    <t>Sim 8325</t>
  </si>
  <si>
    <t>Sim 8326</t>
  </si>
  <si>
    <t>Sim 8327</t>
  </si>
  <si>
    <t>Sim 8328</t>
  </si>
  <si>
    <t>Sim 8329</t>
  </si>
  <si>
    <t>Sim 8330</t>
  </si>
  <si>
    <t>Sim 8331</t>
  </si>
  <si>
    <t>Sim 8332</t>
  </si>
  <si>
    <t>Sim 8333</t>
  </si>
  <si>
    <t>Sim 8334</t>
  </si>
  <si>
    <t>Sim 8335</t>
  </si>
  <si>
    <t>Sim 8336</t>
  </si>
  <si>
    <t>Sim 8337</t>
  </si>
  <si>
    <t>Sim 8338</t>
  </si>
  <si>
    <t>Sim 8339</t>
  </si>
  <si>
    <t>Sim 8340</t>
  </si>
  <si>
    <t>Sim 8341</t>
  </si>
  <si>
    <t>Sim 8342</t>
  </si>
  <si>
    <t>Sim 8343</t>
  </si>
  <si>
    <t>Sim 8344</t>
  </si>
  <si>
    <t>Sim 8345</t>
  </si>
  <si>
    <t>Sim 8346</t>
  </si>
  <si>
    <t>Sim 8347</t>
  </si>
  <si>
    <t>Sim 8348</t>
  </si>
  <si>
    <t>Sim 8349</t>
  </si>
  <si>
    <t>Sim 8350</t>
  </si>
  <si>
    <t>Sim 8351</t>
  </si>
  <si>
    <t>Sim 8352</t>
  </si>
  <si>
    <t>Sim 8353</t>
  </si>
  <si>
    <t>Sim 8354</t>
  </si>
  <si>
    <t>Sim 8355</t>
  </si>
  <si>
    <t>Sim 8356</t>
  </si>
  <si>
    <t>Sim 8357</t>
  </si>
  <si>
    <t>Sim 8358</t>
  </si>
  <si>
    <t>Sim 8359</t>
  </si>
  <si>
    <t>Sim 8360</t>
  </si>
  <si>
    <t>Sim 8361</t>
  </si>
  <si>
    <t>Sim 8362</t>
  </si>
  <si>
    <t>Sim 8363</t>
  </si>
  <si>
    <t>Sim 8364</t>
  </si>
  <si>
    <t>Sim 8365</t>
  </si>
  <si>
    <t>Sim 8366</t>
  </si>
  <si>
    <t>Sim 8367</t>
  </si>
  <si>
    <t>Sim 8368</t>
  </si>
  <si>
    <t>Sim 8369</t>
  </si>
  <si>
    <t>Sim 8370</t>
  </si>
  <si>
    <t>Sim 8371</t>
  </si>
  <si>
    <t>Sim 8372</t>
  </si>
  <si>
    <t>Sim 8373</t>
  </si>
  <si>
    <t>Sim 8374</t>
  </si>
  <si>
    <t>Sim 8375</t>
  </si>
  <si>
    <t>Sim 8376</t>
  </si>
  <si>
    <t>Sim 8377</t>
  </si>
  <si>
    <t>Sim 8378</t>
  </si>
  <si>
    <t>Sim 8379</t>
  </si>
  <si>
    <t>Sim 8380</t>
  </si>
  <si>
    <t>Sim 8381</t>
  </si>
  <si>
    <t>Sim 8382</t>
  </si>
  <si>
    <t>Sim 8383</t>
  </si>
  <si>
    <t>Sim 8384</t>
  </si>
  <si>
    <t>Sim 8385</t>
  </si>
  <si>
    <t>Sim 8386</t>
  </si>
  <si>
    <t>Sim 8387</t>
  </si>
  <si>
    <t>Sim 8388</t>
  </si>
  <si>
    <t>Sim 8389</t>
  </si>
  <si>
    <t>Sim 8390</t>
  </si>
  <si>
    <t>Sim 8391</t>
  </si>
  <si>
    <t>Sim 8392</t>
  </si>
  <si>
    <t>Sim 8393</t>
  </si>
  <si>
    <t>Sim 8394</t>
  </si>
  <si>
    <t>Sim 8395</t>
  </si>
  <si>
    <t>Sim 8396</t>
  </si>
  <si>
    <t>Sim 8397</t>
  </si>
  <si>
    <t>Sim 8398</t>
  </si>
  <si>
    <t>Sim 8399</t>
  </si>
  <si>
    <t>Sim 8400</t>
  </si>
  <si>
    <t>Sim 8401</t>
  </si>
  <si>
    <t>Sim 8402</t>
  </si>
  <si>
    <t>Sim 8403</t>
  </si>
  <si>
    <t>Sim 8404</t>
  </si>
  <si>
    <t>Sim 8405</t>
  </si>
  <si>
    <t>Sim 8406</t>
  </si>
  <si>
    <t>Sim 8407</t>
  </si>
  <si>
    <t>Sim 8408</t>
  </si>
  <si>
    <t>Sim 8409</t>
  </si>
  <si>
    <t>Sim 8410</t>
  </si>
  <si>
    <t>Sim 8411</t>
  </si>
  <si>
    <t>Sim 8412</t>
  </si>
  <si>
    <t>Sim 8413</t>
  </si>
  <si>
    <t>Sim 8414</t>
  </si>
  <si>
    <t>Sim 8415</t>
  </si>
  <si>
    <t>Sim 8416</t>
  </si>
  <si>
    <t>Sim 8417</t>
  </si>
  <si>
    <t>Sim 8418</t>
  </si>
  <si>
    <t>Sim 8419</t>
  </si>
  <si>
    <t>Sim 8420</t>
  </si>
  <si>
    <t>Sim 8421</t>
  </si>
  <si>
    <t>Sim 8422</t>
  </si>
  <si>
    <t>Sim 8423</t>
  </si>
  <si>
    <t>Sim 8424</t>
  </si>
  <si>
    <t>Sim 8425</t>
  </si>
  <si>
    <t>Sim 8426</t>
  </si>
  <si>
    <t>Sim 8427</t>
  </si>
  <si>
    <t>Sim 8428</t>
  </si>
  <si>
    <t>Sim 8429</t>
  </si>
  <si>
    <t>Sim 8430</t>
  </si>
  <si>
    <t>Sim 8431</t>
  </si>
  <si>
    <t>Sim 8432</t>
  </si>
  <si>
    <t>Sim 8433</t>
  </si>
  <si>
    <t>Sim 8434</t>
  </si>
  <si>
    <t>Sim 8435</t>
  </si>
  <si>
    <t>Sim 8436</t>
  </si>
  <si>
    <t>Sim 8437</t>
  </si>
  <si>
    <t>Sim 8438</t>
  </si>
  <si>
    <t>Sim 8439</t>
  </si>
  <si>
    <t>Sim 8440</t>
  </si>
  <si>
    <t>Sim 8441</t>
  </si>
  <si>
    <t>Sim 8442</t>
  </si>
  <si>
    <t>Sim 8443</t>
  </si>
  <si>
    <t>Sim 8444</t>
  </si>
  <si>
    <t>Sim 8445</t>
  </si>
  <si>
    <t>Sim 8446</t>
  </si>
  <si>
    <t>Sim 8447</t>
  </si>
  <si>
    <t>Sim 8448</t>
  </si>
  <si>
    <t>Sim 8449</t>
  </si>
  <si>
    <t>Sim 8450</t>
  </si>
  <si>
    <t>Sim 8451</t>
  </si>
  <si>
    <t>Sim 8452</t>
  </si>
  <si>
    <t>Sim 8453</t>
  </si>
  <si>
    <t>Sim 8454</t>
  </si>
  <si>
    <t>Sim 8455</t>
  </si>
  <si>
    <t>Sim 8456</t>
  </si>
  <si>
    <t>Sim 8457</t>
  </si>
  <si>
    <t>Sim 8458</t>
  </si>
  <si>
    <t>Sim 8459</t>
  </si>
  <si>
    <t>Sim 8460</t>
  </si>
  <si>
    <t>Sim 8461</t>
  </si>
  <si>
    <t>Sim 8462</t>
  </si>
  <si>
    <t>Sim 8463</t>
  </si>
  <si>
    <t>Sim 8464</t>
  </si>
  <si>
    <t>Sim 8465</t>
  </si>
  <si>
    <t>Sim 8466</t>
  </si>
  <si>
    <t>Sim 8467</t>
  </si>
  <si>
    <t>Sim 8468</t>
  </si>
  <si>
    <t>Sim 8469</t>
  </si>
  <si>
    <t>Sim 8470</t>
  </si>
  <si>
    <t>Sim 8471</t>
  </si>
  <si>
    <t>Sim 8472</t>
  </si>
  <si>
    <t>Sim 8473</t>
  </si>
  <si>
    <t>Sim 8474</t>
  </si>
  <si>
    <t>Sim 8475</t>
  </si>
  <si>
    <t>Sim 8476</t>
  </si>
  <si>
    <t>Sim 8477</t>
  </si>
  <si>
    <t>Sim 8478</t>
  </si>
  <si>
    <t>Sim 8479</t>
  </si>
  <si>
    <t>Sim 8480</t>
  </si>
  <si>
    <t>Sim 8481</t>
  </si>
  <si>
    <t>Sim 8482</t>
  </si>
  <si>
    <t>Sim 8483</t>
  </si>
  <si>
    <t>Sim 8484</t>
  </si>
  <si>
    <t>Sim 8485</t>
  </si>
  <si>
    <t>Sim 8486</t>
  </si>
  <si>
    <t>Sim 8487</t>
  </si>
  <si>
    <t>Sim 8488</t>
  </si>
  <si>
    <t>Sim 8489</t>
  </si>
  <si>
    <t>Sim 8490</t>
  </si>
  <si>
    <t>Sim 8491</t>
  </si>
  <si>
    <t>Sim 8492</t>
  </si>
  <si>
    <t>Sim 8493</t>
  </si>
  <si>
    <t>Sim 8494</t>
  </si>
  <si>
    <t>Sim 8495</t>
  </si>
  <si>
    <t>Sim 8496</t>
  </si>
  <si>
    <t>Sim 8497</t>
  </si>
  <si>
    <t>Sim 8498</t>
  </si>
  <si>
    <t>Sim 8499</t>
  </si>
  <si>
    <t>Sim 8500</t>
  </si>
  <si>
    <t>Sim 8501</t>
  </si>
  <si>
    <t>Sim 8502</t>
  </si>
  <si>
    <t>Sim 8503</t>
  </si>
  <si>
    <t>Sim 8504</t>
  </si>
  <si>
    <t>Sim 8505</t>
  </si>
  <si>
    <t>Sim 8506</t>
  </si>
  <si>
    <t>Sim 8507</t>
  </si>
  <si>
    <t>Sim 8508</t>
  </si>
  <si>
    <t>Sim 8509</t>
  </si>
  <si>
    <t>Sim 8510</t>
  </si>
  <si>
    <t>Sim 8511</t>
  </si>
  <si>
    <t>Sim 8512</t>
  </si>
  <si>
    <t>Sim 8513</t>
  </si>
  <si>
    <t>Sim 8514</t>
  </si>
  <si>
    <t>Sim 8515</t>
  </si>
  <si>
    <t>Sim 8516</t>
  </si>
  <si>
    <t>Sim 8517</t>
  </si>
  <si>
    <t>Sim 8518</t>
  </si>
  <si>
    <t>Sim 8519</t>
  </si>
  <si>
    <t>Sim 8520</t>
  </si>
  <si>
    <t>Sim 8521</t>
  </si>
  <si>
    <t>Sim 8522</t>
  </si>
  <si>
    <t>Sim 8523</t>
  </si>
  <si>
    <t>Sim 8524</t>
  </si>
  <si>
    <t>Sim 8525</t>
  </si>
  <si>
    <t>Sim 8526</t>
  </si>
  <si>
    <t>Sim 8527</t>
  </si>
  <si>
    <t>Sim 8528</t>
  </si>
  <si>
    <t>Sim 8529</t>
  </si>
  <si>
    <t>Sim 8530</t>
  </si>
  <si>
    <t>Sim 8531</t>
  </si>
  <si>
    <t>Sim 8532</t>
  </si>
  <si>
    <t>Sim 8533</t>
  </si>
  <si>
    <t>Sim 8534</t>
  </si>
  <si>
    <t>Sim 8535</t>
  </si>
  <si>
    <t>Sim 8536</t>
  </si>
  <si>
    <t>Sim 8537</t>
  </si>
  <si>
    <t>Sim 8538</t>
  </si>
  <si>
    <t>Sim 8539</t>
  </si>
  <si>
    <t>Sim 8540</t>
  </si>
  <si>
    <t>Sim 8541</t>
  </si>
  <si>
    <t>Sim 8542</t>
  </si>
  <si>
    <t>Sim 8543</t>
  </si>
  <si>
    <t>Sim 8544</t>
  </si>
  <si>
    <t>Sim 8545</t>
  </si>
  <si>
    <t>Sim 8546</t>
  </si>
  <si>
    <t>Sim 8547</t>
  </si>
  <si>
    <t>Sim 8548</t>
  </si>
  <si>
    <t>Sim 8549</t>
  </si>
  <si>
    <t>Sim 8550</t>
  </si>
  <si>
    <t>Sim 8551</t>
  </si>
  <si>
    <t>Sim 8552</t>
  </si>
  <si>
    <t>Sim 8553</t>
  </si>
  <si>
    <t>Sim 8554</t>
  </si>
  <si>
    <t>Sim 8555</t>
  </si>
  <si>
    <t>Sim 8556</t>
  </si>
  <si>
    <t>Sim 8557</t>
  </si>
  <si>
    <t>Sim 8558</t>
  </si>
  <si>
    <t>Sim 8559</t>
  </si>
  <si>
    <t>Sim 8560</t>
  </si>
  <si>
    <t>Sim 8561</t>
  </si>
  <si>
    <t>Sim 8562</t>
  </si>
  <si>
    <t>Sim 8563</t>
  </si>
  <si>
    <t>Sim 8564</t>
  </si>
  <si>
    <t>Sim 8565</t>
  </si>
  <si>
    <t>Sim 8566</t>
  </si>
  <si>
    <t>Sim 8567</t>
  </si>
  <si>
    <t>Sim 8568</t>
  </si>
  <si>
    <t>Sim 8569</t>
  </si>
  <si>
    <t>Sim 8570</t>
  </si>
  <si>
    <t>Sim 8571</t>
  </si>
  <si>
    <t>Sim 8572</t>
  </si>
  <si>
    <t>Sim 8573</t>
  </si>
  <si>
    <t>Sim 8574</t>
  </si>
  <si>
    <t>Sim 8575</t>
  </si>
  <si>
    <t>Sim 8576</t>
  </si>
  <si>
    <t>Sim 8577</t>
  </si>
  <si>
    <t>Sim 8578</t>
  </si>
  <si>
    <t>Sim 8579</t>
  </si>
  <si>
    <t>Sim 8580</t>
  </si>
  <si>
    <t>Sim 8581</t>
  </si>
  <si>
    <t>Sim 8582</t>
  </si>
  <si>
    <t>Sim 8583</t>
  </si>
  <si>
    <t>Sim 8584</t>
  </si>
  <si>
    <t>Sim 8585</t>
  </si>
  <si>
    <t>Sim 8586</t>
  </si>
  <si>
    <t>Sim 8587</t>
  </si>
  <si>
    <t>Sim 8588</t>
  </si>
  <si>
    <t>Sim 8589</t>
  </si>
  <si>
    <t>Sim 8590</t>
  </si>
  <si>
    <t>Sim 8591</t>
  </si>
  <si>
    <t>Sim 8592</t>
  </si>
  <si>
    <t>Sim 8593</t>
  </si>
  <si>
    <t>Sim 8594</t>
  </si>
  <si>
    <t>Sim 8595</t>
  </si>
  <si>
    <t>Sim 8596</t>
  </si>
  <si>
    <t>Sim 8597</t>
  </si>
  <si>
    <t>Sim 8598</t>
  </si>
  <si>
    <t>Sim 8599</t>
  </si>
  <si>
    <t>Sim 8600</t>
  </si>
  <si>
    <t>Sim 8601</t>
  </si>
  <si>
    <t>Sim 8602</t>
  </si>
  <si>
    <t>Sim 8603</t>
  </si>
  <si>
    <t>Sim 8604</t>
  </si>
  <si>
    <t>Sim 8605</t>
  </si>
  <si>
    <t>Sim 8606</t>
  </si>
  <si>
    <t>Sim 8607</t>
  </si>
  <si>
    <t>Sim 8608</t>
  </si>
  <si>
    <t>Sim 8609</t>
  </si>
  <si>
    <t>Sim 8610</t>
  </si>
  <si>
    <t>Sim 8611</t>
  </si>
  <si>
    <t>Sim 8612</t>
  </si>
  <si>
    <t>Sim 8613</t>
  </si>
  <si>
    <t>Sim 8614</t>
  </si>
  <si>
    <t>Sim 8615</t>
  </si>
  <si>
    <t>Sim 8616</t>
  </si>
  <si>
    <t>Sim 8617</t>
  </si>
  <si>
    <t>Sim 8618</t>
  </si>
  <si>
    <t>Sim 8619</t>
  </si>
  <si>
    <t>Sim 8620</t>
  </si>
  <si>
    <t>Sim 8621</t>
  </si>
  <si>
    <t>Sim 8622</t>
  </si>
  <si>
    <t>Sim 8623</t>
  </si>
  <si>
    <t>Sim 8624</t>
  </si>
  <si>
    <t>Sim 8625</t>
  </si>
  <si>
    <t>Sim 8626</t>
  </si>
  <si>
    <t>Sim 8627</t>
  </si>
  <si>
    <t>Sim 8628</t>
  </si>
  <si>
    <t>Sim 8629</t>
  </si>
  <si>
    <t>Sim 8630</t>
  </si>
  <si>
    <t>Sim 8631</t>
  </si>
  <si>
    <t>Sim 8632</t>
  </si>
  <si>
    <t>Sim 8633</t>
  </si>
  <si>
    <t>Sim 8634</t>
  </si>
  <si>
    <t>Sim 8635</t>
  </si>
  <si>
    <t>Sim 8636</t>
  </si>
  <si>
    <t>Sim 8637</t>
  </si>
  <si>
    <t>Sim 8638</t>
  </si>
  <si>
    <t>Sim 8639</t>
  </si>
  <si>
    <t>Sim 8640</t>
  </si>
  <si>
    <t>Sim 8641</t>
  </si>
  <si>
    <t>Sim 8642</t>
  </si>
  <si>
    <t>Sim 8643</t>
  </si>
  <si>
    <t>Sim 8644</t>
  </si>
  <si>
    <t>Sim 8645</t>
  </si>
  <si>
    <t>Sim 8646</t>
  </si>
  <si>
    <t>Sim 8647</t>
  </si>
  <si>
    <t>Sim 8648</t>
  </si>
  <si>
    <t>Sim 8649</t>
  </si>
  <si>
    <t>Sim 8650</t>
  </si>
  <si>
    <t>Sim 8651</t>
  </si>
  <si>
    <t>Sim 8652</t>
  </si>
  <si>
    <t>Sim 8653</t>
  </si>
  <si>
    <t>Sim 8654</t>
  </si>
  <si>
    <t>Sim 8655</t>
  </si>
  <si>
    <t>Sim 8656</t>
  </si>
  <si>
    <t>Sim 8657</t>
  </si>
  <si>
    <t>Sim 8658</t>
  </si>
  <si>
    <t>Sim 8659</t>
  </si>
  <si>
    <t>Sim 8660</t>
  </si>
  <si>
    <t>Sim 8661</t>
  </si>
  <si>
    <t>Sim 8662</t>
  </si>
  <si>
    <t>Sim 8663</t>
  </si>
  <si>
    <t>Sim 8664</t>
  </si>
  <si>
    <t>Sim 8665</t>
  </si>
  <si>
    <t>Sim 8666</t>
  </si>
  <si>
    <t>Sim 8667</t>
  </si>
  <si>
    <t>Sim 8668</t>
  </si>
  <si>
    <t>Sim 8669</t>
  </si>
  <si>
    <t>Sim 8670</t>
  </si>
  <si>
    <t>Sim 8671</t>
  </si>
  <si>
    <t>Sim 8672</t>
  </si>
  <si>
    <t>Sim 8673</t>
  </si>
  <si>
    <t>Sim 8674</t>
  </si>
  <si>
    <t>Sim 8675</t>
  </si>
  <si>
    <t>Sim 8676</t>
  </si>
  <si>
    <t>Sim 8677</t>
  </si>
  <si>
    <t>Sim 8678</t>
  </si>
  <si>
    <t>Sim 8679</t>
  </si>
  <si>
    <t>Sim 8680</t>
  </si>
  <si>
    <t>Sim 8681</t>
  </si>
  <si>
    <t>Sim 8682</t>
  </si>
  <si>
    <t>Sim 8683</t>
  </si>
  <si>
    <t>Sim 8684</t>
  </si>
  <si>
    <t>Sim 8685</t>
  </si>
  <si>
    <t>Sim 8686</t>
  </si>
  <si>
    <t>Sim 8687</t>
  </si>
  <si>
    <t>Sim 8688</t>
  </si>
  <si>
    <t>Sim 8689</t>
  </si>
  <si>
    <t>Sim 8690</t>
  </si>
  <si>
    <t>Sim 8691</t>
  </si>
  <si>
    <t>Sim 8692</t>
  </si>
  <si>
    <t>Sim 8693</t>
  </si>
  <si>
    <t>Sim 8694</t>
  </si>
  <si>
    <t>Sim 8695</t>
  </si>
  <si>
    <t>Sim 8696</t>
  </si>
  <si>
    <t>Sim 8697</t>
  </si>
  <si>
    <t>Sim 8698</t>
  </si>
  <si>
    <t>Sim 8699</t>
  </si>
  <si>
    <t>Sim 8700</t>
  </si>
  <si>
    <t>Sim 8701</t>
  </si>
  <si>
    <t>Sim 8702</t>
  </si>
  <si>
    <t>Sim 8703</t>
  </si>
  <si>
    <t>Sim 8704</t>
  </si>
  <si>
    <t>Sim 8705</t>
  </si>
  <si>
    <t>Sim 8706</t>
  </si>
  <si>
    <t>Sim 8707</t>
  </si>
  <si>
    <t>Sim 8708</t>
  </si>
  <si>
    <t>Sim 8709</t>
  </si>
  <si>
    <t>Sim 8710</t>
  </si>
  <si>
    <t>Sim 8711</t>
  </si>
  <si>
    <t>Sim 8712</t>
  </si>
  <si>
    <t>Sim 8713</t>
  </si>
  <si>
    <t>Sim 8714</t>
  </si>
  <si>
    <t>Sim 8715</t>
  </si>
  <si>
    <t>Sim 8716</t>
  </si>
  <si>
    <t>Sim 8717</t>
  </si>
  <si>
    <t>Sim 8718</t>
  </si>
  <si>
    <t>Sim 8719</t>
  </si>
  <si>
    <t>Sim 8720</t>
  </si>
  <si>
    <t>Sim 8721</t>
  </si>
  <si>
    <t>Sim 8722</t>
  </si>
  <si>
    <t>Sim 8723</t>
  </si>
  <si>
    <t>Sim 8724</t>
  </si>
  <si>
    <t>Sim 8725</t>
  </si>
  <si>
    <t>Sim 8726</t>
  </si>
  <si>
    <t>Sim 8727</t>
  </si>
  <si>
    <t>Sim 8728</t>
  </si>
  <si>
    <t>Sim 8729</t>
  </si>
  <si>
    <t>Sim 8730</t>
  </si>
  <si>
    <t>Sim 8731</t>
  </si>
  <si>
    <t>Sim 8732</t>
  </si>
  <si>
    <t>Sim 8733</t>
  </si>
  <si>
    <t>Sim 8734</t>
  </si>
  <si>
    <t>Sim 8735</t>
  </si>
  <si>
    <t>Sim 8736</t>
  </si>
  <si>
    <t>Sim 8737</t>
  </si>
  <si>
    <t>Sim 8738</t>
  </si>
  <si>
    <t>Sim 8739</t>
  </si>
  <si>
    <t>Sim 8740</t>
  </si>
  <si>
    <t>Sim 8741</t>
  </si>
  <si>
    <t>Sim 8742</t>
  </si>
  <si>
    <t>Sim 8743</t>
  </si>
  <si>
    <t>Sim 8744</t>
  </si>
  <si>
    <t>Sim 8745</t>
  </si>
  <si>
    <t>Sim 8746</t>
  </si>
  <si>
    <t>Sim 8747</t>
  </si>
  <si>
    <t>Sim 8748</t>
  </si>
  <si>
    <t>Sim 8749</t>
  </si>
  <si>
    <t>Sim 8750</t>
  </si>
  <si>
    <t>Sim 8751</t>
  </si>
  <si>
    <t>Sim 8752</t>
  </si>
  <si>
    <t>Sim 8753</t>
  </si>
  <si>
    <t>Sim 8754</t>
  </si>
  <si>
    <t>Sim 8755</t>
  </si>
  <si>
    <t>Sim 8756</t>
  </si>
  <si>
    <t>Sim 8757</t>
  </si>
  <si>
    <t>Sim 8758</t>
  </si>
  <si>
    <t>Sim 8759</t>
  </si>
  <si>
    <t>Sim 8760</t>
  </si>
  <si>
    <t>Sim 8761</t>
  </si>
  <si>
    <t>Sim 8762</t>
  </si>
  <si>
    <t>Sim 8763</t>
  </si>
  <si>
    <t>Sim 8764</t>
  </si>
  <si>
    <t>Sim 8765</t>
  </si>
  <si>
    <t>Sim 8766</t>
  </si>
  <si>
    <t>Sim 8767</t>
  </si>
  <si>
    <t>Sim 8768</t>
  </si>
  <si>
    <t>Sim 8769</t>
  </si>
  <si>
    <t>Sim 8770</t>
  </si>
  <si>
    <t>Sim 8771</t>
  </si>
  <si>
    <t>Sim 8772</t>
  </si>
  <si>
    <t>Sim 8773</t>
  </si>
  <si>
    <t>Sim 8774</t>
  </si>
  <si>
    <t>Sim 8775</t>
  </si>
  <si>
    <t>Sim 8776</t>
  </si>
  <si>
    <t>Sim 8777</t>
  </si>
  <si>
    <t>Sim 8778</t>
  </si>
  <si>
    <t>Sim 8779</t>
  </si>
  <si>
    <t>Sim 8780</t>
  </si>
  <si>
    <t>Sim 8781</t>
  </si>
  <si>
    <t>Sim 8782</t>
  </si>
  <si>
    <t>Sim 8783</t>
  </si>
  <si>
    <t>Sim 8784</t>
  </si>
  <si>
    <t>Sim 8785</t>
  </si>
  <si>
    <t>Sim 8786</t>
  </si>
  <si>
    <t>Sim 8787</t>
  </si>
  <si>
    <t>Sim 8788</t>
  </si>
  <si>
    <t>Sim 8789</t>
  </si>
  <si>
    <t>Sim 8790</t>
  </si>
  <si>
    <t>Sim 8791</t>
  </si>
  <si>
    <t>Sim 8792</t>
  </si>
  <si>
    <t>Sim 8793</t>
  </si>
  <si>
    <t>Sim 8794</t>
  </si>
  <si>
    <t>Sim 8795</t>
  </si>
  <si>
    <t>Sim 8796</t>
  </si>
  <si>
    <t>Sim 8797</t>
  </si>
  <si>
    <t>Sim 8798</t>
  </si>
  <si>
    <t>Sim 8799</t>
  </si>
  <si>
    <t>Sim 8800</t>
  </si>
  <si>
    <t>Sim 8801</t>
  </si>
  <si>
    <t>Sim 8802</t>
  </si>
  <si>
    <t>Sim 8803</t>
  </si>
  <si>
    <t>Sim 8804</t>
  </si>
  <si>
    <t>Sim 8805</t>
  </si>
  <si>
    <t>Sim 8806</t>
  </si>
  <si>
    <t>Sim 8807</t>
  </si>
  <si>
    <t>Sim 8808</t>
  </si>
  <si>
    <t>Sim 8809</t>
  </si>
  <si>
    <t>Sim 8810</t>
  </si>
  <si>
    <t>Sim 8811</t>
  </si>
  <si>
    <t>Sim 8812</t>
  </si>
  <si>
    <t>Sim 8813</t>
  </si>
  <si>
    <t>Sim 8814</t>
  </si>
  <si>
    <t>Sim 8815</t>
  </si>
  <si>
    <t>Sim 8816</t>
  </si>
  <si>
    <t>Sim 8817</t>
  </si>
  <si>
    <t>Sim 8818</t>
  </si>
  <si>
    <t>Sim 8819</t>
  </si>
  <si>
    <t>Sim 8820</t>
  </si>
  <si>
    <t>Sim 8821</t>
  </si>
  <si>
    <t>Sim 8822</t>
  </si>
  <si>
    <t>Sim 8823</t>
  </si>
  <si>
    <t>Sim 8824</t>
  </si>
  <si>
    <t>Sim 8825</t>
  </si>
  <si>
    <t>Sim 8826</t>
  </si>
  <si>
    <t>Sim 8827</t>
  </si>
  <si>
    <t>Sim 8828</t>
  </si>
  <si>
    <t>Sim 8829</t>
  </si>
  <si>
    <t>Sim 8830</t>
  </si>
  <si>
    <t>Sim 8831</t>
  </si>
  <si>
    <t>Sim 8832</t>
  </si>
  <si>
    <t>Sim 8833</t>
  </si>
  <si>
    <t>Sim 8834</t>
  </si>
  <si>
    <t>Sim 8835</t>
  </si>
  <si>
    <t>Sim 8836</t>
  </si>
  <si>
    <t>Sim 8837</t>
  </si>
  <si>
    <t>Sim 8838</t>
  </si>
  <si>
    <t>Sim 8839</t>
  </si>
  <si>
    <t>Sim 8840</t>
  </si>
  <si>
    <t>Sim 8841</t>
  </si>
  <si>
    <t>Sim 8842</t>
  </si>
  <si>
    <t>Sim 8843</t>
  </si>
  <si>
    <t>Sim 8844</t>
  </si>
  <si>
    <t>Sim 8845</t>
  </si>
  <si>
    <t>Sim 8846</t>
  </si>
  <si>
    <t>Sim 8847</t>
  </si>
  <si>
    <t>Sim 8848</t>
  </si>
  <si>
    <t>Sim 8849</t>
  </si>
  <si>
    <t>Sim 8850</t>
  </si>
  <si>
    <t>Sim 8851</t>
  </si>
  <si>
    <t>Sim 8852</t>
  </si>
  <si>
    <t>Sim 8853</t>
  </si>
  <si>
    <t>Sim 8854</t>
  </si>
  <si>
    <t>Sim 8855</t>
  </si>
  <si>
    <t>Sim 8856</t>
  </si>
  <si>
    <t>Sim 8857</t>
  </si>
  <si>
    <t>Sim 8858</t>
  </si>
  <si>
    <t>Sim 8859</t>
  </si>
  <si>
    <t>Sim 8860</t>
  </si>
  <si>
    <t>Sim 8861</t>
  </si>
  <si>
    <t>Sim 8862</t>
  </si>
  <si>
    <t>Sim 8863</t>
  </si>
  <si>
    <t>Sim 8864</t>
  </si>
  <si>
    <t>Sim 8865</t>
  </si>
  <si>
    <t>Sim 8866</t>
  </si>
  <si>
    <t>Sim 8867</t>
  </si>
  <si>
    <t>Sim 8868</t>
  </si>
  <si>
    <t>Sim 8869</t>
  </si>
  <si>
    <t>Sim 8870</t>
  </si>
  <si>
    <t>Sim 8871</t>
  </si>
  <si>
    <t>Sim 8872</t>
  </si>
  <si>
    <t>Sim 8873</t>
  </si>
  <si>
    <t>Sim 8874</t>
  </si>
  <si>
    <t>Sim 8875</t>
  </si>
  <si>
    <t>Sim 8876</t>
  </si>
  <si>
    <t>Sim 8877</t>
  </si>
  <si>
    <t>Sim 8878</t>
  </si>
  <si>
    <t>Sim 8879</t>
  </si>
  <si>
    <t>Sim 8880</t>
  </si>
  <si>
    <t>Sim 8881</t>
  </si>
  <si>
    <t>Sim 8882</t>
  </si>
  <si>
    <t>Sim 8883</t>
  </si>
  <si>
    <t>Sim 8884</t>
  </si>
  <si>
    <t>Sim 8885</t>
  </si>
  <si>
    <t>Sim 8886</t>
  </si>
  <si>
    <t>Sim 8887</t>
  </si>
  <si>
    <t>Sim 8888</t>
  </si>
  <si>
    <t>Sim 8889</t>
  </si>
  <si>
    <t>Sim 8890</t>
  </si>
  <si>
    <t>Sim 8891</t>
  </si>
  <si>
    <t>Sim 8892</t>
  </si>
  <si>
    <t>Sim 8893</t>
  </si>
  <si>
    <t>Sim 8894</t>
  </si>
  <si>
    <t>Sim 8895</t>
  </si>
  <si>
    <t>Sim 8896</t>
  </si>
  <si>
    <t>Sim 8897</t>
  </si>
  <si>
    <t>Sim 8898</t>
  </si>
  <si>
    <t>Sim 8899</t>
  </si>
  <si>
    <t>Sim 8900</t>
  </si>
  <si>
    <t>Sim 8901</t>
  </si>
  <si>
    <t>Sim 8902</t>
  </si>
  <si>
    <t>Sim 8903</t>
  </si>
  <si>
    <t>Sim 8904</t>
  </si>
  <si>
    <t>Sim 8905</t>
  </si>
  <si>
    <t>Sim 8906</t>
  </si>
  <si>
    <t>Sim 8907</t>
  </si>
  <si>
    <t>Sim 8908</t>
  </si>
  <si>
    <t>Sim 8909</t>
  </si>
  <si>
    <t>Sim 8910</t>
  </si>
  <si>
    <t>Sim 8911</t>
  </si>
  <si>
    <t>Sim 8912</t>
  </si>
  <si>
    <t>Sim 8913</t>
  </si>
  <si>
    <t>Sim 8914</t>
  </si>
  <si>
    <t>Sim 8915</t>
  </si>
  <si>
    <t>Sim 8916</t>
  </si>
  <si>
    <t>Sim 8917</t>
  </si>
  <si>
    <t>Sim 8918</t>
  </si>
  <si>
    <t>Sim 8919</t>
  </si>
  <si>
    <t>Sim 8920</t>
  </si>
  <si>
    <t>Sim 8921</t>
  </si>
  <si>
    <t>Sim 8922</t>
  </si>
  <si>
    <t>Sim 8923</t>
  </si>
  <si>
    <t>Sim 8924</t>
  </si>
  <si>
    <t>Sim 8925</t>
  </si>
  <si>
    <t>Sim 8926</t>
  </si>
  <si>
    <t>Sim 8927</t>
  </si>
  <si>
    <t>Sim 8928</t>
  </si>
  <si>
    <t>Sim 8929</t>
  </si>
  <si>
    <t>Sim 8930</t>
  </si>
  <si>
    <t>Sim 8931</t>
  </si>
  <si>
    <t>Sim 8932</t>
  </si>
  <si>
    <t>Sim 8933</t>
  </si>
  <si>
    <t>Sim 8934</t>
  </si>
  <si>
    <t>Sim 8935</t>
  </si>
  <si>
    <t>Sim 8936</t>
  </si>
  <si>
    <t>Sim 8937</t>
  </si>
  <si>
    <t>Sim 8938</t>
  </si>
  <si>
    <t>Sim 8939</t>
  </si>
  <si>
    <t>Sim 8940</t>
  </si>
  <si>
    <t>Sim 8941</t>
  </si>
  <si>
    <t>Sim 8942</t>
  </si>
  <si>
    <t>Sim 8943</t>
  </si>
  <si>
    <t>Sim 8944</t>
  </si>
  <si>
    <t>Sim 8945</t>
  </si>
  <si>
    <t>Sim 8946</t>
  </si>
  <si>
    <t>Sim 8947</t>
  </si>
  <si>
    <t>Sim 8948</t>
  </si>
  <si>
    <t>Sim 8949</t>
  </si>
  <si>
    <t>Sim 8950</t>
  </si>
  <si>
    <t>Sim 8951</t>
  </si>
  <si>
    <t>Sim 8952</t>
  </si>
  <si>
    <t>Sim 8953</t>
  </si>
  <si>
    <t>Sim 8954</t>
  </si>
  <si>
    <t>Sim 8955</t>
  </si>
  <si>
    <t>Sim 8956</t>
  </si>
  <si>
    <t>Sim 8957</t>
  </si>
  <si>
    <t>Sim 8958</t>
  </si>
  <si>
    <t>Sim 8959</t>
  </si>
  <si>
    <t>Sim 8960</t>
  </si>
  <si>
    <t>Sim 8961</t>
  </si>
  <si>
    <t>Sim 8962</t>
  </si>
  <si>
    <t>Sim 8963</t>
  </si>
  <si>
    <t>Sim 8964</t>
  </si>
  <si>
    <t>Sim 8965</t>
  </si>
  <si>
    <t>Sim 8966</t>
  </si>
  <si>
    <t>Sim 8967</t>
  </si>
  <si>
    <t>Sim 8968</t>
  </si>
  <si>
    <t>Sim 8969</t>
  </si>
  <si>
    <t>Sim 8970</t>
  </si>
  <si>
    <t>Sim 8971</t>
  </si>
  <si>
    <t>Sim 8972</t>
  </si>
  <si>
    <t>Sim 8973</t>
  </si>
  <si>
    <t>Sim 8974</t>
  </si>
  <si>
    <t>Sim 8975</t>
  </si>
  <si>
    <t>Sim 8976</t>
  </si>
  <si>
    <t>Sim 8977</t>
  </si>
  <si>
    <t>Sim 8978</t>
  </si>
  <si>
    <t>Sim 8979</t>
  </si>
  <si>
    <t>Sim 8980</t>
  </si>
  <si>
    <t>Sim 8981</t>
  </si>
  <si>
    <t>Sim 8982</t>
  </si>
  <si>
    <t>Sim 8983</t>
  </si>
  <si>
    <t>Sim 8984</t>
  </si>
  <si>
    <t>Sim 8985</t>
  </si>
  <si>
    <t>Sim 8986</t>
  </si>
  <si>
    <t>Sim 8987</t>
  </si>
  <si>
    <t>Sim 8988</t>
  </si>
  <si>
    <t>Sim 8989</t>
  </si>
  <si>
    <t>Sim 8990</t>
  </si>
  <si>
    <t>Sim 8991</t>
  </si>
  <si>
    <t>Sim 8992</t>
  </si>
  <si>
    <t>Sim 8993</t>
  </si>
  <si>
    <t>Sim 8994</t>
  </si>
  <si>
    <t>Sim 8995</t>
  </si>
  <si>
    <t>Sim 8996</t>
  </si>
  <si>
    <t>Sim 8997</t>
  </si>
  <si>
    <t>Sim 8998</t>
  </si>
  <si>
    <t>Sim 8999</t>
  </si>
  <si>
    <t>Sim 9000</t>
  </si>
  <si>
    <t>Sim 9001</t>
  </si>
  <si>
    <t>Sim 9002</t>
  </si>
  <si>
    <t>Sim 9003</t>
  </si>
  <si>
    <t>Sim 9004</t>
  </si>
  <si>
    <t>Sim 9005</t>
  </si>
  <si>
    <t>Sim 9006</t>
  </si>
  <si>
    <t>Sim 9007</t>
  </si>
  <si>
    <t>Sim 9008</t>
  </si>
  <si>
    <t>Sim 9009</t>
  </si>
  <si>
    <t>Sim 9010</t>
  </si>
  <si>
    <t>Sim 9011</t>
  </si>
  <si>
    <t>Sim 9012</t>
  </si>
  <si>
    <t>Sim 9013</t>
  </si>
  <si>
    <t>Sim 9014</t>
  </si>
  <si>
    <t>Sim 9015</t>
  </si>
  <si>
    <t>Sim 9016</t>
  </si>
  <si>
    <t>Sim 9017</t>
  </si>
  <si>
    <t>Sim 9018</t>
  </si>
  <si>
    <t>Sim 9019</t>
  </si>
  <si>
    <t>Sim 9020</t>
  </si>
  <si>
    <t>Sim 9021</t>
  </si>
  <si>
    <t>Sim 9022</t>
  </si>
  <si>
    <t>Sim 9023</t>
  </si>
  <si>
    <t>Sim 9024</t>
  </si>
  <si>
    <t>Sim 9025</t>
  </si>
  <si>
    <t>Sim 9026</t>
  </si>
  <si>
    <t>Sim 9027</t>
  </si>
  <si>
    <t>Sim 9028</t>
  </si>
  <si>
    <t>Sim 9029</t>
  </si>
  <si>
    <t>Sim 9030</t>
  </si>
  <si>
    <t>Sim 9031</t>
  </si>
  <si>
    <t>Sim 9032</t>
  </si>
  <si>
    <t>Sim 9033</t>
  </si>
  <si>
    <t>Sim 9034</t>
  </si>
  <si>
    <t>Sim 9035</t>
  </si>
  <si>
    <t>Sim 9036</t>
  </si>
  <si>
    <t>Sim 9037</t>
  </si>
  <si>
    <t>Sim 9038</t>
  </si>
  <si>
    <t>Sim 9039</t>
  </si>
  <si>
    <t>Sim 9040</t>
  </si>
  <si>
    <t>Sim 9041</t>
  </si>
  <si>
    <t>Sim 9042</t>
  </si>
  <si>
    <t>Sim 9043</t>
  </si>
  <si>
    <t>Sim 9044</t>
  </si>
  <si>
    <t>Sim 9045</t>
  </si>
  <si>
    <t>Sim 9046</t>
  </si>
  <si>
    <t>Sim 9047</t>
  </si>
  <si>
    <t>Sim 9048</t>
  </si>
  <si>
    <t>Sim 9049</t>
  </si>
  <si>
    <t>Sim 9050</t>
  </si>
  <si>
    <t>Sim 9051</t>
  </si>
  <si>
    <t>Sim 9052</t>
  </si>
  <si>
    <t>Sim 9053</t>
  </si>
  <si>
    <t>Sim 9054</t>
  </si>
  <si>
    <t>Sim 9055</t>
  </si>
  <si>
    <t>Sim 9056</t>
  </si>
  <si>
    <t>Sim 9057</t>
  </si>
  <si>
    <t>Sim 9058</t>
  </si>
  <si>
    <t>Sim 9059</t>
  </si>
  <si>
    <t>Sim 9060</t>
  </si>
  <si>
    <t>Sim 9061</t>
  </si>
  <si>
    <t>Sim 9062</t>
  </si>
  <si>
    <t>Sim 9063</t>
  </si>
  <si>
    <t>Sim 9064</t>
  </si>
  <si>
    <t>Sim 9065</t>
  </si>
  <si>
    <t>Sim 9066</t>
  </si>
  <si>
    <t>Sim 9067</t>
  </si>
  <si>
    <t>Sim 9068</t>
  </si>
  <si>
    <t>Sim 9069</t>
  </si>
  <si>
    <t>Sim 9070</t>
  </si>
  <si>
    <t>Sim 9071</t>
  </si>
  <si>
    <t>Sim 9072</t>
  </si>
  <si>
    <t>Sim 9073</t>
  </si>
  <si>
    <t>Sim 9074</t>
  </si>
  <si>
    <t>Sim 9075</t>
  </si>
  <si>
    <t>Sim 9076</t>
  </si>
  <si>
    <t>Sim 9077</t>
  </si>
  <si>
    <t>Sim 9078</t>
  </si>
  <si>
    <t>Sim 9079</t>
  </si>
  <si>
    <t>Sim 9080</t>
  </si>
  <si>
    <t>Sim 9081</t>
  </si>
  <si>
    <t>Sim 9082</t>
  </si>
  <si>
    <t>Sim 9083</t>
  </si>
  <si>
    <t>Sim 9084</t>
  </si>
  <si>
    <t>Sim 9085</t>
  </si>
  <si>
    <t>Sim 9086</t>
  </si>
  <si>
    <t>Sim 9087</t>
  </si>
  <si>
    <t>Sim 9088</t>
  </si>
  <si>
    <t>Sim 9089</t>
  </si>
  <si>
    <t>Sim 9090</t>
  </si>
  <si>
    <t>Sim 9091</t>
  </si>
  <si>
    <t>Sim 9092</t>
  </si>
  <si>
    <t>Sim 9093</t>
  </si>
  <si>
    <t>Sim 9094</t>
  </si>
  <si>
    <t>Sim 9095</t>
  </si>
  <si>
    <t>Sim 9096</t>
  </si>
  <si>
    <t>Sim 9097</t>
  </si>
  <si>
    <t>Sim 9098</t>
  </si>
  <si>
    <t>Sim 9099</t>
  </si>
  <si>
    <t>Sim 9100</t>
  </si>
  <si>
    <t>Sim 9101</t>
  </si>
  <si>
    <t>Sim 9102</t>
  </si>
  <si>
    <t>Sim 9103</t>
  </si>
  <si>
    <t>Sim 9104</t>
  </si>
  <si>
    <t>Sim 9105</t>
  </si>
  <si>
    <t>Sim 9106</t>
  </si>
  <si>
    <t>Sim 9107</t>
  </si>
  <si>
    <t>Sim 9108</t>
  </si>
  <si>
    <t>Sim 9109</t>
  </si>
  <si>
    <t>Sim 9110</t>
  </si>
  <si>
    <t>Sim 9111</t>
  </si>
  <si>
    <t>Sim 9112</t>
  </si>
  <si>
    <t>Sim 9113</t>
  </si>
  <si>
    <t>Sim 9114</t>
  </si>
  <si>
    <t>Sim 9115</t>
  </si>
  <si>
    <t>Sim 9116</t>
  </si>
  <si>
    <t>Sim 9117</t>
  </si>
  <si>
    <t>Sim 9118</t>
  </si>
  <si>
    <t>Sim 9119</t>
  </si>
  <si>
    <t>Sim 9120</t>
  </si>
  <si>
    <t>Sim 9121</t>
  </si>
  <si>
    <t>Sim 9122</t>
  </si>
  <si>
    <t>Sim 9123</t>
  </si>
  <si>
    <t>Sim 9124</t>
  </si>
  <si>
    <t>Sim 9125</t>
  </si>
  <si>
    <t>Sim 9126</t>
  </si>
  <si>
    <t>Sim 9127</t>
  </si>
  <si>
    <t>Sim 9128</t>
  </si>
  <si>
    <t>Sim 9129</t>
  </si>
  <si>
    <t>Sim 9130</t>
  </si>
  <si>
    <t>Sim 9131</t>
  </si>
  <si>
    <t>Sim 9132</t>
  </si>
  <si>
    <t>Sim 9133</t>
  </si>
  <si>
    <t>Sim 9134</t>
  </si>
  <si>
    <t>Sim 9135</t>
  </si>
  <si>
    <t>Sim 9136</t>
  </si>
  <si>
    <t>Sim 9137</t>
  </si>
  <si>
    <t>Sim 9138</t>
  </si>
  <si>
    <t>Sim 9139</t>
  </si>
  <si>
    <t>Sim 9140</t>
  </si>
  <si>
    <t>Sim 9141</t>
  </si>
  <si>
    <t>Sim 9142</t>
  </si>
  <si>
    <t>Sim 9143</t>
  </si>
  <si>
    <t>Sim 9144</t>
  </si>
  <si>
    <t>Sim 9145</t>
  </si>
  <si>
    <t>Sim 9146</t>
  </si>
  <si>
    <t>Sim 9147</t>
  </si>
  <si>
    <t>Sim 9148</t>
  </si>
  <si>
    <t>Sim 9149</t>
  </si>
  <si>
    <t>Sim 9150</t>
  </si>
  <si>
    <t>Sim 9151</t>
  </si>
  <si>
    <t>Sim 9152</t>
  </si>
  <si>
    <t>Sim 9153</t>
  </si>
  <si>
    <t>Sim 9154</t>
  </si>
  <si>
    <t>Sim 9155</t>
  </si>
  <si>
    <t>Sim 9156</t>
  </si>
  <si>
    <t>Sim 9157</t>
  </si>
  <si>
    <t>Sim 9158</t>
  </si>
  <si>
    <t>Sim 9159</t>
  </si>
  <si>
    <t>Sim 9160</t>
  </si>
  <si>
    <t>Sim 9161</t>
  </si>
  <si>
    <t>Sim 9162</t>
  </si>
  <si>
    <t>Sim 9163</t>
  </si>
  <si>
    <t>Sim 9164</t>
  </si>
  <si>
    <t>Sim 9165</t>
  </si>
  <si>
    <t>Sim 9166</t>
  </si>
  <si>
    <t>Sim 9167</t>
  </si>
  <si>
    <t>Sim 9168</t>
  </si>
  <si>
    <t>Sim 9169</t>
  </si>
  <si>
    <t>Sim 9170</t>
  </si>
  <si>
    <t>Sim 9171</t>
  </si>
  <si>
    <t>Sim 9172</t>
  </si>
  <si>
    <t>Sim 9173</t>
  </si>
  <si>
    <t>Sim 9174</t>
  </si>
  <si>
    <t>Sim 9175</t>
  </si>
  <si>
    <t>Sim 9176</t>
  </si>
  <si>
    <t>Sim 9177</t>
  </si>
  <si>
    <t>Sim 9178</t>
  </si>
  <si>
    <t>Sim 9179</t>
  </si>
  <si>
    <t>Sim 9180</t>
  </si>
  <si>
    <t>Sim 9181</t>
  </si>
  <si>
    <t>Sim 9182</t>
  </si>
  <si>
    <t>Sim 9183</t>
  </si>
  <si>
    <t>Sim 9184</t>
  </si>
  <si>
    <t>Sim 9185</t>
  </si>
  <si>
    <t>Sim 9186</t>
  </si>
  <si>
    <t>Sim 9187</t>
  </si>
  <si>
    <t>Sim 9188</t>
  </si>
  <si>
    <t>Sim 9189</t>
  </si>
  <si>
    <t>Sim 9190</t>
  </si>
  <si>
    <t>Sim 9191</t>
  </si>
  <si>
    <t>Sim 9192</t>
  </si>
  <si>
    <t>Sim 9193</t>
  </si>
  <si>
    <t>Sim 9194</t>
  </si>
  <si>
    <t>Sim 9195</t>
  </si>
  <si>
    <t>Sim 9196</t>
  </si>
  <si>
    <t>Sim 9197</t>
  </si>
  <si>
    <t>Sim 9198</t>
  </si>
  <si>
    <t>Sim 9199</t>
  </si>
  <si>
    <t>Sim 9200</t>
  </si>
  <si>
    <t>Sim 9201</t>
  </si>
  <si>
    <t>Sim 9202</t>
  </si>
  <si>
    <t>Sim 9203</t>
  </si>
  <si>
    <t>Sim 9204</t>
  </si>
  <si>
    <t>Sim 9205</t>
  </si>
  <si>
    <t>Sim 9206</t>
  </si>
  <si>
    <t>Sim 9207</t>
  </si>
  <si>
    <t>Sim 9208</t>
  </si>
  <si>
    <t>Sim 9209</t>
  </si>
  <si>
    <t>Sim 9210</t>
  </si>
  <si>
    <t>Sim 9211</t>
  </si>
  <si>
    <t>Sim 9212</t>
  </si>
  <si>
    <t>Sim 9213</t>
  </si>
  <si>
    <t>Sim 9214</t>
  </si>
  <si>
    <t>Sim 9215</t>
  </si>
  <si>
    <t>Sim 9216</t>
  </si>
  <si>
    <t>Sim 9217</t>
  </si>
  <si>
    <t>Sim 9218</t>
  </si>
  <si>
    <t>Sim 9219</t>
  </si>
  <si>
    <t>Sim 9220</t>
  </si>
  <si>
    <t>Sim 9221</t>
  </si>
  <si>
    <t>Sim 9222</t>
  </si>
  <si>
    <t>Sim 9223</t>
  </si>
  <si>
    <t>Sim 9224</t>
  </si>
  <si>
    <t>Sim 9225</t>
  </si>
  <si>
    <t>Sim 9226</t>
  </si>
  <si>
    <t>Sim 9227</t>
  </si>
  <si>
    <t>Sim 9228</t>
  </si>
  <si>
    <t>Sim 9229</t>
  </si>
  <si>
    <t>Sim 9230</t>
  </si>
  <si>
    <t>Sim 9231</t>
  </si>
  <si>
    <t>Sim 9232</t>
  </si>
  <si>
    <t>Sim 9233</t>
  </si>
  <si>
    <t>Sim 9234</t>
  </si>
  <si>
    <t>Sim 9235</t>
  </si>
  <si>
    <t>Sim 9236</t>
  </si>
  <si>
    <t>Sim 9237</t>
  </si>
  <si>
    <t>Sim 9238</t>
  </si>
  <si>
    <t>Sim 9239</t>
  </si>
  <si>
    <t>Sim 9240</t>
  </si>
  <si>
    <t>Sim 9241</t>
  </si>
  <si>
    <t>Sim 9242</t>
  </si>
  <si>
    <t>Sim 9243</t>
  </si>
  <si>
    <t>Sim 9244</t>
  </si>
  <si>
    <t>Sim 9245</t>
  </si>
  <si>
    <t>Sim 9246</t>
  </si>
  <si>
    <t>Sim 9247</t>
  </si>
  <si>
    <t>Sim 9248</t>
  </si>
  <si>
    <t>Sim 9249</t>
  </si>
  <si>
    <t>Sim 9250</t>
  </si>
  <si>
    <t>Sim 9251</t>
  </si>
  <si>
    <t>Sim 9252</t>
  </si>
  <si>
    <t>Sim 9253</t>
  </si>
  <si>
    <t>Sim 9254</t>
  </si>
  <si>
    <t>Sim 9255</t>
  </si>
  <si>
    <t>Sim 9256</t>
  </si>
  <si>
    <t>Sim 9257</t>
  </si>
  <si>
    <t>Sim 9258</t>
  </si>
  <si>
    <t>Sim 9259</t>
  </si>
  <si>
    <t>Sim 9260</t>
  </si>
  <si>
    <t>Sim 9261</t>
  </si>
  <si>
    <t>Sim 9262</t>
  </si>
  <si>
    <t>Sim 9263</t>
  </si>
  <si>
    <t>Sim 9264</t>
  </si>
  <si>
    <t>Sim 9265</t>
  </si>
  <si>
    <t>Sim 9266</t>
  </si>
  <si>
    <t>Sim 9267</t>
  </si>
  <si>
    <t>Sim 9268</t>
  </si>
  <si>
    <t>Sim 9269</t>
  </si>
  <si>
    <t>Sim 9270</t>
  </si>
  <si>
    <t>Sim 9271</t>
  </si>
  <si>
    <t>Sim 9272</t>
  </si>
  <si>
    <t>Sim 9273</t>
  </si>
  <si>
    <t>Sim 9274</t>
  </si>
  <si>
    <t>Sim 9275</t>
  </si>
  <si>
    <t>Sim 9276</t>
  </si>
  <si>
    <t>Sim 9277</t>
  </si>
  <si>
    <t>Sim 9278</t>
  </si>
  <si>
    <t>Sim 9279</t>
  </si>
  <si>
    <t>Sim 9280</t>
  </si>
  <si>
    <t>Sim 9281</t>
  </si>
  <si>
    <t>Sim 9282</t>
  </si>
  <si>
    <t>Sim 9283</t>
  </si>
  <si>
    <t>Sim 9284</t>
  </si>
  <si>
    <t>Sim 9285</t>
  </si>
  <si>
    <t>Sim 9286</t>
  </si>
  <si>
    <t>Sim 9287</t>
  </si>
  <si>
    <t>Sim 9288</t>
  </si>
  <si>
    <t>Sim 9289</t>
  </si>
  <si>
    <t>Sim 9290</t>
  </si>
  <si>
    <t>Sim 9291</t>
  </si>
  <si>
    <t>Sim 9292</t>
  </si>
  <si>
    <t>Sim 9293</t>
  </si>
  <si>
    <t>Sim 9294</t>
  </si>
  <si>
    <t>Sim 9295</t>
  </si>
  <si>
    <t>Sim 9296</t>
  </si>
  <si>
    <t>Sim 9297</t>
  </si>
  <si>
    <t>Sim 9298</t>
  </si>
  <si>
    <t>Sim 9299</t>
  </si>
  <si>
    <t>Sim 9300</t>
  </si>
  <si>
    <t>Sim 9301</t>
  </si>
  <si>
    <t>Sim 9302</t>
  </si>
  <si>
    <t>Sim 9303</t>
  </si>
  <si>
    <t>Sim 9304</t>
  </si>
  <si>
    <t>Sim 9305</t>
  </si>
  <si>
    <t>Sim 9306</t>
  </si>
  <si>
    <t>Sim 9307</t>
  </si>
  <si>
    <t>Sim 9308</t>
  </si>
  <si>
    <t>Sim 9309</t>
  </si>
  <si>
    <t>Sim 9310</t>
  </si>
  <si>
    <t>Sim 9311</t>
  </si>
  <si>
    <t>Sim 9312</t>
  </si>
  <si>
    <t>Sim 9313</t>
  </si>
  <si>
    <t>Sim 9314</t>
  </si>
  <si>
    <t>Sim 9315</t>
  </si>
  <si>
    <t>Sim 9316</t>
  </si>
  <si>
    <t>Sim 9317</t>
  </si>
  <si>
    <t>Sim 9318</t>
  </si>
  <si>
    <t>Sim 9319</t>
  </si>
  <si>
    <t>Sim 9320</t>
  </si>
  <si>
    <t>Sim 9321</t>
  </si>
  <si>
    <t>Sim 9322</t>
  </si>
  <si>
    <t>Sim 9323</t>
  </si>
  <si>
    <t>Sim 9324</t>
  </si>
  <si>
    <t>Sim 9325</t>
  </si>
  <si>
    <t>Sim 9326</t>
  </si>
  <si>
    <t>Sim 9327</t>
  </si>
  <si>
    <t>Sim 9328</t>
  </si>
  <si>
    <t>Sim 9329</t>
  </si>
  <si>
    <t>Sim 9330</t>
  </si>
  <si>
    <t>Sim 9331</t>
  </si>
  <si>
    <t>Sim 9332</t>
  </si>
  <si>
    <t>Sim 9333</t>
  </si>
  <si>
    <t>Sim 9334</t>
  </si>
  <si>
    <t>Sim 9335</t>
  </si>
  <si>
    <t>Sim 9336</t>
  </si>
  <si>
    <t>Sim 9337</t>
  </si>
  <si>
    <t>Sim 9338</t>
  </si>
  <si>
    <t>Sim 9339</t>
  </si>
  <si>
    <t>Sim 9340</t>
  </si>
  <si>
    <t>Sim 9341</t>
  </si>
  <si>
    <t>Sim 9342</t>
  </si>
  <si>
    <t>Sim 9343</t>
  </si>
  <si>
    <t>Sim 9344</t>
  </si>
  <si>
    <t>Sim 9345</t>
  </si>
  <si>
    <t>Sim 9346</t>
  </si>
  <si>
    <t>Sim 9347</t>
  </si>
  <si>
    <t>Sim 9348</t>
  </si>
  <si>
    <t>Sim 9349</t>
  </si>
  <si>
    <t>Sim 9350</t>
  </si>
  <si>
    <t>Sim 9351</t>
  </si>
  <si>
    <t>Sim 9352</t>
  </si>
  <si>
    <t>Sim 9353</t>
  </si>
  <si>
    <t>Sim 9354</t>
  </si>
  <si>
    <t>Sim 9355</t>
  </si>
  <si>
    <t>Sim 9356</t>
  </si>
  <si>
    <t>Sim 9357</t>
  </si>
  <si>
    <t>Sim 9358</t>
  </si>
  <si>
    <t>Sim 9359</t>
  </si>
  <si>
    <t>Sim 9360</t>
  </si>
  <si>
    <t>Sim 9361</t>
  </si>
  <si>
    <t>Sim 9362</t>
  </si>
  <si>
    <t>Sim 9363</t>
  </si>
  <si>
    <t>Sim 9364</t>
  </si>
  <si>
    <t>Sim 9365</t>
  </si>
  <si>
    <t>Sim 9366</t>
  </si>
  <si>
    <t>Sim 9367</t>
  </si>
  <si>
    <t>Sim 9368</t>
  </si>
  <si>
    <t>Sim 9369</t>
  </si>
  <si>
    <t>Sim 9370</t>
  </si>
  <si>
    <t>Sim 9371</t>
  </si>
  <si>
    <t>Sim 9372</t>
  </si>
  <si>
    <t>Sim 9373</t>
  </si>
  <si>
    <t>Sim 9374</t>
  </si>
  <si>
    <t>Sim 9375</t>
  </si>
  <si>
    <t>Sim 9376</t>
  </si>
  <si>
    <t>Sim 9377</t>
  </si>
  <si>
    <t>Sim 9378</t>
  </si>
  <si>
    <t>Sim 9379</t>
  </si>
  <si>
    <t>Sim 9380</t>
  </si>
  <si>
    <t>Sim 9381</t>
  </si>
  <si>
    <t>Sim 9382</t>
  </si>
  <si>
    <t>Sim 9383</t>
  </si>
  <si>
    <t>Sim 9384</t>
  </si>
  <si>
    <t>Sim 9385</t>
  </si>
  <si>
    <t>Sim 9386</t>
  </si>
  <si>
    <t>Sim 9387</t>
  </si>
  <si>
    <t>Sim 9388</t>
  </si>
  <si>
    <t>Sim 9389</t>
  </si>
  <si>
    <t>Sim 9390</t>
  </si>
  <si>
    <t>Sim 9391</t>
  </si>
  <si>
    <t>Sim 9392</t>
  </si>
  <si>
    <t>Sim 9393</t>
  </si>
  <si>
    <t>Sim 9394</t>
  </si>
  <si>
    <t>Sim 9395</t>
  </si>
  <si>
    <t>Sim 9396</t>
  </si>
  <si>
    <t>Sim 9397</t>
  </si>
  <si>
    <t>Sim 9398</t>
  </si>
  <si>
    <t>Sim 9399</t>
  </si>
  <si>
    <t>Sim 9400</t>
  </si>
  <si>
    <t>Sim 9401</t>
  </si>
  <si>
    <t>Sim 9402</t>
  </si>
  <si>
    <t>Sim 9403</t>
  </si>
  <si>
    <t>Sim 9404</t>
  </si>
  <si>
    <t>Sim 9405</t>
  </si>
  <si>
    <t>Sim 9406</t>
  </si>
  <si>
    <t>Sim 9407</t>
  </si>
  <si>
    <t>Sim 9408</t>
  </si>
  <si>
    <t>Sim 9409</t>
  </si>
  <si>
    <t>Sim 9410</t>
  </si>
  <si>
    <t>Sim 9411</t>
  </si>
  <si>
    <t>Sim 9412</t>
  </si>
  <si>
    <t>Sim 9413</t>
  </si>
  <si>
    <t>Sim 9414</t>
  </si>
  <si>
    <t>Sim 9415</t>
  </si>
  <si>
    <t>Sim 9416</t>
  </si>
  <si>
    <t>Sim 9417</t>
  </si>
  <si>
    <t>Sim 9418</t>
  </si>
  <si>
    <t>Sim 9419</t>
  </si>
  <si>
    <t>Sim 9420</t>
  </si>
  <si>
    <t>Sim 9421</t>
  </si>
  <si>
    <t>Sim 9422</t>
  </si>
  <si>
    <t>Sim 9423</t>
  </si>
  <si>
    <t>Sim 9424</t>
  </si>
  <si>
    <t>Sim 9425</t>
  </si>
  <si>
    <t>Sim 9426</t>
  </si>
  <si>
    <t>Sim 9427</t>
  </si>
  <si>
    <t>Sim 9428</t>
  </si>
  <si>
    <t>Sim 9429</t>
  </si>
  <si>
    <t>Sim 9430</t>
  </si>
  <si>
    <t>Sim 9431</t>
  </si>
  <si>
    <t>Sim 9432</t>
  </si>
  <si>
    <t>Sim 9433</t>
  </si>
  <si>
    <t>Sim 9434</t>
  </si>
  <si>
    <t>Sim 9435</t>
  </si>
  <si>
    <t>Sim 9436</t>
  </si>
  <si>
    <t>Sim 9437</t>
  </si>
  <si>
    <t>Sim 9438</t>
  </si>
  <si>
    <t>Sim 9439</t>
  </si>
  <si>
    <t>Sim 9440</t>
  </si>
  <si>
    <t>Sim 9441</t>
  </si>
  <si>
    <t>Sim 9442</t>
  </si>
  <si>
    <t>Sim 9443</t>
  </si>
  <si>
    <t>Sim 9444</t>
  </si>
  <si>
    <t>Sim 9445</t>
  </si>
  <si>
    <t>Sim 9446</t>
  </si>
  <si>
    <t>Sim 9447</t>
  </si>
  <si>
    <t>Sim 9448</t>
  </si>
  <si>
    <t>Sim 9449</t>
  </si>
  <si>
    <t>Sim 9450</t>
  </si>
  <si>
    <t>Sim 9451</t>
  </si>
  <si>
    <t>Sim 9452</t>
  </si>
  <si>
    <t>Sim 9453</t>
  </si>
  <si>
    <t>Sim 9454</t>
  </si>
  <si>
    <t>Sim 9455</t>
  </si>
  <si>
    <t>Sim 9456</t>
  </si>
  <si>
    <t>Sim 9457</t>
  </si>
  <si>
    <t>Sim 9458</t>
  </si>
  <si>
    <t>Sim 9459</t>
  </si>
  <si>
    <t>Sim 9460</t>
  </si>
  <si>
    <t>Sim 9461</t>
  </si>
  <si>
    <t>Sim 9462</t>
  </si>
  <si>
    <t>Sim 9463</t>
  </si>
  <si>
    <t>Sim 9464</t>
  </si>
  <si>
    <t>Sim 9465</t>
  </si>
  <si>
    <t>Sim 9466</t>
  </si>
  <si>
    <t>Sim 9467</t>
  </si>
  <si>
    <t>Sim 9468</t>
  </si>
  <si>
    <t>Sim 9469</t>
  </si>
  <si>
    <t>Sim 9470</t>
  </si>
  <si>
    <t>Sim 9471</t>
  </si>
  <si>
    <t>Sim 9472</t>
  </si>
  <si>
    <t>Sim 9473</t>
  </si>
  <si>
    <t>Sim 9474</t>
  </si>
  <si>
    <t>Sim 9475</t>
  </si>
  <si>
    <t>Sim 9476</t>
  </si>
  <si>
    <t>Sim 9477</t>
  </si>
  <si>
    <t>Sim 9478</t>
  </si>
  <si>
    <t>Sim 9479</t>
  </si>
  <si>
    <t>Sim 9480</t>
  </si>
  <si>
    <t>Sim 9481</t>
  </si>
  <si>
    <t>Sim 9482</t>
  </si>
  <si>
    <t>Sim 9483</t>
  </si>
  <si>
    <t>Sim 9484</t>
  </si>
  <si>
    <t>Sim 9485</t>
  </si>
  <si>
    <t>Sim 9486</t>
  </si>
  <si>
    <t>Sim 9487</t>
  </si>
  <si>
    <t>Sim 9488</t>
  </si>
  <si>
    <t>Sim 9489</t>
  </si>
  <si>
    <t>Sim 9490</t>
  </si>
  <si>
    <t>Sim 9491</t>
  </si>
  <si>
    <t>Sim 9492</t>
  </si>
  <si>
    <t>Sim 9493</t>
  </si>
  <si>
    <t>Sim 9494</t>
  </si>
  <si>
    <t>Sim 9495</t>
  </si>
  <si>
    <t>Sim 9496</t>
  </si>
  <si>
    <t>Sim 9497</t>
  </si>
  <si>
    <t>Sim 9498</t>
  </si>
  <si>
    <t>Sim 9499</t>
  </si>
  <si>
    <t>Sim 9500</t>
  </si>
  <si>
    <t>Sim 9501</t>
  </si>
  <si>
    <t>Sim 9502</t>
  </si>
  <si>
    <t>Sim 9503</t>
  </si>
  <si>
    <t>Sim 9504</t>
  </si>
  <si>
    <t>Sim 9505</t>
  </si>
  <si>
    <t>Sim 9506</t>
  </si>
  <si>
    <t>Sim 9507</t>
  </si>
  <si>
    <t>Sim 9508</t>
  </si>
  <si>
    <t>Sim 9509</t>
  </si>
  <si>
    <t>Sim 9510</t>
  </si>
  <si>
    <t>Sim 9511</t>
  </si>
  <si>
    <t>Sim 9512</t>
  </si>
  <si>
    <t>Sim 9513</t>
  </si>
  <si>
    <t>Sim 9514</t>
  </si>
  <si>
    <t>Sim 9515</t>
  </si>
  <si>
    <t>Sim 9516</t>
  </si>
  <si>
    <t>Sim 9517</t>
  </si>
  <si>
    <t>Sim 9518</t>
  </si>
  <si>
    <t>Sim 9519</t>
  </si>
  <si>
    <t>Sim 9520</t>
  </si>
  <si>
    <t>Sim 9521</t>
  </si>
  <si>
    <t>Sim 9522</t>
  </si>
  <si>
    <t>Sim 9523</t>
  </si>
  <si>
    <t>Sim 9524</t>
  </si>
  <si>
    <t>Sim 9525</t>
  </si>
  <si>
    <t>Sim 9526</t>
  </si>
  <si>
    <t>Sim 9527</t>
  </si>
  <si>
    <t>Sim 9528</t>
  </si>
  <si>
    <t>Sim 9529</t>
  </si>
  <si>
    <t>Sim 9530</t>
  </si>
  <si>
    <t>Sim 9531</t>
  </si>
  <si>
    <t>Sim 9532</t>
  </si>
  <si>
    <t>Sim 9533</t>
  </si>
  <si>
    <t>Sim 9534</t>
  </si>
  <si>
    <t>Sim 9535</t>
  </si>
  <si>
    <t>Sim 9536</t>
  </si>
  <si>
    <t>Sim 9537</t>
  </si>
  <si>
    <t>Sim 9538</t>
  </si>
  <si>
    <t>Sim 9539</t>
  </si>
  <si>
    <t>Sim 9540</t>
  </si>
  <si>
    <t>Sim 9541</t>
  </si>
  <si>
    <t>Sim 9542</t>
  </si>
  <si>
    <t>Sim 9543</t>
  </si>
  <si>
    <t>Sim 9544</t>
  </si>
  <si>
    <t>Sim 9545</t>
  </si>
  <si>
    <t>Sim 9546</t>
  </si>
  <si>
    <t>Sim 9547</t>
  </si>
  <si>
    <t>Sim 9548</t>
  </si>
  <si>
    <t>Sim 9549</t>
  </si>
  <si>
    <t>Sim 9550</t>
  </si>
  <si>
    <t>Sim 9551</t>
  </si>
  <si>
    <t>Sim 9552</t>
  </si>
  <si>
    <t>Sim 9553</t>
  </si>
  <si>
    <t>Sim 9554</t>
  </si>
  <si>
    <t>Sim 9555</t>
  </si>
  <si>
    <t>Sim 9556</t>
  </si>
  <si>
    <t>Sim 9557</t>
  </si>
  <si>
    <t>Sim 9558</t>
  </si>
  <si>
    <t>Sim 9559</t>
  </si>
  <si>
    <t>Sim 9560</t>
  </si>
  <si>
    <t>Sim 9561</t>
  </si>
  <si>
    <t>Sim 9562</t>
  </si>
  <si>
    <t>Sim 9563</t>
  </si>
  <si>
    <t>Sim 9564</t>
  </si>
  <si>
    <t>Sim 9565</t>
  </si>
  <si>
    <t>Sim 9566</t>
  </si>
  <si>
    <t>Sim 9567</t>
  </si>
  <si>
    <t>Sim 9568</t>
  </si>
  <si>
    <t>Sim 9569</t>
  </si>
  <si>
    <t>Sim 9570</t>
  </si>
  <si>
    <t>Sim 9571</t>
  </si>
  <si>
    <t>Sim 9572</t>
  </si>
  <si>
    <t>Sim 9573</t>
  </si>
  <si>
    <t>Sim 9574</t>
  </si>
  <si>
    <t>Sim 9575</t>
  </si>
  <si>
    <t>Sim 9576</t>
  </si>
  <si>
    <t>Sim 9577</t>
  </si>
  <si>
    <t>Sim 9578</t>
  </si>
  <si>
    <t>Sim 9579</t>
  </si>
  <si>
    <t>Sim 9580</t>
  </si>
  <si>
    <t>Sim 9581</t>
  </si>
  <si>
    <t>Sim 9582</t>
  </si>
  <si>
    <t>Sim 9583</t>
  </si>
  <si>
    <t>Sim 9584</t>
  </si>
  <si>
    <t>Sim 9585</t>
  </si>
  <si>
    <t>Sim 9586</t>
  </si>
  <si>
    <t>Sim 9587</t>
  </si>
  <si>
    <t>Sim 9588</t>
  </si>
  <si>
    <t>Sim 9589</t>
  </si>
  <si>
    <t>Sim 9590</t>
  </si>
  <si>
    <t>Sim 9591</t>
  </si>
  <si>
    <t>Sim 9592</t>
  </si>
  <si>
    <t>Sim 9593</t>
  </si>
  <si>
    <t>Sim 9594</t>
  </si>
  <si>
    <t>Sim 9595</t>
  </si>
  <si>
    <t>Sim 9596</t>
  </si>
  <si>
    <t>Sim 9597</t>
  </si>
  <si>
    <t>Sim 9598</t>
  </si>
  <si>
    <t>Sim 9599</t>
  </si>
  <si>
    <t>Sim 9600</t>
  </si>
  <si>
    <t>Sim 9601</t>
  </si>
  <si>
    <t>Sim 9602</t>
  </si>
  <si>
    <t>Sim 9603</t>
  </si>
  <si>
    <t>Sim 9604</t>
  </si>
  <si>
    <t>Sim 9605</t>
  </si>
  <si>
    <t>Sim 9606</t>
  </si>
  <si>
    <t>Sim 9607</t>
  </si>
  <si>
    <t>Sim 9608</t>
  </si>
  <si>
    <t>Sim 9609</t>
  </si>
  <si>
    <t>Sim 9610</t>
  </si>
  <si>
    <t>Sim 9611</t>
  </si>
  <si>
    <t>Sim 9612</t>
  </si>
  <si>
    <t>Sim 9613</t>
  </si>
  <si>
    <t>Sim 9614</t>
  </si>
  <si>
    <t>Sim 9615</t>
  </si>
  <si>
    <t>Sim 9616</t>
  </si>
  <si>
    <t>Sim 9617</t>
  </si>
  <si>
    <t>Sim 9618</t>
  </si>
  <si>
    <t>Sim 9619</t>
  </si>
  <si>
    <t>Sim 9620</t>
  </si>
  <si>
    <t>Sim 9621</t>
  </si>
  <si>
    <t>Sim 9622</t>
  </si>
  <si>
    <t>Sim 9623</t>
  </si>
  <si>
    <t>Sim 9624</t>
  </si>
  <si>
    <t>Sim 9625</t>
  </si>
  <si>
    <t>Sim 9626</t>
  </si>
  <si>
    <t>Sim 9627</t>
  </si>
  <si>
    <t>Sim 9628</t>
  </si>
  <si>
    <t>Sim 9629</t>
  </si>
  <si>
    <t>Sim 9630</t>
  </si>
  <si>
    <t>Sim 9631</t>
  </si>
  <si>
    <t>Sim 9632</t>
  </si>
  <si>
    <t>Sim 9633</t>
  </si>
  <si>
    <t>Sim 9634</t>
  </si>
  <si>
    <t>Sim 9635</t>
  </si>
  <si>
    <t>Sim 9636</t>
  </si>
  <si>
    <t>Sim 9637</t>
  </si>
  <si>
    <t>Sim 9638</t>
  </si>
  <si>
    <t>Sim 9639</t>
  </si>
  <si>
    <t>Sim 9640</t>
  </si>
  <si>
    <t>Sim 9641</t>
  </si>
  <si>
    <t>Sim 9642</t>
  </si>
  <si>
    <t>Sim 9643</t>
  </si>
  <si>
    <t>Sim 9644</t>
  </si>
  <si>
    <t>Sim 9645</t>
  </si>
  <si>
    <t>Sim 9646</t>
  </si>
  <si>
    <t>Sim 9647</t>
  </si>
  <si>
    <t>Sim 9648</t>
  </si>
  <si>
    <t>Sim 9649</t>
  </si>
  <si>
    <t>Sim 9650</t>
  </si>
  <si>
    <t>Sim 9651</t>
  </si>
  <si>
    <t>Sim 9652</t>
  </si>
  <si>
    <t>Sim 9653</t>
  </si>
  <si>
    <t>Sim 9654</t>
  </si>
  <si>
    <t>Sim 9655</t>
  </si>
  <si>
    <t>Sim 9656</t>
  </si>
  <si>
    <t>Sim 9657</t>
  </si>
  <si>
    <t>Sim 9658</t>
  </si>
  <si>
    <t>Sim 9659</t>
  </si>
  <si>
    <t>Sim 9660</t>
  </si>
  <si>
    <t>Sim 9661</t>
  </si>
  <si>
    <t>Sim 9662</t>
  </si>
  <si>
    <t>Sim 9663</t>
  </si>
  <si>
    <t>Sim 9664</t>
  </si>
  <si>
    <t>Sim 9665</t>
  </si>
  <si>
    <t>Sim 9666</t>
  </si>
  <si>
    <t>Sim 9667</t>
  </si>
  <si>
    <t>Sim 9668</t>
  </si>
  <si>
    <t>Sim 9669</t>
  </si>
  <si>
    <t>Sim 9670</t>
  </si>
  <si>
    <t>Sim 9671</t>
  </si>
  <si>
    <t>Sim 9672</t>
  </si>
  <si>
    <t>Sim 9673</t>
  </si>
  <si>
    <t>Sim 9674</t>
  </si>
  <si>
    <t>Sim 9675</t>
  </si>
  <si>
    <t>Sim 9676</t>
  </si>
  <si>
    <t>Sim 9677</t>
  </si>
  <si>
    <t>Sim 9678</t>
  </si>
  <si>
    <t>Sim 9679</t>
  </si>
  <si>
    <t>Sim 9680</t>
  </si>
  <si>
    <t>Sim 9681</t>
  </si>
  <si>
    <t>Sim 9682</t>
  </si>
  <si>
    <t>Sim 9683</t>
  </si>
  <si>
    <t>Sim 9684</t>
  </si>
  <si>
    <t>Sim 9685</t>
  </si>
  <si>
    <t>Sim 9686</t>
  </si>
  <si>
    <t>Sim 9687</t>
  </si>
  <si>
    <t>Sim 9688</t>
  </si>
  <si>
    <t>Sim 9689</t>
  </si>
  <si>
    <t>Sim 9690</t>
  </si>
  <si>
    <t>Sim 9691</t>
  </si>
  <si>
    <t>Sim 9692</t>
  </si>
  <si>
    <t>Sim 9693</t>
  </si>
  <si>
    <t>Sim 9694</t>
  </si>
  <si>
    <t>Sim 9695</t>
  </si>
  <si>
    <t>Sim 9696</t>
  </si>
  <si>
    <t>Sim 9697</t>
  </si>
  <si>
    <t>Sim 9698</t>
  </si>
  <si>
    <t>Sim 9699</t>
  </si>
  <si>
    <t>Sim 9700</t>
  </si>
  <si>
    <t>Sim 9701</t>
  </si>
  <si>
    <t>Sim 9702</t>
  </si>
  <si>
    <t>Sim 9703</t>
  </si>
  <si>
    <t>Sim 9704</t>
  </si>
  <si>
    <t>Sim 9705</t>
  </si>
  <si>
    <t>Sim 9706</t>
  </si>
  <si>
    <t>Sim 9707</t>
  </si>
  <si>
    <t>Sim 9708</t>
  </si>
  <si>
    <t>Sim 9709</t>
  </si>
  <si>
    <t>Sim 9710</t>
  </si>
  <si>
    <t>Sim 9711</t>
  </si>
  <si>
    <t>Sim 9712</t>
  </si>
  <si>
    <t>Sim 9713</t>
  </si>
  <si>
    <t>Sim 9714</t>
  </si>
  <si>
    <t>Sim 9715</t>
  </si>
  <si>
    <t>Sim 9716</t>
  </si>
  <si>
    <t>Sim 9717</t>
  </si>
  <si>
    <t>Sim 9718</t>
  </si>
  <si>
    <t>Sim 9719</t>
  </si>
  <si>
    <t>Sim 9720</t>
  </si>
  <si>
    <t>Sim 9721</t>
  </si>
  <si>
    <t>Sim 9722</t>
  </si>
  <si>
    <t>Sim 9723</t>
  </si>
  <si>
    <t>Sim 9724</t>
  </si>
  <si>
    <t>Sim 9725</t>
  </si>
  <si>
    <t>Sim 9726</t>
  </si>
  <si>
    <t>Sim 9727</t>
  </si>
  <si>
    <t>Sim 9728</t>
  </si>
  <si>
    <t>Sim 9729</t>
  </si>
  <si>
    <t>Sim 9730</t>
  </si>
  <si>
    <t>Sim 9731</t>
  </si>
  <si>
    <t>Sim 9732</t>
  </si>
  <si>
    <t>Sim 9733</t>
  </si>
  <si>
    <t>Sim 9734</t>
  </si>
  <si>
    <t>Sim 9735</t>
  </si>
  <si>
    <t>Sim 9736</t>
  </si>
  <si>
    <t>Sim 9737</t>
  </si>
  <si>
    <t>Sim 9738</t>
  </si>
  <si>
    <t>Sim 9739</t>
  </si>
  <si>
    <t>Sim 9740</t>
  </si>
  <si>
    <t>Sim 9741</t>
  </si>
  <si>
    <t>Sim 9742</t>
  </si>
  <si>
    <t>Sim 9743</t>
  </si>
  <si>
    <t>Sim 9744</t>
  </si>
  <si>
    <t>Sim 9745</t>
  </si>
  <si>
    <t>Sim 9746</t>
  </si>
  <si>
    <t>Sim 9747</t>
  </si>
  <si>
    <t>Sim 9748</t>
  </si>
  <si>
    <t>Sim 9749</t>
  </si>
  <si>
    <t>Sim 9750</t>
  </si>
  <si>
    <t>Sim 9751</t>
  </si>
  <si>
    <t>Sim 9752</t>
  </si>
  <si>
    <t>Sim 9753</t>
  </si>
  <si>
    <t>Sim 9754</t>
  </si>
  <si>
    <t>Sim 9755</t>
  </si>
  <si>
    <t>Sim 9756</t>
  </si>
  <si>
    <t>Sim 9757</t>
  </si>
  <si>
    <t>Sim 9758</t>
  </si>
  <si>
    <t>Sim 9759</t>
  </si>
  <si>
    <t>Sim 9760</t>
  </si>
  <si>
    <t>Sim 9761</t>
  </si>
  <si>
    <t>Sim 9762</t>
  </si>
  <si>
    <t>Sim 9763</t>
  </si>
  <si>
    <t>Sim 9764</t>
  </si>
  <si>
    <t>Sim 9765</t>
  </si>
  <si>
    <t>Sim 9766</t>
  </si>
  <si>
    <t>Sim 9767</t>
  </si>
  <si>
    <t>Sim 9768</t>
  </si>
  <si>
    <t>Sim 9769</t>
  </si>
  <si>
    <t>Sim 9770</t>
  </si>
  <si>
    <t>Sim 9771</t>
  </si>
  <si>
    <t>Sim 9772</t>
  </si>
  <si>
    <t>Sim 9773</t>
  </si>
  <si>
    <t>Sim 9774</t>
  </si>
  <si>
    <t>Sim 9775</t>
  </si>
  <si>
    <t>Sim 9776</t>
  </si>
  <si>
    <t>Sim 9777</t>
  </si>
  <si>
    <t>Sim 9778</t>
  </si>
  <si>
    <t>Sim 9779</t>
  </si>
  <si>
    <t>Sim 9780</t>
  </si>
  <si>
    <t>Sim 9781</t>
  </si>
  <si>
    <t>Sim 9782</t>
  </si>
  <si>
    <t>Sim 9783</t>
  </si>
  <si>
    <t>Sim 9784</t>
  </si>
  <si>
    <t>Sim 9785</t>
  </si>
  <si>
    <t>Sim 9786</t>
  </si>
  <si>
    <t>Sim 9787</t>
  </si>
  <si>
    <t>Sim 9788</t>
  </si>
  <si>
    <t>Sim 9789</t>
  </si>
  <si>
    <t>Sim 9790</t>
  </si>
  <si>
    <t>Sim 9791</t>
  </si>
  <si>
    <t>Sim 9792</t>
  </si>
  <si>
    <t>Sim 9793</t>
  </si>
  <si>
    <t>Sim 9794</t>
  </si>
  <si>
    <t>Sim 9795</t>
  </si>
  <si>
    <t>Sim 9796</t>
  </si>
  <si>
    <t>Sim 9797</t>
  </si>
  <si>
    <t>Sim 9798</t>
  </si>
  <si>
    <t>Sim 9799</t>
  </si>
  <si>
    <t>Sim 9800</t>
  </si>
  <si>
    <t>Sim 9801</t>
  </si>
  <si>
    <t>Sim 9802</t>
  </si>
  <si>
    <t>Sim 9803</t>
  </si>
  <si>
    <t>Sim 9804</t>
  </si>
  <si>
    <t>Sim 9805</t>
  </si>
  <si>
    <t>Sim 9806</t>
  </si>
  <si>
    <t>Sim 9807</t>
  </si>
  <si>
    <t>Sim 9808</t>
  </si>
  <si>
    <t>Sim 9809</t>
  </si>
  <si>
    <t>Sim 9810</t>
  </si>
  <si>
    <t>Sim 9811</t>
  </si>
  <si>
    <t>Sim 9812</t>
  </si>
  <si>
    <t>Sim 9813</t>
  </si>
  <si>
    <t>Sim 9814</t>
  </si>
  <si>
    <t>Sim 9815</t>
  </si>
  <si>
    <t>Sim 9816</t>
  </si>
  <si>
    <t>Sim 9817</t>
  </si>
  <si>
    <t>Sim 9818</t>
  </si>
  <si>
    <t>Sim 9819</t>
  </si>
  <si>
    <t>Sim 9820</t>
  </si>
  <si>
    <t>Sim 9821</t>
  </si>
  <si>
    <t>Sim 9822</t>
  </si>
  <si>
    <t>Sim 9823</t>
  </si>
  <si>
    <t>Sim 9824</t>
  </si>
  <si>
    <t>Sim 9825</t>
  </si>
  <si>
    <t>Sim 9826</t>
  </si>
  <si>
    <t>Sim 9827</t>
  </si>
  <si>
    <t>Sim 9828</t>
  </si>
  <si>
    <t>Sim 9829</t>
  </si>
  <si>
    <t>Sim 9830</t>
  </si>
  <si>
    <t>Sim 9831</t>
  </si>
  <si>
    <t>Sim 9832</t>
  </si>
  <si>
    <t>Sim 9833</t>
  </si>
  <si>
    <t>Sim 9834</t>
  </si>
  <si>
    <t>Sim 9835</t>
  </si>
  <si>
    <t>Sim 9836</t>
  </si>
  <si>
    <t>Sim 9837</t>
  </si>
  <si>
    <t>Sim 9838</t>
  </si>
  <si>
    <t>Sim 9839</t>
  </si>
  <si>
    <t>Sim 9840</t>
  </si>
  <si>
    <t>Sim 9841</t>
  </si>
  <si>
    <t>Sim 9842</t>
  </si>
  <si>
    <t>Sim 9843</t>
  </si>
  <si>
    <t>Sim 9844</t>
  </si>
  <si>
    <t>Sim 9845</t>
  </si>
  <si>
    <t>Sim 9846</t>
  </si>
  <si>
    <t>Sim 9847</t>
  </si>
  <si>
    <t>Sim 9848</t>
  </si>
  <si>
    <t>Sim 9849</t>
  </si>
  <si>
    <t>Sim 9850</t>
  </si>
  <si>
    <t>Sim 9851</t>
  </si>
  <si>
    <t>Sim 9852</t>
  </si>
  <si>
    <t>Sim 9853</t>
  </si>
  <si>
    <t>Sim 9854</t>
  </si>
  <si>
    <t>Sim 9855</t>
  </si>
  <si>
    <t>Sim 9856</t>
  </si>
  <si>
    <t>Sim 9857</t>
  </si>
  <si>
    <t>Sim 9858</t>
  </si>
  <si>
    <t>Sim 9859</t>
  </si>
  <si>
    <t>Sim 9860</t>
  </si>
  <si>
    <t>Sim 9861</t>
  </si>
  <si>
    <t>Sim 9862</t>
  </si>
  <si>
    <t>Sim 9863</t>
  </si>
  <si>
    <t>Sim 9864</t>
  </si>
  <si>
    <t>Sim 9865</t>
  </si>
  <si>
    <t>Sim 9866</t>
  </si>
  <si>
    <t>Sim 9867</t>
  </si>
  <si>
    <t>Sim 9868</t>
  </si>
  <si>
    <t>Sim 9869</t>
  </si>
  <si>
    <t>Sim 9870</t>
  </si>
  <si>
    <t>Sim 9871</t>
  </si>
  <si>
    <t>Sim 9872</t>
  </si>
  <si>
    <t>Sim 9873</t>
  </si>
  <si>
    <t>Sim 9874</t>
  </si>
  <si>
    <t>Sim 9875</t>
  </si>
  <si>
    <t>Sim 9876</t>
  </si>
  <si>
    <t>Sim 9877</t>
  </si>
  <si>
    <t>Sim 9878</t>
  </si>
  <si>
    <t>Sim 9879</t>
  </si>
  <si>
    <t>Sim 9880</t>
  </si>
  <si>
    <t>Sim 9881</t>
  </si>
  <si>
    <t>Sim 9882</t>
  </si>
  <si>
    <t>Sim 9883</t>
  </si>
  <si>
    <t>Sim 9884</t>
  </si>
  <si>
    <t>Sim 9885</t>
  </si>
  <si>
    <t>Sim 9886</t>
  </si>
  <si>
    <t>Sim 9887</t>
  </si>
  <si>
    <t>Sim 9888</t>
  </si>
  <si>
    <t>Sim 9889</t>
  </si>
  <si>
    <t>Sim 9890</t>
  </si>
  <si>
    <t>Sim 9891</t>
  </si>
  <si>
    <t>Sim 9892</t>
  </si>
  <si>
    <t>Sim 9893</t>
  </si>
  <si>
    <t>Sim 9894</t>
  </si>
  <si>
    <t>Sim 9895</t>
  </si>
  <si>
    <t>Sim 9896</t>
  </si>
  <si>
    <t>Sim 9897</t>
  </si>
  <si>
    <t>Sim 9898</t>
  </si>
  <si>
    <t>Sim 9899</t>
  </si>
  <si>
    <t>Sim 9900</t>
  </si>
  <si>
    <t>Sim 9901</t>
  </si>
  <si>
    <t>Sim 9902</t>
  </si>
  <si>
    <t>Sim 9903</t>
  </si>
  <si>
    <t>Sim 9904</t>
  </si>
  <si>
    <t>Sim 9905</t>
  </si>
  <si>
    <t>Sim 9906</t>
  </si>
  <si>
    <t>Sim 9907</t>
  </si>
  <si>
    <t>Sim 9908</t>
  </si>
  <si>
    <t>Sim 9909</t>
  </si>
  <si>
    <t>Sim 9910</t>
  </si>
  <si>
    <t>Sim 9911</t>
  </si>
  <si>
    <t>Sim 9912</t>
  </si>
  <si>
    <t>Sim 9913</t>
  </si>
  <si>
    <t>Sim 9914</t>
  </si>
  <si>
    <t>Sim 9915</t>
  </si>
  <si>
    <t>Sim 9916</t>
  </si>
  <si>
    <t>Sim 9917</t>
  </si>
  <si>
    <t>Sim 9918</t>
  </si>
  <si>
    <t>Sim 9919</t>
  </si>
  <si>
    <t>Sim 9920</t>
  </si>
  <si>
    <t>Sim 9921</t>
  </si>
  <si>
    <t>Sim 9922</t>
  </si>
  <si>
    <t>Sim 9923</t>
  </si>
  <si>
    <t>Sim 9924</t>
  </si>
  <si>
    <t>Sim 9925</t>
  </si>
  <si>
    <t>Sim 9926</t>
  </si>
  <si>
    <t>Sim 9927</t>
  </si>
  <si>
    <t>Sim 9928</t>
  </si>
  <si>
    <t>Sim 9929</t>
  </si>
  <si>
    <t>Sim 9930</t>
  </si>
  <si>
    <t>Sim 9931</t>
  </si>
  <si>
    <t>Sim 9932</t>
  </si>
  <si>
    <t>Sim 9933</t>
  </si>
  <si>
    <t>Sim 9934</t>
  </si>
  <si>
    <t>Sim 9935</t>
  </si>
  <si>
    <t>Sim 9936</t>
  </si>
  <si>
    <t>Sim 9937</t>
  </si>
  <si>
    <t>Sim 9938</t>
  </si>
  <si>
    <t>Sim 9939</t>
  </si>
  <si>
    <t>Sim 9940</t>
  </si>
  <si>
    <t>Sim 9941</t>
  </si>
  <si>
    <t>Sim 9942</t>
  </si>
  <si>
    <t>Sim 9943</t>
  </si>
  <si>
    <t>Sim 9944</t>
  </si>
  <si>
    <t>Sim 9945</t>
  </si>
  <si>
    <t>Sim 9946</t>
  </si>
  <si>
    <t>Sim 9947</t>
  </si>
  <si>
    <t>Sim 9948</t>
  </si>
  <si>
    <t>Sim 9949</t>
  </si>
  <si>
    <t>Sim 9950</t>
  </si>
  <si>
    <t>Sim 9951</t>
  </si>
  <si>
    <t>Sim 9952</t>
  </si>
  <si>
    <t>Sim 9953</t>
  </si>
  <si>
    <t>Sim 9954</t>
  </si>
  <si>
    <t>Sim 9955</t>
  </si>
  <si>
    <t>Sim 9956</t>
  </si>
  <si>
    <t>Sim 9957</t>
  </si>
  <si>
    <t>Sim 9958</t>
  </si>
  <si>
    <t>Sim 9959</t>
  </si>
  <si>
    <t>Sim 9960</t>
  </si>
  <si>
    <t>Sim 9961</t>
  </si>
  <si>
    <t>Sim 9962</t>
  </si>
  <si>
    <t>Sim 9963</t>
  </si>
  <si>
    <t>Sim 9964</t>
  </si>
  <si>
    <t>Sim 9965</t>
  </si>
  <si>
    <t>Sim 9966</t>
  </si>
  <si>
    <t>Sim 9967</t>
  </si>
  <si>
    <t>Sim 9968</t>
  </si>
  <si>
    <t>Sim 9969</t>
  </si>
  <si>
    <t>Sim 9970</t>
  </si>
  <si>
    <t>Sim 9971</t>
  </si>
  <si>
    <t>Sim 9972</t>
  </si>
  <si>
    <t>Sim 9973</t>
  </si>
  <si>
    <t>Sim 9974</t>
  </si>
  <si>
    <t>Sim 9975</t>
  </si>
  <si>
    <t>Sim 9976</t>
  </si>
  <si>
    <t>Sim 9977</t>
  </si>
  <si>
    <t>Sim 9978</t>
  </si>
  <si>
    <t>Sim 9979</t>
  </si>
  <si>
    <t>Sim 9980</t>
  </si>
  <si>
    <t>Sim 9981</t>
  </si>
  <si>
    <t>Sim 9982</t>
  </si>
  <si>
    <t>Sim 9983</t>
  </si>
  <si>
    <t>Sim 9984</t>
  </si>
  <si>
    <t>Sim 9985</t>
  </si>
  <si>
    <t>Sim 9986</t>
  </si>
  <si>
    <t>Sim 9987</t>
  </si>
  <si>
    <t>Sim 9988</t>
  </si>
  <si>
    <t>Sim 9989</t>
  </si>
  <si>
    <t>Sim 9990</t>
  </si>
  <si>
    <t>Sim 9991</t>
  </si>
  <si>
    <t>Sim 9992</t>
  </si>
  <si>
    <t>Sim 9993</t>
  </si>
  <si>
    <t>Sim 9994</t>
  </si>
  <si>
    <t>Sim 9995</t>
  </si>
  <si>
    <t>Sim 9996</t>
  </si>
  <si>
    <t>Sim 9997</t>
  </si>
  <si>
    <t>Sim 9998</t>
  </si>
  <si>
    <t>Sim 9999</t>
  </si>
  <si>
    <t>Sim 10000</t>
  </si>
  <si>
    <t>Stock data</t>
  </si>
  <si>
    <t>Estimated fair price today</t>
  </si>
  <si>
    <t>Cost of equity (mu)</t>
  </si>
  <si>
    <t>Volatility (standard deviation of ROE)</t>
  </si>
  <si>
    <t>Investment horizon</t>
  </si>
  <si>
    <t>Terminal price</t>
  </si>
  <si>
    <t>Dividend Paid</t>
  </si>
  <si>
    <t>Dividend Payout ratio</t>
  </si>
  <si>
    <t>Cost of Equity</t>
  </si>
  <si>
    <t>PV OF Dividend</t>
  </si>
  <si>
    <t>Sum of PV of Dividends</t>
  </si>
  <si>
    <t>2 Year Average</t>
  </si>
  <si>
    <t>SENSITIVITY ANALYSIS</t>
  </si>
  <si>
    <t>Long Term Growth Rate</t>
  </si>
  <si>
    <t>Cost Of Equity</t>
  </si>
  <si>
    <t>5 year Average</t>
  </si>
  <si>
    <t>TOTALENERGIES ,GHANA</t>
  </si>
  <si>
    <t>Ticker:</t>
  </si>
  <si>
    <t xml:space="preserve">Upside </t>
  </si>
  <si>
    <t>Current Price @ 23/05/2025</t>
  </si>
  <si>
    <t>BUY</t>
  </si>
  <si>
    <t>Other BETAs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</si>
</sst>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#,##0_);\!\(#,##0\!\)"/>
    <numFmt numFmtId="165" formatCode="0_);\(0\)"/>
    <numFmt numFmtId="166" formatCode="0&quot;x&quot;"/>
    <numFmt numFmtId="167" formatCode="0&quot;days&quot;"/>
    <numFmt numFmtId="168" formatCode="0.00&quot;x&quot;"/>
    <numFmt numFmtId="169" formatCode="0.0000"/>
    <numFmt numFmtId="170" formatCode="0.00\x"/>
    <numFmt numFmtId="171" formatCode="#,##0.00_);\!\(#,##0.00\!\)"/>
    <numFmt numFmtId="172" formatCode="_(* #,##0_);_(* \(#,##0\);_(* &quot;-&quot;??_);_(@_)"/>
    <numFmt numFmtId="173" formatCode="0.000"/>
    <numFmt numFmtId="174" formatCode="[$-409]mmm\-yy;@"/>
    <numFmt numFmtId="175" formatCode="_(* #,##0.000_);_(* \(#,##0.000\);_(* &quot;-&quot;??_);_(@_)"/>
  </numFmts>
  <fonts count="38">
    <font>
      <sz val="11"/>
      <name val="Calibri"/>
    </font>
    <font>
      <sz val="11"/>
      <color rgb="FF000000"/>
      <name val="Times New Roman"/>
    </font>
    <font>
      <sz val="11"/>
      <color rgb="FFFFFFFF"/>
      <name val="Times New Roman"/>
    </font>
    <font>
      <b/>
      <sz val="11"/>
      <color rgb="FFFFFFFF"/>
      <name val="Times New Roman"/>
    </font>
    <font>
      <sz val="18"/>
      <color rgb="FFFFFFFF"/>
      <name val="Calibri  "/>
    </font>
    <font>
      <b/>
      <sz val="11"/>
      <color rgb="FF000000"/>
      <name val="Times New Roman"/>
    </font>
    <font>
      <sz val="11"/>
      <color rgb="FF2F75B6"/>
      <name val="Times New Roman"/>
    </font>
    <font>
      <sz val="11"/>
      <color rgb="FF4473C4"/>
      <name val="Times New Roman"/>
    </font>
    <font>
      <sz val="11"/>
      <color rgb="FF0070C0"/>
      <name val="Times New Roman"/>
    </font>
    <font>
      <b/>
      <sz val="11"/>
      <name val="Times New Roman"/>
    </font>
    <font>
      <sz val="11"/>
      <name val="Times New Roman"/>
    </font>
    <font>
      <b/>
      <sz val="11"/>
      <color rgb="FF0070C0"/>
      <name val="Times New Roman"/>
    </font>
    <font>
      <sz val="11"/>
      <color rgb="FF000000"/>
      <name val="Calibri"/>
    </font>
    <font>
      <sz val="11"/>
      <color rgb="FF4473C4"/>
      <name val="Calibri"/>
    </font>
    <font>
      <sz val="11"/>
      <name val="Calibri"/>
    </font>
    <font>
      <sz val="18"/>
      <name val="Calibri"/>
    </font>
    <font>
      <b/>
      <sz val="11"/>
      <color rgb="FF000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8"/>
      <color rgb="FF7F5F00"/>
      <name val="Calibri"/>
    </font>
    <font>
      <b/>
      <sz val="18"/>
      <name val="Calibri"/>
    </font>
    <font>
      <b/>
      <sz val="18"/>
      <color rgb="FFFFFFFF"/>
      <name val="Calibri"/>
    </font>
    <font>
      <i/>
      <sz val="8"/>
      <color rgb="FFFFFFFF"/>
      <name val="Calibri"/>
    </font>
    <font>
      <b/>
      <sz val="11"/>
      <color rgb="FFFFFFFF"/>
      <name val="Calibri"/>
    </font>
    <font>
      <b/>
      <i/>
      <sz val="11"/>
      <color rgb="FF000000"/>
      <name val="Calibri"/>
    </font>
    <font>
      <b/>
      <sz val="12"/>
      <color rgb="FFFFFFFF"/>
      <name val="Calibri"/>
    </font>
    <font>
      <b/>
      <sz val="11"/>
      <color rgb="FF002060"/>
      <name val="Calibri"/>
    </font>
    <font>
      <b/>
      <i/>
      <sz val="11"/>
      <color rgb="FF00B050"/>
      <name val="Calibri"/>
    </font>
    <font>
      <b/>
      <i/>
      <sz val="11"/>
      <color rgb="FF70AD46"/>
      <name val="Calibri"/>
    </font>
    <font>
      <b/>
      <sz val="18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FF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303030"/>
      <name val="Calibri"/>
    </font>
    <font>
      <sz val="12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43536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17406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D1D3D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31" fillId="0" borderId="0">
      <alignment vertical="top"/>
      <protection locked="0"/>
    </xf>
    <xf numFmtId="43" fontId="31" fillId="0" borderId="0">
      <alignment vertical="top"/>
      <protection locked="0"/>
    </xf>
  </cellStyleXfs>
  <cellXfs count="294">
    <xf numFmtId="0" fontId="0" fillId="0" borderId="0" xfId="0">
      <alignment vertical="center"/>
    </xf>
    <xf numFmtId="164" fontId="1" fillId="0" borderId="0" xfId="0" applyNumberFormat="1" applyFont="1" applyAlignment="1"/>
    <xf numFmtId="164" fontId="2" fillId="2" borderId="0" xfId="0" applyNumberFormat="1" applyFont="1" applyFill="1" applyAlignment="1"/>
    <xf numFmtId="164" fontId="3" fillId="2" borderId="0" xfId="0" applyNumberFormat="1" applyFont="1" applyFill="1" applyAlignment="1"/>
    <xf numFmtId="164" fontId="4" fillId="2" borderId="0" xfId="0" applyNumberFormat="1" applyFont="1" applyFill="1" applyAlignment="1"/>
    <xf numFmtId="164" fontId="1" fillId="3" borderId="0" xfId="0" applyNumberFormat="1" applyFont="1" applyFill="1" applyAlignment="1"/>
    <xf numFmtId="164" fontId="5" fillId="3" borderId="0" xfId="0" applyNumberFormat="1" applyFont="1" applyFill="1" applyAlignment="1"/>
    <xf numFmtId="165" fontId="5" fillId="3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 vertical="center" shrinkToFit="1"/>
    </xf>
    <xf numFmtId="164" fontId="7" fillId="0" borderId="0" xfId="0" applyNumberFormat="1" applyFont="1" applyAlignment="1"/>
    <xf numFmtId="164" fontId="6" fillId="0" borderId="0" xfId="0" applyNumberFormat="1" applyFont="1" applyAlignment="1">
      <alignment horizontal="right" vertical="top" shrinkToFit="1"/>
    </xf>
    <xf numFmtId="164" fontId="8" fillId="0" borderId="0" xfId="0" applyNumberFormat="1" applyFont="1" applyAlignment="1"/>
    <xf numFmtId="164" fontId="5" fillId="0" borderId="0" xfId="0" applyNumberFormat="1" applyFont="1" applyAlignment="1"/>
    <xf numFmtId="9" fontId="1" fillId="0" borderId="0" xfId="1" applyFont="1" applyAlignment="1" applyProtection="1"/>
    <xf numFmtId="164" fontId="9" fillId="0" borderId="0" xfId="0" applyNumberFormat="1" applyFont="1" applyAlignment="1"/>
    <xf numFmtId="164" fontId="9" fillId="0" borderId="1" xfId="0" applyNumberFormat="1" applyFont="1" applyBorder="1" applyAlignment="1">
      <alignment horizontal="right" vertical="top" shrinkToFit="1"/>
    </xf>
    <xf numFmtId="164" fontId="9" fillId="0" borderId="1" xfId="0" applyNumberFormat="1" applyFont="1" applyBorder="1" applyAlignment="1"/>
    <xf numFmtId="164" fontId="9" fillId="0" borderId="0" xfId="0" applyNumberFormat="1" applyFont="1" applyAlignment="1">
      <alignment horizontal="left"/>
    </xf>
    <xf numFmtId="164" fontId="1" fillId="0" borderId="2" xfId="0" applyNumberFormat="1" applyFont="1" applyBorder="1" applyAlignment="1"/>
    <xf numFmtId="3" fontId="7" fillId="0" borderId="3" xfId="0" applyNumberFormat="1" applyFont="1" applyBorder="1" applyAlignment="1">
      <alignment horizontal="right" vertical="top" shrinkToFit="1"/>
    </xf>
    <xf numFmtId="164" fontId="10" fillId="0" borderId="0" xfId="0" applyNumberFormat="1" applyFont="1" applyAlignment="1"/>
    <xf numFmtId="164" fontId="5" fillId="0" borderId="4" xfId="0" applyNumberFormat="1" applyFont="1" applyBorder="1" applyAlignment="1"/>
    <xf numFmtId="9" fontId="5" fillId="0" borderId="0" xfId="1" applyFont="1" applyAlignment="1" applyProtection="1"/>
    <xf numFmtId="164" fontId="1" fillId="0" borderId="4" xfId="0" applyNumberFormat="1" applyFont="1" applyBorder="1" applyAlignment="1"/>
    <xf numFmtId="164" fontId="9" fillId="4" borderId="5" xfId="0" applyNumberFormat="1" applyFont="1" applyFill="1" applyBorder="1" applyAlignment="1">
      <alignment horizontal="right" vertical="top" shrinkToFit="1"/>
    </xf>
    <xf numFmtId="164" fontId="9" fillId="0" borderId="5" xfId="0" applyNumberFormat="1" applyFont="1" applyBorder="1" applyAlignment="1"/>
    <xf numFmtId="164" fontId="9" fillId="4" borderId="0" xfId="0" applyNumberFormat="1" applyFont="1" applyFill="1" applyAlignment="1">
      <alignment horizontal="right" vertical="top" shrinkToFit="1"/>
    </xf>
    <xf numFmtId="164" fontId="6" fillId="4" borderId="0" xfId="0" applyNumberFormat="1" applyFont="1" applyFill="1" applyAlignment="1">
      <alignment horizontal="right" vertical="top" shrinkToFit="1"/>
    </xf>
    <xf numFmtId="164" fontId="11" fillId="0" borderId="0" xfId="0" applyNumberFormat="1" applyFont="1" applyAlignment="1"/>
    <xf numFmtId="164" fontId="7" fillId="4" borderId="0" xfId="0" applyNumberFormat="1" applyFont="1" applyFill="1" applyAlignment="1">
      <alignment horizontal="right" vertical="top" shrinkToFit="1"/>
    </xf>
    <xf numFmtId="164" fontId="1" fillId="0" borderId="0" xfId="0" applyNumberFormat="1" applyFont="1" applyAlignment="1">
      <alignment wrapText="1"/>
    </xf>
    <xf numFmtId="2" fontId="7" fillId="0" borderId="0" xfId="0" applyNumberFormat="1" applyFont="1" applyAlignment="1"/>
    <xf numFmtId="164" fontId="7" fillId="3" borderId="0" xfId="0" applyNumberFormat="1" applyFont="1" applyFill="1" applyAlignment="1"/>
    <xf numFmtId="164" fontId="7" fillId="0" borderId="4" xfId="0" applyNumberFormat="1" applyFont="1" applyBorder="1" applyAlignment="1"/>
    <xf numFmtId="164" fontId="8" fillId="0" borderId="4" xfId="0" applyNumberFormat="1" applyFont="1" applyBorder="1" applyAlignment="1"/>
    <xf numFmtId="164" fontId="5" fillId="0" borderId="2" xfId="0" applyNumberFormat="1" applyFont="1" applyBorder="1" applyAlignment="1"/>
    <xf numFmtId="164" fontId="9" fillId="0" borderId="4" xfId="0" applyNumberFormat="1" applyFont="1" applyBorder="1" applyAlignment="1"/>
    <xf numFmtId="164" fontId="9" fillId="0" borderId="2" xfId="0" applyNumberFormat="1" applyFont="1" applyBorder="1" applyAlignment="1"/>
    <xf numFmtId="164" fontId="1" fillId="0" borderId="6" xfId="0" applyNumberFormat="1" applyFont="1" applyBorder="1" applyAlignment="1"/>
    <xf numFmtId="164" fontId="5" fillId="0" borderId="6" xfId="0" applyNumberFormat="1" applyFont="1" applyBorder="1" applyAlignment="1"/>
    <xf numFmtId="164" fontId="1" fillId="4" borderId="0" xfId="0" applyNumberFormat="1" applyFont="1" applyFill="1" applyAlignment="1"/>
    <xf numFmtId="164" fontId="5" fillId="4" borderId="0" xfId="0" applyNumberFormat="1" applyFont="1" applyFill="1" applyAlignment="1"/>
    <xf numFmtId="164" fontId="7" fillId="4" borderId="0" xfId="0" applyNumberFormat="1" applyFont="1" applyFill="1" applyAlignment="1"/>
    <xf numFmtId="164" fontId="8" fillId="4" borderId="0" xfId="0" applyNumberFormat="1" applyFont="1" applyFill="1" applyAlignment="1"/>
    <xf numFmtId="164" fontId="9" fillId="0" borderId="7" xfId="0" applyNumberFormat="1" applyFont="1" applyBorder="1" applyAlignment="1"/>
    <xf numFmtId="164" fontId="5" fillId="0" borderId="5" xfId="0" applyNumberFormat="1" applyFont="1" applyBorder="1" applyAlignment="1"/>
    <xf numFmtId="164" fontId="8" fillId="3" borderId="0" xfId="0" applyNumberFormat="1" applyFont="1" applyFill="1" applyAlignment="1"/>
    <xf numFmtId="164" fontId="10" fillId="0" borderId="0" xfId="0" applyNumberFormat="1" applyFont="1" applyAlignment="1">
      <alignment horizontal="left" vertical="top" wrapText="1"/>
    </xf>
    <xf numFmtId="164" fontId="1" fillId="0" borderId="5" xfId="0" applyNumberFormat="1" applyFont="1" applyBorder="1" applyAlignment="1"/>
    <xf numFmtId="164" fontId="5" fillId="0" borderId="4" xfId="0" applyNumberFormat="1" applyFont="1" applyBorder="1" applyAlignment="1">
      <alignment horizontal="left" wrapText="1"/>
    </xf>
    <xf numFmtId="164" fontId="9" fillId="0" borderId="4" xfId="0" applyNumberFormat="1" applyFont="1" applyBorder="1" applyAlignment="1">
      <alignment horizontal="right" vertical="top" indent="1" shrinkToFit="1"/>
    </xf>
    <xf numFmtId="164" fontId="9" fillId="0" borderId="4" xfId="0" applyNumberFormat="1" applyFont="1" applyBorder="1" applyAlignment="1">
      <alignment horizontal="left" vertical="top" wrapText="1"/>
    </xf>
    <xf numFmtId="164" fontId="9" fillId="0" borderId="4" xfId="0" applyNumberFormat="1" applyFont="1" applyBorder="1" applyAlignment="1">
      <alignment horizontal="right" wrapText="1"/>
    </xf>
    <xf numFmtId="164" fontId="9" fillId="0" borderId="0" xfId="0" applyNumberFormat="1" applyFont="1" applyAlignment="1">
      <alignment horizontal="left" vertical="top" wrapText="1"/>
    </xf>
    <xf numFmtId="164" fontId="9" fillId="0" borderId="5" xfId="0" applyNumberFormat="1" applyFont="1" applyBorder="1" applyAlignment="1">
      <alignment horizontal="left" vertical="top" wrapText="1"/>
    </xf>
    <xf numFmtId="164" fontId="9" fillId="0" borderId="5" xfId="0" applyNumberFormat="1" applyFont="1" applyBorder="1" applyAlignment="1">
      <alignment horizontal="right" vertical="top" indent="1" shrinkToFit="1"/>
    </xf>
    <xf numFmtId="9" fontId="12" fillId="0" borderId="0" xfId="0" applyNumberFormat="1" applyFont="1" applyAlignment="1"/>
    <xf numFmtId="9" fontId="12" fillId="0" borderId="0" xfId="1" applyFont="1" applyAlignment="1" applyProtection="1"/>
    <xf numFmtId="9" fontId="12" fillId="0" borderId="4" xfId="1" applyFont="1" applyBorder="1" applyAlignment="1" applyProtection="1"/>
    <xf numFmtId="0" fontId="12" fillId="0" borderId="4" xfId="0" applyFont="1" applyBorder="1" applyAlignment="1"/>
    <xf numFmtId="9" fontId="12" fillId="0" borderId="2" xfId="1" applyFont="1" applyBorder="1" applyAlignment="1" applyProtection="1"/>
    <xf numFmtId="0" fontId="12" fillId="0" borderId="2" xfId="0" applyFont="1" applyBorder="1" applyAlignment="1"/>
    <xf numFmtId="9" fontId="12" fillId="0" borderId="5" xfId="1" applyFont="1" applyBorder="1" applyAlignment="1" applyProtection="1"/>
    <xf numFmtId="0" fontId="12" fillId="0" borderId="5" xfId="0" applyFont="1" applyBorder="1" applyAlignment="1"/>
    <xf numFmtId="164" fontId="5" fillId="0" borderId="0" xfId="0" applyNumberFormat="1" applyFont="1" applyAlignment="1">
      <alignment horizontal="left" wrapText="1"/>
    </xf>
    <xf numFmtId="0" fontId="13" fillId="0" borderId="0" xfId="0" applyFont="1" applyAlignment="1"/>
    <xf numFmtId="0" fontId="14" fillId="5" borderId="0" xfId="0" applyFont="1" applyFill="1" applyAlignment="1"/>
    <xf numFmtId="0" fontId="15" fillId="5" borderId="0" xfId="0" applyFont="1" applyFill="1" applyAlignment="1"/>
    <xf numFmtId="0" fontId="13" fillId="5" borderId="0" xfId="0" applyFont="1" applyFill="1" applyAlignment="1"/>
    <xf numFmtId="0" fontId="16" fillId="0" borderId="0" xfId="0" applyFont="1" applyAlignment="1"/>
    <xf numFmtId="9" fontId="13" fillId="0" borderId="0" xfId="0" applyNumberFormat="1" applyFont="1" applyAlignment="1"/>
    <xf numFmtId="2" fontId="12" fillId="0" borderId="0" xfId="1" applyNumberFormat="1" applyFont="1" applyAlignment="1" applyProtection="1"/>
    <xf numFmtId="2" fontId="13" fillId="0" borderId="0" xfId="0" applyNumberFormat="1" applyFont="1" applyAlignment="1"/>
    <xf numFmtId="2" fontId="12" fillId="0" borderId="0" xfId="0" applyNumberFormat="1" applyFont="1" applyAlignment="1"/>
    <xf numFmtId="166" fontId="12" fillId="0" borderId="0" xfId="0" applyNumberFormat="1" applyFont="1" applyAlignment="1"/>
    <xf numFmtId="166" fontId="13" fillId="0" borderId="0" xfId="0" applyNumberFormat="1" applyFont="1" applyAlignment="1"/>
    <xf numFmtId="167" fontId="12" fillId="0" borderId="0" xfId="0" applyNumberFormat="1" applyFont="1" applyAlignment="1"/>
    <xf numFmtId="167" fontId="13" fillId="0" borderId="0" xfId="0" applyNumberFormat="1" applyFont="1" applyAlignment="1"/>
    <xf numFmtId="168" fontId="12" fillId="0" borderId="0" xfId="0" applyNumberFormat="1" applyFont="1" applyAlignment="1"/>
    <xf numFmtId="168" fontId="13" fillId="0" borderId="0" xfId="0" applyNumberFormat="1" applyFont="1" applyAlignment="1"/>
    <xf numFmtId="169" fontId="12" fillId="0" borderId="0" xfId="0" applyNumberFormat="1" applyFont="1" applyAlignment="1"/>
    <xf numFmtId="169" fontId="13" fillId="0" borderId="0" xfId="0" applyNumberFormat="1" applyFont="1" applyAlignment="1"/>
    <xf numFmtId="4" fontId="12" fillId="0" borderId="0" xfId="0" applyNumberFormat="1" applyFont="1" applyAlignment="1"/>
    <xf numFmtId="1" fontId="5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/>
    <xf numFmtId="164" fontId="7" fillId="0" borderId="0" xfId="0" applyNumberFormat="1" applyFont="1" applyAlignment="1">
      <alignment horizontal="right" vertical="center" shrinkToFit="1"/>
    </xf>
    <xf numFmtId="164" fontId="13" fillId="0" borderId="0" xfId="0" applyNumberFormat="1" applyFont="1" applyAlignment="1"/>
    <xf numFmtId="0" fontId="16" fillId="0" borderId="4" xfId="0" applyFont="1" applyBorder="1" applyAlignment="1"/>
    <xf numFmtId="164" fontId="16" fillId="0" borderId="4" xfId="0" applyNumberFormat="1" applyFont="1" applyBorder="1" applyAlignment="1"/>
    <xf numFmtId="164" fontId="12" fillId="0" borderId="0" xfId="0" applyNumberFormat="1" applyFont="1" applyAlignment="1"/>
    <xf numFmtId="0" fontId="17" fillId="0" borderId="4" xfId="0" applyFont="1" applyBorder="1" applyAlignment="1"/>
    <xf numFmtId="164" fontId="17" fillId="0" borderId="4" xfId="0" applyNumberFormat="1" applyFont="1" applyBorder="1" applyAlignment="1"/>
    <xf numFmtId="0" fontId="17" fillId="0" borderId="5" xfId="0" applyFont="1" applyBorder="1" applyAlignment="1"/>
    <xf numFmtId="164" fontId="17" fillId="0" borderId="5" xfId="0" applyNumberFormat="1" applyFont="1" applyBorder="1" applyAlignment="1"/>
    <xf numFmtId="0" fontId="12" fillId="6" borderId="0" xfId="0" applyFont="1" applyFill="1" applyAlignment="1"/>
    <xf numFmtId="0" fontId="18" fillId="6" borderId="0" xfId="0" applyFont="1" applyFill="1" applyAlignment="1"/>
    <xf numFmtId="3" fontId="12" fillId="0" borderId="0" xfId="0" applyNumberFormat="1" applyFont="1" applyAlignment="1"/>
    <xf numFmtId="0" fontId="16" fillId="0" borderId="5" xfId="0" applyFont="1" applyBorder="1" applyAlignment="1"/>
    <xf numFmtId="3" fontId="16" fillId="0" borderId="5" xfId="0" applyNumberFormat="1" applyFont="1" applyBorder="1" applyAlignment="1"/>
    <xf numFmtId="3" fontId="16" fillId="0" borderId="0" xfId="0" applyNumberFormat="1" applyFont="1" applyAlignment="1"/>
    <xf numFmtId="165" fontId="5" fillId="3" borderId="0" xfId="0" applyNumberFormat="1" applyFont="1" applyFill="1" applyAlignment="1"/>
    <xf numFmtId="164" fontId="16" fillId="0" borderId="5" xfId="0" applyNumberFormat="1" applyFont="1" applyBorder="1" applyAlignment="1"/>
    <xf numFmtId="0" fontId="12" fillId="7" borderId="0" xfId="0" applyFont="1" applyFill="1" applyAlignment="1"/>
    <xf numFmtId="0" fontId="19" fillId="8" borderId="0" xfId="0" applyFont="1" applyFill="1" applyAlignment="1"/>
    <xf numFmtId="0" fontId="20" fillId="8" borderId="0" xfId="0" applyFont="1" applyFill="1" applyAlignment="1"/>
    <xf numFmtId="0" fontId="23" fillId="2" borderId="13" xfId="0" applyFont="1" applyFill="1" applyBorder="1" applyAlignment="1"/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5" xfId="0" applyFont="1" applyFill="1" applyBorder="1" applyAlignment="1">
      <alignment horizontal="center" wrapText="1"/>
    </xf>
    <xf numFmtId="0" fontId="23" fillId="2" borderId="15" xfId="0" applyFont="1" applyFill="1" applyBorder="1" applyAlignment="1">
      <alignment horizontal="centerContinuous" vertical="center"/>
    </xf>
    <xf numFmtId="0" fontId="23" fillId="2" borderId="0" xfId="0" applyFont="1" applyFill="1" applyAlignment="1">
      <alignment horizontal="centerContinuous" vertical="center"/>
    </xf>
    <xf numFmtId="0" fontId="23" fillId="2" borderId="16" xfId="0" applyFont="1" applyFill="1" applyBorder="1" applyAlignment="1">
      <alignment horizontal="centerContinuous" vertical="center"/>
    </xf>
    <xf numFmtId="0" fontId="23" fillId="2" borderId="17" xfId="0" applyFont="1" applyFill="1" applyBorder="1" applyAlignment="1"/>
    <xf numFmtId="0" fontId="23" fillId="2" borderId="2" xfId="0" applyFont="1" applyFill="1" applyBorder="1" applyAlignment="1"/>
    <xf numFmtId="0" fontId="23" fillId="2" borderId="18" xfId="0" applyFont="1" applyFill="1" applyBorder="1" applyAlignment="1"/>
    <xf numFmtId="0" fontId="23" fillId="2" borderId="19" xfId="0" applyFont="1" applyFill="1" applyBorder="1" applyAlignment="1"/>
    <xf numFmtId="0" fontId="23" fillId="2" borderId="19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12" fillId="0" borderId="13" xfId="0" applyFont="1" applyBorder="1" applyAlignme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70" fontId="12" fillId="0" borderId="0" xfId="0" applyNumberFormat="1" applyFont="1" applyAlignment="1">
      <alignment horizontal="center"/>
    </xf>
    <xf numFmtId="9" fontId="12" fillId="0" borderId="21" xfId="1" applyFont="1" applyBorder="1" applyAlignment="1" applyProtection="1">
      <alignment horizontal="center"/>
    </xf>
    <xf numFmtId="9" fontId="12" fillId="0" borderId="0" xfId="1" applyFont="1" applyAlignment="1" applyProtection="1">
      <alignment horizontal="center"/>
    </xf>
    <xf numFmtId="10" fontId="12" fillId="0" borderId="0" xfId="0" applyNumberFormat="1" applyFont="1" applyAlignment="1">
      <alignment horizontal="center"/>
    </xf>
    <xf numFmtId="170" fontId="12" fillId="0" borderId="0" xfId="0" applyNumberFormat="1" applyFont="1" applyAlignment="1">
      <alignment horizontal="right"/>
    </xf>
    <xf numFmtId="170" fontId="12" fillId="0" borderId="16" xfId="0" applyNumberFormat="1" applyFont="1" applyBorder="1" applyAlignment="1">
      <alignment horizontal="right"/>
    </xf>
    <xf numFmtId="2" fontId="12" fillId="0" borderId="0" xfId="0" applyNumberFormat="1" applyFont="1" applyAlignment="1">
      <alignment horizontal="center"/>
    </xf>
    <xf numFmtId="10" fontId="12" fillId="0" borderId="21" xfId="1" applyNumberFormat="1" applyFont="1" applyBorder="1" applyAlignment="1" applyProtection="1">
      <alignment horizontal="center"/>
    </xf>
    <xf numFmtId="10" fontId="12" fillId="0" borderId="0" xfId="1" applyNumberFormat="1" applyFont="1" applyAlignment="1" applyProtection="1">
      <alignment horizontal="center"/>
    </xf>
    <xf numFmtId="0" fontId="12" fillId="0" borderId="16" xfId="0" applyFont="1" applyBorder="1" applyAlignment="1">
      <alignment horizontal="center"/>
    </xf>
    <xf numFmtId="0" fontId="16" fillId="0" borderId="13" xfId="0" applyFont="1" applyBorder="1" applyAlignment="1"/>
    <xf numFmtId="2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68" fontId="24" fillId="0" borderId="0" xfId="0" applyNumberFormat="1" applyFont="1" applyAlignment="1">
      <alignment horizontal="center"/>
    </xf>
    <xf numFmtId="9" fontId="24" fillId="0" borderId="0" xfId="1" applyFont="1" applyAlignment="1" applyProtection="1">
      <alignment horizontal="center"/>
    </xf>
    <xf numFmtId="170" fontId="24" fillId="0" borderId="0" xfId="0" applyNumberFormat="1" applyFont="1" applyAlignment="1">
      <alignment horizontal="center"/>
    </xf>
    <xf numFmtId="170" fontId="24" fillId="0" borderId="16" xfId="0" applyNumberFormat="1" applyFont="1" applyBorder="1" applyAlignment="1">
      <alignment horizontal="right"/>
    </xf>
    <xf numFmtId="0" fontId="13" fillId="7" borderId="0" xfId="0" applyFont="1" applyFill="1" applyAlignment="1"/>
    <xf numFmtId="0" fontId="13" fillId="0" borderId="17" xfId="0" applyFont="1" applyBorder="1" applyAlignment="1"/>
    <xf numFmtId="0" fontId="13" fillId="0" borderId="2" xfId="0" applyFont="1" applyBorder="1" applyAlignment="1">
      <alignment horizontal="center"/>
    </xf>
    <xf numFmtId="171" fontId="13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70" fontId="13" fillId="0" borderId="2" xfId="0" applyNumberFormat="1" applyFont="1" applyBorder="1" applyAlignment="1">
      <alignment horizontal="center"/>
    </xf>
    <xf numFmtId="10" fontId="13" fillId="0" borderId="2" xfId="0" applyNumberFormat="1" applyFont="1" applyBorder="1" applyAlignment="1">
      <alignment horizontal="center"/>
    </xf>
    <xf numFmtId="170" fontId="13" fillId="0" borderId="20" xfId="0" applyNumberFormat="1" applyFont="1" applyBorder="1" applyAlignment="1">
      <alignment horizontal="center"/>
    </xf>
    <xf numFmtId="0" fontId="25" fillId="2" borderId="22" xfId="0" applyFont="1" applyFill="1" applyBorder="1" applyAlignment="1">
      <alignment horizontal="centerContinuous"/>
    </xf>
    <xf numFmtId="0" fontId="25" fillId="2" borderId="23" xfId="0" applyFont="1" applyFill="1" applyBorder="1" applyAlignment="1">
      <alignment horizontal="centerContinuous"/>
    </xf>
    <xf numFmtId="0" fontId="25" fillId="2" borderId="24" xfId="0" applyFont="1" applyFill="1" applyBorder="1" applyAlignment="1">
      <alignment horizontal="centerContinuous"/>
    </xf>
    <xf numFmtId="0" fontId="12" fillId="4" borderId="22" xfId="0" applyFont="1" applyFill="1" applyBorder="1" applyAlignment="1"/>
    <xf numFmtId="0" fontId="12" fillId="4" borderId="24" xfId="0" applyFont="1" applyFill="1" applyBorder="1" applyAlignment="1"/>
    <xf numFmtId="0" fontId="16" fillId="4" borderId="13" xfId="0" applyFont="1" applyFill="1" applyBorder="1" applyAlignment="1">
      <alignment horizontal="centerContinuous"/>
    </xf>
    <xf numFmtId="0" fontId="12" fillId="4" borderId="16" xfId="0" applyFont="1" applyFill="1" applyBorder="1" applyAlignment="1">
      <alignment horizontal="centerContinuous"/>
    </xf>
    <xf numFmtId="0" fontId="12" fillId="4" borderId="13" xfId="0" applyFont="1" applyFill="1" applyBorder="1" applyAlignment="1"/>
    <xf numFmtId="2" fontId="12" fillId="4" borderId="16" xfId="0" applyNumberFormat="1" applyFont="1" applyFill="1" applyBorder="1" applyAlignment="1"/>
    <xf numFmtId="168" fontId="12" fillId="4" borderId="16" xfId="0" applyNumberFormat="1" applyFont="1" applyFill="1" applyBorder="1" applyAlignment="1"/>
    <xf numFmtId="170" fontId="12" fillId="4" borderId="16" xfId="0" applyNumberFormat="1" applyFont="1" applyFill="1" applyBorder="1" applyAlignment="1"/>
    <xf numFmtId="164" fontId="12" fillId="7" borderId="0" xfId="0" applyNumberFormat="1" applyFont="1" applyFill="1" applyAlignment="1"/>
    <xf numFmtId="164" fontId="12" fillId="4" borderId="0" xfId="0" applyNumberFormat="1" applyFont="1" applyFill="1" applyAlignment="1">
      <alignment horizontal="right"/>
    </xf>
    <xf numFmtId="164" fontId="12" fillId="4" borderId="16" xfId="0" applyNumberFormat="1" applyFont="1" applyFill="1" applyBorder="1" applyAlignment="1"/>
    <xf numFmtId="0" fontId="12" fillId="4" borderId="16" xfId="0" applyFont="1" applyFill="1" applyBorder="1" applyAlignment="1"/>
    <xf numFmtId="3" fontId="12" fillId="4" borderId="16" xfId="0" applyNumberFormat="1" applyFont="1" applyFill="1" applyBorder="1" applyAlignment="1"/>
    <xf numFmtId="164" fontId="12" fillId="4" borderId="0" xfId="0" applyNumberFormat="1" applyFont="1" applyFill="1" applyAlignment="1"/>
    <xf numFmtId="3" fontId="12" fillId="4" borderId="0" xfId="0" applyNumberFormat="1" applyFont="1" applyFill="1" applyAlignment="1"/>
    <xf numFmtId="0" fontId="16" fillId="4" borderId="13" xfId="0" applyFont="1" applyFill="1" applyBorder="1" applyAlignment="1"/>
    <xf numFmtId="2" fontId="16" fillId="4" borderId="16" xfId="0" applyNumberFormat="1" applyFont="1" applyFill="1" applyBorder="1" applyAlignment="1"/>
    <xf numFmtId="2" fontId="16" fillId="4" borderId="2" xfId="0" applyNumberFormat="1" applyFont="1" applyFill="1" applyBorder="1" applyAlignment="1"/>
    <xf numFmtId="0" fontId="12" fillId="4" borderId="23" xfId="0" applyFont="1" applyFill="1" applyBorder="1" applyAlignment="1"/>
    <xf numFmtId="0" fontId="26" fillId="4" borderId="23" xfId="0" applyFont="1" applyFill="1" applyBorder="1" applyAlignment="1">
      <alignment horizontal="centerContinuous"/>
    </xf>
    <xf numFmtId="0" fontId="12" fillId="4" borderId="0" xfId="0" applyFont="1" applyFill="1" applyAlignment="1"/>
    <xf numFmtId="0" fontId="26" fillId="4" borderId="0" xfId="0" applyFont="1" applyFill="1" applyAlignment="1">
      <alignment horizontal="centerContinuous"/>
    </xf>
    <xf numFmtId="43" fontId="26" fillId="4" borderId="0" xfId="2" applyFont="1" applyFill="1" applyAlignment="1" applyProtection="1">
      <alignment horizontal="centerContinuous"/>
    </xf>
    <xf numFmtId="0" fontId="17" fillId="4" borderId="0" xfId="0" applyFont="1" applyFill="1" applyAlignment="1">
      <alignment horizontal="centerContinuous"/>
    </xf>
    <xf numFmtId="171" fontId="17" fillId="4" borderId="0" xfId="0" applyNumberFormat="1" applyFont="1" applyFill="1" applyAlignment="1">
      <alignment horizontal="centerContinuous"/>
    </xf>
    <xf numFmtId="0" fontId="27" fillId="4" borderId="0" xfId="0" applyFont="1" applyFill="1" applyAlignment="1">
      <alignment horizontal="centerContinuous"/>
    </xf>
    <xf numFmtId="0" fontId="12" fillId="4" borderId="17" xfId="0" applyFont="1" applyFill="1" applyBorder="1" applyAlignment="1"/>
    <xf numFmtId="0" fontId="12" fillId="4" borderId="2" xfId="0" applyFont="1" applyFill="1" applyBorder="1" applyAlignment="1"/>
    <xf numFmtId="10" fontId="27" fillId="4" borderId="2" xfId="0" applyNumberFormat="1" applyFont="1" applyFill="1" applyBorder="1" applyAlignment="1">
      <alignment horizontal="centerContinuous"/>
    </xf>
    <xf numFmtId="9" fontId="28" fillId="4" borderId="2" xfId="1" applyFont="1" applyFill="1" applyBorder="1" applyAlignment="1" applyProtection="1">
      <alignment horizontal="centerContinuous"/>
    </xf>
    <xf numFmtId="0" fontId="12" fillId="4" borderId="20" xfId="0" applyFont="1" applyFill="1" applyBorder="1" applyAlignment="1"/>
    <xf numFmtId="0" fontId="16" fillId="7" borderId="0" xfId="0" applyFont="1" applyFill="1" applyAlignment="1"/>
    <xf numFmtId="0" fontId="12" fillId="9" borderId="0" xfId="0" applyFont="1" applyFill="1" applyAlignment="1"/>
    <xf numFmtId="0" fontId="12" fillId="10" borderId="0" xfId="0" applyFont="1" applyFill="1" applyAlignment="1"/>
    <xf numFmtId="0" fontId="29" fillId="6" borderId="0" xfId="0" applyFont="1" applyFill="1" applyAlignment="1"/>
    <xf numFmtId="0" fontId="12" fillId="7" borderId="0" xfId="0" applyFont="1" applyFill="1" applyAlignment="1">
      <alignment horizontal="center"/>
    </xf>
    <xf numFmtId="3" fontId="16" fillId="7" borderId="0" xfId="0" applyNumberFormat="1" applyFont="1" applyFill="1" applyAlignment="1"/>
    <xf numFmtId="164" fontId="16" fillId="7" borderId="0" xfId="0" applyNumberFormat="1" applyFont="1" applyFill="1" applyAlignment="1"/>
    <xf numFmtId="164" fontId="13" fillId="7" borderId="0" xfId="0" applyNumberFormat="1" applyFont="1" applyFill="1" applyAlignment="1"/>
    <xf numFmtId="0" fontId="16" fillId="7" borderId="1" xfId="0" applyFont="1" applyFill="1" applyBorder="1" applyAlignment="1"/>
    <xf numFmtId="0" fontId="12" fillId="7" borderId="1" xfId="0" applyFont="1" applyFill="1" applyBorder="1" applyAlignment="1"/>
    <xf numFmtId="0" fontId="16" fillId="7" borderId="5" xfId="0" applyFont="1" applyFill="1" applyBorder="1" applyAlignment="1"/>
    <xf numFmtId="164" fontId="16" fillId="7" borderId="5" xfId="0" applyNumberFormat="1" applyFont="1" applyFill="1" applyBorder="1" applyAlignment="1"/>
    <xf numFmtId="0" fontId="12" fillId="7" borderId="5" xfId="0" applyFont="1" applyFill="1" applyBorder="1" applyAlignment="1"/>
    <xf numFmtId="164" fontId="17" fillId="7" borderId="5" xfId="0" applyNumberFormat="1" applyFont="1" applyFill="1" applyBorder="1" applyAlignment="1"/>
    <xf numFmtId="165" fontId="16" fillId="7" borderId="0" xfId="0" applyNumberFormat="1" applyFont="1" applyFill="1" applyAlignment="1"/>
    <xf numFmtId="164" fontId="16" fillId="7" borderId="6" xfId="0" applyNumberFormat="1" applyFont="1" applyFill="1" applyBorder="1" applyAlignment="1"/>
    <xf numFmtId="0" fontId="12" fillId="11" borderId="0" xfId="0" applyFont="1" applyFill="1" applyAlignment="1"/>
    <xf numFmtId="0" fontId="12" fillId="12" borderId="0" xfId="0" applyFont="1" applyFill="1" applyAlignment="1"/>
    <xf numFmtId="164" fontId="14" fillId="0" borderId="0" xfId="0" applyNumberFormat="1" applyFont="1" applyAlignment="1">
      <alignment horizontal="right" vertical="center" shrinkToFit="1"/>
    </xf>
    <xf numFmtId="164" fontId="14" fillId="0" borderId="0" xfId="0" applyNumberFormat="1" applyFont="1" applyAlignment="1"/>
    <xf numFmtId="172" fontId="12" fillId="0" borderId="0" xfId="2" applyNumberFormat="1" applyFont="1" applyAlignment="1" applyProtection="1"/>
    <xf numFmtId="0" fontId="30" fillId="0" borderId="0" xfId="0" applyFont="1" applyAlignment="1"/>
    <xf numFmtId="0" fontId="16" fillId="13" borderId="0" xfId="0" applyFont="1" applyFill="1" applyAlignment="1"/>
    <xf numFmtId="0" fontId="12" fillId="13" borderId="0" xfId="0" applyFont="1" applyFill="1" applyAlignment="1"/>
    <xf numFmtId="9" fontId="12" fillId="13" borderId="0" xfId="1" applyFont="1" applyFill="1" applyAlignment="1" applyProtection="1"/>
    <xf numFmtId="172" fontId="12" fillId="0" borderId="0" xfId="0" applyNumberFormat="1" applyFont="1" applyAlignment="1"/>
    <xf numFmtId="164" fontId="14" fillId="0" borderId="0" xfId="0" applyNumberFormat="1" applyFont="1" applyAlignment="1">
      <alignment horizontal="right" vertical="top" shrinkToFit="1"/>
    </xf>
    <xf numFmtId="0" fontId="23" fillId="14" borderId="0" xfId="0" applyFont="1" applyFill="1" applyAlignment="1"/>
    <xf numFmtId="0" fontId="31" fillId="0" borderId="0" xfId="0" applyFont="1" applyAlignment="1"/>
    <xf numFmtId="1" fontId="12" fillId="0" borderId="0" xfId="0" applyNumberFormat="1" applyFont="1" applyAlignment="1"/>
    <xf numFmtId="0" fontId="16" fillId="15" borderId="0" xfId="0" applyFont="1" applyFill="1" applyAlignment="1"/>
    <xf numFmtId="164" fontId="12" fillId="15" borderId="0" xfId="0" applyNumberFormat="1" applyFont="1" applyFill="1" applyAlignment="1"/>
    <xf numFmtId="1" fontId="12" fillId="15" borderId="0" xfId="0" applyNumberFormat="1" applyFont="1" applyFill="1" applyAlignment="1"/>
    <xf numFmtId="0" fontId="23" fillId="16" borderId="0" xfId="0" applyFont="1" applyFill="1" applyAlignment="1"/>
    <xf numFmtId="0" fontId="12" fillId="15" borderId="0" xfId="0" applyFont="1" applyFill="1" applyAlignment="1"/>
    <xf numFmtId="0" fontId="16" fillId="17" borderId="0" xfId="0" applyFont="1" applyFill="1" applyAlignment="1"/>
    <xf numFmtId="164" fontId="16" fillId="0" borderId="0" xfId="0" applyNumberFormat="1" applyFont="1" applyAlignment="1"/>
    <xf numFmtId="164" fontId="31" fillId="0" borderId="0" xfId="0" applyNumberFormat="1" applyFont="1" applyAlignment="1"/>
    <xf numFmtId="164" fontId="12" fillId="0" borderId="1" xfId="0" applyNumberFormat="1" applyFont="1" applyBorder="1" applyAlignment="1"/>
    <xf numFmtId="0" fontId="12" fillId="0" borderId="1" xfId="0" applyFont="1" applyBorder="1" applyAlignment="1"/>
    <xf numFmtId="164" fontId="31" fillId="0" borderId="4" xfId="0" applyNumberFormat="1" applyFont="1" applyBorder="1" applyAlignment="1"/>
    <xf numFmtId="0" fontId="23" fillId="16" borderId="7" xfId="0" applyFont="1" applyFill="1" applyBorder="1" applyAlignment="1"/>
    <xf numFmtId="0" fontId="23" fillId="16" borderId="25" xfId="0" applyFont="1" applyFill="1" applyBorder="1" applyAlignment="1"/>
    <xf numFmtId="0" fontId="31" fillId="0" borderId="15" xfId="0" applyFont="1" applyBorder="1" applyAlignment="1"/>
    <xf numFmtId="10" fontId="12" fillId="0" borderId="14" xfId="0" applyNumberFormat="1" applyFont="1" applyBorder="1" applyAlignment="1"/>
    <xf numFmtId="0" fontId="23" fillId="16" borderId="0" xfId="0" applyFont="1" applyFill="1" applyAlignment="1">
      <alignment horizontal="center"/>
    </xf>
    <xf numFmtId="2" fontId="33" fillId="0" borderId="14" xfId="0" applyNumberFormat="1" applyFont="1" applyBorder="1" applyAlignment="1"/>
    <xf numFmtId="173" fontId="12" fillId="0" borderId="0" xfId="0" applyNumberFormat="1" applyFont="1" applyAlignment="1"/>
    <xf numFmtId="9" fontId="12" fillId="0" borderId="14" xfId="0" applyNumberFormat="1" applyFont="1" applyBorder="1" applyAlignment="1"/>
    <xf numFmtId="9" fontId="33" fillId="0" borderId="14" xfId="0" applyNumberFormat="1" applyFont="1" applyBorder="1" applyAlignment="1"/>
    <xf numFmtId="9" fontId="12" fillId="0" borderId="14" xfId="1" applyFont="1" applyBorder="1" applyAlignment="1" applyProtection="1"/>
    <xf numFmtId="0" fontId="16" fillId="15" borderId="26" xfId="0" applyFont="1" applyFill="1" applyBorder="1" applyAlignment="1"/>
    <xf numFmtId="10" fontId="12" fillId="0" borderId="27" xfId="0" applyNumberFormat="1" applyFont="1" applyBorder="1" applyAlignment="1"/>
    <xf numFmtId="173" fontId="16" fillId="0" borderId="0" xfId="0" applyNumberFormat="1" applyFont="1" applyAlignment="1"/>
    <xf numFmtId="0" fontId="34" fillId="17" borderId="0" xfId="0" applyFont="1" applyFill="1" applyAlignment="1"/>
    <xf numFmtId="0" fontId="12" fillId="18" borderId="0" xfId="0" applyFont="1" applyFill="1" applyAlignment="1"/>
    <xf numFmtId="0" fontId="23" fillId="18" borderId="0" xfId="0" applyFont="1" applyFill="1" applyAlignment="1"/>
    <xf numFmtId="0" fontId="32" fillId="18" borderId="0" xfId="0" applyFont="1" applyFill="1" applyAlignment="1"/>
    <xf numFmtId="9" fontId="32" fillId="18" borderId="0" xfId="1" applyFont="1" applyFill="1" applyAlignment="1" applyProtection="1"/>
    <xf numFmtId="0" fontId="23" fillId="19" borderId="0" xfId="0" applyFont="1" applyFill="1" applyAlignment="1"/>
    <xf numFmtId="0" fontId="12" fillId="19" borderId="0" xfId="0" applyFont="1" applyFill="1" applyAlignment="1"/>
    <xf numFmtId="9" fontId="32" fillId="19" borderId="0" xfId="0" applyNumberFormat="1" applyFont="1" applyFill="1" applyAlignment="1"/>
    <xf numFmtId="0" fontId="32" fillId="19" borderId="0" xfId="0" applyFont="1" applyFill="1" applyAlignment="1"/>
    <xf numFmtId="9" fontId="32" fillId="19" borderId="0" xfId="1" applyFont="1" applyFill="1" applyAlignment="1" applyProtection="1"/>
    <xf numFmtId="0" fontId="30" fillId="0" borderId="1" xfId="0" applyFont="1" applyBorder="1" applyAlignment="1"/>
    <xf numFmtId="172" fontId="12" fillId="0" borderId="1" xfId="0" applyNumberFormat="1" applyFont="1" applyBorder="1" applyAlignment="1"/>
    <xf numFmtId="0" fontId="35" fillId="0" borderId="0" xfId="0" applyFont="1" applyAlignment="1"/>
    <xf numFmtId="0" fontId="35" fillId="0" borderId="1" xfId="0" applyFont="1" applyBorder="1" applyAlignment="1"/>
    <xf numFmtId="1" fontId="12" fillId="0" borderId="1" xfId="0" applyNumberFormat="1" applyFont="1" applyBorder="1" applyAlignment="1"/>
    <xf numFmtId="0" fontId="36" fillId="0" borderId="5" xfId="0" applyFont="1" applyBorder="1" applyAlignment="1"/>
    <xf numFmtId="172" fontId="12" fillId="0" borderId="5" xfId="0" applyNumberFormat="1" applyFont="1" applyBorder="1" applyAlignment="1"/>
    <xf numFmtId="172" fontId="16" fillId="0" borderId="0" xfId="0" applyNumberFormat="1" applyFont="1" applyAlignment="1"/>
    <xf numFmtId="0" fontId="18" fillId="0" borderId="0" xfId="0" applyFont="1" applyAlignment="1"/>
    <xf numFmtId="0" fontId="32" fillId="20" borderId="0" xfId="0" applyFont="1" applyFill="1" applyAlignment="1"/>
    <xf numFmtId="0" fontId="23" fillId="20" borderId="0" xfId="0" applyFont="1" applyFill="1" applyAlignment="1"/>
    <xf numFmtId="2" fontId="31" fillId="0" borderId="0" xfId="0" applyNumberFormat="1" applyFont="1" applyAlignment="1"/>
    <xf numFmtId="9" fontId="16" fillId="0" borderId="0" xfId="0" applyNumberFormat="1" applyFont="1" applyAlignment="1"/>
    <xf numFmtId="9" fontId="16" fillId="15" borderId="0" xfId="0" applyNumberFormat="1" applyFont="1" applyFill="1" applyAlignment="1">
      <alignment horizontal="center"/>
    </xf>
    <xf numFmtId="2" fontId="12" fillId="15" borderId="0" xfId="0" applyNumberFormat="1" applyFont="1" applyFill="1" applyAlignment="1">
      <alignment horizontal="center"/>
    </xf>
    <xf numFmtId="43" fontId="12" fillId="0" borderId="0" xfId="0" applyNumberFormat="1" applyFont="1" applyAlignment="1"/>
    <xf numFmtId="9" fontId="16" fillId="15" borderId="0" xfId="0" applyNumberFormat="1" applyFont="1" applyFill="1" applyAlignment="1"/>
    <xf numFmtId="2" fontId="12" fillId="15" borderId="0" xfId="0" applyNumberFormat="1" applyFont="1" applyFill="1" applyAlignment="1"/>
    <xf numFmtId="17" fontId="12" fillId="11" borderId="0" xfId="0" applyNumberFormat="1" applyFont="1" applyFill="1" applyAlignment="1"/>
    <xf numFmtId="17" fontId="12" fillId="12" borderId="0" xfId="0" applyNumberFormat="1" applyFont="1" applyFill="1" applyAlignment="1"/>
    <xf numFmtId="164" fontId="35" fillId="0" borderId="0" xfId="0" applyNumberFormat="1" applyFont="1" applyAlignment="1"/>
    <xf numFmtId="0" fontId="36" fillId="0" borderId="4" xfId="0" applyFont="1" applyBorder="1" applyAlignment="1"/>
    <xf numFmtId="0" fontId="36" fillId="0" borderId="6" xfId="0" applyFont="1" applyBorder="1" applyAlignment="1"/>
    <xf numFmtId="174" fontId="34" fillId="17" borderId="0" xfId="0" applyNumberFormat="1" applyFont="1" applyFill="1" applyAlignment="1"/>
    <xf numFmtId="0" fontId="23" fillId="21" borderId="0" xfId="0" applyFont="1" applyFill="1" applyAlignment="1"/>
    <xf numFmtId="0" fontId="12" fillId="21" borderId="0" xfId="0" applyFont="1" applyFill="1" applyAlignment="1"/>
    <xf numFmtId="43" fontId="32" fillId="21" borderId="0" xfId="0" applyNumberFormat="1" applyFont="1" applyFill="1" applyAlignment="1"/>
    <xf numFmtId="0" fontId="12" fillId="0" borderId="29" xfId="0" applyFont="1" applyBorder="1" applyAlignment="1"/>
    <xf numFmtId="0" fontId="12" fillId="0" borderId="14" xfId="0" applyFont="1" applyBorder="1" applyAlignment="1">
      <alignment horizontal="center"/>
    </xf>
    <xf numFmtId="0" fontId="12" fillId="23" borderId="14" xfId="0" applyFont="1" applyFill="1" applyBorder="1" applyAlignment="1">
      <alignment horizontal="center"/>
    </xf>
    <xf numFmtId="0" fontId="12" fillId="0" borderId="30" xfId="0" applyFont="1" applyBorder="1" applyAlignment="1"/>
    <xf numFmtId="0" fontId="12" fillId="0" borderId="27" xfId="0" applyFont="1" applyBorder="1" applyAlignment="1"/>
    <xf numFmtId="0" fontId="37" fillId="0" borderId="0" xfId="0" applyFont="1" applyAlignment="1"/>
    <xf numFmtId="10" fontId="12" fillId="0" borderId="0" xfId="0" applyNumberFormat="1" applyFont="1" applyAlignment="1"/>
    <xf numFmtId="0" fontId="25" fillId="24" borderId="0" xfId="0" applyFont="1" applyFill="1" applyAlignment="1"/>
    <xf numFmtId="175" fontId="25" fillId="24" borderId="0" xfId="0" applyNumberFormat="1" applyFont="1" applyFill="1" applyAlignment="1"/>
    <xf numFmtId="0" fontId="25" fillId="24" borderId="0" xfId="0" applyFont="1" applyFill="1" applyAlignment="1">
      <alignment horizontal="center" wrapText="1"/>
    </xf>
    <xf numFmtId="175" fontId="12" fillId="0" borderId="0" xfId="0" applyNumberFormat="1" applyFont="1" applyAlignment="1"/>
    <xf numFmtId="0" fontId="12" fillId="22" borderId="7" xfId="0" applyFont="1" applyFill="1" applyBorder="1" applyAlignment="1">
      <alignment horizontal="center"/>
    </xf>
    <xf numFmtId="0" fontId="12" fillId="22" borderId="28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32" fillId="16" borderId="0" xfId="0" applyFont="1" applyFill="1" applyAlignment="1">
      <alignment horizontal="center"/>
    </xf>
    <xf numFmtId="0" fontId="23" fillId="20" borderId="0" xfId="0" applyFont="1" applyFill="1" applyAlignment="1">
      <alignment horizontal="center" textRotation="9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Ratios!$A$10</c:f>
              <c:strCache>
                <c:ptCount val="1"/>
                <c:pt idx="0">
                  <c:v>Return on Equity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Ratios!$B$10:$F$10</c:f>
              <c:numCache>
                <c:formatCode>0%</c:formatCode>
                <c:ptCount val="5"/>
                <c:pt idx="0">
                  <c:v>0.32222168684260499</c:v>
                </c:pt>
                <c:pt idx="1">
                  <c:v>0.25812064434004595</c:v>
                </c:pt>
                <c:pt idx="2">
                  <c:v>0.33732330450566989</c:v>
                </c:pt>
                <c:pt idx="3">
                  <c:v>0.32351490944674272</c:v>
                </c:pt>
                <c:pt idx="4">
                  <c:v>0.44235487504185567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9-4119-A2C0-CE62AB3005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5394040"/>
        <c:axId val="605390440"/>
      </c:lineChart>
      <c:catAx>
        <c:axId val="605394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90440"/>
        <c:crosses val="autoZero"/>
        <c:auto val="1"/>
        <c:lblAlgn val="ctr"/>
        <c:lblOffset val="100"/>
        <c:noMultiLvlLbl val="0"/>
      </c:catAx>
      <c:valAx>
        <c:axId val="6053904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0">
                    <a:schemeClr val="lt1">
                      <a:lumMod val="75000"/>
                      <a:alpha val="36000"/>
                    </a:schemeClr>
                  </a:gs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05394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Ratios!$A$35</c:f>
              <c:strCache>
                <c:ptCount val="1"/>
                <c:pt idx="0">
                  <c:v>Dividend per share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Ratios!$B$35:$F$35</c:f>
              <c:numCache>
                <c:formatCode>0.0000</c:formatCode>
                <c:ptCount val="5"/>
                <c:pt idx="0">
                  <c:v>0.15372321428571428</c:v>
                </c:pt>
                <c:pt idx="1">
                  <c:v>0.24252678571428571</c:v>
                </c:pt>
                <c:pt idx="2">
                  <c:v>1.0291428571428571</c:v>
                </c:pt>
                <c:pt idx="3">
                  <c:v>1.0906785714285714</c:v>
                </c:pt>
                <c:pt idx="4">
                  <c:v>1.3806428571428571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7-4D67-978A-57ADAD23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112048"/>
        <c:axId val="440112768"/>
      </c:lineChart>
      <c:catAx>
        <c:axId val="44011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12768"/>
        <c:crosses val="autoZero"/>
        <c:auto val="1"/>
        <c:lblAlgn val="ctr"/>
        <c:lblOffset val="100"/>
        <c:noMultiLvlLbl val="0"/>
      </c:catAx>
      <c:valAx>
        <c:axId val="4401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Ratios!$A$37</c:f>
              <c:strCache>
                <c:ptCount val="1"/>
                <c:pt idx="0">
                  <c:v>Price to Earning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Ratios!$B$37:$F$37</c:f>
              <c:numCache>
                <c:formatCode>0.00</c:formatCode>
                <c:ptCount val="5"/>
                <c:pt idx="0">
                  <c:v>24.550860279370891</c:v>
                </c:pt>
                <c:pt idx="1">
                  <c:v>24.755552401901653</c:v>
                </c:pt>
                <c:pt idx="2">
                  <c:v>17.263381867214271</c:v>
                </c:pt>
                <c:pt idx="3">
                  <c:v>16.424355481277917</c:v>
                </c:pt>
                <c:pt idx="4">
                  <c:v>9.6032150180982416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9-4DA9-81E7-FB0DB5C7A3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40105928"/>
        <c:axId val="440107008"/>
      </c:lineChart>
      <c:catAx>
        <c:axId val="440105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07008"/>
        <c:crosses val="autoZero"/>
        <c:auto val="1"/>
        <c:lblAlgn val="ctr"/>
        <c:lblOffset val="100"/>
        <c:noMultiLvlLbl val="0"/>
      </c:catAx>
      <c:valAx>
        <c:axId val="44010700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40105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523585</xdr:colOff>
      <xdr:row>3</xdr:row>
      <xdr:rowOff>164455</xdr:rowOff>
    </xdr:from>
    <xdr:to>
      <xdr:col>15</xdr:col>
      <xdr:colOff>218352</xdr:colOff>
      <xdr:row>11</xdr:row>
      <xdr:rowOff>151804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590475</xdr:colOff>
      <xdr:row>25</xdr:row>
      <xdr:rowOff>177105</xdr:rowOff>
    </xdr:from>
    <xdr:to>
      <xdr:col>15</xdr:col>
      <xdr:colOff>285242</xdr:colOff>
      <xdr:row>34</xdr:row>
      <xdr:rowOff>25300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133010</xdr:colOff>
      <xdr:row>34</xdr:row>
      <xdr:rowOff>75902</xdr:rowOff>
    </xdr:from>
    <xdr:to>
      <xdr:col>15</xdr:col>
      <xdr:colOff>437474</xdr:colOff>
      <xdr:row>41</xdr:row>
      <xdr:rowOff>37951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ABDUL/Documents/Training%20File%20Unilever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niliver%25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Common Size"/>
      <sheetName val="Ratios"/>
      <sheetName val="Adjustment"/>
      <sheetName val="EV"/>
      <sheetName val="Comparable Analysis"/>
      <sheetName val="Sheet4"/>
    </sheetNames>
    <sheetDataSet>
      <sheetData sheetId="0"/>
      <sheetData sheetId="1"/>
      <sheetData sheetId="2"/>
      <sheetData sheetId="3"/>
      <sheetData sheetId="4">
        <row r="2">
          <cell r="E2">
            <v>19.52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Common Size"/>
      <sheetName val="Ratios"/>
      <sheetName val="Adjustment"/>
      <sheetName val="EV"/>
      <sheetName val="Comparable Analysis"/>
      <sheetName val="Assumptions"/>
      <sheetName val="WACC"/>
      <sheetName val="DCF"/>
      <sheetName val="DDM"/>
      <sheetName val="Fair Price"/>
      <sheetName val="Monte Carlo Sim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>
            <v>3.7900000000000003E-2</v>
          </cell>
        </row>
        <row r="5">
          <cell r="D5">
            <v>0.2782</v>
          </cell>
        </row>
        <row r="8">
          <cell r="D8">
            <v>0.1202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V126"/>
  <sheetViews>
    <sheetView workbookViewId="0">
      <pane ySplit="2" topLeftCell="A3" activePane="bottomLeft" state="frozen"/>
      <selection pane="bottomLeft" activeCell="D21" sqref="D21"/>
    </sheetView>
  </sheetViews>
  <sheetFormatPr defaultColWidth="9.109375" defaultRowHeight="13.8"/>
  <cols>
    <col min="1" max="1" width="2.6640625" style="1" customWidth="1"/>
    <col min="2" max="2" width="57.5546875" style="1" customWidth="1"/>
    <col min="3" max="3" width="10.44140625" style="1" bestFit="1" customWidth="1"/>
    <col min="4" max="4" width="10.6640625" style="1" customWidth="1"/>
    <col min="5" max="5" width="10.5546875" style="1" customWidth="1"/>
    <col min="6" max="6" width="12.109375" style="1" customWidth="1"/>
    <col min="7" max="7" width="12.5546875" style="1" customWidth="1"/>
    <col min="8" max="16384" width="9.109375" style="1"/>
  </cols>
  <sheetData>
    <row r="1" spans="1:48" s="2" customFormat="1" ht="22.8">
      <c r="A1" s="3"/>
      <c r="B1" s="4" t="s">
        <v>106</v>
      </c>
    </row>
    <row r="2" spans="1:48" s="5" customFormat="1">
      <c r="A2" s="6"/>
      <c r="B2" s="5" t="s">
        <v>9</v>
      </c>
      <c r="C2" s="7">
        <v>2020</v>
      </c>
      <c r="D2" s="7">
        <v>2021</v>
      </c>
      <c r="E2" s="8">
        <v>2022</v>
      </c>
      <c r="F2" s="8">
        <v>2023</v>
      </c>
      <c r="G2" s="5">
        <v>2024</v>
      </c>
    </row>
    <row r="3" spans="1:48">
      <c r="B3" s="1" t="s">
        <v>29</v>
      </c>
      <c r="C3" s="9">
        <v>2384158</v>
      </c>
      <c r="D3" s="10">
        <v>3218179</v>
      </c>
      <c r="E3" s="10">
        <v>5672210</v>
      </c>
      <c r="F3" s="10">
        <v>6041455</v>
      </c>
      <c r="G3" s="10">
        <v>6995488</v>
      </c>
    </row>
    <row r="4" spans="1:48">
      <c r="B4" s="1" t="s">
        <v>30</v>
      </c>
      <c r="C4" s="11">
        <v>-2039837</v>
      </c>
      <c r="D4" s="12">
        <v>-2896838</v>
      </c>
      <c r="E4" s="12">
        <v>-5188233</v>
      </c>
      <c r="F4" s="10">
        <v>-5429160</v>
      </c>
      <c r="G4" s="10">
        <v>-6213947</v>
      </c>
      <c r="H4" s="13"/>
      <c r="I4" s="14">
        <f>C5/C58</f>
        <v>0.9759305921267073</v>
      </c>
    </row>
    <row r="5" spans="1:48" s="15" customFormat="1">
      <c r="B5" s="15" t="s">
        <v>31</v>
      </c>
      <c r="C5" s="16">
        <v>344321</v>
      </c>
      <c r="D5" s="17">
        <v>321341</v>
      </c>
      <c r="E5" s="17">
        <v>483977</v>
      </c>
      <c r="F5" s="17">
        <f>SUM(F3:F4)</f>
        <v>612295</v>
      </c>
      <c r="G5" s="17">
        <f>SUM(G3:G4)</f>
        <v>781541</v>
      </c>
      <c r="H5" s="18"/>
    </row>
    <row r="6" spans="1:48">
      <c r="B6" s="1" t="s">
        <v>0</v>
      </c>
      <c r="C6" s="11">
        <v>22009</v>
      </c>
      <c r="D6" s="12">
        <v>27275</v>
      </c>
      <c r="E6" s="12">
        <v>43031</v>
      </c>
      <c r="F6" s="12">
        <v>41571</v>
      </c>
      <c r="G6" s="10">
        <v>67184</v>
      </c>
    </row>
    <row r="7" spans="1:48">
      <c r="B7" s="1" t="s">
        <v>32</v>
      </c>
      <c r="C7" s="11">
        <v>-20615</v>
      </c>
      <c r="D7" s="12">
        <v>5274</v>
      </c>
      <c r="E7" s="12">
        <v>-10694</v>
      </c>
      <c r="F7" s="12">
        <v>7180</v>
      </c>
      <c r="G7" s="10">
        <v>-2591</v>
      </c>
    </row>
    <row r="8" spans="1:48">
      <c r="B8" s="1" t="s">
        <v>33</v>
      </c>
      <c r="C8" s="11">
        <v>-187631</v>
      </c>
      <c r="D8" s="12">
        <v>-202765</v>
      </c>
      <c r="E8" s="12">
        <v>-275137</v>
      </c>
      <c r="F8" s="12">
        <v>-338826</v>
      </c>
      <c r="G8" s="10">
        <v>-365377</v>
      </c>
    </row>
    <row r="9" spans="1:48" s="15" customFormat="1">
      <c r="B9" s="15" t="s">
        <v>34</v>
      </c>
      <c r="C9" s="17">
        <f>SUM(C5:C8)</f>
        <v>158084</v>
      </c>
      <c r="D9" s="17">
        <f>SUM(D5:D8)</f>
        <v>151125</v>
      </c>
      <c r="E9" s="17">
        <f>SUM(E5:E8)</f>
        <v>241177</v>
      </c>
      <c r="F9" s="17">
        <f>SUM(F5:F8)</f>
        <v>322220</v>
      </c>
      <c r="G9" s="17">
        <f>SUM(G5:G8)</f>
        <v>480757</v>
      </c>
    </row>
    <row r="10" spans="1:48" s="19" customFormat="1">
      <c r="A10" s="1"/>
      <c r="B10" s="1" t="s">
        <v>1</v>
      </c>
      <c r="C10" s="20">
        <v>1895</v>
      </c>
      <c r="D10" s="12">
        <v>5601</v>
      </c>
      <c r="E10" s="12">
        <v>2693</v>
      </c>
      <c r="F10" s="12">
        <v>3301</v>
      </c>
      <c r="G10" s="1">
        <v>665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8" s="10" customFormat="1">
      <c r="B11" s="21" t="s">
        <v>2</v>
      </c>
      <c r="C11" s="10">
        <v>-6783</v>
      </c>
      <c r="D11" s="10">
        <v>-4503</v>
      </c>
      <c r="E11" s="10">
        <v>-25304</v>
      </c>
      <c r="F11" s="10">
        <v>-86257</v>
      </c>
      <c r="G11" s="10">
        <v>-58584</v>
      </c>
    </row>
    <row r="12" spans="1:48" s="13" customFormat="1">
      <c r="B12" s="13" t="s">
        <v>35</v>
      </c>
      <c r="C12" s="22">
        <f>SUM(C9:C11)</f>
        <v>153196</v>
      </c>
      <c r="D12" s="22">
        <f>SUM(D9:D11)</f>
        <v>152223</v>
      </c>
      <c r="E12" s="22">
        <f>SUM(E9:E11)</f>
        <v>218566</v>
      </c>
      <c r="F12" s="22">
        <f>SUM(F9:F11)</f>
        <v>239264</v>
      </c>
      <c r="G12" s="22">
        <f>SUM(G9:G11)</f>
        <v>422838</v>
      </c>
      <c r="I12" s="23">
        <f>C12/C9</f>
        <v>0.96907972976392298</v>
      </c>
      <c r="J12" s="23">
        <f t="shared" ref="J12:L12" si="0">D12/D9</f>
        <v>1.0072655086848634</v>
      </c>
      <c r="K12" s="23">
        <f>E12/E9</f>
        <v>0.90624727896938762</v>
      </c>
      <c r="L12" s="23">
        <f t="shared" si="0"/>
        <v>0.74254856930047797</v>
      </c>
    </row>
    <row r="13" spans="1:48" s="24" customFormat="1">
      <c r="A13" s="1"/>
      <c r="B13" s="1" t="s">
        <v>10</v>
      </c>
      <c r="C13" s="10">
        <v>-39512</v>
      </c>
      <c r="D13" s="12">
        <v>-39479</v>
      </c>
      <c r="E13" s="12">
        <v>-56892</v>
      </c>
      <c r="F13" s="12">
        <v>-69331</v>
      </c>
      <c r="G13" s="1">
        <v>-132202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s="15" customFormat="1">
      <c r="B14" s="15" t="s">
        <v>36</v>
      </c>
      <c r="C14" s="25">
        <f t="shared" ref="C14" si="1">SUM(C12:C13)</f>
        <v>113684</v>
      </c>
      <c r="D14" s="26">
        <f t="shared" ref="D14" si="2">SUM(D12:D13)</f>
        <v>112744</v>
      </c>
      <c r="E14" s="26">
        <f>SUM(E12:E13)</f>
        <v>161674</v>
      </c>
      <c r="F14" s="26">
        <v>169933</v>
      </c>
      <c r="G14" s="26">
        <v>290636</v>
      </c>
    </row>
    <row r="15" spans="1:48" s="15" customFormat="1">
      <c r="C15" s="27"/>
    </row>
    <row r="16" spans="1:48">
      <c r="B16" s="1" t="s">
        <v>41</v>
      </c>
      <c r="C16" s="28"/>
      <c r="D16" s="29"/>
      <c r="E16" s="29"/>
      <c r="F16" s="29"/>
      <c r="G16" s="1">
        <f>G14/G3</f>
        <v>4.1546208070116053E-2</v>
      </c>
    </row>
    <row r="17" spans="1:48" s="22" customFormat="1">
      <c r="A17" s="13"/>
      <c r="B17" s="1" t="s">
        <v>42</v>
      </c>
      <c r="C17" s="15"/>
      <c r="D17" s="29"/>
      <c r="E17" s="29"/>
      <c r="F17" s="2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>
      <c r="B18" s="1" t="s">
        <v>37</v>
      </c>
      <c r="C18" s="30"/>
      <c r="D18" s="12"/>
      <c r="E18" s="12"/>
      <c r="F18" s="12"/>
    </row>
    <row r="19" spans="1:48" s="22" customFormat="1">
      <c r="A19" s="13"/>
      <c r="B19" s="1" t="s">
        <v>38</v>
      </c>
      <c r="C19" s="15"/>
      <c r="D19" s="29"/>
      <c r="E19" s="29"/>
      <c r="F19" s="29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>
      <c r="C20" s="12"/>
      <c r="D20" s="12"/>
      <c r="E20" s="12"/>
      <c r="F20" s="12"/>
    </row>
    <row r="21" spans="1:48" s="22" customFormat="1">
      <c r="A21" s="13"/>
      <c r="B21" s="13" t="s">
        <v>39</v>
      </c>
      <c r="C21" s="15"/>
      <c r="D21" s="29"/>
      <c r="E21" s="29"/>
      <c r="F21" s="29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>
      <c r="B22" s="1" t="s">
        <v>104</v>
      </c>
      <c r="C22" s="12">
        <v>-3508</v>
      </c>
      <c r="D22" s="12">
        <v>-2141</v>
      </c>
      <c r="E22" s="12">
        <v>-5218</v>
      </c>
      <c r="F22" s="12">
        <v>-2388</v>
      </c>
      <c r="G22" s="1">
        <v>-5673</v>
      </c>
    </row>
    <row r="23" spans="1:48">
      <c r="B23" s="1" t="s">
        <v>38</v>
      </c>
      <c r="C23" s="12">
        <v>877</v>
      </c>
      <c r="D23" s="12">
        <v>535</v>
      </c>
      <c r="E23" s="12">
        <v>1305</v>
      </c>
      <c r="F23" s="12">
        <v>597</v>
      </c>
      <c r="G23" s="1">
        <v>1418</v>
      </c>
    </row>
    <row r="24" spans="1:48">
      <c r="B24" s="13" t="s">
        <v>105</v>
      </c>
      <c r="C24" s="15">
        <f t="shared" ref="C24" si="3">SUM(C22:C23)</f>
        <v>-2631</v>
      </c>
      <c r="D24" s="12">
        <f t="shared" ref="D24" si="4">SUM(D22:D23)</f>
        <v>-1606</v>
      </c>
      <c r="E24" s="12">
        <f>SUM(E22:E23)</f>
        <v>-3913</v>
      </c>
      <c r="F24" s="12">
        <f>SUM(F22:F23)</f>
        <v>-1791</v>
      </c>
      <c r="G24" s="1">
        <f>SUM(G22:G23)</f>
        <v>-4255</v>
      </c>
    </row>
    <row r="25" spans="1:48" s="15" customFormat="1">
      <c r="B25" s="15" t="s">
        <v>12</v>
      </c>
      <c r="C25" s="26">
        <f>SUM(C14,C22:C23)</f>
        <v>111053</v>
      </c>
      <c r="D25" s="26">
        <f>SUM(D14,D22:D23)</f>
        <v>111138</v>
      </c>
      <c r="E25" s="26">
        <f>SUM(E14,E22:E23)</f>
        <v>157761</v>
      </c>
      <c r="F25" s="26">
        <f>SUM(F14,F24)</f>
        <v>168142</v>
      </c>
      <c r="G25" s="26">
        <f>SUM(G14,G24)</f>
        <v>286381</v>
      </c>
    </row>
    <row r="26" spans="1:48">
      <c r="C26" s="12"/>
      <c r="D26" s="12"/>
      <c r="E26" s="12"/>
      <c r="F26" s="12"/>
    </row>
    <row r="27" spans="1:48" s="13" customFormat="1">
      <c r="B27" s="13" t="s">
        <v>43</v>
      </c>
      <c r="C27" s="13">
        <v>112000</v>
      </c>
      <c r="D27" s="13">
        <v>112000</v>
      </c>
      <c r="E27" s="13">
        <v>112000</v>
      </c>
      <c r="F27" s="13">
        <v>112000</v>
      </c>
      <c r="G27" s="13">
        <v>112000</v>
      </c>
    </row>
    <row r="28" spans="1:48">
      <c r="B28" s="13" t="s">
        <v>40</v>
      </c>
      <c r="C28" s="12"/>
      <c r="D28" s="12"/>
      <c r="E28" s="12"/>
      <c r="F28" s="12"/>
    </row>
    <row r="29" spans="1:48">
      <c r="B29" s="31" t="s">
        <v>44</v>
      </c>
      <c r="C29" s="32">
        <v>1.0162</v>
      </c>
      <c r="D29" s="32">
        <v>1.0078</v>
      </c>
      <c r="E29" s="32">
        <v>1.4451000000000001</v>
      </c>
      <c r="F29" s="32">
        <v>1.5189999999999999</v>
      </c>
      <c r="G29" s="32">
        <v>2.5979000000000001</v>
      </c>
    </row>
    <row r="30" spans="1:48">
      <c r="B30" s="1" t="s">
        <v>45</v>
      </c>
      <c r="C30" s="32">
        <v>1.0162</v>
      </c>
      <c r="D30" s="32">
        <v>1.0078</v>
      </c>
      <c r="E30" s="32">
        <v>1.4451000000000001</v>
      </c>
      <c r="F30" s="32">
        <v>1.5189999999999999</v>
      </c>
      <c r="G30" s="32">
        <v>2.5979000000000001</v>
      </c>
    </row>
    <row r="31" spans="1:48">
      <c r="C31" s="12"/>
      <c r="D31" s="29"/>
      <c r="E31" s="29"/>
      <c r="F31" s="29"/>
    </row>
    <row r="32" spans="1:48">
      <c r="C32" s="12"/>
      <c r="D32" s="12"/>
      <c r="E32" s="12"/>
      <c r="F32" s="12"/>
    </row>
    <row r="33" spans="1:48" s="5" customFormat="1">
      <c r="B33" s="5" t="s">
        <v>3</v>
      </c>
      <c r="C33" s="33"/>
    </row>
    <row r="34" spans="1:48">
      <c r="B34" s="1" t="s">
        <v>13</v>
      </c>
      <c r="C34" s="12"/>
      <c r="D34" s="12"/>
      <c r="E34" s="12"/>
      <c r="F34" s="12"/>
    </row>
    <row r="35" spans="1:48">
      <c r="B35" s="1" t="s">
        <v>14</v>
      </c>
      <c r="C35" s="10">
        <v>286613</v>
      </c>
      <c r="D35" s="10">
        <v>306310</v>
      </c>
      <c r="E35" s="10">
        <v>363721</v>
      </c>
      <c r="F35" s="10">
        <v>403572</v>
      </c>
      <c r="G35" s="10">
        <v>445981</v>
      </c>
    </row>
    <row r="36" spans="1:48">
      <c r="B36" s="1" t="s">
        <v>79</v>
      </c>
      <c r="C36" s="10">
        <v>74217</v>
      </c>
      <c r="D36" s="10">
        <v>88518</v>
      </c>
      <c r="E36" s="10">
        <v>104049</v>
      </c>
      <c r="F36" s="10">
        <v>113168</v>
      </c>
      <c r="G36" s="10">
        <v>125042</v>
      </c>
    </row>
    <row r="37" spans="1:48" s="22" customFormat="1">
      <c r="A37" s="13"/>
      <c r="B37" s="1" t="s">
        <v>80</v>
      </c>
      <c r="C37" s="10">
        <v>13374</v>
      </c>
      <c r="D37" s="10">
        <v>12852</v>
      </c>
      <c r="E37" s="10">
        <v>12447</v>
      </c>
      <c r="F37" s="10">
        <v>12229</v>
      </c>
      <c r="G37" s="10">
        <v>12144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>
      <c r="B38" s="1" t="s">
        <v>81</v>
      </c>
      <c r="C38" s="10">
        <v>12</v>
      </c>
      <c r="D38" s="12">
        <v>12</v>
      </c>
      <c r="E38" s="12">
        <v>12</v>
      </c>
      <c r="F38" s="12">
        <v>12</v>
      </c>
      <c r="G38" s="10">
        <v>12</v>
      </c>
    </row>
    <row r="39" spans="1:48">
      <c r="B39" s="1" t="s">
        <v>82</v>
      </c>
      <c r="C39" s="10">
        <v>4791</v>
      </c>
      <c r="D39" s="12">
        <v>4098</v>
      </c>
      <c r="E39" s="12">
        <v>5087</v>
      </c>
      <c r="F39" s="12">
        <v>4505</v>
      </c>
    </row>
    <row r="40" spans="1:48">
      <c r="B40" s="1" t="s">
        <v>83</v>
      </c>
      <c r="C40" s="10">
        <v>671</v>
      </c>
      <c r="D40" s="12">
        <v>671</v>
      </c>
      <c r="E40" s="12">
        <v>671</v>
      </c>
      <c r="F40" s="10">
        <v>671</v>
      </c>
      <c r="G40" s="10">
        <v>1300</v>
      </c>
    </row>
    <row r="41" spans="1:48">
      <c r="B41" s="1" t="s">
        <v>84</v>
      </c>
      <c r="C41" s="10">
        <v>274</v>
      </c>
      <c r="D41" s="12">
        <v>274</v>
      </c>
      <c r="E41" s="12">
        <v>274</v>
      </c>
      <c r="F41" s="10">
        <v>274</v>
      </c>
      <c r="G41" s="10">
        <v>274</v>
      </c>
    </row>
    <row r="42" spans="1:48">
      <c r="B42" s="1" t="s">
        <v>85</v>
      </c>
      <c r="C42" s="10">
        <v>1639</v>
      </c>
      <c r="D42" s="12">
        <v>1774</v>
      </c>
      <c r="E42" s="12">
        <v>2972</v>
      </c>
      <c r="F42" s="10">
        <v>3308</v>
      </c>
      <c r="G42" s="10">
        <v>4084</v>
      </c>
    </row>
    <row r="43" spans="1:48">
      <c r="B43" s="22" t="s">
        <v>15</v>
      </c>
      <c r="C43" s="34">
        <f>SUM(C35:C42)</f>
        <v>381591</v>
      </c>
      <c r="D43" s="35">
        <f>SUM(D35:D42)</f>
        <v>414509</v>
      </c>
      <c r="E43" s="35">
        <f>SUM(E35:E42)</f>
        <v>489233</v>
      </c>
      <c r="F43" s="34">
        <f>SUM(F35:F42)</f>
        <v>537739</v>
      </c>
      <c r="G43" s="34">
        <f>SUM(G35:G42)</f>
        <v>588837</v>
      </c>
    </row>
    <row r="44" spans="1:48">
      <c r="B44" s="1" t="s">
        <v>86</v>
      </c>
      <c r="C44" s="10">
        <v>108337</v>
      </c>
      <c r="D44" s="12">
        <v>182581</v>
      </c>
      <c r="E44" s="12">
        <v>358529</v>
      </c>
      <c r="F44" s="10">
        <v>413334</v>
      </c>
      <c r="G44" s="10">
        <v>362069</v>
      </c>
    </row>
    <row r="45" spans="1:48">
      <c r="B45" s="1" t="s">
        <v>87</v>
      </c>
      <c r="C45" s="10">
        <v>15335</v>
      </c>
      <c r="D45" s="12">
        <v>18091</v>
      </c>
      <c r="E45" s="12">
        <v>24168</v>
      </c>
      <c r="F45" s="10">
        <v>22904</v>
      </c>
      <c r="G45" s="10">
        <v>8868</v>
      </c>
      <c r="H45" s="1">
        <f>G3/AVERAGE(F46,G46)</f>
        <v>11.306305148737444</v>
      </c>
    </row>
    <row r="46" spans="1:48">
      <c r="B46" s="1" t="s">
        <v>4</v>
      </c>
      <c r="C46" s="10">
        <v>231543</v>
      </c>
      <c r="D46" s="12">
        <v>293672</v>
      </c>
      <c r="E46" s="12">
        <v>575479</v>
      </c>
      <c r="F46" s="10">
        <v>593010</v>
      </c>
      <c r="G46" s="10">
        <v>644439</v>
      </c>
    </row>
    <row r="47" spans="1:48" s="22" customFormat="1">
      <c r="A47" s="13"/>
      <c r="B47" s="1" t="s">
        <v>88</v>
      </c>
      <c r="C47" s="10">
        <v>13328</v>
      </c>
      <c r="D47" s="12">
        <v>11205</v>
      </c>
      <c r="E47" s="12">
        <v>14086</v>
      </c>
      <c r="F47" s="10">
        <v>12022</v>
      </c>
      <c r="G47" s="10">
        <v>14054</v>
      </c>
      <c r="H47" s="13"/>
      <c r="I47" s="13">
        <f>C14/C58</f>
        <v>0.32222168684260499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s="36" customFormat="1">
      <c r="A48" s="13"/>
      <c r="B48" s="1" t="s">
        <v>89</v>
      </c>
      <c r="C48" s="10">
        <v>89833</v>
      </c>
      <c r="D48" s="12">
        <v>142109</v>
      </c>
      <c r="E48" s="12">
        <v>199476</v>
      </c>
      <c r="F48" s="10">
        <v>256455</v>
      </c>
      <c r="G48" s="10">
        <v>166900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>
      <c r="B49" s="21" t="s">
        <v>90</v>
      </c>
      <c r="C49" s="10">
        <v>528</v>
      </c>
      <c r="D49" s="12">
        <v>528</v>
      </c>
      <c r="E49" s="12"/>
      <c r="F49" s="12"/>
    </row>
    <row r="50" spans="1:48" s="13" customFormat="1">
      <c r="B50" s="37" t="s">
        <v>16</v>
      </c>
      <c r="C50" s="37">
        <f>SUM(C44:C49)</f>
        <v>458904</v>
      </c>
      <c r="D50" s="37">
        <f>SUM(D44:D49)</f>
        <v>648186</v>
      </c>
      <c r="E50" s="37">
        <f>SUM(E44:E48)</f>
        <v>1171738</v>
      </c>
      <c r="F50" s="37">
        <f>SUM(F44:F48)</f>
        <v>1297725</v>
      </c>
      <c r="G50" s="37">
        <f>SUM(G44:G48)</f>
        <v>1196330</v>
      </c>
    </row>
    <row r="51" spans="1:48">
      <c r="B51" s="38" t="s">
        <v>17</v>
      </c>
      <c r="C51" s="38">
        <f>SUM(C43,C50)</f>
        <v>840495</v>
      </c>
      <c r="D51" s="38">
        <f>SUM(D43,D50)</f>
        <v>1062695</v>
      </c>
      <c r="E51" s="38">
        <f>SUM(E43,E50)</f>
        <v>1660971</v>
      </c>
      <c r="F51" s="38">
        <f>SUM(F43,F50)</f>
        <v>1835464</v>
      </c>
      <c r="G51" s="38">
        <f>SUM(G50,G43)</f>
        <v>1785167</v>
      </c>
    </row>
    <row r="52" spans="1:48">
      <c r="D52" s="12"/>
      <c r="E52" s="12"/>
      <c r="F52" s="12"/>
    </row>
    <row r="53" spans="1:48" s="39" customFormat="1">
      <c r="A53" s="1"/>
      <c r="B53" s="13" t="s">
        <v>5</v>
      </c>
      <c r="C53" s="13"/>
      <c r="D53" s="29"/>
      <c r="E53" s="29"/>
      <c r="F53" s="2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>
      <c r="B54" s="1" t="s">
        <v>18</v>
      </c>
      <c r="C54" s="10">
        <v>51222</v>
      </c>
      <c r="D54" s="10">
        <v>51222</v>
      </c>
      <c r="E54" s="10">
        <v>51222</v>
      </c>
      <c r="F54" s="10">
        <v>51222</v>
      </c>
      <c r="G54" s="10">
        <v>51222</v>
      </c>
    </row>
    <row r="55" spans="1:48">
      <c r="B55" s="1" t="s">
        <v>6</v>
      </c>
      <c r="C55" s="10">
        <v>301591</v>
      </c>
      <c r="D55" s="10">
        <v>385566</v>
      </c>
      <c r="E55" s="10">
        <v>428063</v>
      </c>
      <c r="F55" s="10">
        <v>474049</v>
      </c>
      <c r="G55" s="10">
        <v>605798</v>
      </c>
    </row>
    <row r="56" spans="1:48">
      <c r="B56" s="1" t="s">
        <v>91</v>
      </c>
      <c r="D56" s="12"/>
      <c r="E56" s="12"/>
      <c r="F56" s="12"/>
      <c r="I56" s="14"/>
    </row>
    <row r="57" spans="1:48">
      <c r="B57" s="1" t="s">
        <v>92</v>
      </c>
      <c r="D57" s="12"/>
      <c r="E57" s="12"/>
      <c r="F57" s="12"/>
    </row>
    <row r="58" spans="1:48" s="13" customFormat="1">
      <c r="B58" s="26" t="s">
        <v>93</v>
      </c>
      <c r="C58" s="26">
        <f>SUM(C54:C55)</f>
        <v>352813</v>
      </c>
      <c r="D58" s="26">
        <f>SUM(D54:D55)</f>
        <v>436788</v>
      </c>
      <c r="E58" s="26">
        <f>SUM(E54:E55)</f>
        <v>479285</v>
      </c>
      <c r="F58" s="26">
        <f>SUM(F54:F55)</f>
        <v>525271</v>
      </c>
      <c r="G58" s="26">
        <f>SUM(G54:G55)</f>
        <v>657020</v>
      </c>
    </row>
    <row r="59" spans="1:48">
      <c r="D59" s="12"/>
      <c r="E59" s="12"/>
      <c r="F59" s="12"/>
    </row>
    <row r="60" spans="1:48">
      <c r="B60" s="13" t="s">
        <v>94</v>
      </c>
      <c r="D60" s="12"/>
      <c r="E60" s="12"/>
      <c r="F60" s="12"/>
      <c r="I60" s="14">
        <f>C50/C66</f>
        <v>0.97590146224449004</v>
      </c>
    </row>
    <row r="61" spans="1:48" s="40" customFormat="1">
      <c r="A61" s="13"/>
      <c r="B61" s="1" t="s">
        <v>19</v>
      </c>
      <c r="C61" s="10">
        <v>8486</v>
      </c>
      <c r="D61" s="10">
        <v>10765</v>
      </c>
      <c r="E61" s="10">
        <v>26813</v>
      </c>
      <c r="F61" s="10">
        <v>20181</v>
      </c>
      <c r="G61" s="10">
        <v>28179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>
      <c r="B62" s="1" t="s">
        <v>95</v>
      </c>
      <c r="C62" s="10">
        <v>2406</v>
      </c>
      <c r="D62" s="10">
        <v>3108</v>
      </c>
      <c r="E62" s="10">
        <v>122735</v>
      </c>
      <c r="F62" s="10">
        <v>209820</v>
      </c>
      <c r="G62" s="10">
        <v>67350</v>
      </c>
    </row>
    <row r="63" spans="1:48" s="41" customFormat="1">
      <c r="A63" s="42"/>
      <c r="B63" s="41" t="s">
        <v>96</v>
      </c>
      <c r="C63" s="43"/>
      <c r="D63" s="44"/>
      <c r="E63" s="44"/>
      <c r="F63" s="44"/>
    </row>
    <row r="64" spans="1:48">
      <c r="B64" s="1" t="s">
        <v>7</v>
      </c>
      <c r="C64" s="10">
        <v>329773</v>
      </c>
      <c r="D64" s="12">
        <v>471042</v>
      </c>
      <c r="E64" s="12">
        <v>836253</v>
      </c>
      <c r="F64" s="12">
        <v>842274</v>
      </c>
      <c r="G64" s="10">
        <v>759834</v>
      </c>
    </row>
    <row r="65" spans="1:42">
      <c r="B65" s="1" t="s">
        <v>97</v>
      </c>
      <c r="C65" s="10">
        <v>129571</v>
      </c>
      <c r="D65" s="12">
        <v>112938</v>
      </c>
      <c r="E65" s="12">
        <v>168925</v>
      </c>
      <c r="F65" s="12">
        <v>211021</v>
      </c>
      <c r="G65" s="10">
        <v>242044</v>
      </c>
    </row>
    <row r="66" spans="1:42">
      <c r="B66" s="45" t="s">
        <v>98</v>
      </c>
      <c r="C66" s="37">
        <f>SUM(C61:C65)</f>
        <v>470236</v>
      </c>
      <c r="D66" s="37">
        <f>SUM(D61:D65)</f>
        <v>597853</v>
      </c>
      <c r="E66" s="37">
        <f>SUM(E61:E65)</f>
        <v>1154726</v>
      </c>
      <c r="F66" s="37">
        <f>SUM(F61:F65)</f>
        <v>1283296</v>
      </c>
      <c r="G66" s="37">
        <f>SUM(G61:G65)</f>
        <v>1097407</v>
      </c>
    </row>
    <row r="67" spans="1:42">
      <c r="B67" s="21" t="s">
        <v>19</v>
      </c>
      <c r="C67" s="10">
        <v>8022</v>
      </c>
      <c r="D67" s="10">
        <v>15376</v>
      </c>
      <c r="E67" s="10">
        <v>9629</v>
      </c>
      <c r="F67" s="10">
        <v>6681</v>
      </c>
      <c r="G67" s="10">
        <v>2430</v>
      </c>
    </row>
    <row r="68" spans="1:42" s="40" customFormat="1">
      <c r="A68" s="13"/>
      <c r="B68" s="21" t="s">
        <v>96</v>
      </c>
      <c r="C68" s="1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spans="1:42" s="13" customFormat="1">
      <c r="B69" s="21" t="s">
        <v>99</v>
      </c>
      <c r="C69" s="10"/>
      <c r="G69" s="10">
        <v>6577</v>
      </c>
    </row>
    <row r="70" spans="1:42" s="13" customFormat="1">
      <c r="B70" s="21" t="s">
        <v>8</v>
      </c>
      <c r="C70" s="10">
        <v>1547</v>
      </c>
      <c r="D70" s="10">
        <v>1547</v>
      </c>
      <c r="E70" s="10">
        <v>1547</v>
      </c>
      <c r="F70" s="10">
        <v>1547</v>
      </c>
      <c r="G70" s="10">
        <v>1028</v>
      </c>
    </row>
    <row r="71" spans="1:42" s="13" customFormat="1">
      <c r="B71" s="21" t="s">
        <v>100</v>
      </c>
      <c r="C71" s="10">
        <v>7877</v>
      </c>
      <c r="D71" s="10">
        <v>11131</v>
      </c>
      <c r="E71" s="10">
        <v>16312</v>
      </c>
      <c r="F71" s="10">
        <v>18669</v>
      </c>
      <c r="G71" s="10">
        <v>20705</v>
      </c>
    </row>
    <row r="72" spans="1:42" s="15" customFormat="1">
      <c r="B72" s="37" t="s">
        <v>101</v>
      </c>
      <c r="C72" s="37">
        <f>SUM(C67:C71)</f>
        <v>17446</v>
      </c>
      <c r="D72" s="37">
        <f>SUM(D67:D71)</f>
        <v>28054</v>
      </c>
      <c r="E72" s="37">
        <f>SUM(E67:E71)</f>
        <v>27488</v>
      </c>
      <c r="F72" s="37">
        <f>SUM(F67:F71)</f>
        <v>26897</v>
      </c>
      <c r="G72" s="37">
        <f>SUM(G67:G71)</f>
        <v>30740</v>
      </c>
    </row>
    <row r="73" spans="1:42" s="13" customFormat="1">
      <c r="B73" s="15" t="s">
        <v>102</v>
      </c>
      <c r="C73" s="13">
        <f>SUM(C66,C72)</f>
        <v>487682</v>
      </c>
      <c r="D73" s="13">
        <f>SUM(D66,D72)</f>
        <v>625907</v>
      </c>
      <c r="E73" s="13">
        <f>SUM(E66,E72)</f>
        <v>1182214</v>
      </c>
      <c r="F73" s="13">
        <f>SUM(F66,F72)</f>
        <v>1310193</v>
      </c>
      <c r="G73" s="13">
        <f>SUM(G72,G66)</f>
        <v>1128147</v>
      </c>
    </row>
    <row r="74" spans="1:42" s="13" customFormat="1">
      <c r="B74" s="26" t="s">
        <v>103</v>
      </c>
      <c r="C74" s="46">
        <f>SUM(C73,C58)</f>
        <v>840495</v>
      </c>
      <c r="D74" s="46">
        <f>SUM(D73,D58)</f>
        <v>1062695</v>
      </c>
      <c r="E74" s="46">
        <f>SUM(E73,E58)</f>
        <v>1661499</v>
      </c>
      <c r="F74" s="46">
        <f>SUM(F73,F58)</f>
        <v>1835464</v>
      </c>
      <c r="G74" s="46">
        <f>SUM(G73,G58)</f>
        <v>1785167</v>
      </c>
    </row>
    <row r="75" spans="1:42" s="13" customFormat="1">
      <c r="B75" s="15"/>
    </row>
    <row r="76" spans="1:42" s="13" customFormat="1">
      <c r="B76" s="29"/>
    </row>
    <row r="77" spans="1:42">
      <c r="C77" s="12"/>
      <c r="D77" s="12"/>
      <c r="E77" s="12"/>
      <c r="F77" s="12"/>
    </row>
    <row r="78" spans="1:42">
      <c r="C78" s="12"/>
      <c r="D78" s="12"/>
      <c r="E78" s="12"/>
      <c r="F78" s="12"/>
    </row>
    <row r="79" spans="1:42" s="5" customFormat="1">
      <c r="B79" s="6" t="s">
        <v>20</v>
      </c>
      <c r="C79" s="47"/>
      <c r="D79" s="47"/>
      <c r="E79" s="47"/>
      <c r="F79" s="47"/>
    </row>
    <row r="80" spans="1:42">
      <c r="B80" s="13" t="s">
        <v>46</v>
      </c>
    </row>
    <row r="81" spans="1:48">
      <c r="B81" s="48" t="s">
        <v>35</v>
      </c>
      <c r="C81" s="10">
        <v>153196</v>
      </c>
      <c r="D81" s="10">
        <v>152223</v>
      </c>
      <c r="E81" s="10">
        <v>218566</v>
      </c>
      <c r="F81" s="10">
        <v>239264</v>
      </c>
      <c r="G81" s="10">
        <v>422838</v>
      </c>
    </row>
    <row r="82" spans="1:48">
      <c r="B82" s="48" t="s">
        <v>21</v>
      </c>
      <c r="C82" s="10"/>
      <c r="D82" s="10"/>
      <c r="E82" s="10"/>
      <c r="F82" s="10"/>
      <c r="G82" s="10"/>
    </row>
    <row r="83" spans="1:48">
      <c r="B83" s="48" t="s">
        <v>54</v>
      </c>
      <c r="C83" s="10">
        <v>-976</v>
      </c>
      <c r="D83" s="10">
        <v>1586</v>
      </c>
      <c r="E83" s="10">
        <v>-41897</v>
      </c>
      <c r="F83" s="10">
        <v>33154</v>
      </c>
      <c r="G83" s="10">
        <v>-18008</v>
      </c>
    </row>
    <row r="84" spans="1:48">
      <c r="B84" s="48" t="s">
        <v>22</v>
      </c>
      <c r="C84" s="10">
        <v>36147</v>
      </c>
      <c r="D84" s="10">
        <v>38158</v>
      </c>
      <c r="E84" s="10">
        <v>46881</v>
      </c>
      <c r="F84" s="10">
        <v>50016</v>
      </c>
      <c r="G84" s="10">
        <v>57396</v>
      </c>
    </row>
    <row r="85" spans="1:48">
      <c r="B85" s="48" t="s">
        <v>55</v>
      </c>
      <c r="C85" s="10">
        <v>11244</v>
      </c>
      <c r="D85" s="10">
        <v>11732</v>
      </c>
      <c r="E85" s="10">
        <v>12667</v>
      </c>
      <c r="F85" s="10">
        <v>17528</v>
      </c>
      <c r="G85" s="10">
        <v>15279</v>
      </c>
    </row>
    <row r="86" spans="1:48">
      <c r="B86" s="48" t="s">
        <v>23</v>
      </c>
      <c r="C86" s="10" t="s">
        <v>11</v>
      </c>
      <c r="D86" s="10">
        <v>4370</v>
      </c>
      <c r="E86" s="10">
        <v>519</v>
      </c>
      <c r="F86" s="10">
        <v>218</v>
      </c>
      <c r="G86" s="10">
        <v>85</v>
      </c>
    </row>
    <row r="87" spans="1:48">
      <c r="B87" s="48" t="s">
        <v>56</v>
      </c>
      <c r="C87" s="10">
        <v>499</v>
      </c>
      <c r="D87" s="10">
        <v>558</v>
      </c>
      <c r="E87" s="10">
        <v>10694</v>
      </c>
      <c r="F87" s="10">
        <v>-7180</v>
      </c>
      <c r="G87" s="10">
        <v>2591</v>
      </c>
    </row>
    <row r="88" spans="1:48">
      <c r="B88" s="48" t="s">
        <v>57</v>
      </c>
      <c r="C88" s="10">
        <v>20615</v>
      </c>
      <c r="D88" s="10">
        <v>-5274</v>
      </c>
      <c r="E88" s="10"/>
      <c r="F88" s="10"/>
      <c r="G88" s="10">
        <v>-519</v>
      </c>
    </row>
    <row r="89" spans="1:48">
      <c r="B89" s="48" t="s">
        <v>58</v>
      </c>
      <c r="C89" s="10">
        <v>202</v>
      </c>
      <c r="D89" s="10">
        <v>14</v>
      </c>
      <c r="E89" s="10">
        <v>-2693</v>
      </c>
      <c r="F89" s="10">
        <v>-3301</v>
      </c>
      <c r="G89" s="10">
        <v>-665</v>
      </c>
    </row>
    <row r="90" spans="1:48">
      <c r="B90" s="48" t="s">
        <v>59</v>
      </c>
      <c r="C90" s="10">
        <v>-1895</v>
      </c>
      <c r="D90" s="10">
        <v>-5601</v>
      </c>
      <c r="E90" s="10">
        <v>25304</v>
      </c>
      <c r="F90" s="10">
        <v>86257</v>
      </c>
      <c r="G90" s="10">
        <v>58584</v>
      </c>
    </row>
    <row r="91" spans="1:48">
      <c r="B91" s="48" t="s">
        <v>60</v>
      </c>
      <c r="C91" s="10">
        <v>6783</v>
      </c>
      <c r="D91" s="10">
        <v>4503</v>
      </c>
      <c r="E91" s="10"/>
      <c r="F91" s="10">
        <v>3787</v>
      </c>
      <c r="G91" s="10">
        <v>3613</v>
      </c>
    </row>
    <row r="92" spans="1:48" s="49" customFormat="1">
      <c r="A92" s="1"/>
      <c r="B92" s="48" t="s">
        <v>47</v>
      </c>
      <c r="C92" s="10">
        <v>177</v>
      </c>
      <c r="D92" s="10">
        <v>-212</v>
      </c>
      <c r="E92" s="10">
        <v>-255</v>
      </c>
      <c r="F92" s="10">
        <v>141</v>
      </c>
      <c r="G92" s="10">
        <v>-34479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>
      <c r="B93" s="48" t="s">
        <v>61</v>
      </c>
      <c r="C93" s="10">
        <v>3000</v>
      </c>
      <c r="D93" s="10"/>
      <c r="E93" s="10"/>
      <c r="F93" s="10">
        <v>-50</v>
      </c>
      <c r="G93" s="10"/>
    </row>
    <row r="94" spans="1:48">
      <c r="B94" s="48" t="s">
        <v>62</v>
      </c>
      <c r="C94" s="10"/>
    </row>
    <row r="95" spans="1:48" s="13" customFormat="1">
      <c r="B95" s="50" t="s">
        <v>49</v>
      </c>
      <c r="C95" s="51">
        <f>SUM(C81:C93)</f>
        <v>228992</v>
      </c>
      <c r="D95" s="22">
        <f t="shared" ref="D95:F95" si="5">SUM(D81:D92)</f>
        <v>202057</v>
      </c>
      <c r="E95" s="22">
        <f t="shared" si="5"/>
        <v>269786</v>
      </c>
      <c r="F95" s="22">
        <f t="shared" si="5"/>
        <v>419884</v>
      </c>
      <c r="G95" s="22">
        <f>SUM(G81:G92)</f>
        <v>506715</v>
      </c>
    </row>
    <row r="96" spans="1:48">
      <c r="B96" s="48" t="s">
        <v>63</v>
      </c>
      <c r="C96" s="10">
        <v>-35785</v>
      </c>
      <c r="D96" s="10">
        <v>-74258</v>
      </c>
      <c r="E96" s="10">
        <v>-175948</v>
      </c>
      <c r="F96" s="10">
        <v>-54805</v>
      </c>
      <c r="G96" s="10">
        <v>51265</v>
      </c>
    </row>
    <row r="97" spans="1:48">
      <c r="B97" s="48" t="s">
        <v>64</v>
      </c>
      <c r="C97" s="10">
        <v>35159</v>
      </c>
      <c r="D97" s="10">
        <v>-56594</v>
      </c>
      <c r="E97" s="10">
        <v>-296165</v>
      </c>
      <c r="F97" s="10">
        <v>-13009</v>
      </c>
      <c r="G97" s="10">
        <v>-55478</v>
      </c>
    </row>
    <row r="98" spans="1:48">
      <c r="B98" s="48" t="s">
        <v>48</v>
      </c>
      <c r="C98" s="10">
        <v>-69593</v>
      </c>
      <c r="D98" s="10">
        <v>140099</v>
      </c>
      <c r="E98" s="10">
        <v>379003</v>
      </c>
      <c r="F98" s="10">
        <v>-7433</v>
      </c>
      <c r="G98" s="10">
        <v>-63686</v>
      </c>
    </row>
    <row r="99" spans="1:48">
      <c r="B99" s="48" t="s">
        <v>65</v>
      </c>
      <c r="C99" s="10">
        <v>69693</v>
      </c>
      <c r="D99" s="10">
        <v>-15621</v>
      </c>
      <c r="E99" s="10">
        <v>73476</v>
      </c>
      <c r="F99" s="10">
        <v>23897</v>
      </c>
      <c r="G99" s="10">
        <v>40360</v>
      </c>
    </row>
    <row r="100" spans="1:48">
      <c r="B100" s="48" t="s">
        <v>78</v>
      </c>
      <c r="C100" s="10">
        <v>-176</v>
      </c>
      <c r="D100" s="10">
        <v>1113</v>
      </c>
      <c r="E100" s="10">
        <v>-36</v>
      </c>
      <c r="F100" s="10"/>
      <c r="G100" s="10"/>
    </row>
    <row r="101" spans="1:48" s="13" customFormat="1">
      <c r="B101" s="52" t="s">
        <v>24</v>
      </c>
      <c r="C101" s="51">
        <f t="shared" ref="C101" si="6">SUM(C95:C100)</f>
        <v>228290</v>
      </c>
      <c r="D101" s="22">
        <f t="shared" ref="D101" si="7">SUM(D95:D100)</f>
        <v>196796</v>
      </c>
      <c r="E101" s="22">
        <f>SUM(E95:E100)</f>
        <v>250116</v>
      </c>
      <c r="F101" s="22">
        <f>SUM(F95:F99)</f>
        <v>368534</v>
      </c>
      <c r="G101" s="22">
        <f>SUM(G95:G99)</f>
        <v>479176</v>
      </c>
    </row>
    <row r="102" spans="1:48">
      <c r="B102" s="48" t="s">
        <v>25</v>
      </c>
      <c r="C102" s="10">
        <v>1895</v>
      </c>
      <c r="D102" s="10">
        <v>5601</v>
      </c>
      <c r="E102" s="10">
        <v>2693</v>
      </c>
      <c r="F102" s="10">
        <v>3301</v>
      </c>
      <c r="G102" s="10">
        <v>665</v>
      </c>
    </row>
    <row r="103" spans="1:48">
      <c r="B103" s="48" t="s">
        <v>66</v>
      </c>
      <c r="C103" s="10">
        <v>-5311</v>
      </c>
      <c r="D103" s="10">
        <v>-2352</v>
      </c>
      <c r="E103" s="10">
        <v>-22316</v>
      </c>
      <c r="F103" s="10">
        <v>-84901</v>
      </c>
      <c r="G103" s="10">
        <v>-57552</v>
      </c>
    </row>
    <row r="104" spans="1:48" s="36" customFormat="1">
      <c r="A104" s="13"/>
      <c r="B104" s="48" t="s">
        <v>67</v>
      </c>
      <c r="C104" s="10">
        <v>-43703</v>
      </c>
      <c r="D104" s="10">
        <v>-41007</v>
      </c>
      <c r="E104" s="10"/>
      <c r="F104" s="10">
        <v>-66888</v>
      </c>
      <c r="G104" s="10">
        <v>-118001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>
      <c r="B105" s="48" t="s">
        <v>68</v>
      </c>
      <c r="C105" s="10"/>
      <c r="D105" s="10"/>
      <c r="E105" s="10">
        <v>-62653</v>
      </c>
      <c r="F105" s="10">
        <v>-3818</v>
      </c>
      <c r="G105" s="10">
        <v>-7250</v>
      </c>
    </row>
    <row r="106" spans="1:48" s="13" customFormat="1">
      <c r="B106" s="52" t="s">
        <v>50</v>
      </c>
      <c r="C106" s="53">
        <f>SUM(C101:C105)</f>
        <v>181171</v>
      </c>
      <c r="D106" s="22">
        <f>SUM(D101:D105)</f>
        <v>159038</v>
      </c>
      <c r="E106" s="22">
        <f>SUM(E101:E105)</f>
        <v>167840</v>
      </c>
      <c r="F106" s="22">
        <f>SUM(F101:F105)</f>
        <v>216228</v>
      </c>
      <c r="G106" s="22">
        <f>SUM(G101:G105)</f>
        <v>297038</v>
      </c>
    </row>
    <row r="107" spans="1:48">
      <c r="B107" s="54"/>
    </row>
    <row r="108" spans="1:48">
      <c r="B108" s="54" t="s">
        <v>26</v>
      </c>
      <c r="C108" s="10"/>
    </row>
    <row r="109" spans="1:48">
      <c r="B109" s="48" t="s">
        <v>27</v>
      </c>
      <c r="C109" s="10">
        <v>-40022</v>
      </c>
      <c r="D109" s="10">
        <v>-62470</v>
      </c>
      <c r="E109" s="10">
        <v>-104558</v>
      </c>
      <c r="F109" s="10">
        <v>-89844</v>
      </c>
      <c r="G109" s="10">
        <v>-114273</v>
      </c>
    </row>
    <row r="110" spans="1:48">
      <c r="B110" s="48" t="s">
        <v>69</v>
      </c>
      <c r="C110" s="10">
        <v>-837</v>
      </c>
      <c r="D110" s="10">
        <v>-36</v>
      </c>
      <c r="E110" s="10">
        <v>-114</v>
      </c>
      <c r="F110" s="10">
        <v>173</v>
      </c>
      <c r="G110" s="10"/>
    </row>
    <row r="111" spans="1:48" s="46" customFormat="1">
      <c r="A111" s="13"/>
      <c r="B111" s="48" t="s">
        <v>70</v>
      </c>
      <c r="C111" s="10">
        <v>153</v>
      </c>
      <c r="D111" s="10">
        <v>457</v>
      </c>
      <c r="E111" s="10"/>
      <c r="F111" s="10">
        <v>364</v>
      </c>
      <c r="G111" s="10">
        <v>48947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>
      <c r="B112" s="48" t="s">
        <v>71</v>
      </c>
      <c r="C112" s="10">
        <v>700</v>
      </c>
      <c r="D112" s="10"/>
      <c r="E112" s="10">
        <v>521</v>
      </c>
      <c r="F112" s="10"/>
      <c r="G112" s="10">
        <v>-629</v>
      </c>
    </row>
    <row r="113" spans="1:48">
      <c r="B113" s="55" t="s">
        <v>72</v>
      </c>
      <c r="C113" s="56">
        <f t="shared" ref="C113" si="8">SUM(C109:C112)</f>
        <v>-40006</v>
      </c>
      <c r="D113" s="26">
        <f t="shared" ref="D113" si="9">SUM(D109:D112)</f>
        <v>-62049</v>
      </c>
      <c r="E113" s="26">
        <f>SUM(E109:E112)</f>
        <v>-104151</v>
      </c>
      <c r="F113" s="26">
        <f>SUM(F109:F112)</f>
        <v>-89307</v>
      </c>
      <c r="G113" s="26">
        <f>SUM(G109:G112)</f>
        <v>-65955</v>
      </c>
    </row>
    <row r="114" spans="1:48">
      <c r="B114" s="54"/>
      <c r="C114" s="10"/>
    </row>
    <row r="115" spans="1:48">
      <c r="B115" s="54" t="s">
        <v>28</v>
      </c>
      <c r="C115" s="10"/>
    </row>
    <row r="116" spans="1:48">
      <c r="B116" s="48" t="s">
        <v>73</v>
      </c>
      <c r="C116" s="10">
        <v>-17217</v>
      </c>
      <c r="D116" s="10">
        <v>-27163</v>
      </c>
      <c r="E116" s="10">
        <v>-115264</v>
      </c>
      <c r="F116" s="10">
        <v>-122156</v>
      </c>
      <c r="G116" s="10">
        <v>-154632</v>
      </c>
    </row>
    <row r="117" spans="1:48">
      <c r="B117" s="48" t="s">
        <v>74</v>
      </c>
      <c r="C117" s="10">
        <v>-6250</v>
      </c>
      <c r="D117" s="10"/>
      <c r="E117" s="10"/>
      <c r="F117" s="10"/>
      <c r="G117" s="10"/>
    </row>
    <row r="118" spans="1:48">
      <c r="B118" s="48" t="s">
        <v>75</v>
      </c>
      <c r="C118" s="10">
        <v>-10259</v>
      </c>
      <c r="D118" s="10">
        <v>-18551</v>
      </c>
      <c r="E118" s="10">
        <v>-20885</v>
      </c>
      <c r="F118" s="10">
        <v>-29337</v>
      </c>
      <c r="G118" s="10">
        <v>-24439</v>
      </c>
    </row>
    <row r="119" spans="1:48" s="46" customFormat="1">
      <c r="A119" s="13"/>
      <c r="B119" s="55" t="s">
        <v>76</v>
      </c>
      <c r="C119" s="56">
        <f t="shared" ref="C119" si="10">SUM(C116:C118)</f>
        <v>-33726</v>
      </c>
      <c r="D119" s="46">
        <f t="shared" ref="D119" si="11">SUM(D116:D118)</f>
        <v>-45714</v>
      </c>
      <c r="E119" s="46">
        <f>SUM(E116:E118)</f>
        <v>-136149</v>
      </c>
      <c r="F119" s="46">
        <f>SUM(F116:F118)</f>
        <v>-151493</v>
      </c>
      <c r="G119" s="46">
        <f>SUM(G116:G118)</f>
        <v>-179071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s="13" customFormat="1">
      <c r="B120" s="54"/>
    </row>
    <row r="121" spans="1:48">
      <c r="B121" s="48" t="s">
        <v>51</v>
      </c>
      <c r="C121" s="10">
        <v>-20162</v>
      </c>
      <c r="D121" s="10">
        <v>87427</v>
      </c>
      <c r="E121" s="10">
        <v>-72460</v>
      </c>
      <c r="F121" s="10">
        <v>-24622</v>
      </c>
      <c r="G121" s="10">
        <v>52012</v>
      </c>
    </row>
    <row r="122" spans="1:48">
      <c r="B122" s="48" t="s">
        <v>77</v>
      </c>
      <c r="C122" s="10">
        <v>107439</v>
      </c>
      <c r="D122" s="10">
        <v>51275</v>
      </c>
      <c r="E122" s="10">
        <v>139001</v>
      </c>
      <c r="F122" s="10">
        <v>76741</v>
      </c>
      <c r="G122" s="10">
        <v>46635</v>
      </c>
    </row>
    <row r="123" spans="1:48">
      <c r="B123" s="48" t="s">
        <v>52</v>
      </c>
      <c r="C123" s="10">
        <v>150</v>
      </c>
      <c r="D123" s="10">
        <v>299</v>
      </c>
      <c r="E123" s="10">
        <v>10200</v>
      </c>
      <c r="F123" s="10">
        <v>-5484</v>
      </c>
      <c r="G123" s="10">
        <v>903</v>
      </c>
    </row>
    <row r="124" spans="1:48" s="15" customFormat="1">
      <c r="B124" s="55" t="s">
        <v>53</v>
      </c>
      <c r="C124" s="26">
        <f t="shared" ref="C124" si="12">SUM(C121:C123)</f>
        <v>87427</v>
      </c>
      <c r="D124" s="26">
        <f t="shared" ref="D124" si="13">SUM(D121:D123)</f>
        <v>139001</v>
      </c>
      <c r="E124" s="26">
        <f>SUM(E121:E123)</f>
        <v>76741</v>
      </c>
      <c r="F124" s="26">
        <f>SUM(F121:F123)</f>
        <v>46635</v>
      </c>
      <c r="G124" s="26">
        <f>SUM(G121:G123)</f>
        <v>99550</v>
      </c>
    </row>
    <row r="125" spans="1:48">
      <c r="C125" s="10"/>
    </row>
    <row r="126" spans="1:48">
      <c r="C12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7070"/>
  </sheetPr>
  <dimension ref="A1:G123"/>
  <sheetViews>
    <sheetView workbookViewId="0">
      <selection activeCell="B1" sqref="B1:F1"/>
    </sheetView>
  </sheetViews>
  <sheetFormatPr defaultColWidth="10" defaultRowHeight="14.4"/>
  <cols>
    <col min="1" max="1" width="48.44140625" customWidth="1"/>
    <col min="2" max="2" width="12.109375" customWidth="1"/>
    <col min="3" max="3" width="11.88671875" customWidth="1"/>
    <col min="4" max="4" width="11" customWidth="1"/>
    <col min="5" max="5" width="10.6640625" customWidth="1"/>
    <col min="6" max="6" width="10.88671875" customWidth="1"/>
  </cols>
  <sheetData>
    <row r="1" spans="1:6">
      <c r="A1" s="5" t="s">
        <v>9</v>
      </c>
      <c r="B1" s="7">
        <v>2020</v>
      </c>
      <c r="C1" s="7">
        <v>2021</v>
      </c>
      <c r="D1" s="7">
        <v>2022</v>
      </c>
      <c r="E1" s="7">
        <v>2023</v>
      </c>
      <c r="F1" s="7">
        <v>2024</v>
      </c>
    </row>
    <row r="2" spans="1:6">
      <c r="A2" s="1" t="s">
        <v>29</v>
      </c>
      <c r="B2" s="57">
        <f>FS!C3/FS!C3</f>
        <v>1</v>
      </c>
      <c r="C2" s="57">
        <f>FS!D3/FS!D3</f>
        <v>1</v>
      </c>
      <c r="D2" s="57">
        <f>FS!E3/FS!E3</f>
        <v>1</v>
      </c>
      <c r="E2" s="57">
        <f>FS!F3/FS!F3</f>
        <v>1</v>
      </c>
      <c r="F2" s="57">
        <f>FS!G3/FS!G3</f>
        <v>1</v>
      </c>
    </row>
    <row r="3" spans="1:6">
      <c r="A3" s="1" t="s">
        <v>30</v>
      </c>
      <c r="B3" s="58">
        <f>FS!C4/FS!C$3</f>
        <v>-0.85557962182036595</v>
      </c>
      <c r="C3" s="58">
        <f>FS!D4/FS!D$3</f>
        <v>-0.90014818939530705</v>
      </c>
      <c r="D3" s="58">
        <f>FS!E4/FS!E$3</f>
        <v>-0.91467576129938777</v>
      </c>
      <c r="E3" s="58">
        <f>FS!F4/FS!F$3</f>
        <v>-0.89865106998231381</v>
      </c>
      <c r="F3" s="58">
        <f>FS!G4/FS!G$3</f>
        <v>-0.88827927372615034</v>
      </c>
    </row>
    <row r="4" spans="1:6">
      <c r="A4" s="15" t="s">
        <v>31</v>
      </c>
      <c r="B4" s="58">
        <f>FS!C5/FS!C$3</f>
        <v>0.14442037817963407</v>
      </c>
      <c r="C4" s="58">
        <f>FS!D5/FS!D$3</f>
        <v>9.9851810604692906E-2</v>
      </c>
      <c r="D4" s="58">
        <f>FS!E5/FS!E$3</f>
        <v>8.5324238700612287E-2</v>
      </c>
      <c r="E4" s="58">
        <f>FS!F5/FS!F$3</f>
        <v>0.10134893001768613</v>
      </c>
      <c r="F4" s="58">
        <f>FS!G5/FS!G$3</f>
        <v>0.11172072627384966</v>
      </c>
    </row>
    <row r="5" spans="1:6">
      <c r="A5" s="1" t="s">
        <v>0</v>
      </c>
      <c r="B5" s="58">
        <f>FS!C6/FS!C$3</f>
        <v>9.2313512778934952E-3</v>
      </c>
      <c r="C5" s="58">
        <f>FS!D6/FS!D$3</f>
        <v>8.4752899077397501E-3</v>
      </c>
      <c r="D5" s="58">
        <f>FS!E6/FS!E$3</f>
        <v>7.5862847108975158E-3</v>
      </c>
      <c r="E5" s="58">
        <f>FS!F6/FS!F$3</f>
        <v>6.880958312194662E-3</v>
      </c>
      <c r="F5" s="58">
        <f>FS!G6/FS!G$3</f>
        <v>9.6039046882790743E-3</v>
      </c>
    </row>
    <row r="6" spans="1:6">
      <c r="A6" s="1" t="s">
        <v>32</v>
      </c>
      <c r="B6" s="58">
        <f>FS!C7/FS!C$3</f>
        <v>-8.6466584848822938E-3</v>
      </c>
      <c r="C6" s="58">
        <f>FS!D7/FS!D$3</f>
        <v>1.6388149944425092E-3</v>
      </c>
      <c r="D6" s="58">
        <f>FS!E7/FS!E$3</f>
        <v>-1.8853321721163357E-3</v>
      </c>
      <c r="E6" s="58">
        <f>FS!F7/FS!F$3</f>
        <v>1.1884554300247208E-3</v>
      </c>
      <c r="F6" s="58">
        <f>FS!G7/FS!G$3</f>
        <v>-3.7038159453636402E-4</v>
      </c>
    </row>
    <row r="7" spans="1:6">
      <c r="A7" s="1" t="s">
        <v>33</v>
      </c>
      <c r="B7" s="58">
        <f>FS!C8/FS!C$3</f>
        <v>-7.8699062729902972E-2</v>
      </c>
      <c r="C7" s="58">
        <f>FS!D8/FS!D$3</f>
        <v>-6.3006128621186083E-2</v>
      </c>
      <c r="D7" s="58">
        <f>FS!E8/FS!E$3</f>
        <v>-4.8506137819297947E-2</v>
      </c>
      <c r="E7" s="58">
        <f>FS!F8/FS!F$3</f>
        <v>-5.6083509684339283E-2</v>
      </c>
      <c r="F7" s="58">
        <f>FS!G8/FS!G$3</f>
        <v>-5.2230380496685866E-2</v>
      </c>
    </row>
    <row r="8" spans="1:6">
      <c r="A8" s="15" t="s">
        <v>34</v>
      </c>
      <c r="B8" s="58">
        <f>FS!C9/FS!C$3</f>
        <v>6.6306008242742298E-2</v>
      </c>
      <c r="C8" s="58">
        <f>FS!D9/FS!D$3</f>
        <v>4.6959786885689081E-2</v>
      </c>
      <c r="D8" s="58">
        <f>FS!E9/FS!E$3</f>
        <v>4.2519053420095515E-2</v>
      </c>
      <c r="E8" s="58">
        <f>FS!F9/FS!F$3</f>
        <v>5.3334834075566231E-2</v>
      </c>
      <c r="F8" s="58">
        <f>FS!G9/FS!G$3</f>
        <v>6.8723868870906507E-2</v>
      </c>
    </row>
    <row r="9" spans="1:6">
      <c r="A9" s="1" t="s">
        <v>1</v>
      </c>
      <c r="B9" s="58">
        <f>FS!C10/FS!C$3</f>
        <v>7.9482987285238644E-4</v>
      </c>
      <c r="C9" s="58">
        <f>FS!D10/FS!D$3</f>
        <v>1.7404252529147695E-3</v>
      </c>
      <c r="D9" s="58">
        <f>FS!E10/FS!E$3</f>
        <v>4.7477085650919133E-4</v>
      </c>
      <c r="E9" s="58">
        <f>FS!F10/FS!F$3</f>
        <v>5.4639155633866342E-4</v>
      </c>
      <c r="F9" s="58">
        <f>FS!G10/FS!G$3</f>
        <v>9.506127378104287E-5</v>
      </c>
    </row>
    <row r="10" spans="1:6">
      <c r="A10" s="21" t="s">
        <v>2</v>
      </c>
      <c r="B10" s="58">
        <f>FS!C11/FS!C$3</f>
        <v>-2.8450295659935287E-3</v>
      </c>
      <c r="C10" s="58">
        <f>FS!D11/FS!D$3</f>
        <v>-1.3992385134574553E-3</v>
      </c>
      <c r="D10" s="58">
        <f>FS!E11/FS!E$3</f>
        <v>-4.4610478102891111E-3</v>
      </c>
      <c r="E10" s="58">
        <f>FS!F11/FS!F$3</f>
        <v>-1.4277520895214812E-2</v>
      </c>
      <c r="F10" s="58">
        <f>FS!G11/FS!G$3</f>
        <v>-8.374540846900173E-3</v>
      </c>
    </row>
    <row r="11" spans="1:6">
      <c r="A11" s="13" t="s">
        <v>35</v>
      </c>
      <c r="B11" s="58">
        <f>FS!C12/FS!C$3</f>
        <v>6.4255808549601154E-2</v>
      </c>
      <c r="C11" s="58">
        <f>FS!D12/FS!D$3</f>
        <v>4.7300973625146396E-2</v>
      </c>
      <c r="D11" s="58">
        <f>FS!E12/FS!E$3</f>
        <v>3.8532776466315595E-2</v>
      </c>
      <c r="E11" s="58">
        <f>FS!F12/FS!F$3</f>
        <v>3.9603704736690087E-2</v>
      </c>
      <c r="F11" s="58">
        <f>FS!G12/FS!G$3</f>
        <v>6.0444389297787372E-2</v>
      </c>
    </row>
    <row r="12" spans="1:6">
      <c r="A12" s="1" t="s">
        <v>10</v>
      </c>
      <c r="B12" s="58">
        <f>FS!C13/FS!C$3</f>
        <v>-1.6572727143083638E-2</v>
      </c>
      <c r="C12" s="58">
        <f>FS!D13/FS!D$3</f>
        <v>-1.2267496618429243E-2</v>
      </c>
      <c r="D12" s="58">
        <f>FS!E13/FS!E$3</f>
        <v>-1.002995305180873E-2</v>
      </c>
      <c r="E12" s="58">
        <f>FS!F13/FS!F$3</f>
        <v>-1.1475877913515866E-2</v>
      </c>
      <c r="F12" s="58">
        <f>FS!G13/FS!G$3</f>
        <v>-1.8898181227671323E-2</v>
      </c>
    </row>
    <row r="13" spans="1:6">
      <c r="A13" s="15" t="s">
        <v>36</v>
      </c>
      <c r="B13" s="58">
        <f>FS!C14/FS!C$3</f>
        <v>4.7683081406517523E-2</v>
      </c>
      <c r="C13" s="58">
        <f>FS!D14/FS!D$3</f>
        <v>3.5033477006717155E-2</v>
      </c>
      <c r="D13" s="58">
        <f>FS!E14/FS!E$3</f>
        <v>2.8502823414506866E-2</v>
      </c>
      <c r="E13" s="58">
        <f>FS!F14/FS!F$3</f>
        <v>2.8127826823174218E-2</v>
      </c>
      <c r="F13" s="58">
        <f>FS!G14/FS!G$3</f>
        <v>4.1546208070116053E-2</v>
      </c>
    </row>
    <row r="14" spans="1:6">
      <c r="A14" s="15"/>
    </row>
    <row r="15" spans="1:6">
      <c r="A15" s="1" t="s">
        <v>41</v>
      </c>
    </row>
    <row r="16" spans="1:6">
      <c r="A16" s="1" t="s">
        <v>42</v>
      </c>
    </row>
    <row r="17" spans="1:6">
      <c r="A17" s="1" t="s">
        <v>37</v>
      </c>
    </row>
    <row r="18" spans="1:6">
      <c r="A18" s="1" t="s">
        <v>38</v>
      </c>
    </row>
    <row r="19" spans="1:6">
      <c r="A19" s="1"/>
    </row>
    <row r="20" spans="1:6">
      <c r="A20" s="13" t="s">
        <v>39</v>
      </c>
    </row>
    <row r="21" spans="1:6">
      <c r="A21" s="1" t="s">
        <v>104</v>
      </c>
      <c r="B21" s="58">
        <f>FS!C22/FS!C$3</f>
        <v>-1.4713789941773992E-3</v>
      </c>
      <c r="C21" s="58">
        <f>FS!D22/FS!D$3</f>
        <v>-6.6528306846822384E-4</v>
      </c>
      <c r="D21" s="58">
        <f>FS!E22/FS!E$3</f>
        <v>-9.1992362765130344E-4</v>
      </c>
      <c r="E21" s="58">
        <f>FS!F22/FS!F$3</f>
        <v>-3.9526902045947538E-4</v>
      </c>
      <c r="F21" s="58">
        <f>FS!G22/FS!G$3</f>
        <v>-8.109512874584304E-4</v>
      </c>
    </row>
    <row r="22" spans="1:6">
      <c r="A22" s="1" t="s">
        <v>38</v>
      </c>
      <c r="B22" s="58">
        <f>FS!C23/FS!C$3</f>
        <v>3.6784474854434981E-4</v>
      </c>
      <c r="C22" s="58">
        <f>FS!D23/FS!D$3</f>
        <v>1.6624308343320867E-4</v>
      </c>
      <c r="D22" s="58">
        <f>FS!E23/FS!E$3</f>
        <v>2.3006905597641836E-4</v>
      </c>
      <c r="E22" s="58">
        <f>FS!F23/FS!F$3</f>
        <v>9.8817255114868845E-5</v>
      </c>
      <c r="F22" s="58">
        <f>FS!G23/FS!G$3</f>
        <v>2.0270208454363728E-4</v>
      </c>
    </row>
    <row r="23" spans="1:6">
      <c r="A23" s="13" t="s">
        <v>105</v>
      </c>
      <c r="B23" s="58">
        <f>FS!C24/FS!C$3</f>
        <v>-1.1035342456330495E-3</v>
      </c>
      <c r="C23" s="58">
        <f>FS!D24/FS!D$3</f>
        <v>-4.9903998503501509E-4</v>
      </c>
      <c r="D23" s="58">
        <f>FS!E24/FS!E$3</f>
        <v>-6.8985457167488511E-4</v>
      </c>
      <c r="E23" s="58">
        <f>FS!F24/FS!F$3</f>
        <v>-2.9645176534460658E-4</v>
      </c>
      <c r="F23" s="58">
        <f>FS!G24/FS!G$3</f>
        <v>-6.0824920291479309E-4</v>
      </c>
    </row>
    <row r="24" spans="1:6">
      <c r="A24" s="15" t="s">
        <v>12</v>
      </c>
      <c r="B24" s="58">
        <f>FS!C25/FS!C$3</f>
        <v>4.6579547160884471E-2</v>
      </c>
      <c r="C24" s="58">
        <f>FS!D25/FS!D$3</f>
        <v>3.4534437021682136E-2</v>
      </c>
      <c r="D24" s="58">
        <f>FS!E25/FS!E$3</f>
        <v>2.7812968842831982E-2</v>
      </c>
      <c r="E24" s="58">
        <f>FS!F25/FS!F$3</f>
        <v>2.7831375057829611E-2</v>
      </c>
      <c r="F24" s="58">
        <f>FS!G25/FS!G$3</f>
        <v>4.0937958867201259E-2</v>
      </c>
    </row>
    <row r="25" spans="1:6">
      <c r="A25" s="1"/>
    </row>
    <row r="26" spans="1:6">
      <c r="A26" s="13" t="s">
        <v>43</v>
      </c>
      <c r="B26" s="13">
        <v>112000</v>
      </c>
      <c r="C26" s="13">
        <v>112000</v>
      </c>
      <c r="D26" s="13">
        <v>112000</v>
      </c>
      <c r="E26" s="13">
        <v>112000</v>
      </c>
      <c r="F26" s="13">
        <v>112000</v>
      </c>
    </row>
    <row r="27" spans="1:6">
      <c r="A27" s="13" t="s">
        <v>40</v>
      </c>
    </row>
    <row r="28" spans="1:6">
      <c r="A28" s="31" t="s">
        <v>44</v>
      </c>
      <c r="B28" s="32">
        <v>1.0162</v>
      </c>
      <c r="C28" s="32">
        <v>1.0078</v>
      </c>
      <c r="D28" s="32">
        <v>1.4451000000000001</v>
      </c>
      <c r="E28" s="32">
        <v>1.5189999999999999</v>
      </c>
      <c r="F28" s="32">
        <v>2.5979000000000001</v>
      </c>
    </row>
    <row r="29" spans="1:6">
      <c r="A29" s="1" t="s">
        <v>45</v>
      </c>
      <c r="B29" s="32">
        <v>1.0162</v>
      </c>
      <c r="C29" s="32">
        <v>1.0078</v>
      </c>
      <c r="D29" s="32">
        <v>1.4451000000000001</v>
      </c>
      <c r="E29" s="32">
        <v>1.5189999999999999</v>
      </c>
      <c r="F29" s="32">
        <v>2.5979000000000001</v>
      </c>
    </row>
    <row r="30" spans="1:6">
      <c r="A30" s="1"/>
    </row>
    <row r="31" spans="1:6">
      <c r="A31" s="1"/>
    </row>
    <row r="32" spans="1:6">
      <c r="A32" s="5" t="s">
        <v>3</v>
      </c>
    </row>
    <row r="33" spans="1:7">
      <c r="A33" s="1" t="s">
        <v>13</v>
      </c>
    </row>
    <row r="34" spans="1:7">
      <c r="A34" s="1" t="s">
        <v>14</v>
      </c>
      <c r="B34" s="58">
        <f>FS!C35/FS!C$51</f>
        <v>0.34100500300418207</v>
      </c>
      <c r="C34" s="58">
        <f>FS!D35/FS!D$51</f>
        <v>0.28823886439665192</v>
      </c>
      <c r="D34" s="58">
        <f>FS!E35/FS!E$51</f>
        <v>0.21898094548309394</v>
      </c>
      <c r="E34" s="58">
        <f>FS!F35/FS!F$51</f>
        <v>0.2198746475005775</v>
      </c>
      <c r="F34" s="58">
        <f>FS!G35/FS!G$51</f>
        <v>0.2498259266499997</v>
      </c>
    </row>
    <row r="35" spans="1:7">
      <c r="A35" s="1" t="s">
        <v>79</v>
      </c>
      <c r="B35" s="58">
        <f>FS!C36/FS!C$51</f>
        <v>8.8301536594506805E-2</v>
      </c>
      <c r="C35" s="58">
        <f>FS!D36/FS!D$51</f>
        <v>8.3295771599565263E-2</v>
      </c>
      <c r="D35" s="58">
        <f>FS!E36/FS!E$51</f>
        <v>6.2643477821105853E-2</v>
      </c>
      <c r="E35" s="58">
        <f>FS!F36/FS!F$51</f>
        <v>6.1656344117890623E-2</v>
      </c>
      <c r="F35" s="58">
        <f>FS!G36/FS!G$51</f>
        <v>7.0044987387734597E-2</v>
      </c>
    </row>
    <row r="36" spans="1:7">
      <c r="A36" s="1" t="s">
        <v>80</v>
      </c>
      <c r="B36" s="58">
        <f>FS!C37/FS!C$51</f>
        <v>1.5912051826602183E-2</v>
      </c>
      <c r="C36" s="58">
        <f>FS!D37/FS!D$51</f>
        <v>1.2093780435590645E-2</v>
      </c>
      <c r="D36" s="58">
        <f>FS!E37/FS!E$51</f>
        <v>7.4938093440523644E-3</v>
      </c>
      <c r="E36" s="58">
        <f>FS!F37/FS!F$51</f>
        <v>6.6626204600035736E-3</v>
      </c>
      <c r="F36" s="58">
        <f>FS!G37/FS!G$51</f>
        <v>6.8027248991270849E-3</v>
      </c>
    </row>
    <row r="37" spans="1:7">
      <c r="A37" s="1" t="s">
        <v>81</v>
      </c>
      <c r="B37" s="58">
        <f>FS!C38/FS!C$51</f>
        <v>1.4277300876269341E-5</v>
      </c>
      <c r="C37" s="58">
        <f>FS!D38/FS!D$51</f>
        <v>1.1292045224641125E-5</v>
      </c>
      <c r="D37" s="58">
        <f>FS!E38/FS!E$51</f>
        <v>7.2246896544250322E-6</v>
      </c>
      <c r="E37" s="58">
        <f>FS!F38/FS!F$51</f>
        <v>6.5378563676541732E-6</v>
      </c>
      <c r="F37" s="58">
        <f>FS!G38/FS!G$51</f>
        <v>6.7220601770030479E-6</v>
      </c>
    </row>
    <row r="38" spans="1:7">
      <c r="A38" s="1" t="s">
        <v>82</v>
      </c>
      <c r="B38" s="58">
        <f>FS!C39/FS!C$51</f>
        <v>5.7002123748505348E-3</v>
      </c>
      <c r="C38" s="58">
        <f>FS!D39/FS!D$51</f>
        <v>3.8562334442149441E-3</v>
      </c>
      <c r="D38" s="58">
        <f>FS!E39/FS!E$51</f>
        <v>3.0626663560050114E-3</v>
      </c>
      <c r="E38" s="58">
        <f>FS!F39/FS!F$51</f>
        <v>2.454420244690171E-3</v>
      </c>
      <c r="F38" s="58">
        <f>FS!G39/FS!G$51</f>
        <v>0</v>
      </c>
    </row>
    <row r="39" spans="1:7">
      <c r="A39" s="1" t="s">
        <v>83</v>
      </c>
      <c r="B39" s="58">
        <f>FS!C40/FS!C$51</f>
        <v>7.9833907399806062E-4</v>
      </c>
      <c r="C39" s="58">
        <f>FS!D40/FS!D$51</f>
        <v>6.3141352881118293E-4</v>
      </c>
      <c r="D39" s="58">
        <f>FS!E40/FS!E$51</f>
        <v>4.0398056317659972E-4</v>
      </c>
      <c r="E39" s="58">
        <f>FS!F40/FS!F$51</f>
        <v>3.6557513522466256E-4</v>
      </c>
      <c r="F39" s="58">
        <f>FS!G40/FS!G$51</f>
        <v>7.282231858419968E-4</v>
      </c>
    </row>
    <row r="40" spans="1:7">
      <c r="A40" s="1" t="s">
        <v>84</v>
      </c>
      <c r="B40" s="58">
        <f>FS!C41/FS!C$51</f>
        <v>3.2599837000814997E-4</v>
      </c>
      <c r="C40" s="58">
        <f>FS!D41/FS!D$51</f>
        <v>2.5783503262930566E-4</v>
      </c>
      <c r="D40" s="58">
        <f>FS!E41/FS!E$51</f>
        <v>1.6496374710937156E-4</v>
      </c>
      <c r="E40" s="58">
        <f>FS!F41/FS!F$51</f>
        <v>1.4928105372810364E-4</v>
      </c>
      <c r="F40" s="58">
        <f>FS!G41/FS!G$51</f>
        <v>1.5348704070823626E-4</v>
      </c>
    </row>
    <row r="41" spans="1:7">
      <c r="A41" s="1" t="s">
        <v>85</v>
      </c>
      <c r="B41" s="58">
        <f>FS!C42/FS!C$51</f>
        <v>1.9500413446837876E-3</v>
      </c>
      <c r="C41" s="58">
        <f>FS!D42/FS!D$51</f>
        <v>1.6693406857094463E-3</v>
      </c>
      <c r="D41" s="58">
        <f>FS!E42/FS!E$51</f>
        <v>1.7893148044125996E-3</v>
      </c>
      <c r="E41" s="58">
        <f>FS!F42/FS!F$51</f>
        <v>1.8022690720166672E-3</v>
      </c>
      <c r="F41" s="58">
        <f>FS!G42/FS!G$51</f>
        <v>2.2877411469067041E-3</v>
      </c>
    </row>
    <row r="42" spans="1:7">
      <c r="A42" s="22" t="s">
        <v>15</v>
      </c>
      <c r="B42" s="59">
        <f>FS!C43/FS!C$51</f>
        <v>0.45400745988970787</v>
      </c>
      <c r="C42" s="59">
        <f>FS!D43/FS!D$51</f>
        <v>0.39005453116839733</v>
      </c>
      <c r="D42" s="59">
        <f>FS!E43/FS!E$51</f>
        <v>0.29454638280861012</v>
      </c>
      <c r="E42" s="59">
        <f>FS!F43/FS!F$51</f>
        <v>0.29297169544049895</v>
      </c>
      <c r="F42" s="59">
        <f>FS!G43/FS!G$51</f>
        <v>0.32984981237049532</v>
      </c>
      <c r="G42" s="60"/>
    </row>
    <row r="43" spans="1:7">
      <c r="A43" s="1" t="s">
        <v>86</v>
      </c>
      <c r="B43" s="58">
        <f>FS!C44/FS!C$51</f>
        <v>0.12889666208603265</v>
      </c>
      <c r="C43" s="58">
        <f>FS!D44/FS!D$51</f>
        <v>0.17180940909668344</v>
      </c>
      <c r="D43" s="58">
        <f>FS!E44/FS!E$51</f>
        <v>0.21585506309261268</v>
      </c>
      <c r="E43" s="58">
        <f>FS!F44/FS!F$51</f>
        <v>0.22519319365566418</v>
      </c>
      <c r="F43" s="58">
        <f>FS!G44/FS!G$51</f>
        <v>0.20282080051894305</v>
      </c>
    </row>
    <row r="44" spans="1:7">
      <c r="A44" s="1" t="s">
        <v>87</v>
      </c>
      <c r="B44" s="58">
        <f>FS!C45/FS!C$51</f>
        <v>1.8245200744799194E-2</v>
      </c>
      <c r="C44" s="58">
        <f>FS!D45/FS!D$51</f>
        <v>1.7023699179915214E-2</v>
      </c>
      <c r="D44" s="58">
        <f>FS!E45/FS!E$51</f>
        <v>1.4550524964012015E-2</v>
      </c>
      <c r="E44" s="58">
        <f>FS!F45/FS!F$51</f>
        <v>1.2478588520395932E-2</v>
      </c>
      <c r="F44" s="58">
        <f>FS!G45/FS!G$51</f>
        <v>4.9676024708052522E-3</v>
      </c>
    </row>
    <row r="45" spans="1:7">
      <c r="A45" s="1" t="s">
        <v>4</v>
      </c>
      <c r="B45" s="58">
        <f>FS!C46/FS!C$51</f>
        <v>0.275484089732836</v>
      </c>
      <c r="C45" s="58">
        <f>FS!D46/FS!D$51</f>
        <v>0.27634645876756736</v>
      </c>
      <c r="D45" s="58">
        <f>FS!E46/FS!E$51</f>
        <v>0.34647143146990528</v>
      </c>
      <c r="E45" s="58">
        <f>FS!F46/FS!F$51</f>
        <v>0.32308451704855012</v>
      </c>
      <c r="F45" s="58">
        <f>FS!G46/FS!G$51</f>
        <v>0.36099647820063896</v>
      </c>
    </row>
    <row r="46" spans="1:7">
      <c r="A46" s="1" t="s">
        <v>88</v>
      </c>
      <c r="B46" s="58">
        <f>FS!C47/FS!C$51</f>
        <v>1.5857322173243149E-2</v>
      </c>
      <c r="C46" s="58">
        <f>FS!D47/FS!D$51</f>
        <v>1.0543947228508651E-2</v>
      </c>
      <c r="D46" s="58">
        <f>FS!E47/FS!E$51</f>
        <v>8.4805815393525844E-3</v>
      </c>
      <c r="E46" s="58">
        <f>FS!F47/FS!F$51</f>
        <v>6.5498424376615391E-3</v>
      </c>
      <c r="F46" s="58">
        <f>FS!G47/FS!G$51</f>
        <v>7.8726528106334032E-3</v>
      </c>
    </row>
    <row r="47" spans="1:7">
      <c r="A47" s="1" t="s">
        <v>89</v>
      </c>
      <c r="B47" s="58">
        <f>FS!C48/FS!C$51</f>
        <v>0.10688106413482532</v>
      </c>
      <c r="C47" s="58">
        <f>FS!D48/FS!D$51</f>
        <v>0.1337251045690438</v>
      </c>
      <c r="D47" s="58">
        <f>FS!E48/FS!E$51</f>
        <v>0.12009601612550731</v>
      </c>
      <c r="E47" s="58">
        <f>FS!F48/FS!F$51</f>
        <v>0.13972216289722925</v>
      </c>
      <c r="F47" s="58">
        <f>FS!G48/FS!G$51</f>
        <v>9.3492653628484051E-2</v>
      </c>
    </row>
    <row r="48" spans="1:7">
      <c r="A48" s="21" t="s">
        <v>90</v>
      </c>
      <c r="B48" s="58">
        <f>FS!C49/FS!C$51</f>
        <v>6.2820123855585107E-4</v>
      </c>
      <c r="C48" s="58">
        <f>FS!D49/FS!D$51</f>
        <v>4.9684998988420949E-4</v>
      </c>
      <c r="D48" s="58">
        <f>FS!E49/FS!E$51</f>
        <v>0</v>
      </c>
      <c r="E48" s="58">
        <f>FS!F49/FS!F$51</f>
        <v>0</v>
      </c>
      <c r="F48" s="58">
        <f>FS!G49/FS!G$51</f>
        <v>0</v>
      </c>
    </row>
    <row r="49" spans="1:7">
      <c r="A49" s="22" t="s">
        <v>16</v>
      </c>
      <c r="B49" s="59">
        <f>FS!C50/FS!C$51</f>
        <v>0.54599254011029219</v>
      </c>
      <c r="C49" s="59">
        <f>FS!D50/FS!D$51</f>
        <v>0.60994546883160272</v>
      </c>
      <c r="D49" s="59">
        <f>FS!E50/FS!E$51</f>
        <v>0.70545361719138988</v>
      </c>
      <c r="E49" s="59">
        <f>FS!F50/FS!F$51</f>
        <v>0.70702830455950105</v>
      </c>
      <c r="F49" s="59">
        <f>FS!G50/FS!G$51</f>
        <v>0.67015018762950473</v>
      </c>
      <c r="G49" s="60"/>
    </row>
    <row r="50" spans="1:7">
      <c r="A50" s="36" t="s">
        <v>17</v>
      </c>
      <c r="B50" s="61">
        <f>FS!C51/FS!C$51</f>
        <v>1</v>
      </c>
      <c r="C50" s="61">
        <f>FS!D51/FS!D$51</f>
        <v>1</v>
      </c>
      <c r="D50" s="61">
        <f>FS!E51/FS!E$51</f>
        <v>1</v>
      </c>
      <c r="E50" s="61">
        <f>FS!F51/FS!F$51</f>
        <v>1</v>
      </c>
      <c r="F50" s="61">
        <f>FS!G51/FS!G$51</f>
        <v>1</v>
      </c>
      <c r="G50" s="62"/>
    </row>
    <row r="51" spans="1:7">
      <c r="A51" s="1"/>
      <c r="B51" s="58">
        <f>FS!C52/FS!C$51</f>
        <v>0</v>
      </c>
      <c r="C51" s="58">
        <f>FS!D52/FS!D$51</f>
        <v>0</v>
      </c>
      <c r="D51" s="58">
        <f>FS!E52/FS!E$51</f>
        <v>0</v>
      </c>
      <c r="E51" s="58">
        <f>FS!F52/FS!F$51</f>
        <v>0</v>
      </c>
      <c r="F51" s="58">
        <f>FS!G52/FS!G$51</f>
        <v>0</v>
      </c>
    </row>
    <row r="52" spans="1:7">
      <c r="A52" s="13" t="s">
        <v>5</v>
      </c>
      <c r="B52" s="58">
        <f>FS!C53/FS!C$51</f>
        <v>0</v>
      </c>
      <c r="C52" s="58">
        <f>FS!D53/FS!D$51</f>
        <v>0</v>
      </c>
      <c r="D52" s="58">
        <f>FS!E53/FS!E$51</f>
        <v>0</v>
      </c>
      <c r="E52" s="58">
        <f>FS!F53/FS!F$51</f>
        <v>0</v>
      </c>
      <c r="F52" s="58">
        <f>FS!G53/FS!G$51</f>
        <v>0</v>
      </c>
    </row>
    <row r="53" spans="1:7">
      <c r="A53" s="1" t="s">
        <v>18</v>
      </c>
      <c r="B53" s="58">
        <f>FS!C54/FS!C$51</f>
        <v>6.094265879035568E-2</v>
      </c>
      <c r="C53" s="58">
        <f>FS!D54/FS!D$51</f>
        <v>4.820009504138064E-2</v>
      </c>
      <c r="D53" s="58">
        <f>FS!E54/FS!E$51</f>
        <v>3.083858778991325E-2</v>
      </c>
      <c r="E53" s="58">
        <f>FS!F54/FS!F$51</f>
        <v>2.790683990533184E-2</v>
      </c>
      <c r="F53" s="58">
        <f>FS!G54/FS!G$51</f>
        <v>2.8693113865537509E-2</v>
      </c>
    </row>
    <row r="54" spans="1:7">
      <c r="A54" s="1" t="s">
        <v>6</v>
      </c>
      <c r="B54" s="58">
        <f>FS!C55/FS!C$51</f>
        <v>0.35882545404791222</v>
      </c>
      <c r="C54" s="58">
        <f>FS!D55/FS!D$51</f>
        <v>0.36281905909033163</v>
      </c>
      <c r="D54" s="58">
        <f>FS!E55/FS!E$51</f>
        <v>0.25771852729517852</v>
      </c>
      <c r="E54" s="58">
        <f>FS!F55/FS!F$51</f>
        <v>0.25827202276917444</v>
      </c>
      <c r="F54" s="58">
        <f>FS!G55/FS!G$51</f>
        <v>0.33935088425900772</v>
      </c>
    </row>
    <row r="55" spans="1:7">
      <c r="A55" s="1" t="s">
        <v>91</v>
      </c>
      <c r="B55" s="58">
        <f>FS!C56/FS!C$51</f>
        <v>0</v>
      </c>
      <c r="C55" s="58">
        <f>FS!D56/FS!D$51</f>
        <v>0</v>
      </c>
      <c r="D55" s="58">
        <f>FS!E56/FS!E$51</f>
        <v>0</v>
      </c>
      <c r="E55" s="58">
        <f>FS!F56/FS!F$51</f>
        <v>0</v>
      </c>
      <c r="F55" s="58">
        <f>FS!G56/FS!G$51</f>
        <v>0</v>
      </c>
    </row>
    <row r="56" spans="1:7">
      <c r="A56" s="1" t="s">
        <v>92</v>
      </c>
      <c r="B56" s="58">
        <f>FS!C57/FS!C$51</f>
        <v>0</v>
      </c>
      <c r="C56" s="58">
        <f>FS!D57/FS!D$51</f>
        <v>0</v>
      </c>
      <c r="D56" s="58">
        <f>FS!E57/FS!E$51</f>
        <v>0</v>
      </c>
      <c r="E56" s="58">
        <f>FS!F57/FS!F$51</f>
        <v>0</v>
      </c>
      <c r="F56" s="58">
        <f>FS!G57/FS!G$51</f>
        <v>0</v>
      </c>
    </row>
    <row r="57" spans="1:7">
      <c r="A57" s="46" t="s">
        <v>93</v>
      </c>
      <c r="B57" s="63">
        <f>FS!C58/FS!C$51</f>
        <v>0.41976811283826793</v>
      </c>
      <c r="C57" s="63">
        <f>FS!D58/FS!D$51</f>
        <v>0.41101915413171231</v>
      </c>
      <c r="D57" s="63">
        <f>FS!E58/FS!E$51</f>
        <v>0.2885571150850918</v>
      </c>
      <c r="E57" s="63">
        <f>FS!F58/FS!F$51</f>
        <v>0.28617886267450626</v>
      </c>
      <c r="F57" s="63">
        <f>FS!G58/FS!G$51</f>
        <v>0.36804399812454519</v>
      </c>
      <c r="G57" s="64"/>
    </row>
    <row r="58" spans="1:7">
      <c r="A58" s="1"/>
      <c r="B58" s="58">
        <f>FS!C59/FS!C$51</f>
        <v>0</v>
      </c>
      <c r="C58" s="58">
        <f>FS!D59/FS!D$51</f>
        <v>0</v>
      </c>
      <c r="D58" s="58">
        <f>FS!E59/FS!E$51</f>
        <v>0</v>
      </c>
      <c r="E58" s="58">
        <f>FS!F59/FS!F$51</f>
        <v>0</v>
      </c>
      <c r="F58" s="58">
        <f>FS!G59/FS!G$51</f>
        <v>0</v>
      </c>
    </row>
    <row r="59" spans="1:7">
      <c r="A59" s="13" t="s">
        <v>94</v>
      </c>
      <c r="B59" s="58">
        <f>FS!C60/FS!C$51</f>
        <v>0</v>
      </c>
      <c r="C59" s="58">
        <f>FS!D60/FS!D$51</f>
        <v>0</v>
      </c>
      <c r="D59" s="58">
        <f>FS!E60/FS!E$51</f>
        <v>0</v>
      </c>
      <c r="E59" s="58">
        <f>FS!F60/FS!F$51</f>
        <v>0</v>
      </c>
      <c r="F59" s="58">
        <f>FS!G60/FS!G$51</f>
        <v>0</v>
      </c>
    </row>
    <row r="60" spans="1:7">
      <c r="A60" s="1" t="s">
        <v>19</v>
      </c>
      <c r="B60" s="58">
        <f>FS!C61/FS!C$51</f>
        <v>1.0096431269668469E-2</v>
      </c>
      <c r="C60" s="58">
        <f>FS!D61/FS!D$51</f>
        <v>1.0129905570271809E-2</v>
      </c>
      <c r="D60" s="58">
        <f>FS!E61/FS!E$51</f>
        <v>1.6142966975341531E-2</v>
      </c>
      <c r="E60" s="58">
        <f>FS!F61/FS!F$51</f>
        <v>1.0995039946302406E-2</v>
      </c>
      <c r="F60" s="58">
        <f>FS!G61/FS!G$51</f>
        <v>1.5785077810647408E-2</v>
      </c>
    </row>
    <row r="61" spans="1:7">
      <c r="A61" s="1" t="s">
        <v>95</v>
      </c>
      <c r="B61" s="58">
        <f>FS!C62/FS!C$51</f>
        <v>2.8625988256920031E-3</v>
      </c>
      <c r="C61" s="58">
        <f>FS!D62/FS!D$51</f>
        <v>2.9246397131820513E-3</v>
      </c>
      <c r="D61" s="58">
        <f>FS!E62/FS!E$51</f>
        <v>7.389352372798802E-2</v>
      </c>
      <c r="E61" s="58">
        <f>FS!F62/FS!F$51</f>
        <v>0.11431441858843322</v>
      </c>
      <c r="F61" s="58">
        <f>FS!G62/FS!G$51</f>
        <v>3.7727562743429609E-2</v>
      </c>
    </row>
    <row r="62" spans="1:7">
      <c r="A62" s="41" t="s">
        <v>96</v>
      </c>
      <c r="B62" s="58">
        <f>FS!C63/FS!C$51</f>
        <v>0</v>
      </c>
      <c r="C62" s="58">
        <f>FS!D63/FS!D$51</f>
        <v>0</v>
      </c>
      <c r="D62" s="58">
        <f>FS!E63/FS!E$51</f>
        <v>0</v>
      </c>
      <c r="E62" s="58">
        <f>FS!F63/FS!F$51</f>
        <v>0</v>
      </c>
      <c r="F62" s="58">
        <f>FS!G63/FS!G$51</f>
        <v>0</v>
      </c>
    </row>
    <row r="63" spans="1:7">
      <c r="A63" s="1" t="s">
        <v>7</v>
      </c>
      <c r="B63" s="58">
        <f>FS!C64/FS!C$51</f>
        <v>0.3923556951558308</v>
      </c>
      <c r="C63" s="58">
        <f>FS!D64/FS!D$51</f>
        <v>0.4432522972254504</v>
      </c>
      <c r="D63" s="58">
        <f>FS!E64/FS!E$51</f>
        <v>0.50347236646515803</v>
      </c>
      <c r="E63" s="58">
        <f>FS!F64/FS!F$51</f>
        <v>0.45888886951746261</v>
      </c>
      <c r="F63" s="58">
        <f>FS!G64/FS!G$51</f>
        <v>0.42563748937774448</v>
      </c>
    </row>
    <row r="64" spans="1:7">
      <c r="A64" s="1" t="s">
        <v>97</v>
      </c>
      <c r="B64" s="58">
        <f>FS!C65/FS!C$51</f>
        <v>0.15416034598659123</v>
      </c>
      <c r="C64" s="58">
        <f>FS!D65/FS!D$51</f>
        <v>0.10627508363170994</v>
      </c>
      <c r="D64" s="58">
        <f>FS!E65/FS!E$51</f>
        <v>0.10170255832281237</v>
      </c>
      <c r="E64" s="58">
        <f>FS!F65/FS!F$51</f>
        <v>0.11496874904656261</v>
      </c>
      <c r="F64" s="58">
        <f>FS!G65/FS!G$51</f>
        <v>0.13558619445687714</v>
      </c>
    </row>
    <row r="65" spans="1:7">
      <c r="A65" s="37" t="s">
        <v>98</v>
      </c>
      <c r="B65" s="59">
        <f>FS!C66/FS!C$51</f>
        <v>0.55947507123778251</v>
      </c>
      <c r="C65" s="59">
        <f>FS!D66/FS!D$51</f>
        <v>0.5625819261406142</v>
      </c>
      <c r="D65" s="59">
        <f>FS!E66/FS!E$51</f>
        <v>0.69521141549129994</v>
      </c>
      <c r="E65" s="59">
        <f>FS!F66/FS!F$51</f>
        <v>0.6991670770987608</v>
      </c>
      <c r="F65" s="59">
        <f>FS!G66/FS!G$51</f>
        <v>0.61473632438869863</v>
      </c>
      <c r="G65" s="60"/>
    </row>
    <row r="66" spans="1:7">
      <c r="A66" s="21" t="s">
        <v>19</v>
      </c>
      <c r="B66" s="58">
        <f>FS!C67/FS!C$51</f>
        <v>9.5443756357860548E-3</v>
      </c>
      <c r="C66" s="58">
        <f>FS!D67/FS!D$51</f>
        <v>1.4468873947840161E-2</v>
      </c>
      <c r="D66" s="58">
        <f>FS!E67/FS!E$51</f>
        <v>5.7972113902048858E-3</v>
      </c>
      <c r="E66" s="58">
        <f>FS!F67/FS!F$51</f>
        <v>3.639951532691461E-3</v>
      </c>
      <c r="F66" s="58">
        <f>FS!G67/FS!G$51</f>
        <v>1.3612171858431172E-3</v>
      </c>
    </row>
    <row r="67" spans="1:7">
      <c r="A67" s="21" t="s">
        <v>96</v>
      </c>
      <c r="B67" s="58">
        <f>FS!C68/FS!C$51</f>
        <v>0</v>
      </c>
      <c r="C67" s="58">
        <f>FS!D68/FS!D$51</f>
        <v>0</v>
      </c>
      <c r="D67" s="58">
        <f>FS!E68/FS!E$51</f>
        <v>0</v>
      </c>
      <c r="E67" s="58">
        <f>FS!F68/FS!F$51</f>
        <v>0</v>
      </c>
      <c r="F67" s="58">
        <f>FS!G68/FS!G$51</f>
        <v>0</v>
      </c>
    </row>
    <row r="68" spans="1:7">
      <c r="A68" s="21" t="s">
        <v>99</v>
      </c>
      <c r="B68" s="58">
        <f>FS!C69/FS!C$51</f>
        <v>0</v>
      </c>
      <c r="C68" s="58">
        <f>FS!D69/FS!D$51</f>
        <v>0</v>
      </c>
      <c r="D68" s="58">
        <f>FS!E69/FS!E$51</f>
        <v>0</v>
      </c>
      <c r="E68" s="58">
        <f>FS!F69/FS!F$51</f>
        <v>0</v>
      </c>
      <c r="F68" s="58">
        <f>FS!G69/FS!G$51</f>
        <v>3.684249148679087E-3</v>
      </c>
    </row>
    <row r="69" spans="1:7">
      <c r="A69" s="21" t="s">
        <v>8</v>
      </c>
      <c r="B69" s="58">
        <f>FS!C70/FS!C$51</f>
        <v>1.8405820379657225E-3</v>
      </c>
      <c r="C69" s="58">
        <f>FS!D70/FS!D$51</f>
        <v>1.4557328302099849E-3</v>
      </c>
      <c r="D69" s="58">
        <f>FS!E70/FS!E$51</f>
        <v>9.3138290794962707E-4</v>
      </c>
      <c r="E69" s="58">
        <f>FS!F70/FS!F$51</f>
        <v>8.4283865006341721E-4</v>
      </c>
      <c r="F69" s="58">
        <f>FS!G70/FS!G$51</f>
        <v>5.7585648849659444E-4</v>
      </c>
    </row>
    <row r="70" spans="1:7">
      <c r="A70" s="21" t="s">
        <v>100</v>
      </c>
      <c r="B70" s="58">
        <f>FS!C71/FS!C$51</f>
        <v>9.3718582501978002E-3</v>
      </c>
      <c r="C70" s="58">
        <f>FS!D71/FS!D$51</f>
        <v>1.0474312949623364E-2</v>
      </c>
      <c r="D70" s="58">
        <f>FS!E71/FS!E$51</f>
        <v>9.8207614702484278E-3</v>
      </c>
      <c r="E70" s="58">
        <f>FS!F71/FS!F$51</f>
        <v>1.0171270043977981E-2</v>
      </c>
      <c r="F70" s="58">
        <f>FS!G71/FS!G$51</f>
        <v>1.1598354663737343E-2</v>
      </c>
    </row>
    <row r="71" spans="1:7">
      <c r="A71" s="37" t="s">
        <v>101</v>
      </c>
      <c r="B71" s="59">
        <f>FS!C72/FS!C$51</f>
        <v>2.0756815923949578E-2</v>
      </c>
      <c r="C71" s="59">
        <f>FS!D72/FS!D$51</f>
        <v>2.6398919727673508E-2</v>
      </c>
      <c r="D71" s="59">
        <f>FS!E72/FS!E$51</f>
        <v>1.654935576840294E-2</v>
      </c>
      <c r="E71" s="59">
        <f>FS!F72/FS!F$51</f>
        <v>1.4654060226732858E-2</v>
      </c>
      <c r="F71" s="59">
        <f>FS!G72/FS!G$51</f>
        <v>1.7219677486756142E-2</v>
      </c>
      <c r="G71" s="60"/>
    </row>
    <row r="72" spans="1:7">
      <c r="A72" s="15" t="s">
        <v>102</v>
      </c>
      <c r="B72" s="58">
        <f>FS!C73/FS!C$51</f>
        <v>0.58023188716173213</v>
      </c>
      <c r="C72" s="58">
        <f>FS!D73/FS!D$51</f>
        <v>0.58898084586828769</v>
      </c>
      <c r="D72" s="58">
        <f>FS!E73/FS!E$51</f>
        <v>0.71176077125970294</v>
      </c>
      <c r="E72" s="58">
        <f>FS!F73/FS!F$51</f>
        <v>0.71382113732549368</v>
      </c>
      <c r="F72" s="58">
        <f>FS!G73/FS!G$51</f>
        <v>0.63195600187545475</v>
      </c>
    </row>
    <row r="73" spans="1:7">
      <c r="A73" s="26" t="s">
        <v>103</v>
      </c>
      <c r="B73" s="63">
        <f>FS!C74/FS!C$51</f>
        <v>1</v>
      </c>
      <c r="C73" s="63">
        <f>FS!D74/FS!D$51</f>
        <v>1</v>
      </c>
      <c r="D73" s="63">
        <f>FS!E74/FS!E$51</f>
        <v>1.0003178863447948</v>
      </c>
      <c r="E73" s="63">
        <f>FS!F74/FS!F$51</f>
        <v>1</v>
      </c>
      <c r="F73" s="63">
        <f>FS!G74/FS!G$51</f>
        <v>1</v>
      </c>
      <c r="G73" s="64"/>
    </row>
    <row r="74" spans="1:7">
      <c r="A74" s="15"/>
    </row>
    <row r="75" spans="1:7">
      <c r="A75" s="29"/>
    </row>
    <row r="76" spans="1:7">
      <c r="A76" s="1"/>
    </row>
    <row r="77" spans="1:7">
      <c r="A77" s="1"/>
    </row>
    <row r="78" spans="1:7">
      <c r="A78" s="6" t="s">
        <v>20</v>
      </c>
    </row>
    <row r="79" spans="1:7">
      <c r="A79" s="13" t="s">
        <v>46</v>
      </c>
    </row>
    <row r="80" spans="1:7">
      <c r="A80" s="48" t="s">
        <v>35</v>
      </c>
    </row>
    <row r="81" spans="1:1">
      <c r="A81" s="48" t="s">
        <v>21</v>
      </c>
    </row>
    <row r="82" spans="1:1">
      <c r="A82" s="48" t="s">
        <v>54</v>
      </c>
    </row>
    <row r="83" spans="1:1">
      <c r="A83" s="48" t="s">
        <v>22</v>
      </c>
    </row>
    <row r="84" spans="1:1">
      <c r="A84" s="48" t="s">
        <v>55</v>
      </c>
    </row>
    <row r="85" spans="1:1">
      <c r="A85" s="48" t="s">
        <v>23</v>
      </c>
    </row>
    <row r="86" spans="1:1">
      <c r="A86" s="48" t="s">
        <v>56</v>
      </c>
    </row>
    <row r="87" spans="1:1">
      <c r="A87" s="48" t="s">
        <v>57</v>
      </c>
    </row>
    <row r="88" spans="1:1">
      <c r="A88" s="48" t="s">
        <v>58</v>
      </c>
    </row>
    <row r="89" spans="1:1">
      <c r="A89" s="48" t="s">
        <v>59</v>
      </c>
    </row>
    <row r="90" spans="1:1">
      <c r="A90" s="48" t="s">
        <v>60</v>
      </c>
    </row>
    <row r="91" spans="1:1">
      <c r="A91" s="48" t="s">
        <v>47</v>
      </c>
    </row>
    <row r="92" spans="1:1">
      <c r="A92" s="48" t="s">
        <v>61</v>
      </c>
    </row>
    <row r="93" spans="1:1">
      <c r="A93" s="48" t="s">
        <v>62</v>
      </c>
    </row>
    <row r="94" spans="1:1">
      <c r="A94" s="65" t="s">
        <v>49</v>
      </c>
    </row>
    <row r="95" spans="1:1">
      <c r="A95" s="48" t="s">
        <v>63</v>
      </c>
    </row>
    <row r="96" spans="1:1">
      <c r="A96" s="48" t="s">
        <v>64</v>
      </c>
    </row>
    <row r="97" spans="1:1">
      <c r="A97" s="48" t="s">
        <v>48</v>
      </c>
    </row>
    <row r="98" spans="1:1">
      <c r="A98" s="48" t="s">
        <v>65</v>
      </c>
    </row>
    <row r="99" spans="1:1">
      <c r="A99" s="48" t="s">
        <v>78</v>
      </c>
    </row>
    <row r="100" spans="1:1">
      <c r="A100" s="52" t="s">
        <v>24</v>
      </c>
    </row>
    <row r="101" spans="1:1">
      <c r="A101" s="48" t="s">
        <v>25</v>
      </c>
    </row>
    <row r="102" spans="1:1">
      <c r="A102" s="48" t="s">
        <v>66</v>
      </c>
    </row>
    <row r="103" spans="1:1">
      <c r="A103" s="48" t="s">
        <v>67</v>
      </c>
    </row>
    <row r="104" spans="1:1">
      <c r="A104" s="48" t="s">
        <v>68</v>
      </c>
    </row>
    <row r="105" spans="1:1">
      <c r="A105" s="52" t="s">
        <v>50</v>
      </c>
    </row>
    <row r="106" spans="1:1">
      <c r="A106" s="54"/>
    </row>
    <row r="107" spans="1:1">
      <c r="A107" s="54" t="s">
        <v>26</v>
      </c>
    </row>
    <row r="108" spans="1:1">
      <c r="A108" s="48" t="s">
        <v>27</v>
      </c>
    </row>
    <row r="109" spans="1:1">
      <c r="A109" s="48" t="s">
        <v>69</v>
      </c>
    </row>
    <row r="110" spans="1:1">
      <c r="A110" s="48" t="s">
        <v>70</v>
      </c>
    </row>
    <row r="111" spans="1:1">
      <c r="A111" s="48" t="s">
        <v>71</v>
      </c>
    </row>
    <row r="112" spans="1:1">
      <c r="A112" s="55" t="s">
        <v>72</v>
      </c>
    </row>
    <row r="113" spans="1:1">
      <c r="A113" s="54"/>
    </row>
    <row r="114" spans="1:1">
      <c r="A114" s="54" t="s">
        <v>28</v>
      </c>
    </row>
    <row r="115" spans="1:1">
      <c r="A115" s="48" t="s">
        <v>73</v>
      </c>
    </row>
    <row r="116" spans="1:1">
      <c r="A116" s="48" t="s">
        <v>74</v>
      </c>
    </row>
    <row r="117" spans="1:1">
      <c r="A117" s="48" t="s">
        <v>75</v>
      </c>
    </row>
    <row r="118" spans="1:1">
      <c r="A118" s="55" t="s">
        <v>76</v>
      </c>
    </row>
    <row r="119" spans="1:1">
      <c r="A119" s="54"/>
    </row>
    <row r="120" spans="1:1">
      <c r="A120" s="48" t="s">
        <v>51</v>
      </c>
    </row>
    <row r="121" spans="1:1">
      <c r="A121" s="48" t="s">
        <v>77</v>
      </c>
    </row>
    <row r="122" spans="1:1">
      <c r="A122" s="48" t="s">
        <v>52</v>
      </c>
    </row>
    <row r="123" spans="1:1">
      <c r="A123" s="55" t="s">
        <v>53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'Common Size'!B2:F2</xm:f>
              <xm:sqref>G2</xm:sqref>
            </x14:sparkline>
            <x14:sparkline>
              <xm:f>'Common Size'!B3:F3</xm:f>
              <xm:sqref>G3</xm:sqref>
            </x14:sparkline>
            <x14:sparkline>
              <xm:f>'Common Size'!B4:F4</xm:f>
              <xm:sqref>G4</xm:sqref>
            </x14:sparkline>
            <x14:sparkline>
              <xm:f>'Common Size'!B5:F5</xm:f>
              <xm:sqref>G5</xm:sqref>
            </x14:sparkline>
            <x14:sparkline>
              <xm:f>'Common Size'!B6:F6</xm:f>
              <xm:sqref>G6</xm:sqref>
            </x14:sparkline>
            <x14:sparkline>
              <xm:f>'Common Size'!B7:F7</xm:f>
              <xm:sqref>G7</xm:sqref>
            </x14:sparkline>
            <x14:sparkline>
              <xm:f>'Common Size'!B8:F8</xm:f>
              <xm:sqref>G8</xm:sqref>
            </x14:sparkline>
            <x14:sparkline>
              <xm:f>'Common Size'!B9:F9</xm:f>
              <xm:sqref>G9</xm:sqref>
            </x14:sparkline>
            <x14:sparkline>
              <xm:f>'Common Size'!B10:F10</xm:f>
              <xm:sqref>G10</xm:sqref>
            </x14:sparkline>
            <x14:sparkline>
              <xm:f>'Common Size'!B11:F11</xm:f>
              <xm:sqref>G11</xm:sqref>
            </x14:sparkline>
            <x14:sparkline>
              <xm:f>'Common Size'!B12:F12</xm:f>
              <xm:sqref>G12</xm:sqref>
            </x14:sparkline>
            <x14:sparkline>
              <xm:f>'Common Size'!B13:F13</xm:f>
              <xm:sqref>G13</xm:sqref>
            </x14:sparkline>
            <x14:sparkline>
              <xm:f>'Common Size'!B14:F14</xm:f>
              <xm:sqref>G14</xm:sqref>
            </x14:sparkline>
            <x14:sparkline>
              <xm:f>'Common Size'!B15:F15</xm:f>
              <xm:sqref>G15</xm:sqref>
            </x14:sparkline>
            <x14:sparkline>
              <xm:f>'Common Size'!B16:F16</xm:f>
              <xm:sqref>G16</xm:sqref>
            </x14:sparkline>
            <x14:sparkline>
              <xm:f>'Common Size'!B17:F17</xm:f>
              <xm:sqref>G17</xm:sqref>
            </x14:sparkline>
            <x14:sparkline>
              <xm:f>'Common Size'!B18:F18</xm:f>
              <xm:sqref>G18</xm:sqref>
            </x14:sparkline>
            <x14:sparkline>
              <xm:f>'Common Size'!B19:F19</xm:f>
              <xm:sqref>G19</xm:sqref>
            </x14:sparkline>
            <x14:sparkline>
              <xm:f>'Common Size'!B20:F20</xm:f>
              <xm:sqref>G20</xm:sqref>
            </x14:sparkline>
            <x14:sparkline>
              <xm:f>'Common Size'!B21:F21</xm:f>
              <xm:sqref>G21</xm:sqref>
            </x14:sparkline>
            <x14:sparkline>
              <xm:f>'Common Size'!B22:F22</xm:f>
              <xm:sqref>G22</xm:sqref>
            </x14:sparkline>
            <x14:sparkline>
              <xm:f>'Common Size'!B23:F23</xm:f>
              <xm:sqref>G23</xm:sqref>
            </x14:sparkline>
            <x14:sparkline>
              <xm:f>'Common Size'!B24:F24</xm:f>
              <xm:sqref>G24</xm:sqref>
            </x14:sparkline>
            <x14:sparkline>
              <xm:f>'Common Size'!B25:F25</xm:f>
              <xm:sqref>G25</xm:sqref>
            </x14:sparkline>
            <x14:sparkline>
              <xm:f>'Common Size'!B26:F26</xm:f>
              <xm:sqref>G26</xm:sqref>
            </x14:sparkline>
            <x14:sparkline>
              <xm:f>'Common Size'!B27:F27</xm:f>
              <xm:sqref>G27</xm:sqref>
            </x14:sparkline>
            <x14:sparkline>
              <xm:f>'Common Size'!B28:F28</xm:f>
              <xm:sqref>G28</xm:sqref>
            </x14:sparkline>
            <x14:sparkline>
              <xm:f>'Common Size'!B29:F29</xm:f>
              <xm:sqref>G29</xm:sqref>
            </x14:sparkline>
            <x14:sparkline>
              <xm:f>'Common Size'!B30:F30</xm:f>
              <xm:sqref>G30</xm:sqref>
            </x14:sparkline>
            <x14:sparkline>
              <xm:f>'Common Size'!B31:F31</xm:f>
              <xm:sqref>G31</xm:sqref>
            </x14:sparkline>
            <x14:sparkline>
              <xm:f>'Common Size'!B32:F32</xm:f>
              <xm:sqref>G32</xm:sqref>
            </x14:sparkline>
            <x14:sparkline>
              <xm:f>'Common Size'!B33:F33</xm:f>
              <xm:sqref>G33</xm:sqref>
            </x14:sparkline>
            <x14:sparkline>
              <xm:f>'Common Size'!B34:F34</xm:f>
              <xm:sqref>G34</xm:sqref>
            </x14:sparkline>
            <x14:sparkline>
              <xm:f>'Common Size'!B35:F35</xm:f>
              <xm:sqref>G35</xm:sqref>
            </x14:sparkline>
            <x14:sparkline>
              <xm:f>'Common Size'!B36:F36</xm:f>
              <xm:sqref>G36</xm:sqref>
            </x14:sparkline>
            <x14:sparkline>
              <xm:f>'Common Size'!B37:F37</xm:f>
              <xm:sqref>G37</xm:sqref>
            </x14:sparkline>
            <x14:sparkline>
              <xm:f>'Common Size'!B38:F38</xm:f>
              <xm:sqref>G38</xm:sqref>
            </x14:sparkline>
            <x14:sparkline>
              <xm:f>'Common Size'!B39:F39</xm:f>
              <xm:sqref>G39</xm:sqref>
            </x14:sparkline>
            <x14:sparkline>
              <xm:f>'Common Size'!B40:F40</xm:f>
              <xm:sqref>G40</xm:sqref>
            </x14:sparkline>
            <x14:sparkline>
              <xm:f>'Common Size'!B41:F41</xm:f>
              <xm:sqref>G41</xm:sqref>
            </x14:sparkline>
            <x14:sparkline>
              <xm:f>'Common Size'!B42:F42</xm:f>
              <xm:sqref>G42</xm:sqref>
            </x14:sparkline>
            <x14:sparkline>
              <xm:f>'Common Size'!B43:F43</xm:f>
              <xm:sqref>G43</xm:sqref>
            </x14:sparkline>
            <x14:sparkline>
              <xm:f>'Common Size'!B44:F44</xm:f>
              <xm:sqref>G44</xm:sqref>
            </x14:sparkline>
            <x14:sparkline>
              <xm:f>'Common Size'!B45:F45</xm:f>
              <xm:sqref>G45</xm:sqref>
            </x14:sparkline>
            <x14:sparkline>
              <xm:f>'Common Size'!B46:F46</xm:f>
              <xm:sqref>G46</xm:sqref>
            </x14:sparkline>
            <x14:sparkline>
              <xm:f>'Common Size'!B47:F47</xm:f>
              <xm:sqref>G47</xm:sqref>
            </x14:sparkline>
            <x14:sparkline>
              <xm:f>'Common Size'!B48:F48</xm:f>
              <xm:sqref>G48</xm:sqref>
            </x14:sparkline>
            <x14:sparkline>
              <xm:f>'Common Size'!B49:F49</xm:f>
              <xm:sqref>G49</xm:sqref>
            </x14:sparkline>
            <x14:sparkline>
              <xm:f>'Common Size'!B50:F50</xm:f>
              <xm:sqref>G50</xm:sqref>
            </x14:sparkline>
            <x14:sparkline>
              <xm:f>'Common Size'!B51:F51</xm:f>
              <xm:sqref>G51</xm:sqref>
            </x14:sparkline>
            <x14:sparkline>
              <xm:f>'Common Size'!B52:F52</xm:f>
              <xm:sqref>G52</xm:sqref>
            </x14:sparkline>
            <x14:sparkline>
              <xm:f>'Common Size'!B53:F53</xm:f>
              <xm:sqref>G53</xm:sqref>
            </x14:sparkline>
            <x14:sparkline>
              <xm:f>'Common Size'!B54:F54</xm:f>
              <xm:sqref>G54</xm:sqref>
            </x14:sparkline>
            <x14:sparkline>
              <xm:f>'Common Size'!B55:F55</xm:f>
              <xm:sqref>G55</xm:sqref>
            </x14:sparkline>
            <x14:sparkline>
              <xm:f>'Common Size'!B56:F56</xm:f>
              <xm:sqref>G56</xm:sqref>
            </x14:sparkline>
            <x14:sparkline>
              <xm:f>'Common Size'!B57:F57</xm:f>
              <xm:sqref>G57</xm:sqref>
            </x14:sparkline>
            <x14:sparkline>
              <xm:f>'Common Size'!B58:F58</xm:f>
              <xm:sqref>G58</xm:sqref>
            </x14:sparkline>
            <x14:sparkline>
              <xm:f>'Common Size'!B59:F59</xm:f>
              <xm:sqref>G59</xm:sqref>
            </x14:sparkline>
            <x14:sparkline>
              <xm:f>'Common Size'!B60:F60</xm:f>
              <xm:sqref>G60</xm:sqref>
            </x14:sparkline>
            <x14:sparkline>
              <xm:f>'Common Size'!B61:F61</xm:f>
              <xm:sqref>G61</xm:sqref>
            </x14:sparkline>
            <x14:sparkline>
              <xm:f>'Common Size'!B62:F62</xm:f>
              <xm:sqref>G62</xm:sqref>
            </x14:sparkline>
            <x14:sparkline>
              <xm:f>'Common Size'!B63:F63</xm:f>
              <xm:sqref>G63</xm:sqref>
            </x14:sparkline>
            <x14:sparkline>
              <xm:f>'Common Size'!B64:F64</xm:f>
              <xm:sqref>G64</xm:sqref>
            </x14:sparkline>
            <x14:sparkline>
              <xm:f>'Common Size'!B65:F65</xm:f>
              <xm:sqref>G65</xm:sqref>
            </x14:sparkline>
            <x14:sparkline>
              <xm:f>'Common Size'!B66:F66</xm:f>
              <xm:sqref>G66</xm:sqref>
            </x14:sparkline>
            <x14:sparkline>
              <xm:f>'Common Size'!B67:F67</xm:f>
              <xm:sqref>G67</xm:sqref>
            </x14:sparkline>
            <x14:sparkline>
              <xm:f>'Common Size'!B68:F68</xm:f>
              <xm:sqref>G68</xm:sqref>
            </x14:sparkline>
            <x14:sparkline>
              <xm:f>'Common Size'!B69:F69</xm:f>
              <xm:sqref>G69</xm:sqref>
            </x14:sparkline>
            <x14:sparkline>
              <xm:f>'Common Size'!B70:F70</xm:f>
              <xm:sqref>G70</xm:sqref>
            </x14:sparkline>
            <x14:sparkline>
              <xm:f>'Common Size'!B71:F71</xm:f>
              <xm:sqref>G71</xm:sqref>
            </x14:sparkline>
            <x14:sparkline>
              <xm:f>'Common Size'!B72:F72</xm:f>
              <xm:sqref>G72</xm:sqref>
            </x14:sparkline>
            <x14:sparkline>
              <xm:f>'Common Size'!B73:F73</xm:f>
              <xm:sqref>G73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3C4"/>
  </sheetPr>
  <dimension ref="A1:G47"/>
  <sheetViews>
    <sheetView workbookViewId="0">
      <pane ySplit="4" topLeftCell="A5" activePane="bottomLeft" state="frozen"/>
      <selection pane="bottomLeft" activeCell="H42" sqref="H42"/>
    </sheetView>
  </sheetViews>
  <sheetFormatPr defaultColWidth="10" defaultRowHeight="14.4"/>
  <cols>
    <col min="1" max="1" width="32.33203125" bestFit="1" customWidth="1"/>
    <col min="6" max="6" width="10.5546875" bestFit="1" customWidth="1"/>
    <col min="7" max="7" width="9.109375" style="66"/>
  </cols>
  <sheetData>
    <row r="1" spans="1:7" s="67" customFormat="1" ht="23.4">
      <c r="A1" s="68" t="s">
        <v>107</v>
      </c>
      <c r="G1" s="69"/>
    </row>
    <row r="2" spans="1:7">
      <c r="A2" t="s">
        <v>123</v>
      </c>
      <c r="B2">
        <v>365</v>
      </c>
    </row>
    <row r="4" spans="1:7">
      <c r="B4" s="7">
        <v>2020</v>
      </c>
      <c r="C4" s="7">
        <v>2021</v>
      </c>
      <c r="D4" s="7">
        <v>2022</v>
      </c>
      <c r="E4" s="7">
        <v>2023</v>
      </c>
      <c r="F4" s="7">
        <v>2024</v>
      </c>
      <c r="G4" s="66" t="s">
        <v>195</v>
      </c>
    </row>
    <row r="5" spans="1:7">
      <c r="A5" s="70" t="s">
        <v>108</v>
      </c>
    </row>
    <row r="6" spans="1:7">
      <c r="A6" t="s">
        <v>109</v>
      </c>
      <c r="B6" s="58">
        <f>FS!C5/FS!C$3</f>
        <v>0.14442037817963407</v>
      </c>
      <c r="C6" s="58">
        <f>FS!D5/FS!D$3</f>
        <v>9.9851810604692906E-2</v>
      </c>
      <c r="D6" s="58">
        <f>FS!E5/FS!E$3</f>
        <v>8.5324238700612287E-2</v>
      </c>
      <c r="E6" s="58">
        <f>FS!F5/FS!F$3</f>
        <v>0.10134893001768613</v>
      </c>
      <c r="F6" s="58">
        <f>FS!G5/FS!G$3</f>
        <v>0.11172072627384966</v>
      </c>
      <c r="G6" s="71">
        <f>AVERAGE(B6:F6)</f>
        <v>0.10853321675529501</v>
      </c>
    </row>
    <row r="7" spans="1:7">
      <c r="A7" t="s">
        <v>110</v>
      </c>
      <c r="B7" s="58">
        <f>FS!C9/FS!C3</f>
        <v>6.6306008242742298E-2</v>
      </c>
      <c r="C7" s="58">
        <f>FS!D9/FS!D3</f>
        <v>4.6959786885689081E-2</v>
      </c>
      <c r="D7" s="58">
        <f>FS!E9/FS!E3</f>
        <v>4.2519053420095515E-2</v>
      </c>
      <c r="E7" s="58">
        <f>FS!F9/FS!F3</f>
        <v>5.3334834075566231E-2</v>
      </c>
      <c r="F7" s="58">
        <f>FS!G9/FS!G3</f>
        <v>6.8723868870906507E-2</v>
      </c>
      <c r="G7" s="71">
        <f t="shared" ref="G7:G11" si="0">AVERAGE(B7:F7)</f>
        <v>5.5568710298999922E-2</v>
      </c>
    </row>
    <row r="8" spans="1:7">
      <c r="A8" t="s">
        <v>111</v>
      </c>
      <c r="B8" s="58">
        <f>FS!C14/FS!C51</f>
        <v>0.13525838940148366</v>
      </c>
      <c r="C8" s="58">
        <f>FS!D14/FS!D51</f>
        <v>0.10609252890057824</v>
      </c>
      <c r="D8" s="58">
        <f>FS!E14/FS!E51</f>
        <v>9.7337039599126055E-2</v>
      </c>
      <c r="E8" s="58">
        <f>FS!F14/FS!F51</f>
        <v>9.2583128843714724E-2</v>
      </c>
      <c r="F8" s="58">
        <f>FS!G14/FS!G51</f>
        <v>0.16280605680028815</v>
      </c>
      <c r="G8" s="71">
        <f t="shared" si="0"/>
        <v>0.11881542870903816</v>
      </c>
    </row>
    <row r="9" spans="1:7">
      <c r="A9" t="s">
        <v>112</v>
      </c>
      <c r="B9" s="58">
        <f>FS!C9/FS!C51</f>
        <v>0.1880844026436802</v>
      </c>
      <c r="C9" s="58">
        <f>FS!D9/FS!D51</f>
        <v>0.14220919454782416</v>
      </c>
      <c r="D9" s="58">
        <f>FS!E9/FS!E51</f>
        <v>0.14520241473210549</v>
      </c>
      <c r="E9" s="58">
        <f>FS!F9/FS!F51</f>
        <v>0.17555233989879399</v>
      </c>
      <c r="F9" s="58">
        <f>FS!G9/FS!G51</f>
        <v>0.26930645704295453</v>
      </c>
      <c r="G9" s="71">
        <f t="shared" si="0"/>
        <v>0.18407096177307167</v>
      </c>
    </row>
    <row r="10" spans="1:7">
      <c r="A10" t="s">
        <v>113</v>
      </c>
      <c r="B10" s="58">
        <f>FS!C14/FS!C58</f>
        <v>0.32222168684260499</v>
      </c>
      <c r="C10" s="58">
        <f>FS!D14/FS!D58</f>
        <v>0.25812064434004595</v>
      </c>
      <c r="D10" s="58">
        <f>FS!E14/FS!E58</f>
        <v>0.33732330450566989</v>
      </c>
      <c r="E10" s="58">
        <f>FS!F14/FS!F58</f>
        <v>0.32351490944674272</v>
      </c>
      <c r="F10" s="58">
        <f>FS!G14/FS!G58</f>
        <v>0.44235487504185567</v>
      </c>
      <c r="G10" s="71">
        <f t="shared" si="0"/>
        <v>0.3367070840353838</v>
      </c>
    </row>
    <row r="11" spans="1:7">
      <c r="A11" t="s">
        <v>114</v>
      </c>
      <c r="B11" s="58">
        <f>FS!C9/FS!C58</f>
        <v>0.44806738980706495</v>
      </c>
      <c r="C11" s="58">
        <f>FS!D9/FS!D58</f>
        <v>0.34599164812220118</v>
      </c>
      <c r="D11" s="58">
        <f>FS!E9/FS!E58</f>
        <v>0.503201644115714</v>
      </c>
      <c r="E11" s="58">
        <f>FS!F9/FS!F58</f>
        <v>0.61343573127014439</v>
      </c>
      <c r="F11" s="58">
        <f>FS!G9/FS!G58</f>
        <v>0.73172353961827641</v>
      </c>
      <c r="G11" s="71">
        <f t="shared" si="0"/>
        <v>0.52848399058668016</v>
      </c>
    </row>
    <row r="13" spans="1:7">
      <c r="A13" s="70" t="s">
        <v>115</v>
      </c>
    </row>
    <row r="14" spans="1:7">
      <c r="A14" t="s">
        <v>116</v>
      </c>
      <c r="B14" s="72">
        <f>FS!C50/FS!C66</f>
        <v>0.97590146224449004</v>
      </c>
      <c r="C14" s="72">
        <f>FS!D50/FS!D66</f>
        <v>1.0841895917558328</v>
      </c>
      <c r="D14" s="72">
        <f>FS!E50/FS!E66</f>
        <v>1.014732499311525</v>
      </c>
      <c r="E14" s="72">
        <f>FS!F50/FS!F66</f>
        <v>1.0112437037129391</v>
      </c>
      <c r="F14" s="72">
        <f>FS!G50/FS!G66</f>
        <v>1.0901424904342691</v>
      </c>
      <c r="G14" s="73">
        <f>AVERAGE(B14:F14)</f>
        <v>1.0352419494918113</v>
      </c>
    </row>
    <row r="15" spans="1:7">
      <c r="A15" t="s">
        <v>117</v>
      </c>
      <c r="B15" s="74">
        <f>(FS!C50-FS!C44)/FS!C66</f>
        <v>0.74551289139921229</v>
      </c>
      <c r="C15" s="74">
        <f>(FS!D50-FS!D44)/FS!D66</f>
        <v>0.77879512187778599</v>
      </c>
      <c r="D15" s="74">
        <f>(FS!E50-FS!E44)/FS!E66</f>
        <v>0.70424412371419709</v>
      </c>
      <c r="E15" s="74">
        <f>(FS!F50-FS!F44)/FS!F66</f>
        <v>0.68915589232725727</v>
      </c>
      <c r="F15" s="74">
        <f>(FS!G50-FS!G44)/FS!G66</f>
        <v>0.7602111158394288</v>
      </c>
      <c r="G15" s="73">
        <f t="shared" ref="G15:G16" si="1">AVERAGE(B15:F15)</f>
        <v>0.73558382903157626</v>
      </c>
    </row>
    <row r="16" spans="1:7">
      <c r="A16" t="s">
        <v>118</v>
      </c>
      <c r="B16" s="74">
        <f>FS!C48/FS!C66</f>
        <v>0.19103811703059739</v>
      </c>
      <c r="C16" s="74">
        <f>FS!D48/FS!D66</f>
        <v>0.23769889922773657</v>
      </c>
      <c r="D16" s="74">
        <f>FS!E48/FS!E66</f>
        <v>0.17274747429260276</v>
      </c>
      <c r="E16" s="74">
        <f>FS!F48/FS!F66</f>
        <v>0.19984087848789367</v>
      </c>
      <c r="F16" s="74">
        <f>FS!G48/FS!G66</f>
        <v>0.15208578038959111</v>
      </c>
      <c r="G16" s="73">
        <f t="shared" si="1"/>
        <v>0.19068222988568428</v>
      </c>
    </row>
    <row r="18" spans="1:7">
      <c r="A18" s="70" t="s">
        <v>119</v>
      </c>
    </row>
    <row r="19" spans="1:7">
      <c r="A19" t="s">
        <v>120</v>
      </c>
      <c r="B19" s="75">
        <f>-(FS!C4/FS!C44)</f>
        <v>18.828627338766996</v>
      </c>
      <c r="C19" s="75">
        <f>-(FS!D4/AVERAGE(FS!C44,FS!D44))</f>
        <v>19.915151348489953</v>
      </c>
      <c r="D19" s="75">
        <f>-(FS!E4/AVERAGE(FS!D44,FS!E44))</f>
        <v>19.176259910184619</v>
      </c>
      <c r="E19" s="75">
        <f>-(FS!F4/AVERAGE(FS!E44,FS!F44))</f>
        <v>14.0676778132907</v>
      </c>
      <c r="F19" s="75">
        <f>-(FS!G4/AVERAGE(FS!F44,FS!G44))</f>
        <v>16.027657875969012</v>
      </c>
      <c r="G19" s="76">
        <f t="shared" ref="G19:G26" si="2">AVERAGE(B19:F19)</f>
        <v>17.603074857340257</v>
      </c>
    </row>
    <row r="20" spans="1:7">
      <c r="A20" t="s">
        <v>125</v>
      </c>
      <c r="B20" s="77">
        <f>$B$2/B19</f>
        <v>19.385374909857994</v>
      </c>
      <c r="C20" s="77">
        <f t="shared" ref="C20:F20" si="3">$B$2/C19</f>
        <v>18.327754261715704</v>
      </c>
      <c r="D20" s="77">
        <f t="shared" si="3"/>
        <v>19.033951443583973</v>
      </c>
      <c r="E20" s="77">
        <f t="shared" si="3"/>
        <v>25.946002236073351</v>
      </c>
      <c r="F20" s="77">
        <f t="shared" si="3"/>
        <v>22.773133967830752</v>
      </c>
      <c r="G20" s="78">
        <f t="shared" si="2"/>
        <v>21.093243363812356</v>
      </c>
    </row>
    <row r="21" spans="1:7">
      <c r="A21" t="s">
        <v>121</v>
      </c>
      <c r="B21" s="75">
        <f>FS!C3/FS!C46</f>
        <v>10.296826075502175</v>
      </c>
      <c r="C21" s="75">
        <f>FS!D3/AVERAGE(FS!C46,FS!D46)</f>
        <v>12.254710927905714</v>
      </c>
      <c r="D21" s="75">
        <f>FS!E3/AVERAGE(FS!D46,FS!E46)</f>
        <v>13.052300463325706</v>
      </c>
      <c r="E21" s="75">
        <f>FS!F3/AVERAGE(FS!E46,FS!F46)</f>
        <v>10.340627939159033</v>
      </c>
      <c r="F21" s="75">
        <f>FS!G3/AVERAGE(FS!F46,FS!G46)</f>
        <v>11.306305148737444</v>
      </c>
      <c r="G21" s="76">
        <f t="shared" si="2"/>
        <v>11.450154110926015</v>
      </c>
    </row>
    <row r="22" spans="1:7">
      <c r="A22" t="s">
        <v>124</v>
      </c>
      <c r="B22" s="77">
        <f>$B$2/B21</f>
        <v>35.447816377941393</v>
      </c>
      <c r="C22" s="77">
        <f t="shared" ref="C22:F22" si="4">$B$2/C21</f>
        <v>29.784464288655169</v>
      </c>
      <c r="D22" s="77">
        <f t="shared" si="4"/>
        <v>27.964419071226207</v>
      </c>
      <c r="E22" s="77">
        <f t="shared" si="4"/>
        <v>35.29766298019269</v>
      </c>
      <c r="F22" s="77">
        <f t="shared" si="4"/>
        <v>32.282871831100273</v>
      </c>
      <c r="G22" s="78">
        <f t="shared" si="2"/>
        <v>32.155446909823141</v>
      </c>
    </row>
    <row r="23" spans="1:7">
      <c r="A23" t="s">
        <v>122</v>
      </c>
      <c r="B23" s="79">
        <f>FS!C14/FS!C51</f>
        <v>0.13525838940148366</v>
      </c>
      <c r="C23" s="79">
        <f>FS!D14/AVEDEV(FS!C51,FS!D51)</f>
        <v>1.0147974797479749</v>
      </c>
      <c r="D23" s="79">
        <f>FS!E14/AVEDEV(FS!D51,FS!E51)</f>
        <v>0.54046627309134909</v>
      </c>
      <c r="E23" s="79">
        <f>FS!F14/AVEDEV(FS!E51,FS!F51)</f>
        <v>1.9477342930661976</v>
      </c>
      <c r="F23" s="79">
        <f>FS!G14/AVEDEV(FS!F51,FS!G51)</f>
        <v>11.556792651649204</v>
      </c>
      <c r="G23" s="80">
        <f t="shared" si="2"/>
        <v>3.0390098173912419</v>
      </c>
    </row>
    <row r="24" spans="1:7">
      <c r="A24" t="s">
        <v>136</v>
      </c>
      <c r="B24" s="75">
        <f>FS!C3/FS!C46</f>
        <v>10.296826075502175</v>
      </c>
      <c r="C24" s="75">
        <f>FS!D3/FS!D46</f>
        <v>10.958412787054945</v>
      </c>
      <c r="D24" s="75">
        <f>FS!E3/FS!E46</f>
        <v>9.8565021486448678</v>
      </c>
      <c r="E24" s="75">
        <f>FS!F3/FS!F46</f>
        <v>10.18777929545876</v>
      </c>
      <c r="F24" s="75">
        <f>FS!G3/FS!G46</f>
        <v>10.855159293587135</v>
      </c>
      <c r="G24" s="80">
        <f t="shared" si="2"/>
        <v>10.430935920049578</v>
      </c>
    </row>
    <row r="25" spans="1:7">
      <c r="A25" t="s">
        <v>137</v>
      </c>
      <c r="B25" s="77">
        <f>$B$2/B24</f>
        <v>35.447816377941393</v>
      </c>
      <c r="C25" s="77">
        <f t="shared" ref="C25:F25" si="5">$B$2/C24</f>
        <v>33.307743292091587</v>
      </c>
      <c r="D25" s="77">
        <f t="shared" si="5"/>
        <v>37.0313925260172</v>
      </c>
      <c r="E25" s="77">
        <f t="shared" si="5"/>
        <v>35.827238637050186</v>
      </c>
      <c r="F25" s="77">
        <f t="shared" si="5"/>
        <v>33.624564147633443</v>
      </c>
      <c r="G25" s="78">
        <f t="shared" si="2"/>
        <v>35.04775099614676</v>
      </c>
    </row>
    <row r="26" spans="1:7">
      <c r="A26" t="s">
        <v>126</v>
      </c>
      <c r="B26" s="77">
        <f>SUM(B20,B22)-B25</f>
        <v>19.385374909857994</v>
      </c>
      <c r="C26" s="77">
        <f t="shared" ref="C26:F26" si="6">SUM(C20,C22)-C25</f>
        <v>14.804475258279282</v>
      </c>
      <c r="D26" s="77">
        <f t="shared" si="6"/>
        <v>9.9669779887929764</v>
      </c>
      <c r="E26" s="77">
        <f t="shared" si="6"/>
        <v>25.416426579215852</v>
      </c>
      <c r="F26" s="77">
        <f t="shared" si="6"/>
        <v>21.431441651297582</v>
      </c>
      <c r="G26" s="78">
        <f t="shared" si="2"/>
        <v>18.200939277488736</v>
      </c>
    </row>
    <row r="28" spans="1:7">
      <c r="A28" s="70" t="s">
        <v>127</v>
      </c>
      <c r="E28" s="70"/>
    </row>
    <row r="29" spans="1:7">
      <c r="A29" t="s">
        <v>128</v>
      </c>
      <c r="B29" s="74">
        <f>FS!C73/FS!C58</f>
        <v>1.3822676602052646</v>
      </c>
      <c r="C29" s="74">
        <f>FS!D73/FS!D58</f>
        <v>1.4329766385523413</v>
      </c>
      <c r="D29" s="74">
        <f>FS!E73/FS!E58</f>
        <v>2.4666200694784939</v>
      </c>
      <c r="E29" s="74">
        <f>FS!F73/FS!F58</f>
        <v>2.4943181710012547</v>
      </c>
      <c r="F29" s="74">
        <f>FS!G73/FS!G58</f>
        <v>1.7170664515539862</v>
      </c>
      <c r="G29" s="73">
        <f>AVERAGE(B29:F29)</f>
        <v>1.898649798158268</v>
      </c>
    </row>
    <row r="30" spans="1:7">
      <c r="A30" t="s">
        <v>130</v>
      </c>
      <c r="B30" s="74">
        <f>FS!C72/FS!C58</f>
        <v>4.9448291304458734E-2</v>
      </c>
      <c r="C30" s="74">
        <f>FS!D72/FS!D58</f>
        <v>6.4227954980448185E-2</v>
      </c>
      <c r="D30" s="74">
        <f>FS!E72/FS!E58</f>
        <v>5.7352097395078086E-2</v>
      </c>
      <c r="E30" s="74">
        <f>FS!F72/FS!F58</f>
        <v>5.120594892921939E-2</v>
      </c>
      <c r="F30" s="74">
        <f>FS!G72/FS!G58</f>
        <v>4.6787008005844573E-2</v>
      </c>
      <c r="G30" s="73">
        <f t="shared" ref="G30:G31" si="7">AVERAGE(B30:F30)</f>
        <v>5.3804260123009796E-2</v>
      </c>
    </row>
    <row r="31" spans="1:7">
      <c r="A31" t="s">
        <v>129</v>
      </c>
      <c r="B31" s="75">
        <f>(-FS!C9/FS!C11)</f>
        <v>23.305911838419579</v>
      </c>
      <c r="C31" s="75">
        <f>(-FS!D9/FS!D11)</f>
        <v>33.560959360426381</v>
      </c>
      <c r="D31" s="75">
        <f>(-FS!E9/FS!E11)</f>
        <v>9.5311808409737591</v>
      </c>
      <c r="E31" s="75">
        <f>(-FS!F9/FS!F11)</f>
        <v>3.7355808803923161</v>
      </c>
      <c r="F31" s="75">
        <f>(-FS!G9/FS!G11)</f>
        <v>8.206284992489417</v>
      </c>
      <c r="G31" s="73">
        <f t="shared" si="7"/>
        <v>15.667983582540291</v>
      </c>
    </row>
    <row r="33" spans="1:7">
      <c r="A33" s="70" t="s">
        <v>131</v>
      </c>
    </row>
    <row r="34" spans="1:7">
      <c r="A34" t="s">
        <v>132</v>
      </c>
      <c r="B34" s="58">
        <f>B35/29.52</f>
        <v>5.2074259581881529E-3</v>
      </c>
      <c r="C34" s="58">
        <f t="shared" ref="C34:F34" si="8">C35/29.52</f>
        <v>8.2156770228416567E-3</v>
      </c>
      <c r="D34" s="58">
        <f t="shared" si="8"/>
        <v>3.4862562911343396E-2</v>
      </c>
      <c r="E34" s="58">
        <f t="shared" si="8"/>
        <v>3.6947106078203638E-2</v>
      </c>
      <c r="F34" s="58">
        <f t="shared" si="8"/>
        <v>4.6769744483159112E-2</v>
      </c>
      <c r="G34" s="71">
        <f>AVERAGE(B34:F34)</f>
        <v>2.6400503290747189E-2</v>
      </c>
    </row>
    <row r="35" spans="1:7">
      <c r="A35" t="s">
        <v>133</v>
      </c>
      <c r="B35" s="81">
        <f>-(FS!C116/FS!C27)</f>
        <v>0.15372321428571428</v>
      </c>
      <c r="C35" s="81">
        <f>-(FS!D116/FS!D27)</f>
        <v>0.24252678571428571</v>
      </c>
      <c r="D35" s="81">
        <f>-(FS!E116/FS!E27)</f>
        <v>1.0291428571428571</v>
      </c>
      <c r="E35" s="81">
        <f>-(FS!F116/FS!F27)</f>
        <v>1.0906785714285714</v>
      </c>
      <c r="F35" s="81">
        <f>-(FS!G116/FS!G27)</f>
        <v>1.3806428571428571</v>
      </c>
      <c r="G35" s="82">
        <f>AVERAGE(B35:F35)</f>
        <v>0.77934285714285711</v>
      </c>
    </row>
    <row r="36" spans="1:7">
      <c r="A36" t="s">
        <v>134</v>
      </c>
      <c r="B36" s="83">
        <f>FS!C14/FS!C27</f>
        <v>1.0150357142857143</v>
      </c>
      <c r="C36" s="83">
        <f>FS!D14/FS!D27</f>
        <v>1.0066428571428572</v>
      </c>
      <c r="D36" s="83">
        <f>FS!E14/FS!E27</f>
        <v>1.4435178571428571</v>
      </c>
      <c r="E36" s="83">
        <f>FS!F14/FS!F27</f>
        <v>1.5172589285714286</v>
      </c>
      <c r="F36" s="83">
        <f>FS!G14/FS!G27</f>
        <v>2.5949642857142856</v>
      </c>
      <c r="G36" s="82">
        <f t="shared" ref="G36:G37" si="9">AVERAGE(B36:F36)</f>
        <v>1.5154839285714286</v>
      </c>
    </row>
    <row r="37" spans="1:7">
      <c r="A37" t="s">
        <v>135</v>
      </c>
      <c r="B37" s="74">
        <f>24.92/B36</f>
        <v>24.550860279370891</v>
      </c>
      <c r="C37" s="74">
        <f t="shared" ref="C37:F37" si="10">24.92/C36</f>
        <v>24.755552401901653</v>
      </c>
      <c r="D37" s="74">
        <f t="shared" si="10"/>
        <v>17.263381867214271</v>
      </c>
      <c r="E37" s="74">
        <f t="shared" si="10"/>
        <v>16.424355481277917</v>
      </c>
      <c r="F37" s="74">
        <f t="shared" si="10"/>
        <v>9.6032150180982416</v>
      </c>
      <c r="G37" s="82">
        <f t="shared" si="9"/>
        <v>18.519473009572593</v>
      </c>
    </row>
    <row r="39" spans="1:7">
      <c r="A39" s="70" t="s">
        <v>138</v>
      </c>
    </row>
    <row r="40" spans="1:7">
      <c r="A40" t="s">
        <v>139</v>
      </c>
      <c r="F40" s="74">
        <v>72580.574888877789</v>
      </c>
    </row>
    <row r="41" spans="1:7">
      <c r="A41" t="s">
        <v>140</v>
      </c>
      <c r="F41" s="74">
        <f>AVERAGE(FS!C14:G14)</f>
        <v>169734.2</v>
      </c>
    </row>
    <row r="42" spans="1:7">
      <c r="A42" t="s">
        <v>141</v>
      </c>
      <c r="F42" s="58">
        <f>F40/F41</f>
        <v>0.42761314389720978</v>
      </c>
    </row>
    <row r="43" spans="1:7">
      <c r="F43" s="74"/>
    </row>
    <row r="44" spans="1:7">
      <c r="A44" s="70" t="s">
        <v>142</v>
      </c>
      <c r="F44" s="74"/>
    </row>
    <row r="45" spans="1:7">
      <c r="A45" t="s">
        <v>139</v>
      </c>
      <c r="F45" s="74">
        <v>1964762.9246459992</v>
      </c>
    </row>
    <row r="46" spans="1:7">
      <c r="A46" t="s">
        <v>140</v>
      </c>
      <c r="F46" s="74">
        <f>AVERAGE(FS!C3:G3)</f>
        <v>4862298</v>
      </c>
    </row>
    <row r="47" spans="1:7">
      <c r="A47" t="s">
        <v>141</v>
      </c>
      <c r="F47" s="58">
        <f>F45/F46</f>
        <v>0.40408114119002975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M24"/>
  <sheetViews>
    <sheetView workbookViewId="0">
      <pane xSplit="1" ySplit="1" topLeftCell="B2" activePane="bottomRight" state="frozen"/>
      <selection pane="topRight"/>
      <selection pane="bottomLeft"/>
      <selection pane="bottomRight" activeCell="F3" sqref="F3"/>
    </sheetView>
  </sheetViews>
  <sheetFormatPr defaultColWidth="10" defaultRowHeight="14.4"/>
  <cols>
    <col min="1" max="1" width="26.88671875" bestFit="1" customWidth="1"/>
    <col min="2" max="2" width="10.6640625" customWidth="1"/>
    <col min="3" max="4" width="10.33203125" customWidth="1"/>
    <col min="5" max="5" width="10.88671875" customWidth="1"/>
    <col min="6" max="6" width="11.109375" customWidth="1"/>
    <col min="8" max="8" width="9.88671875" bestFit="1" customWidth="1"/>
    <col min="9" max="9" width="13.6640625" customWidth="1"/>
  </cols>
  <sheetData>
    <row r="1" spans="1:13">
      <c r="B1" s="84">
        <v>2020</v>
      </c>
      <c r="C1" s="84">
        <v>2021</v>
      </c>
      <c r="D1" s="84">
        <v>2022</v>
      </c>
      <c r="E1" s="84">
        <v>2023</v>
      </c>
      <c r="F1" s="85">
        <v>2024</v>
      </c>
    </row>
    <row r="2" spans="1:13">
      <c r="A2" t="s">
        <v>29</v>
      </c>
      <c r="B2" s="86">
        <v>2384158</v>
      </c>
      <c r="C2" s="10">
        <v>3218179</v>
      </c>
      <c r="D2" s="10">
        <v>5672210</v>
      </c>
      <c r="E2" s="10">
        <v>6041455</v>
      </c>
      <c r="F2" s="10">
        <v>6995488</v>
      </c>
    </row>
    <row r="3" spans="1:13">
      <c r="A3" t="s">
        <v>146</v>
      </c>
      <c r="B3" s="87">
        <f>(FS!C4+Adjustment!B24)+FS!C8</f>
        <v>-2179401</v>
      </c>
      <c r="C3" s="87">
        <f>(FS!D4+Adjustment!C24)+FS!D8</f>
        <v>-3044997</v>
      </c>
      <c r="D3" s="87">
        <f>(FS!E4+Adjustment!D24)+FS!E8</f>
        <v>-5403558</v>
      </c>
      <c r="E3" s="87">
        <f>(FS!F4+Adjustment!E24)+FS!F8</f>
        <v>-5700083</v>
      </c>
      <c r="F3" s="87">
        <f>(FS!G4+Adjustment!F24)+FS!G8</f>
        <v>-6541043</v>
      </c>
    </row>
    <row r="4" spans="1:13">
      <c r="A4" s="88" t="s">
        <v>149</v>
      </c>
      <c r="B4" s="89">
        <f>SUM(B2:B3)</f>
        <v>204757</v>
      </c>
      <c r="C4" s="89">
        <f t="shared" ref="C4:F4" si="0">SUM(C2:C3)</f>
        <v>173182</v>
      </c>
      <c r="D4" s="89">
        <f t="shared" si="0"/>
        <v>268652</v>
      </c>
      <c r="E4" s="89">
        <f t="shared" si="0"/>
        <v>341372</v>
      </c>
      <c r="F4" s="89">
        <f t="shared" si="0"/>
        <v>454445</v>
      </c>
      <c r="H4" s="90"/>
    </row>
    <row r="5" spans="1:13">
      <c r="A5" t="s">
        <v>150</v>
      </c>
      <c r="B5" s="87">
        <f>SUM(B20:B21)</f>
        <v>47890</v>
      </c>
      <c r="C5" s="87">
        <f>SUM(C20:C21)</f>
        <v>50448</v>
      </c>
      <c r="D5" s="87">
        <f>SUM(D20:D21)</f>
        <v>60067</v>
      </c>
      <c r="E5" s="87">
        <f>SUM(E20:E21)</f>
        <v>67762</v>
      </c>
      <c r="F5" s="87">
        <f>SUM(F20:F21)</f>
        <v>72760</v>
      </c>
    </row>
    <row r="6" spans="1:13">
      <c r="A6" s="88" t="s">
        <v>151</v>
      </c>
      <c r="B6" s="89">
        <f>B4-B5</f>
        <v>156867</v>
      </c>
      <c r="C6" s="89">
        <f t="shared" ref="C6:F6" si="1">C4-C5</f>
        <v>122734</v>
      </c>
      <c r="D6" s="89">
        <f t="shared" si="1"/>
        <v>208585</v>
      </c>
      <c r="E6" s="89">
        <f t="shared" si="1"/>
        <v>273610</v>
      </c>
      <c r="F6" s="89">
        <f t="shared" si="1"/>
        <v>381685</v>
      </c>
      <c r="I6" s="90"/>
      <c r="J6" s="90"/>
      <c r="K6" s="90"/>
      <c r="L6" s="90"/>
      <c r="M6" s="90"/>
    </row>
    <row r="7" spans="1:13">
      <c r="A7" t="s">
        <v>152</v>
      </c>
      <c r="B7" s="87">
        <f>SUM(FS!C10:C11)</f>
        <v>-4888</v>
      </c>
      <c r="C7" s="87">
        <f>SUM(FS!D10:D11)</f>
        <v>1098</v>
      </c>
      <c r="D7" s="87">
        <f>SUM(FS!E10:E11)</f>
        <v>-22611</v>
      </c>
      <c r="E7" s="87">
        <f>SUM(FS!F10:F11)</f>
        <v>-82956</v>
      </c>
      <c r="F7" s="87">
        <f>SUM(FS!G10:G11)</f>
        <v>-57919</v>
      </c>
    </row>
    <row r="8" spans="1:13">
      <c r="A8" s="91" t="s">
        <v>153</v>
      </c>
      <c r="B8" s="92">
        <f>SUM(B6:B7)</f>
        <v>151979</v>
      </c>
      <c r="C8" s="92">
        <f t="shared" ref="C8:F8" si="2">SUM(C6:C7)</f>
        <v>123832</v>
      </c>
      <c r="D8" s="92">
        <f t="shared" si="2"/>
        <v>185974</v>
      </c>
      <c r="E8" s="92">
        <f t="shared" si="2"/>
        <v>190654</v>
      </c>
      <c r="F8" s="92">
        <f t="shared" si="2"/>
        <v>323766</v>
      </c>
    </row>
    <row r="9" spans="1:13">
      <c r="A9" t="s">
        <v>154</v>
      </c>
      <c r="B9" s="10">
        <v>-39512</v>
      </c>
      <c r="C9" s="10">
        <v>-39479</v>
      </c>
      <c r="D9" s="10">
        <v>-56892</v>
      </c>
      <c r="E9" s="10">
        <v>-69331</v>
      </c>
      <c r="F9" s="10">
        <v>-132202</v>
      </c>
    </row>
    <row r="10" spans="1:13">
      <c r="A10" s="93" t="s">
        <v>155</v>
      </c>
      <c r="B10" s="94">
        <f>SUM(B8:B9)</f>
        <v>112467</v>
      </c>
      <c r="C10" s="94">
        <f t="shared" ref="C10:F10" si="3">SUM(C8:C9)</f>
        <v>84353</v>
      </c>
      <c r="D10" s="94">
        <f t="shared" si="3"/>
        <v>129082</v>
      </c>
      <c r="E10" s="94">
        <f t="shared" si="3"/>
        <v>121323</v>
      </c>
      <c r="F10" s="94">
        <f t="shared" si="3"/>
        <v>191564</v>
      </c>
      <c r="I10" s="90"/>
      <c r="J10" s="90"/>
      <c r="K10" s="90"/>
      <c r="L10" s="90"/>
      <c r="M10" s="90"/>
    </row>
    <row r="19" spans="1:8">
      <c r="A19" s="70" t="s">
        <v>145</v>
      </c>
    </row>
    <row r="20" spans="1:8">
      <c r="A20" t="s">
        <v>143</v>
      </c>
      <c r="B20" s="10">
        <f>SUM(FS!C84:C85)</f>
        <v>47391</v>
      </c>
      <c r="C20" s="10">
        <f>SUM(FS!D84:D85)</f>
        <v>49890</v>
      </c>
      <c r="D20" s="10">
        <f>SUM(FS!E84:E85)</f>
        <v>59548</v>
      </c>
      <c r="E20" s="10">
        <f>SUM(FS!F84:F85)</f>
        <v>67544</v>
      </c>
      <c r="F20" s="10">
        <f>SUM(FS!G84:G85)</f>
        <v>72675</v>
      </c>
    </row>
    <row r="21" spans="1:8">
      <c r="A21" t="s">
        <v>144</v>
      </c>
      <c r="B21" s="10">
        <v>499</v>
      </c>
      <c r="C21" s="10">
        <v>558</v>
      </c>
      <c r="D21" s="10">
        <v>519</v>
      </c>
      <c r="E21" s="10">
        <v>218</v>
      </c>
      <c r="F21" s="10">
        <v>85</v>
      </c>
      <c r="H21" s="90"/>
    </row>
    <row r="22" spans="1:8">
      <c r="A22" t="s">
        <v>147</v>
      </c>
      <c r="B22" s="10">
        <v>177</v>
      </c>
      <c r="C22" s="10">
        <v>-212</v>
      </c>
      <c r="D22" s="10">
        <v>-255</v>
      </c>
      <c r="E22" s="10">
        <v>141</v>
      </c>
      <c r="F22" s="10">
        <v>-34479</v>
      </c>
    </row>
    <row r="23" spans="1:8">
      <c r="A23" t="s">
        <v>148</v>
      </c>
      <c r="B23" s="66">
        <v>0</v>
      </c>
      <c r="C23" s="66">
        <v>4370</v>
      </c>
      <c r="D23" s="66">
        <v>0</v>
      </c>
      <c r="E23" s="66">
        <v>0</v>
      </c>
      <c r="F23" s="66">
        <v>0</v>
      </c>
    </row>
    <row r="24" spans="1:8">
      <c r="B24" s="90">
        <f>SUM(B20:B23)</f>
        <v>48067</v>
      </c>
      <c r="C24" s="90">
        <f t="shared" ref="C24:E24" si="4">SUM(C20:C23)</f>
        <v>54606</v>
      </c>
      <c r="D24" s="90">
        <f t="shared" si="4"/>
        <v>59812</v>
      </c>
      <c r="E24" s="90">
        <f t="shared" si="4"/>
        <v>67903</v>
      </c>
      <c r="F24" s="90">
        <f>SUM(F20:F23)</f>
        <v>38281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F45"/>
  <sheetViews>
    <sheetView workbookViewId="0">
      <selection activeCell="A2" sqref="A2"/>
    </sheetView>
  </sheetViews>
  <sheetFormatPr defaultColWidth="10" defaultRowHeight="14.4"/>
  <cols>
    <col min="1" max="1" width="32.88671875" bestFit="1" customWidth="1"/>
  </cols>
  <sheetData>
    <row r="1" spans="1:4" s="95" customFormat="1" ht="21">
      <c r="A1" s="96" t="s">
        <v>156</v>
      </c>
    </row>
    <row r="2" spans="1:4">
      <c r="A2" t="s">
        <v>157</v>
      </c>
      <c r="D2">
        <v>24.92</v>
      </c>
    </row>
    <row r="3" spans="1:4">
      <c r="A3" t="s">
        <v>158</v>
      </c>
      <c r="D3" s="97">
        <v>112000</v>
      </c>
    </row>
    <row r="4" spans="1:4">
      <c r="A4" s="98" t="s">
        <v>159</v>
      </c>
      <c r="B4" s="98"/>
      <c r="C4" s="98"/>
      <c r="D4" s="99">
        <f>D2*D3</f>
        <v>2791040</v>
      </c>
    </row>
    <row r="5" spans="1:4">
      <c r="A5" s="70"/>
      <c r="B5" s="70"/>
      <c r="C5" s="70"/>
      <c r="D5" s="100"/>
    </row>
    <row r="6" spans="1:4">
      <c r="A6" s="70"/>
      <c r="B6" s="70"/>
      <c r="C6" s="70"/>
      <c r="D6" s="100"/>
    </row>
    <row r="8" spans="1:4" s="95" customFormat="1" ht="21">
      <c r="A8" s="96" t="s">
        <v>160</v>
      </c>
    </row>
    <row r="9" spans="1:4">
      <c r="A9" t="s">
        <v>159</v>
      </c>
      <c r="D9" s="97">
        <f>D4</f>
        <v>2791040</v>
      </c>
    </row>
    <row r="10" spans="1:4">
      <c r="A10" t="s">
        <v>161</v>
      </c>
      <c r="D10" s="90">
        <f>F23</f>
        <v>-68941</v>
      </c>
    </row>
    <row r="11" spans="1:4">
      <c r="A11" s="98" t="s">
        <v>160</v>
      </c>
      <c r="B11" s="98"/>
      <c r="C11" s="98"/>
      <c r="D11" s="99">
        <f>SUM(D9:D10)</f>
        <v>2722099</v>
      </c>
    </row>
    <row r="16" spans="1:4" s="96" customFormat="1" ht="21">
      <c r="A16" s="96" t="s">
        <v>162</v>
      </c>
    </row>
    <row r="17" spans="1:6">
      <c r="B17" s="7">
        <v>2020</v>
      </c>
      <c r="C17" s="7">
        <v>2021</v>
      </c>
      <c r="D17" s="7">
        <v>2022</v>
      </c>
      <c r="E17" s="7">
        <v>2023</v>
      </c>
      <c r="F17" s="101">
        <v>2024</v>
      </c>
    </row>
    <row r="18" spans="1:6">
      <c r="A18" t="s">
        <v>163</v>
      </c>
      <c r="B18" s="87">
        <f>FS!C67</f>
        <v>8022</v>
      </c>
      <c r="C18" s="87">
        <f>FS!D67</f>
        <v>15376</v>
      </c>
      <c r="D18" s="87">
        <f>FS!E67</f>
        <v>9629</v>
      </c>
      <c r="E18" s="87">
        <f>FS!F67</f>
        <v>6681</v>
      </c>
      <c r="F18" s="87">
        <f>FS!G67</f>
        <v>2430</v>
      </c>
    </row>
    <row r="19" spans="1:6">
      <c r="A19" t="s">
        <v>95</v>
      </c>
      <c r="B19" s="87">
        <f>FS!C62</f>
        <v>2406</v>
      </c>
      <c r="C19" s="87">
        <f>FS!D62</f>
        <v>3108</v>
      </c>
      <c r="D19" s="87">
        <f>FS!E62</f>
        <v>122735</v>
      </c>
      <c r="E19" s="87">
        <f>FS!F62</f>
        <v>209820</v>
      </c>
      <c r="F19" s="87">
        <f>FS!G62</f>
        <v>67350</v>
      </c>
    </row>
    <row r="20" spans="1:6">
      <c r="A20" t="s">
        <v>164</v>
      </c>
      <c r="B20" s="87">
        <f>FS!C61</f>
        <v>8486</v>
      </c>
      <c r="C20" s="87">
        <f>FS!D61</f>
        <v>10765</v>
      </c>
      <c r="D20" s="87">
        <f>FS!E61</f>
        <v>26813</v>
      </c>
      <c r="E20" s="87">
        <f>FS!F61</f>
        <v>20181</v>
      </c>
      <c r="F20" s="87">
        <f>FS!G61</f>
        <v>28179</v>
      </c>
    </row>
    <row r="21" spans="1:6">
      <c r="A21" s="88" t="s">
        <v>165</v>
      </c>
      <c r="B21" s="89">
        <f>SUM(B18:B20)</f>
        <v>18914</v>
      </c>
      <c r="C21" s="89">
        <f t="shared" ref="C21:F21" si="0">SUM(C18:C20)</f>
        <v>29249</v>
      </c>
      <c r="D21" s="89">
        <f t="shared" si="0"/>
        <v>159177</v>
      </c>
      <c r="E21" s="89">
        <f t="shared" si="0"/>
        <v>236682</v>
      </c>
      <c r="F21" s="89">
        <f t="shared" si="0"/>
        <v>97959</v>
      </c>
    </row>
    <row r="22" spans="1:6">
      <c r="A22" t="s">
        <v>167</v>
      </c>
      <c r="B22" s="90">
        <f>FS!C48</f>
        <v>89833</v>
      </c>
      <c r="C22" s="90">
        <f>FS!D48</f>
        <v>142109</v>
      </c>
      <c r="D22" s="90">
        <f>FS!E48</f>
        <v>199476</v>
      </c>
      <c r="E22" s="90">
        <f>FS!F48</f>
        <v>256455</v>
      </c>
      <c r="F22" s="90">
        <f>FS!G48</f>
        <v>166900</v>
      </c>
    </row>
    <row r="23" spans="1:6">
      <c r="A23" s="98" t="s">
        <v>168</v>
      </c>
      <c r="B23" s="102">
        <f>B21-B22</f>
        <v>-70919</v>
      </c>
      <c r="C23" s="102">
        <f t="shared" ref="C23:F23" si="1">C21-C22</f>
        <v>-112860</v>
      </c>
      <c r="D23" s="102">
        <f t="shared" si="1"/>
        <v>-40299</v>
      </c>
      <c r="E23" s="102">
        <f t="shared" si="1"/>
        <v>-19773</v>
      </c>
      <c r="F23" s="102">
        <f t="shared" si="1"/>
        <v>-68941</v>
      </c>
    </row>
    <row r="27" spans="1:6" s="96" customFormat="1" ht="21">
      <c r="A27" s="96" t="s">
        <v>169</v>
      </c>
    </row>
    <row r="28" spans="1:6">
      <c r="A28" s="70" t="s">
        <v>176</v>
      </c>
    </row>
    <row r="29" spans="1:6">
      <c r="A29" t="s">
        <v>173</v>
      </c>
      <c r="B29" s="79">
        <f>IF(($D$11/Adjustment!B4)&gt;0,$D$11/Adjustment!B4,"NOT")</f>
        <v>13.294290305093355</v>
      </c>
      <c r="C29" s="79">
        <f>IF(($D$11/Adjustment!C4)&gt;0,$D$11/Adjustment!C4,"NOT")</f>
        <v>15.718140453395849</v>
      </c>
      <c r="D29" s="79">
        <f>IF(($D$11/Adjustment!D4)&gt;0,$D$11/Adjustment!D4,"NOT")</f>
        <v>10.132435269419174</v>
      </c>
      <c r="E29" s="79">
        <f>IF(($D$11/Adjustment!E4)&gt;0,$D$11/Adjustment!E4,"NOT")</f>
        <v>7.9739961098156851</v>
      </c>
      <c r="F29" s="79">
        <f>IF(($D$11/Adjustment!F4)&gt;0,$D$11/Adjustment!F4,"NOT")</f>
        <v>5.9899415770885369</v>
      </c>
    </row>
    <row r="30" spans="1:6">
      <c r="A30" t="s">
        <v>174</v>
      </c>
      <c r="B30" s="79">
        <f>IF(($D$11/Adjustment!B6)&gt;0,$D$11/Adjustment!B6,"NOT")</f>
        <v>17.352910427304661</v>
      </c>
      <c r="C30" s="79">
        <f>IF(($D$11/Adjustment!C6)&gt;0,$D$11/Adjustment!C6,"NOT")</f>
        <v>22.178850196359608</v>
      </c>
      <c r="D30" s="79">
        <f>IF(($D$11/Adjustment!D6)&gt;0,$D$11/Adjustment!D6,"NOT")</f>
        <v>13.050310425006591</v>
      </c>
      <c r="E30" s="79">
        <f>IF(($D$11/Adjustment!E6)&gt;0,$D$11/Adjustment!E6,"NOT")</f>
        <v>9.9488286246847704</v>
      </c>
      <c r="F30" s="79">
        <f>IF(($D$11/Adjustment!F6)&gt;0,$D$11/Adjustment!F6,"NOT")</f>
        <v>7.1317945426202236</v>
      </c>
    </row>
    <row r="31" spans="1:6">
      <c r="A31" t="s">
        <v>177</v>
      </c>
      <c r="B31" s="79">
        <f>IF(($D$11/FS!C3)&gt;0,$D$11/FS!C3,"NOT")</f>
        <v>1.1417443810351495</v>
      </c>
      <c r="C31" s="79">
        <f>IF(($D$11/FS!D3)&gt;0,$D$11/FS!D3,"NOT")</f>
        <v>0.84585071246813803</v>
      </c>
      <c r="D31" s="79">
        <f>IF(($D$11/FS!E3)&gt;0,$D$11/FS!E3,"NOT")</f>
        <v>0.47990095571214747</v>
      </c>
      <c r="E31" s="79">
        <f>IF(($D$11/FS!F3)&gt;0,$D$11/FS!F3,"NOT")</f>
        <v>0.45057010273187503</v>
      </c>
      <c r="F31" s="79">
        <f>IF(($D$11/FS!G3)&gt;0,$D$11/FS!G3,"NOT")</f>
        <v>0.38912210270391429</v>
      </c>
    </row>
    <row r="32" spans="1:6">
      <c r="A32" t="s">
        <v>183</v>
      </c>
      <c r="B32" s="79">
        <f>IF(($D$11/FS!C101)&gt;0,$D$11/FS!C101,"NOT")</f>
        <v>11.923864383021595</v>
      </c>
      <c r="C32" s="79">
        <f>IF(($D$11/FS!D101)&gt;0,$D$11/FS!D101,"NOT")</f>
        <v>13.832085001727677</v>
      </c>
      <c r="D32" s="79">
        <f>IF(($D$11/FS!E101)&gt;0,$D$11/FS!E101,"NOT")</f>
        <v>10.883346127396887</v>
      </c>
      <c r="E32" s="79">
        <f>IF(($D$11/FS!F101)&gt;0,$D$11/FS!F101,"NOT")</f>
        <v>7.3862900030933369</v>
      </c>
      <c r="F32" s="79">
        <f>IF(($D$11/FS!G101)&gt;0,$D$11/FS!G101,"NOT")</f>
        <v>5.6807916089286605</v>
      </c>
    </row>
    <row r="33" spans="1:6">
      <c r="B33" s="79"/>
      <c r="C33" s="79"/>
      <c r="D33" s="79"/>
      <c r="E33" s="79"/>
      <c r="F33" s="79"/>
    </row>
    <row r="34" spans="1:6">
      <c r="B34" s="79"/>
      <c r="C34" s="79"/>
      <c r="D34" s="79"/>
      <c r="E34" s="79"/>
      <c r="F34" s="79"/>
    </row>
    <row r="35" spans="1:6">
      <c r="A35" s="70" t="s">
        <v>178</v>
      </c>
      <c r="B35" s="79"/>
      <c r="C35" s="79"/>
      <c r="D35" s="79"/>
      <c r="E35" s="79"/>
      <c r="F35" s="79"/>
    </row>
    <row r="36" spans="1:6">
      <c r="A36" t="s">
        <v>170</v>
      </c>
      <c r="B36" s="79">
        <f>IF(($D$4/FS!C14)&gt;0,$D$4/FS!C14,"NOT")</f>
        <v>24.550860279370887</v>
      </c>
      <c r="C36" s="79">
        <f>IF(($D$4/FS!D14)&gt;0,$D$4/FS!D14,"NOT")</f>
        <v>24.755552401901653</v>
      </c>
      <c r="D36" s="79">
        <f>IF(($D$4/FS!E14)&gt;0,$D$4/FS!E14,"NOT")</f>
        <v>17.263381867214271</v>
      </c>
      <c r="E36" s="79">
        <f>IF(($D$4/FS!F14)&gt;0,$D$4/FS!F14,"NOT")</f>
        <v>16.424355481277914</v>
      </c>
      <c r="F36" s="79">
        <f>IF(($D$4/FS!G14)&gt;0,$D$4/FS!G14,"NOT")</f>
        <v>9.6032150180982399</v>
      </c>
    </row>
    <row r="37" spans="1:6">
      <c r="A37" t="s">
        <v>171</v>
      </c>
      <c r="B37" s="79">
        <f>IF(($D$4/FS!C58)&gt;0,$D$4/FS!C58,"NOT")</f>
        <v>7.9108196126559962</v>
      </c>
      <c r="C37" s="79">
        <f>IF(($D$4/FS!D58)&gt;0,$D$4/FS!D58,"NOT")</f>
        <v>6.3899191369726278</v>
      </c>
      <c r="D37" s="79">
        <f>IF(($D$4/FS!E58)&gt;0,$D$4/FS!E58,"NOT")</f>
        <v>5.8233410183919796</v>
      </c>
      <c r="E37" s="79">
        <f>IF(($D$4/FS!F58)&gt;0,$D$4/FS!F58,"NOT")</f>
        <v>5.3135238762467374</v>
      </c>
      <c r="F37" s="79">
        <f>IF(($D$4/FS!G58)&gt;0,$D$4/FS!G58,"NOT")</f>
        <v>4.2480289793309183</v>
      </c>
    </row>
    <row r="38" spans="1:6">
      <c r="A38" t="s">
        <v>172</v>
      </c>
      <c r="B38" s="79">
        <f>IF(($D$4/B45)&gt;0,$D$4/B45,"NOT")</f>
        <v>14.824824186797544</v>
      </c>
      <c r="C38" s="79">
        <f t="shared" ref="C38:F38" si="2">IF(($D$4/C45)&gt;0,$D$4/C45,"NOT")</f>
        <v>20.778106993433884</v>
      </c>
      <c r="D38" s="79">
        <f t="shared" si="2"/>
        <v>19.174761950562662</v>
      </c>
      <c r="E38" s="79">
        <f t="shared" si="2"/>
        <v>10.014855215472389</v>
      </c>
      <c r="F38" s="79">
        <f t="shared" si="2"/>
        <v>7.6487176044044585</v>
      </c>
    </row>
    <row r="42" spans="1:6" s="95" customFormat="1">
      <c r="A42" s="95" t="s">
        <v>179</v>
      </c>
      <c r="B42" s="7">
        <v>2020</v>
      </c>
      <c r="C42" s="7">
        <v>2021</v>
      </c>
      <c r="D42" s="7">
        <v>2022</v>
      </c>
      <c r="E42" s="7">
        <v>2023</v>
      </c>
      <c r="F42" s="101">
        <v>2024</v>
      </c>
    </row>
    <row r="43" spans="1:6">
      <c r="A43" t="s">
        <v>180</v>
      </c>
      <c r="B43" s="87">
        <f>FS!C101</f>
        <v>228290</v>
      </c>
      <c r="C43" s="87">
        <f>FS!D101</f>
        <v>196796</v>
      </c>
      <c r="D43" s="87">
        <f>FS!E101</f>
        <v>250116</v>
      </c>
      <c r="E43" s="87">
        <f>FS!F101</f>
        <v>368534</v>
      </c>
      <c r="F43" s="87">
        <f>FS!G101</f>
        <v>479176</v>
      </c>
    </row>
    <row r="44" spans="1:6">
      <c r="A44" t="s">
        <v>181</v>
      </c>
      <c r="B44" s="87">
        <f>FS!C109</f>
        <v>-40022</v>
      </c>
      <c r="C44" s="87">
        <f>FS!D109</f>
        <v>-62470</v>
      </c>
      <c r="D44" s="87">
        <f>FS!E109</f>
        <v>-104558</v>
      </c>
      <c r="E44" s="87">
        <f>FS!F109</f>
        <v>-89844</v>
      </c>
      <c r="F44" s="87">
        <f>FS!G109</f>
        <v>-114273</v>
      </c>
    </row>
    <row r="45" spans="1:6">
      <c r="A45" s="98" t="s">
        <v>182</v>
      </c>
      <c r="B45" s="102">
        <f>SUM(B43:B44)</f>
        <v>188268</v>
      </c>
      <c r="C45" s="102">
        <f t="shared" ref="C45:F45" si="3">SUM(C43:C44)</f>
        <v>134326</v>
      </c>
      <c r="D45" s="102">
        <f t="shared" si="3"/>
        <v>145558</v>
      </c>
      <c r="E45" s="102">
        <f t="shared" si="3"/>
        <v>278690</v>
      </c>
      <c r="F45" s="102">
        <f t="shared" si="3"/>
        <v>364903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6"/>
  </sheetPr>
  <dimension ref="A1:N65"/>
  <sheetViews>
    <sheetView topLeftCell="B15" zoomScale="89" workbookViewId="0">
      <selection activeCell="I34" sqref="I34"/>
    </sheetView>
  </sheetViews>
  <sheetFormatPr defaultColWidth="9.109375" defaultRowHeight="14.4"/>
  <cols>
    <col min="1" max="1" width="47.88671875" style="103" bestFit="1" customWidth="1"/>
    <col min="2" max="2" width="11.5546875" style="103" bestFit="1" customWidth="1"/>
    <col min="3" max="3" width="17" style="103" bestFit="1" customWidth="1"/>
    <col min="4" max="4" width="16.44140625" style="103" bestFit="1" customWidth="1"/>
    <col min="5" max="5" width="25.109375" style="103" bestFit="1" customWidth="1"/>
    <col min="6" max="6" width="12.44140625" style="103" customWidth="1"/>
    <col min="7" max="7" width="12" style="103" bestFit="1" customWidth="1"/>
    <col min="8" max="8" width="12" style="103" customWidth="1"/>
    <col min="9" max="9" width="12.6640625" style="103" bestFit="1" customWidth="1"/>
    <col min="10" max="10" width="13" style="103" customWidth="1"/>
    <col min="11" max="11" width="12.33203125" style="103" customWidth="1"/>
    <col min="12" max="12" width="9.109375" style="103"/>
    <col min="13" max="13" width="12" style="103" bestFit="1" customWidth="1"/>
    <col min="14" max="14" width="10.44140625" style="103" bestFit="1" customWidth="1"/>
    <col min="15" max="16384" width="9.109375" style="103"/>
  </cols>
  <sheetData>
    <row r="1" spans="1:14" s="104" customFormat="1" ht="23.4">
      <c r="A1" s="104" t="s">
        <v>184</v>
      </c>
      <c r="D1" s="105" t="s">
        <v>240</v>
      </c>
      <c r="E1" s="105"/>
    </row>
    <row r="4" spans="1:14">
      <c r="D4" s="103" t="s">
        <v>241</v>
      </c>
    </row>
    <row r="5" spans="1:14" ht="23.4">
      <c r="C5" s="287" t="s">
        <v>185</v>
      </c>
      <c r="D5" s="288"/>
      <c r="E5" s="288"/>
      <c r="F5" s="288"/>
      <c r="G5" s="289"/>
      <c r="H5" s="290" t="s">
        <v>186</v>
      </c>
      <c r="I5" s="288"/>
      <c r="J5" s="288"/>
      <c r="K5" s="289"/>
      <c r="L5" s="290" t="s">
        <v>187</v>
      </c>
      <c r="M5" s="288"/>
      <c r="N5" s="291"/>
    </row>
    <row r="6" spans="1:14" ht="28.8">
      <c r="C6" s="106" t="s">
        <v>188</v>
      </c>
      <c r="D6" s="107" t="s">
        <v>189</v>
      </c>
      <c r="E6" s="108" t="s">
        <v>190</v>
      </c>
      <c r="F6" s="107" t="s">
        <v>159</v>
      </c>
      <c r="G6" s="109" t="s">
        <v>191</v>
      </c>
      <c r="H6" s="110" t="s">
        <v>192</v>
      </c>
      <c r="I6" s="108" t="s">
        <v>193</v>
      </c>
      <c r="J6" s="108" t="s">
        <v>233</v>
      </c>
      <c r="K6" s="109" t="s">
        <v>194</v>
      </c>
      <c r="L6" s="111" t="s">
        <v>170</v>
      </c>
      <c r="M6" s="112" t="s">
        <v>177</v>
      </c>
      <c r="N6" s="113" t="s">
        <v>173</v>
      </c>
    </row>
    <row r="7" spans="1:14">
      <c r="C7" s="114"/>
      <c r="D7" s="115"/>
      <c r="E7" s="115"/>
      <c r="F7" s="115"/>
      <c r="G7" s="116"/>
      <c r="H7" s="117">
        <v>2024</v>
      </c>
      <c r="I7" s="115">
        <v>2024</v>
      </c>
      <c r="J7" s="115">
        <v>2024</v>
      </c>
      <c r="K7" s="116">
        <v>2024</v>
      </c>
      <c r="L7" s="118">
        <v>2024</v>
      </c>
      <c r="M7" s="119">
        <v>2024</v>
      </c>
      <c r="N7" s="120">
        <v>2024</v>
      </c>
    </row>
    <row r="8" spans="1:14">
      <c r="C8" s="121" t="s">
        <v>196</v>
      </c>
      <c r="D8" s="122" t="s">
        <v>196</v>
      </c>
      <c r="E8" s="122">
        <v>1.8</v>
      </c>
      <c r="F8" s="123">
        <f>B40</f>
        <v>705600</v>
      </c>
      <c r="G8" s="123">
        <f>B39</f>
        <v>789171</v>
      </c>
      <c r="H8" s="124">
        <f>3400232/564638</f>
        <v>6.0219680574102341</v>
      </c>
      <c r="I8" s="125">
        <f>592313/10583300</f>
        <v>5.5966758950421892E-2</v>
      </c>
      <c r="J8" s="126">
        <f>134796/11599794</f>
        <v>1.1620551192547041E-2</v>
      </c>
      <c r="K8" s="127">
        <f>24681/564638</f>
        <v>4.3711191949532269E-2</v>
      </c>
      <c r="L8" s="128">
        <f>E8/0.063</f>
        <v>28.571428571428573</v>
      </c>
      <c r="M8" s="128">
        <f>B39/11599794</f>
        <v>6.8033190934252794E-2</v>
      </c>
      <c r="N8" s="129">
        <f>B39/B53</f>
        <v>4.5343970673576912</v>
      </c>
    </row>
    <row r="9" spans="1:14">
      <c r="C9" s="121" t="s">
        <v>197</v>
      </c>
      <c r="D9" s="122" t="s">
        <v>198</v>
      </c>
      <c r="E9" s="130">
        <v>11.92</v>
      </c>
      <c r="F9" s="123">
        <f>G40</f>
        <v>17400</v>
      </c>
      <c r="G9" s="123">
        <f>G39</f>
        <v>42433.877119999997</v>
      </c>
      <c r="H9" s="124">
        <f>M39/M40</f>
        <v>15.856985698569856</v>
      </c>
      <c r="I9" s="131">
        <f>M42/G51</f>
        <v>0.49123721415075905</v>
      </c>
      <c r="J9" s="132">
        <f>M43/G51</f>
        <v>0.38803830868460487</v>
      </c>
      <c r="K9" s="126">
        <f>M44/M40</f>
        <v>-0.20022002200220024</v>
      </c>
      <c r="L9" s="128">
        <f>E9/M45</f>
        <v>0.27714781418262086</v>
      </c>
      <c r="M9" s="128">
        <f>G9/G51</f>
        <v>2.3783159843981885</v>
      </c>
      <c r="N9" s="129">
        <f>G39/G53</f>
        <v>3.1881896982120344</v>
      </c>
    </row>
    <row r="10" spans="1:14">
      <c r="C10" s="121"/>
      <c r="D10" s="122"/>
      <c r="E10" s="122"/>
      <c r="F10" s="123"/>
      <c r="G10" s="123"/>
      <c r="H10" s="124"/>
      <c r="I10" s="127"/>
      <c r="J10" s="127"/>
      <c r="K10" s="127"/>
      <c r="L10" s="128"/>
      <c r="M10" s="128"/>
      <c r="N10" s="129"/>
    </row>
    <row r="11" spans="1:14">
      <c r="C11" s="121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33"/>
    </row>
    <row r="12" spans="1:14"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33"/>
    </row>
    <row r="13" spans="1:14">
      <c r="C13" s="134" t="s">
        <v>237</v>
      </c>
      <c r="D13" s="122"/>
      <c r="E13" s="135">
        <f>AVERAGE(E8:E9)</f>
        <v>6.86</v>
      </c>
      <c r="F13" s="136">
        <f t="shared" ref="F13:N13" si="0">AVERAGE(F8:F9)</f>
        <v>361500</v>
      </c>
      <c r="G13" s="136">
        <f t="shared" si="0"/>
        <v>415802.43855999998</v>
      </c>
      <c r="H13" s="137">
        <f t="shared" si="0"/>
        <v>10.939476877990046</v>
      </c>
      <c r="I13" s="138">
        <f>AVERAGEA(I8:I9)</f>
        <v>0.27360198655059048</v>
      </c>
      <c r="J13" s="138">
        <f t="shared" si="0"/>
        <v>0.19982942993857594</v>
      </c>
      <c r="K13" s="138">
        <f t="shared" si="0"/>
        <v>-7.8254415026333984E-2</v>
      </c>
      <c r="L13" s="139">
        <f>AVERAGE(L8:L9)</f>
        <v>14.424288192805596</v>
      </c>
      <c r="M13" s="139">
        <f t="shared" si="0"/>
        <v>1.2231745876662206</v>
      </c>
      <c r="N13" s="140">
        <f t="shared" si="0"/>
        <v>3.8612933827848628</v>
      </c>
    </row>
    <row r="14" spans="1:14" s="141" customFormat="1">
      <c r="C14" s="142" t="s">
        <v>238</v>
      </c>
      <c r="D14" s="143" t="s">
        <v>239</v>
      </c>
      <c r="E14" s="144">
        <v>24.92</v>
      </c>
      <c r="F14" s="145">
        <f>EV!D4</f>
        <v>2791040</v>
      </c>
      <c r="G14" s="145">
        <f>EV!D11</f>
        <v>2722099</v>
      </c>
      <c r="H14" s="146">
        <f>Ratios!F29</f>
        <v>1.7170664515539862</v>
      </c>
      <c r="I14" s="147">
        <f>Ratios!F6</f>
        <v>0.11172072627384966</v>
      </c>
      <c r="J14" s="147">
        <f>Ratios!F7</f>
        <v>6.8723868870906507E-2</v>
      </c>
      <c r="K14" s="147">
        <f>Ratios!F10</f>
        <v>0.44235487504185567</v>
      </c>
      <c r="L14" s="146">
        <f>Ratios!F37</f>
        <v>9.6032150180982416</v>
      </c>
      <c r="M14" s="146">
        <f>EV!F31</f>
        <v>0.38912210270391429</v>
      </c>
      <c r="N14" s="148">
        <f>EV!F29</f>
        <v>5.9899415770885369</v>
      </c>
    </row>
    <row r="17" spans="6:13" ht="15.6">
      <c r="F17" s="149" t="s">
        <v>199</v>
      </c>
      <c r="G17" s="150"/>
      <c r="H17" s="150"/>
      <c r="I17" s="150"/>
      <c r="J17" s="150"/>
      <c r="K17" s="151"/>
    </row>
    <row r="18" spans="6:13">
      <c r="F18" s="152"/>
      <c r="G18" s="153"/>
      <c r="H18" s="152"/>
      <c r="I18" s="153"/>
      <c r="J18" s="152"/>
      <c r="K18" s="153"/>
    </row>
    <row r="19" spans="6:13">
      <c r="F19" s="154" t="s">
        <v>170</v>
      </c>
      <c r="G19" s="155"/>
      <c r="H19" s="154" t="s">
        <v>173</v>
      </c>
      <c r="I19" s="155"/>
      <c r="J19" s="154" t="s">
        <v>175</v>
      </c>
      <c r="K19" s="155"/>
    </row>
    <row r="20" spans="6:13">
      <c r="F20" s="156"/>
      <c r="G20" s="157"/>
      <c r="H20" s="156" t="s">
        <v>200</v>
      </c>
      <c r="I20" s="158">
        <f>N13</f>
        <v>3.8612933827848628</v>
      </c>
      <c r="J20" s="156" t="s">
        <v>200</v>
      </c>
      <c r="K20" s="159">
        <v>1.22</v>
      </c>
      <c r="M20" s="160"/>
    </row>
    <row r="21" spans="6:13">
      <c r="F21" s="156" t="s">
        <v>200</v>
      </c>
      <c r="G21" s="159">
        <f>L13</f>
        <v>14.424288192805596</v>
      </c>
      <c r="H21" s="156" t="s">
        <v>149</v>
      </c>
      <c r="I21" s="161">
        <f>Adjustment!F4</f>
        <v>454445</v>
      </c>
      <c r="J21" s="156" t="s">
        <v>29</v>
      </c>
      <c r="K21" s="162">
        <f>FS!G3</f>
        <v>6995488</v>
      </c>
      <c r="M21" s="160"/>
    </row>
    <row r="22" spans="6:13">
      <c r="F22" s="156" t="s">
        <v>201</v>
      </c>
      <c r="G22" s="163">
        <v>2.6</v>
      </c>
      <c r="H22" s="156" t="s">
        <v>202</v>
      </c>
      <c r="I22" s="162">
        <f>I20*I21</f>
        <v>1754745.471339667</v>
      </c>
      <c r="J22" s="156" t="s">
        <v>202</v>
      </c>
      <c r="K22" s="164">
        <f>K20*K21</f>
        <v>8534495.3599999994</v>
      </c>
    </row>
    <row r="23" spans="6:13">
      <c r="F23" s="156"/>
      <c r="G23" s="163"/>
      <c r="H23" s="156" t="s">
        <v>203</v>
      </c>
      <c r="I23" s="162">
        <f>EV!F21</f>
        <v>97959</v>
      </c>
      <c r="J23" s="156" t="s">
        <v>203</v>
      </c>
      <c r="K23" s="162">
        <f>EV!F21</f>
        <v>97959</v>
      </c>
    </row>
    <row r="24" spans="6:13">
      <c r="F24" s="156"/>
      <c r="G24" s="163"/>
      <c r="H24" s="156" t="s">
        <v>166</v>
      </c>
      <c r="I24" s="165">
        <f>EV!F22</f>
        <v>166900</v>
      </c>
      <c r="J24" s="156" t="s">
        <v>166</v>
      </c>
      <c r="K24" s="162">
        <f>EV!F22</f>
        <v>166900</v>
      </c>
    </row>
    <row r="25" spans="6:13">
      <c r="F25" s="156"/>
      <c r="G25" s="163"/>
      <c r="H25" s="156" t="s">
        <v>204</v>
      </c>
      <c r="I25" s="165">
        <f>I22-(I23-I24)</f>
        <v>1823686.471339667</v>
      </c>
      <c r="J25" s="156" t="s">
        <v>204</v>
      </c>
      <c r="K25" s="162">
        <f>K22-(K23-K24)</f>
        <v>8603436.3599999994</v>
      </c>
    </row>
    <row r="26" spans="6:13">
      <c r="F26" s="156"/>
      <c r="G26" s="163"/>
      <c r="H26" s="156" t="s">
        <v>205</v>
      </c>
      <c r="I26" s="166">
        <f>FS!C27</f>
        <v>112000</v>
      </c>
      <c r="J26" s="156" t="s">
        <v>205</v>
      </c>
      <c r="K26" s="162">
        <f>I26</f>
        <v>112000</v>
      </c>
    </row>
    <row r="27" spans="6:13">
      <c r="F27" s="167" t="s">
        <v>206</v>
      </c>
      <c r="G27" s="168">
        <f>G21*G22</f>
        <v>37.503149301294549</v>
      </c>
      <c r="H27" s="167" t="s">
        <v>206</v>
      </c>
      <c r="I27" s="169">
        <f>I25/I26</f>
        <v>16.282914922675598</v>
      </c>
      <c r="J27" s="167" t="s">
        <v>206</v>
      </c>
      <c r="K27" s="168">
        <f>K25/K26</f>
        <v>76.816396071428571</v>
      </c>
    </row>
    <row r="28" spans="6:13">
      <c r="F28" s="152"/>
      <c r="G28" s="170"/>
      <c r="H28" s="171" t="s">
        <v>207</v>
      </c>
      <c r="I28" s="171"/>
      <c r="J28" s="170"/>
      <c r="K28" s="153"/>
    </row>
    <row r="29" spans="6:13">
      <c r="F29" s="156"/>
      <c r="G29" s="172"/>
      <c r="H29" s="173"/>
      <c r="I29" s="174">
        <f>AVERAGE(G27,I27,K27)</f>
        <v>43.534153431799574</v>
      </c>
      <c r="J29" s="172"/>
      <c r="K29" s="163"/>
    </row>
    <row r="30" spans="6:13">
      <c r="F30" s="156"/>
      <c r="G30" s="172"/>
      <c r="H30" s="175" t="s">
        <v>208</v>
      </c>
      <c r="I30" s="175"/>
      <c r="J30" s="172"/>
      <c r="K30" s="163"/>
    </row>
    <row r="31" spans="6:13">
      <c r="F31" s="156"/>
      <c r="G31" s="172"/>
      <c r="H31" s="176">
        <f>E14</f>
        <v>24.92</v>
      </c>
      <c r="I31" s="176"/>
      <c r="J31" s="172"/>
      <c r="K31" s="163"/>
    </row>
    <row r="32" spans="6:13">
      <c r="F32" s="156"/>
      <c r="G32" s="172"/>
      <c r="H32" s="177" t="s">
        <v>209</v>
      </c>
      <c r="I32" s="177"/>
      <c r="J32" s="172"/>
      <c r="K32" s="163"/>
    </row>
    <row r="33" spans="1:13">
      <c r="F33" s="178"/>
      <c r="G33" s="179"/>
      <c r="H33" s="180"/>
      <c r="I33" s="181">
        <f>I29/H31-1</f>
        <v>0.74695639774476619</v>
      </c>
      <c r="J33" s="179"/>
      <c r="K33" s="182"/>
    </row>
    <row r="36" spans="1:13">
      <c r="E36" s="183" t="s">
        <v>215</v>
      </c>
      <c r="F36" s="183">
        <v>11.6242</v>
      </c>
      <c r="I36" s="183"/>
      <c r="J36" s="183"/>
      <c r="K36" s="183"/>
    </row>
    <row r="38" spans="1:13" ht="23.4">
      <c r="A38" s="184" t="s">
        <v>225</v>
      </c>
      <c r="B38" s="185"/>
      <c r="E38" s="186" t="s">
        <v>210</v>
      </c>
      <c r="F38" s="103" t="s">
        <v>226</v>
      </c>
      <c r="G38" s="103" t="s">
        <v>227</v>
      </c>
      <c r="L38" s="187" t="s">
        <v>212</v>
      </c>
      <c r="M38" s="187" t="s">
        <v>211</v>
      </c>
    </row>
    <row r="39" spans="1:13">
      <c r="A39" s="188" t="s">
        <v>160</v>
      </c>
      <c r="B39" s="188">
        <f>B40+B47</f>
        <v>789171</v>
      </c>
      <c r="E39" s="189" t="s">
        <v>160</v>
      </c>
      <c r="F39" s="189"/>
      <c r="G39" s="189">
        <f>G40+G46</f>
        <v>42433.877119999997</v>
      </c>
      <c r="J39" s="103" t="s">
        <v>203</v>
      </c>
      <c r="L39" s="190">
        <v>-4324.2</v>
      </c>
      <c r="M39" s="190">
        <f>L39*F36</f>
        <v>-50265.365639999996</v>
      </c>
    </row>
    <row r="40" spans="1:13">
      <c r="A40" s="188" t="s">
        <v>159</v>
      </c>
      <c r="B40" s="188">
        <f>E8*392000</f>
        <v>705600</v>
      </c>
      <c r="E40" s="103" t="s">
        <v>159</v>
      </c>
      <c r="G40" s="183">
        <v>17400</v>
      </c>
      <c r="J40" s="103" t="s">
        <v>5</v>
      </c>
      <c r="L40" s="190">
        <v>-272.7</v>
      </c>
      <c r="M40" s="190">
        <f>L40*F36</f>
        <v>-3169.9193399999999</v>
      </c>
    </row>
    <row r="41" spans="1:13">
      <c r="A41" s="191" t="s">
        <v>161</v>
      </c>
      <c r="B41" s="192"/>
      <c r="E41" s="191" t="s">
        <v>161</v>
      </c>
      <c r="F41" s="191"/>
      <c r="G41" s="191"/>
      <c r="L41" s="190"/>
      <c r="M41" s="190"/>
    </row>
    <row r="42" spans="1:13">
      <c r="A42" s="103" t="s">
        <v>216</v>
      </c>
      <c r="B42" s="141">
        <v>53098</v>
      </c>
      <c r="E42" s="103" t="s">
        <v>213</v>
      </c>
      <c r="F42" s="190">
        <v>1975.8</v>
      </c>
      <c r="G42" s="190">
        <f>F42*F36</f>
        <v>22967.094359999999</v>
      </c>
      <c r="J42" s="103" t="s">
        <v>232</v>
      </c>
      <c r="L42" s="190">
        <v>754</v>
      </c>
      <c r="M42" s="190">
        <f>L42*F36</f>
        <v>8764.6468000000004</v>
      </c>
    </row>
    <row r="43" spans="1:13">
      <c r="A43" s="103" t="s">
        <v>217</v>
      </c>
      <c r="B43" s="141">
        <v>86292</v>
      </c>
      <c r="E43" s="103" t="s">
        <v>214</v>
      </c>
      <c r="F43" s="190">
        <v>732.9</v>
      </c>
      <c r="G43" s="190">
        <f>F43*F36</f>
        <v>8519.3761799999993</v>
      </c>
      <c r="J43" s="103" t="s">
        <v>234</v>
      </c>
      <c r="L43" s="190">
        <v>595.6</v>
      </c>
      <c r="M43" s="190">
        <f>L43*F36</f>
        <v>6923.3735200000001</v>
      </c>
    </row>
    <row r="44" spans="1:13">
      <c r="A44" s="103" t="s">
        <v>214</v>
      </c>
      <c r="B44" s="141">
        <v>2936</v>
      </c>
      <c r="E44" s="183" t="s">
        <v>165</v>
      </c>
      <c r="F44" s="189">
        <f>SUM(F42:F43)</f>
        <v>2708.7</v>
      </c>
      <c r="G44" s="189">
        <f>SUM(G42:G43)</f>
        <v>31486.470539999998</v>
      </c>
      <c r="J44" s="103" t="s">
        <v>235</v>
      </c>
      <c r="L44" s="190">
        <v>54.6</v>
      </c>
      <c r="M44" s="190">
        <f>L44*F36</f>
        <v>634.68132000000003</v>
      </c>
    </row>
    <row r="45" spans="1:13">
      <c r="A45" s="183" t="s">
        <v>165</v>
      </c>
      <c r="B45" s="183">
        <f>SUM(B42:B44)</f>
        <v>142326</v>
      </c>
      <c r="E45" s="103" t="s">
        <v>166</v>
      </c>
      <c r="F45" s="190">
        <v>555.1</v>
      </c>
      <c r="G45" s="190">
        <f>F45*F36</f>
        <v>6452.5934200000002</v>
      </c>
      <c r="J45" s="103" t="s">
        <v>236</v>
      </c>
      <c r="L45" s="190">
        <v>3.7</v>
      </c>
      <c r="M45" s="190">
        <f>L45*F36</f>
        <v>43.009540000000001</v>
      </c>
    </row>
    <row r="46" spans="1:13">
      <c r="A46" s="103" t="s">
        <v>166</v>
      </c>
      <c r="B46" s="103">
        <v>58755</v>
      </c>
      <c r="E46" s="193" t="s">
        <v>161</v>
      </c>
      <c r="F46" s="194">
        <f>F44-F45</f>
        <v>2153.6</v>
      </c>
      <c r="G46" s="194">
        <f>G44-G45</f>
        <v>25033.877119999997</v>
      </c>
    </row>
    <row r="47" spans="1:13">
      <c r="A47" s="193" t="s">
        <v>161</v>
      </c>
      <c r="B47" s="193">
        <f>B45-B46</f>
        <v>83571</v>
      </c>
    </row>
    <row r="50" spans="1:7">
      <c r="A50" s="183" t="s">
        <v>218</v>
      </c>
      <c r="E50" s="183" t="s">
        <v>218</v>
      </c>
    </row>
    <row r="51" spans="1:7">
      <c r="A51" s="103" t="s">
        <v>29</v>
      </c>
      <c r="B51" s="190">
        <v>11599794</v>
      </c>
      <c r="E51" s="103" t="s">
        <v>29</v>
      </c>
      <c r="F51" s="141">
        <v>1534.9</v>
      </c>
      <c r="G51" s="190">
        <f>F51*F36</f>
        <v>17841.98458</v>
      </c>
    </row>
    <row r="52" spans="1:7">
      <c r="A52" s="103" t="s">
        <v>146</v>
      </c>
      <c r="B52" s="190">
        <f>(B55+B59)+B65</f>
        <v>-11425753</v>
      </c>
      <c r="E52" s="103" t="s">
        <v>146</v>
      </c>
      <c r="F52" s="141"/>
      <c r="G52" s="190">
        <f>(G55+G57)+G62</f>
        <v>-4532.2755799999995</v>
      </c>
    </row>
    <row r="53" spans="1:7">
      <c r="A53" s="195" t="s">
        <v>149</v>
      </c>
      <c r="B53" s="196">
        <f>SUM(B51:B52)</f>
        <v>174041</v>
      </c>
      <c r="E53" s="193" t="s">
        <v>231</v>
      </c>
      <c r="F53" s="193"/>
      <c r="G53" s="193">
        <f>SUM(G51:G52)</f>
        <v>13309.709000000001</v>
      </c>
    </row>
    <row r="54" spans="1:7">
      <c r="B54" s="190"/>
    </row>
    <row r="55" spans="1:7">
      <c r="A55" s="183" t="s">
        <v>30</v>
      </c>
      <c r="B55" s="197">
        <v>-9990987</v>
      </c>
      <c r="E55" s="183" t="s">
        <v>228</v>
      </c>
      <c r="F55" s="183">
        <v>-780.9</v>
      </c>
      <c r="G55" s="183">
        <f>F55*F36</f>
        <v>-9077.3377799999998</v>
      </c>
    </row>
    <row r="56" spans="1:7">
      <c r="B56" s="190"/>
    </row>
    <row r="57" spans="1:7">
      <c r="A57" s="103" t="s">
        <v>150</v>
      </c>
      <c r="B57" s="190">
        <v>55514</v>
      </c>
      <c r="E57" s="193" t="s">
        <v>229</v>
      </c>
      <c r="F57" s="193">
        <v>444.2</v>
      </c>
      <c r="G57" s="193">
        <f>F57*F36</f>
        <v>5163.4696400000003</v>
      </c>
    </row>
    <row r="58" spans="1:7">
      <c r="A58" s="103" t="s">
        <v>219</v>
      </c>
      <c r="B58" s="190">
        <v>3492</v>
      </c>
    </row>
    <row r="59" spans="1:7">
      <c r="B59" s="198">
        <f>SUM(B57:B58)</f>
        <v>59006</v>
      </c>
    </row>
    <row r="61" spans="1:7">
      <c r="A61" s="183" t="s">
        <v>220</v>
      </c>
      <c r="E61" s="103" t="s">
        <v>220</v>
      </c>
    </row>
    <row r="62" spans="1:7">
      <c r="A62" s="103" t="s">
        <v>222</v>
      </c>
      <c r="B62" s="190">
        <f>-152570+41317</f>
        <v>-111253</v>
      </c>
      <c r="E62" s="103" t="s">
        <v>230</v>
      </c>
      <c r="F62" s="141">
        <v>-53.2</v>
      </c>
      <c r="G62" s="141">
        <f>F62*F36</f>
        <v>-618.40744000000007</v>
      </c>
    </row>
    <row r="63" spans="1:7">
      <c r="A63" s="103" t="s">
        <v>221</v>
      </c>
      <c r="B63" s="190">
        <v>-366025</v>
      </c>
    </row>
    <row r="64" spans="1:7">
      <c r="A64" s="103" t="s">
        <v>223</v>
      </c>
      <c r="B64" s="190">
        <v>-1016494</v>
      </c>
    </row>
    <row r="65" spans="1:2">
      <c r="A65" s="193" t="s">
        <v>224</v>
      </c>
      <c r="B65" s="194">
        <f>SUM(B62:B64)</f>
        <v>-1493772</v>
      </c>
    </row>
  </sheetData>
  <mergeCells count="3">
    <mergeCell ref="C5:G5"/>
    <mergeCell ref="H5:K5"/>
    <mergeCell ref="L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B2:M116"/>
  <sheetViews>
    <sheetView workbookViewId="0">
      <selection activeCell="H19" sqref="H19"/>
    </sheetView>
  </sheetViews>
  <sheetFormatPr defaultColWidth="10" defaultRowHeight="14.4"/>
  <cols>
    <col min="1" max="1" width="6.109375" customWidth="1"/>
    <col min="2" max="2" width="34.88671875" bestFit="1" customWidth="1"/>
    <col min="3" max="3" width="10.5546875" bestFit="1" customWidth="1"/>
    <col min="4" max="4" width="12.5546875" customWidth="1"/>
    <col min="5" max="5" width="11.5546875" customWidth="1"/>
    <col min="6" max="6" width="12.33203125" customWidth="1"/>
    <col min="7" max="7" width="10.6640625" customWidth="1"/>
    <col min="8" max="8" width="21.109375" bestFit="1" customWidth="1"/>
    <col min="9" max="9" width="15.6640625" bestFit="1" customWidth="1"/>
    <col min="10" max="10" width="16.5546875" customWidth="1"/>
    <col min="11" max="11" width="16.33203125" customWidth="1"/>
    <col min="12" max="12" width="15.44140625" customWidth="1"/>
  </cols>
  <sheetData>
    <row r="2" spans="2:12">
      <c r="B2" t="s">
        <v>242</v>
      </c>
      <c r="C2">
        <v>2</v>
      </c>
      <c r="E2" t="s">
        <v>243</v>
      </c>
      <c r="F2">
        <v>1</v>
      </c>
    </row>
    <row r="3" spans="2:12">
      <c r="E3" t="s">
        <v>244</v>
      </c>
      <c r="F3">
        <v>2</v>
      </c>
    </row>
    <row r="4" spans="2:12">
      <c r="E4" t="s">
        <v>245</v>
      </c>
      <c r="F4">
        <v>3</v>
      </c>
    </row>
    <row r="6" spans="2:12">
      <c r="B6" s="199"/>
      <c r="C6" s="199">
        <v>2020</v>
      </c>
      <c r="D6" s="199">
        <v>2021</v>
      </c>
      <c r="E6" s="199">
        <v>2022</v>
      </c>
      <c r="F6" s="199">
        <v>2023</v>
      </c>
      <c r="G6" s="199">
        <v>2024</v>
      </c>
      <c r="H6" s="200">
        <v>2025</v>
      </c>
      <c r="I6" s="200">
        <v>2026</v>
      </c>
      <c r="J6" s="200">
        <v>2027</v>
      </c>
      <c r="K6" s="200">
        <v>2028</v>
      </c>
      <c r="L6" s="200">
        <v>2029</v>
      </c>
    </row>
    <row r="7" spans="2:12">
      <c r="B7" s="70" t="s">
        <v>29</v>
      </c>
      <c r="C7" s="201">
        <v>2384158</v>
      </c>
      <c r="D7" s="202">
        <v>3218179</v>
      </c>
      <c r="E7" s="202">
        <v>5672210</v>
      </c>
      <c r="F7" s="202">
        <v>6041455</v>
      </c>
      <c r="G7" s="202">
        <v>6995488</v>
      </c>
      <c r="H7" s="203">
        <f>(1+H15)*G7</f>
        <v>8675901.4963953495</v>
      </c>
      <c r="I7" s="203">
        <f t="shared" ref="I7:L7" si="0">(1+I15)*H7</f>
        <v>10759973.682344258</v>
      </c>
      <c r="J7" s="203">
        <f t="shared" si="0"/>
        <v>13344668.988328639</v>
      </c>
      <c r="K7" s="203">
        <f t="shared" si="0"/>
        <v>16550244.049413146</v>
      </c>
      <c r="L7" s="203">
        <f t="shared" si="0"/>
        <v>20525842.816685807</v>
      </c>
    </row>
    <row r="8" spans="2:12">
      <c r="B8" s="204" t="s">
        <v>246</v>
      </c>
      <c r="D8" s="58">
        <f>D7/C7-1</f>
        <v>0.34981783925394216</v>
      </c>
      <c r="E8" s="58">
        <f>E7/D7-1</f>
        <v>0.76255267342183264</v>
      </c>
      <c r="F8" s="58">
        <f t="shared" ref="F8:G8" si="1">F7/E7-1</f>
        <v>6.5097201972423413E-2</v>
      </c>
      <c r="G8" s="58">
        <f t="shared" si="1"/>
        <v>0.15791444279565114</v>
      </c>
    </row>
    <row r="9" spans="2:12">
      <c r="B9" s="204" t="s">
        <v>247</v>
      </c>
      <c r="D9" s="58"/>
      <c r="G9" s="58">
        <v>0.24021390593413217</v>
      </c>
    </row>
    <row r="10" spans="2:12">
      <c r="F10" t="s">
        <v>276</v>
      </c>
      <c r="G10" s="57">
        <f>AVERAGE(D8:G8)</f>
        <v>0.33384553936096234</v>
      </c>
    </row>
    <row r="11" spans="2:12">
      <c r="B11" s="70" t="s">
        <v>248</v>
      </c>
      <c r="H11" s="58">
        <f>H12+3%</f>
        <v>0.27021390593413219</v>
      </c>
      <c r="I11" s="57">
        <f>$H$11</f>
        <v>0.27021390593413219</v>
      </c>
      <c r="J11" s="57">
        <f t="shared" ref="J11:L11" si="2">$H$11</f>
        <v>0.27021390593413219</v>
      </c>
      <c r="K11" s="57">
        <f t="shared" si="2"/>
        <v>0.27021390593413219</v>
      </c>
      <c r="L11" s="57">
        <f t="shared" si="2"/>
        <v>0.27021390593413219</v>
      </c>
    </row>
    <row r="12" spans="2:12">
      <c r="B12" s="70" t="s">
        <v>249</v>
      </c>
      <c r="H12" s="57">
        <f>$G$9</f>
        <v>0.24021390593413217</v>
      </c>
      <c r="I12" s="57">
        <f t="shared" ref="I12:L12" si="3">$G$9</f>
        <v>0.24021390593413217</v>
      </c>
      <c r="J12" s="57">
        <f t="shared" si="3"/>
        <v>0.24021390593413217</v>
      </c>
      <c r="K12" s="57">
        <f t="shared" si="3"/>
        <v>0.24021390593413217</v>
      </c>
      <c r="L12" s="57">
        <f t="shared" si="3"/>
        <v>0.24021390593413217</v>
      </c>
    </row>
    <row r="13" spans="2:12">
      <c r="B13" s="70" t="s">
        <v>250</v>
      </c>
      <c r="H13" s="58">
        <f>H12-3%</f>
        <v>0.21021390593413217</v>
      </c>
      <c r="I13" s="57">
        <f>$H$13</f>
        <v>0.21021390593413217</v>
      </c>
      <c r="J13" s="57">
        <f t="shared" ref="J13:L13" si="4">$H$13</f>
        <v>0.21021390593413217</v>
      </c>
      <c r="K13" s="57">
        <f t="shared" si="4"/>
        <v>0.21021390593413217</v>
      </c>
      <c r="L13" s="57">
        <f t="shared" si="4"/>
        <v>0.21021390593413217</v>
      </c>
    </row>
    <row r="15" spans="2:12">
      <c r="B15" s="205" t="s">
        <v>251</v>
      </c>
      <c r="C15" s="206"/>
      <c r="D15" s="206"/>
      <c r="E15" s="206"/>
      <c r="F15" s="206"/>
      <c r="G15" s="206"/>
      <c r="H15" s="207">
        <f>CHOOSE($C$2,H11,H12,H13)</f>
        <v>0.24021390593413217</v>
      </c>
      <c r="I15" s="207">
        <f t="shared" ref="I15:L15" si="5">CHOOSE($C$2,I11,I12,I13)</f>
        <v>0.24021390593413217</v>
      </c>
      <c r="J15" s="207">
        <f t="shared" si="5"/>
        <v>0.24021390593413217</v>
      </c>
      <c r="K15" s="207">
        <f t="shared" si="5"/>
        <v>0.24021390593413217</v>
      </c>
      <c r="L15" s="207">
        <f t="shared" si="5"/>
        <v>0.24021390593413217</v>
      </c>
    </row>
    <row r="18" spans="2:12">
      <c r="B18" s="199"/>
      <c r="C18" s="199">
        <v>2020</v>
      </c>
      <c r="D18" s="199">
        <v>2021</v>
      </c>
      <c r="E18" s="199">
        <v>2022</v>
      </c>
      <c r="F18" s="199">
        <v>2023</v>
      </c>
      <c r="G18" s="199">
        <v>2024</v>
      </c>
      <c r="H18" s="200">
        <v>2025</v>
      </c>
      <c r="I18" s="200">
        <v>2026</v>
      </c>
      <c r="J18" s="200">
        <v>2027</v>
      </c>
      <c r="K18" s="200">
        <v>2028</v>
      </c>
      <c r="L18" s="200">
        <v>2029</v>
      </c>
    </row>
    <row r="19" spans="2:12">
      <c r="B19" s="70" t="s">
        <v>252</v>
      </c>
      <c r="C19" s="90">
        <f>FS!C4</f>
        <v>-2039837</v>
      </c>
      <c r="D19" s="90">
        <f>FS!D4</f>
        <v>-2896838</v>
      </c>
      <c r="E19" s="90">
        <f>FS!E4</f>
        <v>-5188233</v>
      </c>
      <c r="F19" s="90">
        <f>FS!F4</f>
        <v>-5429160</v>
      </c>
      <c r="G19" s="90">
        <f>FS!G4</f>
        <v>-6213947</v>
      </c>
      <c r="H19" s="208">
        <f>(H29*H$7)-H63</f>
        <v>-7588684.0322720744</v>
      </c>
      <c r="I19" s="208">
        <f t="shared" ref="I19:L19" si="6">(I29*I$7)-I63</f>
        <v>-9411591.4645641297</v>
      </c>
      <c r="J19" s="208">
        <f t="shared" si="6"/>
        <v>-11672386.611323418</v>
      </c>
      <c r="K19" s="208">
        <f t="shared" si="6"/>
        <v>-14476256.190802686</v>
      </c>
      <c r="L19" s="208">
        <f t="shared" si="6"/>
        <v>-17953654.233698562</v>
      </c>
    </row>
    <row r="20" spans="2:12">
      <c r="B20" s="204" t="s">
        <v>246</v>
      </c>
      <c r="D20" s="58">
        <f>D19/C19-1</f>
        <v>0.42013209879024638</v>
      </c>
      <c r="E20" s="58">
        <f t="shared" ref="E20:G20" si="7">E19/D19-1</f>
        <v>0.79099866820305453</v>
      </c>
      <c r="F20" s="58">
        <f>F19/E19-1</f>
        <v>4.6437197404202823E-2</v>
      </c>
      <c r="G20" s="58">
        <f t="shared" si="7"/>
        <v>0.14455035401424898</v>
      </c>
    </row>
    <row r="21" spans="2:12">
      <c r="B21" s="204" t="s">
        <v>253</v>
      </c>
      <c r="C21" s="58">
        <f>C19/C7</f>
        <v>-0.85557962182036595</v>
      </c>
      <c r="D21" s="58">
        <f t="shared" ref="D21:G21" si="8">D19/D7</f>
        <v>-0.90014818939530705</v>
      </c>
      <c r="E21" s="58">
        <f t="shared" si="8"/>
        <v>-0.91467576129938777</v>
      </c>
      <c r="F21" s="58">
        <f t="shared" si="8"/>
        <v>-0.89865106998231381</v>
      </c>
      <c r="G21" s="58">
        <f t="shared" si="8"/>
        <v>-0.88827927372615034</v>
      </c>
      <c r="H21" s="57">
        <f>G21</f>
        <v>-0.88827927372615034</v>
      </c>
      <c r="I21" s="57">
        <f t="shared" ref="I21:L21" si="9">H21</f>
        <v>-0.88827927372615034</v>
      </c>
      <c r="J21" s="57">
        <f t="shared" si="9"/>
        <v>-0.88827927372615034</v>
      </c>
      <c r="K21" s="57">
        <f t="shared" si="9"/>
        <v>-0.88827927372615034</v>
      </c>
      <c r="L21" s="57">
        <f t="shared" si="9"/>
        <v>-0.88827927372615034</v>
      </c>
    </row>
    <row r="22" spans="2:12">
      <c r="B22" s="204" t="s">
        <v>247</v>
      </c>
      <c r="G22" s="58">
        <v>0.24955223584941288</v>
      </c>
    </row>
    <row r="23" spans="2:12">
      <c r="B23" s="204" t="s">
        <v>254</v>
      </c>
      <c r="G23" s="58">
        <f>AVERAGE(C21:G21)</f>
        <v>-0.89146678324470496</v>
      </c>
    </row>
    <row r="24" spans="2:12">
      <c r="F24" s="57">
        <f>AVERAGE(D20:G20)</f>
        <v>0.35052957960293818</v>
      </c>
    </row>
    <row r="25" spans="2:12">
      <c r="B25" s="70" t="s">
        <v>248</v>
      </c>
      <c r="H25" s="58">
        <f>H26+3%</f>
        <v>-0.85827927372615032</v>
      </c>
      <c r="I25" s="58">
        <f t="shared" ref="I25:L25" si="10">I26+3%</f>
        <v>-0.85827927372615032</v>
      </c>
      <c r="J25" s="58">
        <f t="shared" si="10"/>
        <v>-0.85827927372615032</v>
      </c>
      <c r="K25" s="58">
        <f t="shared" si="10"/>
        <v>-0.85827927372615032</v>
      </c>
      <c r="L25" s="58">
        <f t="shared" si="10"/>
        <v>-0.85827927372615032</v>
      </c>
    </row>
    <row r="26" spans="2:12">
      <c r="B26" s="70" t="s">
        <v>249</v>
      </c>
      <c r="H26" s="57">
        <f>$H$21</f>
        <v>-0.88827927372615034</v>
      </c>
      <c r="I26" s="57">
        <f t="shared" ref="I26:L26" si="11">$H$21</f>
        <v>-0.88827927372615034</v>
      </c>
      <c r="J26" s="57">
        <f t="shared" si="11"/>
        <v>-0.88827927372615034</v>
      </c>
      <c r="K26" s="57">
        <f t="shared" si="11"/>
        <v>-0.88827927372615034</v>
      </c>
      <c r="L26" s="57">
        <f t="shared" si="11"/>
        <v>-0.88827927372615034</v>
      </c>
    </row>
    <row r="27" spans="2:12">
      <c r="B27" s="70" t="s">
        <v>250</v>
      </c>
      <c r="H27" s="58">
        <f>H26-3%</f>
        <v>-0.91827927372615037</v>
      </c>
      <c r="I27" s="58">
        <f t="shared" ref="I27:L27" si="12">I26-3%</f>
        <v>-0.91827927372615037</v>
      </c>
      <c r="J27" s="58">
        <f t="shared" si="12"/>
        <v>-0.91827927372615037</v>
      </c>
      <c r="K27" s="58">
        <f t="shared" si="12"/>
        <v>-0.91827927372615037</v>
      </c>
      <c r="L27" s="58">
        <f t="shared" si="12"/>
        <v>-0.91827927372615037</v>
      </c>
    </row>
    <row r="29" spans="2:12">
      <c r="B29" s="205" t="s">
        <v>251</v>
      </c>
      <c r="C29" s="206"/>
      <c r="D29" s="206"/>
      <c r="E29" s="206"/>
      <c r="F29" s="206"/>
      <c r="G29" s="206"/>
      <c r="H29" s="207">
        <f>CHOOSE($C$2,H25,H26,H27)</f>
        <v>-0.88827927372615034</v>
      </c>
      <c r="I29" s="207">
        <f t="shared" ref="I29:L29" si="13">CHOOSE($C$2,I25,I26,I27)</f>
        <v>-0.88827927372615034</v>
      </c>
      <c r="J29" s="207">
        <f t="shared" si="13"/>
        <v>-0.88827927372615034</v>
      </c>
      <c r="K29" s="207">
        <f t="shared" si="13"/>
        <v>-0.88827927372615034</v>
      </c>
      <c r="L29" s="207">
        <f t="shared" si="13"/>
        <v>-0.88827927372615034</v>
      </c>
    </row>
    <row r="34" spans="2:12">
      <c r="B34" s="199"/>
      <c r="C34" s="199">
        <v>2020</v>
      </c>
      <c r="D34" s="199">
        <v>2021</v>
      </c>
      <c r="E34" s="199">
        <v>2022</v>
      </c>
      <c r="F34" s="199">
        <v>2023</v>
      </c>
      <c r="G34" s="199">
        <v>2024</v>
      </c>
      <c r="H34" s="200">
        <v>2025</v>
      </c>
      <c r="I34" s="200">
        <v>2026</v>
      </c>
      <c r="J34" s="200">
        <v>2027</v>
      </c>
      <c r="K34" s="200">
        <v>2028</v>
      </c>
      <c r="L34" s="200">
        <v>2029</v>
      </c>
    </row>
    <row r="35" spans="2:12">
      <c r="B35" s="70" t="s">
        <v>255</v>
      </c>
      <c r="C35" s="209">
        <v>-187631</v>
      </c>
      <c r="D35" s="202">
        <v>-202765</v>
      </c>
      <c r="E35" s="202">
        <v>-275137</v>
      </c>
      <c r="F35" s="202">
        <v>-338826</v>
      </c>
      <c r="G35" s="202">
        <v>-365377</v>
      </c>
      <c r="H35" s="208">
        <f>H45*H$7</f>
        <v>-517995.07945653331</v>
      </c>
      <c r="I35" s="208">
        <f t="shared" ref="I35:L35" si="14">I45*I$7</f>
        <v>-642424.70074744825</v>
      </c>
      <c r="J35" s="208">
        <f t="shared" si="14"/>
        <v>-796744.04738255881</v>
      </c>
      <c r="K35" s="208">
        <f>K45*K$7</f>
        <v>-988133.0470340926</v>
      </c>
      <c r="L35" s="208">
        <f t="shared" si="14"/>
        <v>-1225496.3458447475</v>
      </c>
    </row>
    <row r="36" spans="2:12">
      <c r="B36" s="204" t="s">
        <v>246</v>
      </c>
      <c r="D36" s="58">
        <f>D35/C35-1</f>
        <v>8.0658313391710257E-2</v>
      </c>
      <c r="E36" s="58">
        <f t="shared" ref="E36:G36" si="15">E35/D35-1</f>
        <v>0.35692550489482899</v>
      </c>
      <c r="F36" s="58">
        <f t="shared" si="15"/>
        <v>0.23148104398899449</v>
      </c>
      <c r="G36" s="58">
        <f t="shared" si="15"/>
        <v>7.8361755001091993E-2</v>
      </c>
    </row>
    <row r="37" spans="2:12">
      <c r="B37" s="204" t="s">
        <v>253</v>
      </c>
      <c r="C37" s="58">
        <f>C35/C7</f>
        <v>-7.8699062729902972E-2</v>
      </c>
      <c r="D37" s="58">
        <f>D35/D7</f>
        <v>-6.3006128621186083E-2</v>
      </c>
      <c r="E37" s="58">
        <f>E35/E7</f>
        <v>-4.8506137819297947E-2</v>
      </c>
      <c r="F37" s="58">
        <f>F35/F7</f>
        <v>-5.6083509684339283E-2</v>
      </c>
      <c r="G37" s="58">
        <f>G35/G7</f>
        <v>-5.2230380496685866E-2</v>
      </c>
      <c r="H37" s="57">
        <f>G39</f>
        <v>-5.9705043870282429E-2</v>
      </c>
      <c r="I37" s="57">
        <f>H37</f>
        <v>-5.9705043870282429E-2</v>
      </c>
      <c r="J37" s="57">
        <f t="shared" ref="J37:L37" si="16">I37</f>
        <v>-5.9705043870282429E-2</v>
      </c>
      <c r="K37" s="57">
        <f t="shared" si="16"/>
        <v>-5.9705043870282429E-2</v>
      </c>
      <c r="L37" s="57">
        <f t="shared" si="16"/>
        <v>-5.9705043870282429E-2</v>
      </c>
    </row>
    <row r="38" spans="2:12">
      <c r="B38" s="204" t="s">
        <v>247</v>
      </c>
      <c r="G38" s="58">
        <v>0.14258185396055811</v>
      </c>
    </row>
    <row r="39" spans="2:12">
      <c r="B39" s="204" t="s">
        <v>254</v>
      </c>
      <c r="G39" s="57">
        <f>AVERAGE(C37:G37)</f>
        <v>-5.9705043870282429E-2</v>
      </c>
    </row>
    <row r="41" spans="2:12">
      <c r="B41" s="70" t="s">
        <v>248</v>
      </c>
      <c r="H41" s="58">
        <f>H42+3%</f>
        <v>-2.970504387028243E-2</v>
      </c>
      <c r="I41" s="58">
        <f t="shared" ref="I41:L41" si="17">I42+3%</f>
        <v>-2.970504387028243E-2</v>
      </c>
      <c r="J41" s="58">
        <f t="shared" si="17"/>
        <v>-2.970504387028243E-2</v>
      </c>
      <c r="K41" s="58">
        <f t="shared" si="17"/>
        <v>-2.970504387028243E-2</v>
      </c>
      <c r="L41" s="58">
        <f t="shared" si="17"/>
        <v>-2.970504387028243E-2</v>
      </c>
    </row>
    <row r="42" spans="2:12">
      <c r="B42" s="70" t="s">
        <v>249</v>
      </c>
      <c r="H42" s="57">
        <f>$H$37</f>
        <v>-5.9705043870282429E-2</v>
      </c>
      <c r="I42" s="57">
        <f t="shared" ref="I42:L42" si="18">$H$37</f>
        <v>-5.9705043870282429E-2</v>
      </c>
      <c r="J42" s="57">
        <f t="shared" si="18"/>
        <v>-5.9705043870282429E-2</v>
      </c>
      <c r="K42" s="57">
        <f t="shared" si="18"/>
        <v>-5.9705043870282429E-2</v>
      </c>
      <c r="L42" s="57">
        <f t="shared" si="18"/>
        <v>-5.9705043870282429E-2</v>
      </c>
    </row>
    <row r="43" spans="2:12">
      <c r="B43" s="70" t="s">
        <v>250</v>
      </c>
      <c r="H43" s="58">
        <f>H42-3%</f>
        <v>-8.9705043870282428E-2</v>
      </c>
      <c r="I43" s="58">
        <f t="shared" ref="I43:L43" si="19">I42-3%</f>
        <v>-8.9705043870282428E-2</v>
      </c>
      <c r="J43" s="58">
        <f t="shared" si="19"/>
        <v>-8.9705043870282428E-2</v>
      </c>
      <c r="K43" s="58">
        <f t="shared" si="19"/>
        <v>-8.9705043870282428E-2</v>
      </c>
      <c r="L43" s="58">
        <f t="shared" si="19"/>
        <v>-8.9705043870282428E-2</v>
      </c>
    </row>
    <row r="45" spans="2:12">
      <c r="B45" s="205" t="s">
        <v>251</v>
      </c>
      <c r="C45" s="206"/>
      <c r="D45" s="206"/>
      <c r="E45" s="206"/>
      <c r="F45" s="206"/>
      <c r="G45" s="206"/>
      <c r="H45" s="207">
        <f>CHOOSE($C$2,H41,H42,H43)</f>
        <v>-5.9705043870282429E-2</v>
      </c>
      <c r="I45" s="207">
        <f t="shared" ref="I45:K45" si="20">CHOOSE($C$2,I41,I42,I43)</f>
        <v>-5.9705043870282429E-2</v>
      </c>
      <c r="J45" s="207">
        <f t="shared" si="20"/>
        <v>-5.9705043870282429E-2</v>
      </c>
      <c r="K45" s="207">
        <f t="shared" si="20"/>
        <v>-5.9705043870282429E-2</v>
      </c>
      <c r="L45" s="207">
        <f>CHOOSE($C$2,L41,L42,L43)</f>
        <v>-5.9705043870282429E-2</v>
      </c>
    </row>
    <row r="48" spans="2:12">
      <c r="B48" s="199"/>
      <c r="C48" s="199">
        <v>2020</v>
      </c>
      <c r="D48" s="199">
        <v>2021</v>
      </c>
      <c r="E48" s="199">
        <v>2022</v>
      </c>
      <c r="F48" s="199">
        <v>2023</v>
      </c>
      <c r="G48" s="199">
        <v>2024</v>
      </c>
      <c r="H48" s="200">
        <v>2025</v>
      </c>
      <c r="I48" s="200">
        <v>2026</v>
      </c>
      <c r="J48" s="200">
        <v>2027</v>
      </c>
      <c r="K48" s="200">
        <v>2028</v>
      </c>
      <c r="L48" s="200">
        <v>2029</v>
      </c>
    </row>
    <row r="49" spans="2:13">
      <c r="B49" s="70" t="s">
        <v>256</v>
      </c>
      <c r="C49" s="209">
        <v>22009</v>
      </c>
      <c r="D49" s="202">
        <v>27275</v>
      </c>
      <c r="E49" s="202">
        <v>43031</v>
      </c>
      <c r="F49" s="202">
        <v>41571</v>
      </c>
      <c r="G49" s="202">
        <v>67184</v>
      </c>
      <c r="H49" s="208">
        <f>H59*H$7</f>
        <v>83322.531056278734</v>
      </c>
      <c r="I49" s="208">
        <f t="shared" ref="I49:L49" si="21">I59*I$7</f>
        <v>103337.76169362548</v>
      </c>
      <c r="J49" s="208">
        <f t="shared" si="21"/>
        <v>128160.92906054179</v>
      </c>
      <c r="K49" s="208">
        <f t="shared" si="21"/>
        <v>158946.96641832177</v>
      </c>
      <c r="L49" s="208">
        <f t="shared" si="21"/>
        <v>197128.23805804818</v>
      </c>
    </row>
    <row r="50" spans="2:13">
      <c r="B50" s="204" t="s">
        <v>246</v>
      </c>
      <c r="D50" s="58">
        <f>D49/C49-1</f>
        <v>0.23926575491844249</v>
      </c>
      <c r="E50" s="58">
        <f t="shared" ref="E50:G50" si="22">E49/D49-1</f>
        <v>0.57767186067827692</v>
      </c>
      <c r="F50" s="58">
        <f t="shared" si="22"/>
        <v>-3.392902791011132E-2</v>
      </c>
      <c r="G50" s="58">
        <f t="shared" si="22"/>
        <v>0.61612662673498342</v>
      </c>
    </row>
    <row r="51" spans="2:13">
      <c r="B51" s="204" t="s">
        <v>253</v>
      </c>
      <c r="C51" s="58">
        <f>C49/C7</f>
        <v>9.2313512778934952E-3</v>
      </c>
      <c r="D51" s="58">
        <f t="shared" ref="D51:G51" si="23">D49/D7</f>
        <v>8.4752899077397501E-3</v>
      </c>
      <c r="E51" s="58">
        <f t="shared" si="23"/>
        <v>7.5862847108975158E-3</v>
      </c>
      <c r="F51" s="58">
        <f t="shared" si="23"/>
        <v>6.880958312194662E-3</v>
      </c>
      <c r="G51" s="58">
        <f t="shared" si="23"/>
        <v>9.6039046882790743E-3</v>
      </c>
      <c r="H51" s="57">
        <f>G51</f>
        <v>9.6039046882790743E-3</v>
      </c>
      <c r="I51" s="57">
        <f>H51</f>
        <v>9.6039046882790743E-3</v>
      </c>
      <c r="J51" s="57">
        <f t="shared" ref="J51:L51" si="24">I51</f>
        <v>9.6039046882790743E-3</v>
      </c>
      <c r="K51" s="57">
        <f t="shared" si="24"/>
        <v>9.6039046882790743E-3</v>
      </c>
      <c r="L51" s="57">
        <f t="shared" si="24"/>
        <v>9.6039046882790743E-3</v>
      </c>
    </row>
    <row r="52" spans="2:13">
      <c r="B52" s="204" t="s">
        <v>247</v>
      </c>
      <c r="G52" s="58">
        <v>0.25006647845725483</v>
      </c>
    </row>
    <row r="53" spans="2:13">
      <c r="B53" s="204" t="s">
        <v>254</v>
      </c>
      <c r="G53" s="57">
        <f>AVERAGE(C51:G51)</f>
        <v>8.355557779400901E-3</v>
      </c>
    </row>
    <row r="55" spans="2:13">
      <c r="B55" s="70" t="s">
        <v>248</v>
      </c>
      <c r="H55" s="58">
        <f>H56+3%</f>
        <v>3.9603904688279075E-2</v>
      </c>
      <c r="I55" s="58">
        <f t="shared" ref="I55:L55" si="25">I56+3%</f>
        <v>3.9603904688279075E-2</v>
      </c>
      <c r="J55" s="58">
        <f t="shared" si="25"/>
        <v>3.9603904688279075E-2</v>
      </c>
      <c r="K55" s="58">
        <f t="shared" si="25"/>
        <v>3.9603904688279075E-2</v>
      </c>
      <c r="L55" s="58">
        <f t="shared" si="25"/>
        <v>3.9603904688279075E-2</v>
      </c>
    </row>
    <row r="56" spans="2:13">
      <c r="B56" s="70" t="s">
        <v>249</v>
      </c>
      <c r="H56" s="57">
        <f>$H$51</f>
        <v>9.6039046882790743E-3</v>
      </c>
      <c r="I56" s="57">
        <f t="shared" ref="I56:L56" si="26">$H$51</f>
        <v>9.6039046882790743E-3</v>
      </c>
      <c r="J56" s="57">
        <f t="shared" si="26"/>
        <v>9.6039046882790743E-3</v>
      </c>
      <c r="K56" s="57">
        <f t="shared" si="26"/>
        <v>9.6039046882790743E-3</v>
      </c>
      <c r="L56" s="57">
        <f t="shared" si="26"/>
        <v>9.6039046882790743E-3</v>
      </c>
    </row>
    <row r="57" spans="2:13">
      <c r="B57" s="70" t="s">
        <v>250</v>
      </c>
      <c r="H57" s="58">
        <f>H56-3%</f>
        <v>-2.0396095311720923E-2</v>
      </c>
      <c r="I57" s="58">
        <f t="shared" ref="I57:L57" si="27">I56-3%</f>
        <v>-2.0396095311720923E-2</v>
      </c>
      <c r="J57" s="58">
        <f t="shared" si="27"/>
        <v>-2.0396095311720923E-2</v>
      </c>
      <c r="K57" s="58">
        <f t="shared" si="27"/>
        <v>-2.0396095311720923E-2</v>
      </c>
      <c r="L57" s="58">
        <f t="shared" si="27"/>
        <v>-2.0396095311720923E-2</v>
      </c>
      <c r="M57" s="58"/>
    </row>
    <row r="59" spans="2:13">
      <c r="B59" s="205" t="s">
        <v>251</v>
      </c>
      <c r="C59" s="206"/>
      <c r="D59" s="206"/>
      <c r="E59" s="206"/>
      <c r="F59" s="206"/>
      <c r="G59" s="206"/>
      <c r="H59" s="207">
        <f>CHOOSE($C$2,H55,H56,H57)</f>
        <v>9.6039046882790743E-3</v>
      </c>
      <c r="I59" s="207">
        <f t="shared" ref="I59:L59" si="28">CHOOSE($C$2,I55,I56,I57)</f>
        <v>9.6039046882790743E-3</v>
      </c>
      <c r="J59" s="207">
        <f t="shared" si="28"/>
        <v>9.6039046882790743E-3</v>
      </c>
      <c r="K59" s="207">
        <f t="shared" si="28"/>
        <v>9.6039046882790743E-3</v>
      </c>
      <c r="L59" s="207">
        <f t="shared" si="28"/>
        <v>9.6039046882790743E-3</v>
      </c>
    </row>
    <row r="62" spans="2:13">
      <c r="B62" s="199"/>
      <c r="C62" s="199">
        <v>2020</v>
      </c>
      <c r="D62" s="199">
        <v>2021</v>
      </c>
      <c r="E62" s="199">
        <v>2022</v>
      </c>
      <c r="F62" s="199">
        <v>2023</v>
      </c>
      <c r="G62" s="199">
        <v>2024</v>
      </c>
      <c r="H62" s="200">
        <v>2025</v>
      </c>
      <c r="I62" s="200">
        <v>2026</v>
      </c>
      <c r="J62" s="200">
        <v>2027</v>
      </c>
      <c r="K62" s="200">
        <v>2028</v>
      </c>
      <c r="L62" s="200">
        <v>2029</v>
      </c>
    </row>
    <row r="63" spans="2:13">
      <c r="B63" s="70" t="s">
        <v>257</v>
      </c>
      <c r="C63" s="90">
        <f>SUM(Adjustment!B20:B21)</f>
        <v>47890</v>
      </c>
      <c r="D63" s="90">
        <f>SUM(Adjustment!C20:C21)</f>
        <v>50448</v>
      </c>
      <c r="E63" s="90">
        <f>SUM(Adjustment!D20:D21)</f>
        <v>60067</v>
      </c>
      <c r="F63" s="90">
        <f>SUM(Adjustment!E20:E21)</f>
        <v>67762</v>
      </c>
      <c r="G63" s="90">
        <f>SUM(Adjustment!F20:F21)</f>
        <v>72760</v>
      </c>
      <c r="H63" s="208">
        <f>H73*H$7</f>
        <v>-117939.44786560713</v>
      </c>
      <c r="I63" s="208">
        <f t="shared" ref="I63:L63" si="29">I73*I$7</f>
        <v>-146270.14330111956</v>
      </c>
      <c r="J63" s="208">
        <f t="shared" si="29"/>
        <v>-181406.26574502673</v>
      </c>
      <c r="K63" s="208">
        <f t="shared" si="29"/>
        <v>-224982.57340056475</v>
      </c>
      <c r="L63" s="208">
        <f t="shared" si="29"/>
        <v>-279026.51612422703</v>
      </c>
    </row>
    <row r="64" spans="2:13">
      <c r="B64" s="204" t="s">
        <v>246</v>
      </c>
      <c r="D64" s="58">
        <f>D63/C63-1</f>
        <v>5.3414073919398675E-2</v>
      </c>
      <c r="E64" s="58">
        <f t="shared" ref="E64:G64" si="30">E63/D63-1</f>
        <v>0.19067158261972716</v>
      </c>
      <c r="F64" s="58">
        <f t="shared" si="30"/>
        <v>0.12810694724224625</v>
      </c>
      <c r="G64" s="58">
        <f t="shared" si="30"/>
        <v>7.3758153537380799E-2</v>
      </c>
    </row>
    <row r="65" spans="2:13">
      <c r="B65" s="204" t="s">
        <v>253</v>
      </c>
      <c r="C65" s="58">
        <f>C63/C7</f>
        <v>2.0086755995198304E-2</v>
      </c>
      <c r="D65" s="58">
        <f t="shared" ref="D65:G65" si="31">D63/D7</f>
        <v>1.5675945930913104E-2</v>
      </c>
      <c r="E65" s="58">
        <f t="shared" si="31"/>
        <v>1.0589699605621089E-2</v>
      </c>
      <c r="F65" s="58">
        <f t="shared" si="31"/>
        <v>1.1216172263138598E-2</v>
      </c>
      <c r="G65" s="58">
        <f t="shared" si="31"/>
        <v>1.040098989520102E-2</v>
      </c>
      <c r="H65" s="57">
        <f>G67</f>
        <v>1.3593912738014422E-2</v>
      </c>
      <c r="I65" s="57">
        <f>H65</f>
        <v>1.3593912738014422E-2</v>
      </c>
      <c r="J65" s="57">
        <f t="shared" ref="J65:L65" si="32">I65</f>
        <v>1.3593912738014422E-2</v>
      </c>
      <c r="K65" s="57">
        <f t="shared" si="32"/>
        <v>1.3593912738014422E-2</v>
      </c>
      <c r="L65" s="57">
        <f t="shared" si="32"/>
        <v>1.3593912738014422E-2</v>
      </c>
      <c r="M65" s="57"/>
    </row>
    <row r="66" spans="2:13">
      <c r="B66" s="204" t="s">
        <v>247</v>
      </c>
      <c r="G66" s="58">
        <v>8.7250386369001287E-2</v>
      </c>
    </row>
    <row r="67" spans="2:13">
      <c r="B67" s="204" t="s">
        <v>254</v>
      </c>
      <c r="G67" s="57">
        <f>AVERAGE(C65:G65)</f>
        <v>1.3593912738014422E-2</v>
      </c>
    </row>
    <row r="69" spans="2:13">
      <c r="B69" s="70" t="s">
        <v>248</v>
      </c>
      <c r="H69" s="58">
        <f>H70+3%</f>
        <v>1.6406087261985579E-2</v>
      </c>
      <c r="I69" s="58">
        <f t="shared" ref="I69:L69" si="33">I70+3%</f>
        <v>1.6406087261985579E-2</v>
      </c>
      <c r="J69" s="58">
        <f t="shared" si="33"/>
        <v>1.6406087261985579E-2</v>
      </c>
      <c r="K69" s="58">
        <f t="shared" si="33"/>
        <v>1.6406087261985579E-2</v>
      </c>
      <c r="L69" s="58">
        <f t="shared" si="33"/>
        <v>1.6406087261985579E-2</v>
      </c>
    </row>
    <row r="70" spans="2:13">
      <c r="B70" s="70" t="s">
        <v>249</v>
      </c>
      <c r="H70" s="57">
        <f>-$H$65</f>
        <v>-1.3593912738014422E-2</v>
      </c>
      <c r="I70" s="57">
        <f t="shared" ref="I70:L70" si="34">-$H$65</f>
        <v>-1.3593912738014422E-2</v>
      </c>
      <c r="J70" s="57">
        <f t="shared" si="34"/>
        <v>-1.3593912738014422E-2</v>
      </c>
      <c r="K70" s="57">
        <f t="shared" si="34"/>
        <v>-1.3593912738014422E-2</v>
      </c>
      <c r="L70" s="57">
        <f t="shared" si="34"/>
        <v>-1.3593912738014422E-2</v>
      </c>
    </row>
    <row r="71" spans="2:13">
      <c r="B71" s="70" t="s">
        <v>250</v>
      </c>
      <c r="H71" s="58">
        <f>H70-3%</f>
        <v>-4.3593912738014419E-2</v>
      </c>
      <c r="I71" s="58">
        <f t="shared" ref="I71:L71" si="35">I70-3%</f>
        <v>-4.3593912738014419E-2</v>
      </c>
      <c r="J71" s="58">
        <f t="shared" si="35"/>
        <v>-4.3593912738014419E-2</v>
      </c>
      <c r="K71" s="58">
        <f t="shared" si="35"/>
        <v>-4.3593912738014419E-2</v>
      </c>
      <c r="L71" s="58">
        <f t="shared" si="35"/>
        <v>-4.3593912738014419E-2</v>
      </c>
    </row>
    <row r="73" spans="2:13">
      <c r="B73" s="205" t="s">
        <v>251</v>
      </c>
      <c r="C73" s="206"/>
      <c r="D73" s="206"/>
      <c r="E73" s="206"/>
      <c r="F73" s="206"/>
      <c r="G73" s="206"/>
      <c r="H73" s="207">
        <f>CHOOSE($C$2,H69,H70,H71)</f>
        <v>-1.3593912738014422E-2</v>
      </c>
      <c r="I73" s="207">
        <f t="shared" ref="I73:L73" si="36">CHOOSE($C$2,I69,I70,I71)</f>
        <v>-1.3593912738014422E-2</v>
      </c>
      <c r="J73" s="207">
        <f t="shared" si="36"/>
        <v>-1.3593912738014422E-2</v>
      </c>
      <c r="K73" s="207">
        <f t="shared" si="36"/>
        <v>-1.3593912738014422E-2</v>
      </c>
      <c r="L73" s="207">
        <f t="shared" si="36"/>
        <v>-1.3593912738014422E-2</v>
      </c>
    </row>
    <row r="76" spans="2:13">
      <c r="B76" s="199"/>
      <c r="C76" s="199">
        <v>2020</v>
      </c>
      <c r="D76" s="199">
        <v>2021</v>
      </c>
      <c r="E76" s="199">
        <v>2022</v>
      </c>
      <c r="F76" s="199">
        <v>2023</v>
      </c>
      <c r="G76" s="199">
        <v>2024</v>
      </c>
      <c r="H76" s="200">
        <v>2025</v>
      </c>
      <c r="I76" s="200">
        <v>2026</v>
      </c>
      <c r="J76" s="200">
        <v>2027</v>
      </c>
      <c r="K76" s="200">
        <v>2028</v>
      </c>
      <c r="L76" s="200">
        <v>2029</v>
      </c>
    </row>
    <row r="77" spans="2:13">
      <c r="B77" s="70" t="s">
        <v>259</v>
      </c>
      <c r="C77" s="202">
        <v>-39512</v>
      </c>
      <c r="D77" s="202">
        <v>-39479</v>
      </c>
      <c r="E77" s="202">
        <v>-56892</v>
      </c>
      <c r="F77" s="202">
        <v>-69331</v>
      </c>
      <c r="G77" s="202">
        <v>-132202</v>
      </c>
    </row>
    <row r="78" spans="2:13">
      <c r="B78" s="204" t="s">
        <v>246</v>
      </c>
      <c r="D78" s="58">
        <f>D77/C77-1</f>
        <v>-8.3518930957682258E-4</v>
      </c>
      <c r="E78" s="58">
        <f t="shared" ref="E78:G78" si="37">E77/D77-1</f>
        <v>0.44106993591529675</v>
      </c>
      <c r="F78" s="58">
        <f t="shared" si="37"/>
        <v>0.21864233987203829</v>
      </c>
      <c r="G78" s="58">
        <f t="shared" si="37"/>
        <v>0.90682378733899704</v>
      </c>
    </row>
    <row r="79" spans="2:13">
      <c r="B79" s="204" t="s">
        <v>258</v>
      </c>
      <c r="C79" s="58">
        <f>C77/Adjustment!B8</f>
        <v>-0.25998328716467406</v>
      </c>
      <c r="D79" s="58">
        <f>D77/Adjustment!C8</f>
        <v>-0.31881096970088507</v>
      </c>
      <c r="E79" s="58">
        <f>E77/Adjustment!D8</f>
        <v>-0.30591372987621923</v>
      </c>
      <c r="F79" s="58">
        <f>F77/Adjustment!E8</f>
        <v>-0.36364828432658114</v>
      </c>
      <c r="G79" s="58">
        <f>G77/Adjustment!F8</f>
        <v>-0.40832576613974292</v>
      </c>
      <c r="H79" s="57">
        <v>0.25</v>
      </c>
      <c r="I79" s="57">
        <v>0.25</v>
      </c>
      <c r="J79" s="57">
        <v>0.25</v>
      </c>
      <c r="K79" s="57">
        <v>0.25</v>
      </c>
      <c r="L79" s="57">
        <v>0.25</v>
      </c>
    </row>
    <row r="80" spans="2:13">
      <c r="B80" s="204" t="s">
        <v>247</v>
      </c>
      <c r="G80" s="58">
        <v>0.27321516403697221</v>
      </c>
    </row>
    <row r="81" spans="2:12">
      <c r="B81" s="204" t="s">
        <v>277</v>
      </c>
      <c r="G81" s="57">
        <f>-AVERAGE(C79:G79)</f>
        <v>0.33133640744162046</v>
      </c>
    </row>
    <row r="83" spans="2:12">
      <c r="B83" s="70" t="s">
        <v>248</v>
      </c>
      <c r="H83" s="58">
        <f>H84+3%</f>
        <v>-0.22</v>
      </c>
      <c r="I83" s="58">
        <f t="shared" ref="I83:L83" si="38">I84+3%</f>
        <v>-0.22</v>
      </c>
      <c r="J83" s="58">
        <f t="shared" si="38"/>
        <v>-0.22</v>
      </c>
      <c r="K83" s="58">
        <f t="shared" si="38"/>
        <v>-0.22</v>
      </c>
      <c r="L83" s="58">
        <f t="shared" si="38"/>
        <v>-0.22</v>
      </c>
    </row>
    <row r="84" spans="2:12">
      <c r="B84" s="70" t="s">
        <v>249</v>
      </c>
      <c r="H84" s="57">
        <f>-$H$79</f>
        <v>-0.25</v>
      </c>
      <c r="I84" s="57">
        <f t="shared" ref="I84:L84" si="39">-$H$79</f>
        <v>-0.25</v>
      </c>
      <c r="J84" s="57">
        <f t="shared" si="39"/>
        <v>-0.25</v>
      </c>
      <c r="K84" s="57">
        <f t="shared" si="39"/>
        <v>-0.25</v>
      </c>
      <c r="L84" s="57">
        <f t="shared" si="39"/>
        <v>-0.25</v>
      </c>
    </row>
    <row r="85" spans="2:12">
      <c r="B85" s="70" t="s">
        <v>250</v>
      </c>
      <c r="H85" s="58">
        <f>H84-3%</f>
        <v>-0.28000000000000003</v>
      </c>
      <c r="I85" s="58">
        <f t="shared" ref="I85:L85" si="40">I84-3%</f>
        <v>-0.28000000000000003</v>
      </c>
      <c r="J85" s="58">
        <f t="shared" si="40"/>
        <v>-0.28000000000000003</v>
      </c>
      <c r="K85" s="58">
        <f t="shared" si="40"/>
        <v>-0.28000000000000003</v>
      </c>
      <c r="L85" s="58">
        <f t="shared" si="40"/>
        <v>-0.28000000000000003</v>
      </c>
    </row>
    <row r="87" spans="2:12">
      <c r="B87" s="205" t="s">
        <v>251</v>
      </c>
      <c r="C87" s="206"/>
      <c r="D87" s="206"/>
      <c r="E87" s="206"/>
      <c r="F87" s="206"/>
      <c r="G87" s="206"/>
      <c r="H87" s="207">
        <f>CHOOSE($C$2,H83,H84,H85)</f>
        <v>-0.25</v>
      </c>
      <c r="I87" s="207">
        <f t="shared" ref="I87:L87" si="41">CHOOSE($C$2,I83,I84,I85)</f>
        <v>-0.25</v>
      </c>
      <c r="J87" s="207">
        <f t="shared" si="41"/>
        <v>-0.25</v>
      </c>
      <c r="K87" s="207">
        <f t="shared" si="41"/>
        <v>-0.25</v>
      </c>
      <c r="L87" s="207">
        <f t="shared" si="41"/>
        <v>-0.25</v>
      </c>
    </row>
    <row r="90" spans="2:12">
      <c r="B90" s="210" t="s">
        <v>260</v>
      </c>
      <c r="C90" s="199">
        <v>2020</v>
      </c>
      <c r="D90" s="199">
        <v>2021</v>
      </c>
      <c r="E90" s="199">
        <v>2022</v>
      </c>
      <c r="F90" s="199">
        <v>2023</v>
      </c>
      <c r="G90" s="199">
        <v>2024</v>
      </c>
      <c r="H90" s="200">
        <v>2025</v>
      </c>
      <c r="I90" s="200">
        <v>2026</v>
      </c>
      <c r="J90" s="200">
        <v>2027</v>
      </c>
      <c r="K90" s="200">
        <v>2028</v>
      </c>
      <c r="L90" s="200">
        <v>2029</v>
      </c>
    </row>
    <row r="91" spans="2:12">
      <c r="B91" s="211" t="s">
        <v>261</v>
      </c>
      <c r="C91" s="74">
        <f>C7/FS!C35</f>
        <v>8.3183875120807507</v>
      </c>
      <c r="D91" s="74">
        <f>D7/AVERAGE(FS!C35:D35)</f>
        <v>10.855301615892788</v>
      </c>
      <c r="E91" s="74">
        <f>E7/AVERAGE(FS!D35:E35)</f>
        <v>16.931186765985455</v>
      </c>
      <c r="F91" s="74">
        <f>F7/AVERAGE(FS!E35:F35)</f>
        <v>15.747452407359379</v>
      </c>
      <c r="G91" s="74">
        <f>G7/AVERAGE(FS!F35:G35)</f>
        <v>16.46863232782416</v>
      </c>
      <c r="H91" s="74">
        <f>G91-0.1</f>
        <v>16.368632327824159</v>
      </c>
      <c r="I91" s="74">
        <f t="shared" ref="I91:L91" si="42">H91-0.02</f>
        <v>16.348632327824159</v>
      </c>
      <c r="J91" s="74">
        <f t="shared" si="42"/>
        <v>16.32863232782416</v>
      </c>
      <c r="K91" s="74">
        <f t="shared" si="42"/>
        <v>16.30863232782416</v>
      </c>
      <c r="L91" s="74">
        <f t="shared" si="42"/>
        <v>16.28863232782416</v>
      </c>
    </row>
    <row r="92" spans="2:12">
      <c r="B92" s="211" t="s">
        <v>262</v>
      </c>
      <c r="D92">
        <f t="shared" ref="D92:L92" si="43">C95</f>
        <v>286613</v>
      </c>
      <c r="E92" s="212">
        <f t="shared" si="43"/>
        <v>296461.5</v>
      </c>
      <c r="F92" s="212">
        <f t="shared" si="43"/>
        <v>335015.5</v>
      </c>
      <c r="G92" s="212">
        <f t="shared" si="43"/>
        <v>383646.5</v>
      </c>
      <c r="H92" s="212">
        <f t="shared" si="43"/>
        <v>424776.50000000006</v>
      </c>
      <c r="I92" s="212">
        <f t="shared" si="43"/>
        <v>530032.15678854554</v>
      </c>
      <c r="J92" s="212">
        <f t="shared" si="43"/>
        <v>658157.42054652364</v>
      </c>
      <c r="K92" s="212">
        <f t="shared" si="43"/>
        <v>817255.77013508871</v>
      </c>
      <c r="L92" s="212">
        <f t="shared" si="43"/>
        <v>1014814.9591414096</v>
      </c>
    </row>
    <row r="93" spans="2:12">
      <c r="B93" s="213" t="s">
        <v>263</v>
      </c>
      <c r="C93" s="214">
        <f>(C95-C92)+C94</f>
        <v>334503</v>
      </c>
      <c r="D93" s="215">
        <f>(D95-D92)+D94</f>
        <v>60296.5</v>
      </c>
      <c r="E93" s="215">
        <f t="shared" ref="E93:L93" si="44">(E95-E92)+E94</f>
        <v>98621</v>
      </c>
      <c r="F93" s="215">
        <f t="shared" si="44"/>
        <v>116393</v>
      </c>
      <c r="G93" s="215">
        <f t="shared" si="44"/>
        <v>113890.00000000006</v>
      </c>
      <c r="H93" s="215">
        <f t="shared" si="44"/>
        <v>223195.10465415262</v>
      </c>
      <c r="I93" s="215">
        <f t="shared" si="44"/>
        <v>274395.40705909766</v>
      </c>
      <c r="J93" s="215">
        <f t="shared" si="44"/>
        <v>340504.61533359182</v>
      </c>
      <c r="K93" s="215">
        <f t="shared" si="44"/>
        <v>422541.76240688562</v>
      </c>
      <c r="L93" s="215">
        <f t="shared" si="44"/>
        <v>524344.53829050297</v>
      </c>
    </row>
    <row r="94" spans="2:12">
      <c r="B94" s="211" t="s">
        <v>264</v>
      </c>
      <c r="C94" s="90">
        <f>C63</f>
        <v>47890</v>
      </c>
      <c r="D94" s="90">
        <f t="shared" ref="D94:G94" si="45">D63</f>
        <v>50448</v>
      </c>
      <c r="E94" s="90">
        <f t="shared" si="45"/>
        <v>60067</v>
      </c>
      <c r="F94" s="90">
        <f t="shared" si="45"/>
        <v>67762</v>
      </c>
      <c r="G94" s="90">
        <f t="shared" si="45"/>
        <v>72760</v>
      </c>
      <c r="H94" s="90">
        <f>-H63</f>
        <v>117939.44786560713</v>
      </c>
      <c r="I94" s="90">
        <f t="shared" ref="I94:L94" si="46">-I63</f>
        <v>146270.14330111956</v>
      </c>
      <c r="J94" s="90">
        <f t="shared" si="46"/>
        <v>181406.26574502673</v>
      </c>
      <c r="K94" s="90">
        <f t="shared" si="46"/>
        <v>224982.57340056475</v>
      </c>
      <c r="L94" s="90">
        <f t="shared" si="46"/>
        <v>279026.51612422703</v>
      </c>
    </row>
    <row r="95" spans="2:12">
      <c r="B95" s="211" t="s">
        <v>265</v>
      </c>
      <c r="C95">
        <f>C7/C91</f>
        <v>286613</v>
      </c>
      <c r="D95" s="212">
        <f t="shared" ref="D95:F95" si="47">D7/D91</f>
        <v>296461.5</v>
      </c>
      <c r="E95" s="212">
        <f t="shared" si="47"/>
        <v>335015.5</v>
      </c>
      <c r="F95" s="212">
        <f t="shared" si="47"/>
        <v>383646.5</v>
      </c>
      <c r="G95" s="212">
        <f t="shared" ref="G95:L95" si="48">G7/G91</f>
        <v>424776.50000000006</v>
      </c>
      <c r="H95" s="212">
        <f t="shared" si="48"/>
        <v>530032.15678854554</v>
      </c>
      <c r="I95" s="212">
        <f t="shared" si="48"/>
        <v>658157.42054652364</v>
      </c>
      <c r="J95" s="212">
        <f t="shared" si="48"/>
        <v>817255.77013508871</v>
      </c>
      <c r="K95" s="212">
        <f t="shared" si="48"/>
        <v>1014814.9591414096</v>
      </c>
      <c r="L95" s="212">
        <f t="shared" si="48"/>
        <v>1260132.9813076856</v>
      </c>
    </row>
    <row r="96" spans="2:12">
      <c r="B96" s="211"/>
    </row>
    <row r="97" spans="2:12">
      <c r="B97" s="211"/>
    </row>
    <row r="98" spans="2:12">
      <c r="B98" s="211"/>
    </row>
    <row r="99" spans="2:12">
      <c r="B99" s="216" t="s">
        <v>266</v>
      </c>
    </row>
    <row r="100" spans="2:12">
      <c r="B100" s="211" t="s">
        <v>120</v>
      </c>
      <c r="C100" s="75">
        <f>Ratios!B19</f>
        <v>18.828627338766996</v>
      </c>
      <c r="D100" s="75">
        <f>Ratios!C19</f>
        <v>19.915151348489953</v>
      </c>
      <c r="E100" s="75">
        <f>Ratios!D19</f>
        <v>19.176259910184619</v>
      </c>
      <c r="F100" s="75">
        <f>Ratios!E19</f>
        <v>14.0676778132907</v>
      </c>
      <c r="G100" s="75">
        <f>Ratios!F19</f>
        <v>16.027657875969012</v>
      </c>
      <c r="H100" s="75">
        <f>G100+0.5</f>
        <v>16.527657875969012</v>
      </c>
      <c r="I100" s="75">
        <f>H100+0.5</f>
        <v>17.027657875969012</v>
      </c>
      <c r="J100" s="75">
        <f>I100+0.5</f>
        <v>17.527657875969012</v>
      </c>
      <c r="K100" s="75">
        <f>J100+0.5</f>
        <v>18.027657875969012</v>
      </c>
      <c r="L100" s="75">
        <f>K100+0.5</f>
        <v>18.527657875969012</v>
      </c>
    </row>
    <row r="101" spans="2:12">
      <c r="B101" s="211" t="s">
        <v>267</v>
      </c>
      <c r="C101" s="212">
        <f>-C19/C100</f>
        <v>108337</v>
      </c>
      <c r="D101" s="212">
        <f t="shared" ref="D101:G101" si="49">-D19/D100</f>
        <v>145459</v>
      </c>
      <c r="E101" s="212">
        <f t="shared" si="49"/>
        <v>270555</v>
      </c>
      <c r="F101" s="212">
        <f t="shared" si="49"/>
        <v>385931.5</v>
      </c>
      <c r="G101" s="212">
        <f t="shared" si="49"/>
        <v>387701.5</v>
      </c>
      <c r="H101" s="212">
        <f>-H19/H100</f>
        <v>459150.60011654266</v>
      </c>
      <c r="I101" s="212">
        <f t="shared" ref="I101" si="50">-I19/I100</f>
        <v>552723.78227933671</v>
      </c>
      <c r="J101" s="212">
        <f t="shared" ref="J101" si="51">-J19/J100</f>
        <v>665941.0341028301</v>
      </c>
      <c r="K101" s="212">
        <f t="shared" ref="K101" si="52">-K19/K100</f>
        <v>803002.60246782424</v>
      </c>
      <c r="L101" s="212">
        <f t="shared" ref="L101" si="53">-L19/L100</f>
        <v>969019.09317880101</v>
      </c>
    </row>
    <row r="102" spans="2:12">
      <c r="B102" s="211" t="s">
        <v>121</v>
      </c>
      <c r="C102" s="75">
        <f>Ratios!B21</f>
        <v>10.296826075502175</v>
      </c>
      <c r="D102" s="75">
        <f>Ratios!C21</f>
        <v>12.254710927905714</v>
      </c>
      <c r="E102" s="75">
        <f>Ratios!D21</f>
        <v>13.052300463325706</v>
      </c>
      <c r="F102" s="75">
        <f>Ratios!E21</f>
        <v>10.340627939159033</v>
      </c>
      <c r="G102" s="75">
        <f>Ratios!F21</f>
        <v>11.306305148737444</v>
      </c>
      <c r="H102" s="75">
        <f>G102+0.5</f>
        <v>11.806305148737444</v>
      </c>
      <c r="I102" s="75">
        <f t="shared" ref="I102:K102" si="54">H102+0.5</f>
        <v>12.306305148737444</v>
      </c>
      <c r="J102" s="75">
        <f t="shared" si="54"/>
        <v>12.806305148737444</v>
      </c>
      <c r="K102" s="75">
        <f t="shared" si="54"/>
        <v>13.306305148737444</v>
      </c>
      <c r="L102" s="75">
        <f>K102+0.5</f>
        <v>13.806305148737444</v>
      </c>
    </row>
    <row r="103" spans="2:12">
      <c r="B103" s="211" t="s">
        <v>268</v>
      </c>
      <c r="C103" s="90">
        <f>C7/C102</f>
        <v>231543</v>
      </c>
      <c r="D103" s="90">
        <f t="shared" ref="D103:G103" si="55">D7/D102</f>
        <v>262607.5</v>
      </c>
      <c r="E103" s="90">
        <f t="shared" si="55"/>
        <v>434575.5</v>
      </c>
      <c r="F103" s="90">
        <f t="shared" si="55"/>
        <v>584244.5</v>
      </c>
      <c r="G103" s="90">
        <f t="shared" si="55"/>
        <v>618724.5</v>
      </c>
      <c r="H103" s="90">
        <f t="shared" ref="H103" si="56">H7/H102</f>
        <v>734853.23198876856</v>
      </c>
      <c r="I103" s="90">
        <f t="shared" ref="I103" si="57">I7/I102</f>
        <v>874346.40635805856</v>
      </c>
      <c r="J103" s="90">
        <f t="shared" ref="J103" si="58">J7/J102</f>
        <v>1042038.9670040208</v>
      </c>
      <c r="K103" s="90">
        <f t="shared" ref="K103" si="59">K7/K102</f>
        <v>1243789.6068378908</v>
      </c>
      <c r="L103" s="90">
        <f t="shared" ref="L103" si="60">L7/L102</f>
        <v>1486700.6484035919</v>
      </c>
    </row>
    <row r="104" spans="2:12">
      <c r="B104" s="211" t="s">
        <v>269</v>
      </c>
      <c r="C104" s="75">
        <f>Ratios!B24</f>
        <v>10.296826075502175</v>
      </c>
      <c r="D104" s="75">
        <f>Ratios!C24</f>
        <v>10.958412787054945</v>
      </c>
      <c r="E104" s="75">
        <f>Ratios!D24</f>
        <v>9.8565021486448678</v>
      </c>
      <c r="F104" s="75">
        <f>Ratios!E24</f>
        <v>10.18777929545876</v>
      </c>
      <c r="G104" s="75">
        <f>Ratios!F24</f>
        <v>10.855159293587135</v>
      </c>
      <c r="H104" s="75">
        <v>10</v>
      </c>
      <c r="I104" s="75">
        <v>10</v>
      </c>
      <c r="J104" s="75">
        <v>10</v>
      </c>
      <c r="K104" s="75">
        <v>10</v>
      </c>
      <c r="L104" s="75">
        <v>10</v>
      </c>
    </row>
    <row r="105" spans="2:12">
      <c r="B105" s="211" t="s">
        <v>270</v>
      </c>
      <c r="C105" s="212">
        <f>-C19/C104</f>
        <v>198103.47237515298</v>
      </c>
      <c r="D105" s="212">
        <f t="shared" ref="D105:G105" si="61">-D19/D104</f>
        <v>264348.31907609862</v>
      </c>
      <c r="E105" s="212">
        <f t="shared" si="61"/>
        <v>526376.69243681035</v>
      </c>
      <c r="F105" s="212">
        <f t="shared" si="61"/>
        <v>532909.07101021195</v>
      </c>
      <c r="G105" s="212">
        <f t="shared" si="61"/>
        <v>572441.80688080657</v>
      </c>
      <c r="H105" s="212">
        <f t="shared" ref="H105" si="62">-H19/H104</f>
        <v>758868.40322720748</v>
      </c>
      <c r="I105" s="212">
        <f t="shared" ref="I105" si="63">-I19/I104</f>
        <v>941159.14645641297</v>
      </c>
      <c r="J105" s="212">
        <f t="shared" ref="J105" si="64">-J19/J104</f>
        <v>1167238.6611323417</v>
      </c>
      <c r="K105" s="212">
        <f t="shared" ref="K105" si="65">-K19/K104</f>
        <v>1447625.6190802685</v>
      </c>
      <c r="L105" s="212">
        <f t="shared" ref="L105" si="66">-L19/L104</f>
        <v>1795365.4233698561</v>
      </c>
    </row>
    <row r="106" spans="2:12">
      <c r="B106" s="211" t="s">
        <v>271</v>
      </c>
      <c r="C106" s="212">
        <f>C101+C103-C105</f>
        <v>141776.52762484702</v>
      </c>
      <c r="D106" s="212">
        <f t="shared" ref="D106:G106" si="67">D101+D103-D105</f>
        <v>143718.18092390138</v>
      </c>
      <c r="E106" s="212">
        <f t="shared" si="67"/>
        <v>178753.80756318965</v>
      </c>
      <c r="F106" s="212">
        <f t="shared" si="67"/>
        <v>437266.92898978805</v>
      </c>
      <c r="G106" s="212">
        <f t="shared" si="67"/>
        <v>433984.19311919343</v>
      </c>
      <c r="H106" s="212">
        <f t="shared" ref="H106" si="68">H101+H103-H105</f>
        <v>435135.42887810362</v>
      </c>
      <c r="I106" s="212">
        <f t="shared" ref="I106" si="69">I101+I103-I105</f>
        <v>485911.04218098242</v>
      </c>
      <c r="J106" s="212">
        <f t="shared" ref="J106" si="70">J101+J103-J105</f>
        <v>540741.33997450909</v>
      </c>
      <c r="K106" s="212">
        <f t="shared" ref="K106" si="71">K101+K103-K105</f>
        <v>599166.5902254465</v>
      </c>
      <c r="L106" s="212">
        <f>L101+L103-L105</f>
        <v>660354.31821253663</v>
      </c>
    </row>
    <row r="107" spans="2:12">
      <c r="B107" s="213" t="s">
        <v>272</v>
      </c>
      <c r="C107" s="217"/>
      <c r="D107" s="215">
        <f>D106-C106</f>
        <v>1941.6532990543637</v>
      </c>
      <c r="E107" s="215">
        <f t="shared" ref="E107:K107" si="72">E106-D106</f>
        <v>35035.626639288268</v>
      </c>
      <c r="F107" s="215">
        <f t="shared" si="72"/>
        <v>258513.1214265984</v>
      </c>
      <c r="G107" s="215">
        <f t="shared" si="72"/>
        <v>-3282.7358705946244</v>
      </c>
      <c r="H107" s="215">
        <f t="shared" si="72"/>
        <v>1151.2357589101885</v>
      </c>
      <c r="I107" s="215">
        <f t="shared" si="72"/>
        <v>50775.613302878803</v>
      </c>
      <c r="J107" s="215">
        <f t="shared" si="72"/>
        <v>54830.297793526668</v>
      </c>
      <c r="K107" s="215">
        <f t="shared" si="72"/>
        <v>58425.250250937417</v>
      </c>
      <c r="L107" s="215">
        <f>L106-K106</f>
        <v>61187.727987090126</v>
      </c>
    </row>
    <row r="108" spans="2:12">
      <c r="B108" s="211"/>
    </row>
    <row r="109" spans="2:12">
      <c r="B109" s="211"/>
    </row>
    <row r="110" spans="2:12">
      <c r="B110" s="218" t="s">
        <v>273</v>
      </c>
    </row>
    <row r="111" spans="2:12">
      <c r="B111" s="219" t="s">
        <v>234</v>
      </c>
      <c r="C111" s="90">
        <f>FS!C9</f>
        <v>158084</v>
      </c>
      <c r="D111" s="90">
        <f>FS!D9</f>
        <v>151125</v>
      </c>
      <c r="E111" s="90">
        <f>FS!E9</f>
        <v>241177</v>
      </c>
      <c r="F111" s="90">
        <f>FS!F9</f>
        <v>322220</v>
      </c>
      <c r="G111" s="90">
        <f>FS!G9</f>
        <v>480757</v>
      </c>
      <c r="H111" s="90">
        <f>DCF!H10</f>
        <v>534605.46785741346</v>
      </c>
      <c r="I111" s="90">
        <f>DCF!I10</f>
        <v>663025.13542518578</v>
      </c>
      <c r="J111" s="90">
        <f>DCF!J10</f>
        <v>822292.99293817754</v>
      </c>
      <c r="K111" s="90">
        <f>DCF!K10</f>
        <v>1019819.2045941248</v>
      </c>
      <c r="L111" s="90">
        <f>DCF!L10</f>
        <v>1264793.9590763189</v>
      </c>
    </row>
    <row r="112" spans="2:12">
      <c r="B112" s="220" t="s">
        <v>1</v>
      </c>
      <c r="C112" s="97">
        <f>FS!C10</f>
        <v>1895</v>
      </c>
      <c r="D112" s="97">
        <f>FS!D10</f>
        <v>5601</v>
      </c>
      <c r="E112" s="97">
        <f>FS!E10</f>
        <v>2693</v>
      </c>
      <c r="F112" s="97">
        <f>FS!F10</f>
        <v>3301</v>
      </c>
      <c r="G112" s="97">
        <f>FS!G10</f>
        <v>665</v>
      </c>
    </row>
    <row r="113" spans="2:12">
      <c r="B113" s="220" t="s">
        <v>2</v>
      </c>
      <c r="C113" s="221">
        <f>FS!C11</f>
        <v>-6783</v>
      </c>
      <c r="D113" s="221">
        <f>FS!D11</f>
        <v>-4503</v>
      </c>
      <c r="E113" s="221">
        <f>FS!E11</f>
        <v>-25304</v>
      </c>
      <c r="F113" s="221">
        <f>FS!F11</f>
        <v>-86257</v>
      </c>
      <c r="G113" s="221">
        <f>FS!G11</f>
        <v>-58584</v>
      </c>
      <c r="H113" s="222"/>
      <c r="I113" s="222"/>
      <c r="J113" s="222"/>
      <c r="K113" s="222"/>
      <c r="L113" s="222"/>
    </row>
    <row r="114" spans="2:12">
      <c r="B114" s="223" t="s">
        <v>274</v>
      </c>
      <c r="C114" s="90">
        <f>SUM(C112:C113)</f>
        <v>-4888</v>
      </c>
      <c r="D114" s="90">
        <f t="shared" ref="D114:G114" si="73">SUM(D112:D113)</f>
        <v>1098</v>
      </c>
      <c r="E114" s="90">
        <f>SUM(E112:E113)</f>
        <v>-22611</v>
      </c>
      <c r="F114" s="90">
        <f t="shared" si="73"/>
        <v>-82956</v>
      </c>
      <c r="G114" s="90">
        <f t="shared" si="73"/>
        <v>-57919</v>
      </c>
      <c r="H114" s="90">
        <f>H111*H115</f>
        <v>-52961.599305297837</v>
      </c>
      <c r="I114" s="90">
        <f t="shared" ref="I114:L114" si="74">I111*I115</f>
        <v>-65683.711938941749</v>
      </c>
      <c r="J114" s="90">
        <f t="shared" si="74"/>
        <v>-81461.852940047422</v>
      </c>
      <c r="K114" s="90">
        <f t="shared" si="74"/>
        <v>-101030.12281940808</v>
      </c>
      <c r="L114" s="90">
        <f t="shared" si="74"/>
        <v>-125298.96323886313</v>
      </c>
    </row>
    <row r="115" spans="2:12">
      <c r="B115" s="219" t="s">
        <v>275</v>
      </c>
      <c r="C115" s="58">
        <f>C114/C111</f>
        <v>-3.0920270236077022E-2</v>
      </c>
      <c r="D115" s="58">
        <f t="shared" ref="D115:F115" si="75">D114/D111</f>
        <v>7.2655086848635239E-3</v>
      </c>
      <c r="E115" s="58">
        <f t="shared" si="75"/>
        <v>-9.3752721030612371E-2</v>
      </c>
      <c r="F115" s="58">
        <f t="shared" si="75"/>
        <v>-0.25745143069952209</v>
      </c>
      <c r="G115" s="58">
        <f>G114/G111</f>
        <v>-0.12047458487343918</v>
      </c>
      <c r="H115" s="57">
        <f>G116</f>
        <v>-9.9066699630957419E-2</v>
      </c>
      <c r="I115" s="57">
        <f>H115</f>
        <v>-9.9066699630957419E-2</v>
      </c>
      <c r="J115" s="57">
        <f t="shared" ref="J115:L115" si="76">I115</f>
        <v>-9.9066699630957419E-2</v>
      </c>
      <c r="K115" s="57">
        <f t="shared" si="76"/>
        <v>-9.9066699630957419E-2</v>
      </c>
      <c r="L115" s="57">
        <f t="shared" si="76"/>
        <v>-9.9066699630957419E-2</v>
      </c>
    </row>
    <row r="116" spans="2:12">
      <c r="B116" s="211" t="s">
        <v>10352</v>
      </c>
      <c r="G116" s="57">
        <f>AVERAGE(C115:G115)</f>
        <v>-9.9066699630957419E-2</v>
      </c>
    </row>
  </sheetData>
  <dataValidations count="1">
    <dataValidation type="list" allowBlank="1" showInputMessage="1" showErrorMessage="1" sqref="C2" xr:uid="{00000000-0002-0000-0600-000000000000}">
      <formula1>$F$2:$F$4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B1:H44"/>
  <sheetViews>
    <sheetView workbookViewId="0">
      <selection activeCell="F6" sqref="F6"/>
    </sheetView>
  </sheetViews>
  <sheetFormatPr defaultColWidth="10" defaultRowHeight="14.4"/>
  <cols>
    <col min="1" max="1" width="3.88671875" customWidth="1"/>
    <col min="2" max="2" width="52.88671875" bestFit="1" customWidth="1"/>
    <col min="3" max="3" width="11.44140625" bestFit="1" customWidth="1"/>
    <col min="4" max="5" width="10.33203125" bestFit="1" customWidth="1"/>
    <col min="6" max="6" width="11.88671875" bestFit="1" customWidth="1"/>
    <col min="7" max="7" width="14.109375" customWidth="1"/>
  </cols>
  <sheetData>
    <row r="1" spans="2:8">
      <c r="B1" s="224" t="s">
        <v>278</v>
      </c>
      <c r="C1" s="224"/>
      <c r="D1" s="225"/>
      <c r="G1" s="292" t="s">
        <v>280</v>
      </c>
      <c r="H1" s="292"/>
    </row>
    <row r="2" spans="2:8">
      <c r="B2" s="226" t="s">
        <v>279</v>
      </c>
      <c r="D2" s="227">
        <f>[2]WACC!$D$3</f>
        <v>3.7900000000000003E-2</v>
      </c>
      <c r="G2" s="228" t="s">
        <v>300</v>
      </c>
      <c r="H2" s="228" t="s">
        <v>201</v>
      </c>
    </row>
    <row r="3" spans="2:8">
      <c r="B3" s="226" t="s">
        <v>280</v>
      </c>
      <c r="D3" s="229">
        <f>F7</f>
        <v>0.65</v>
      </c>
      <c r="G3">
        <v>2015</v>
      </c>
      <c r="H3" s="230">
        <v>0.40410000000000001</v>
      </c>
    </row>
    <row r="4" spans="2:8">
      <c r="B4" s="226" t="s">
        <v>281</v>
      </c>
      <c r="D4" s="231">
        <f>[2]WACC!$D$5</f>
        <v>0.2782</v>
      </c>
      <c r="G4">
        <v>2016</v>
      </c>
      <c r="H4" s="230">
        <v>0.34210000000000002</v>
      </c>
    </row>
    <row r="5" spans="2:8">
      <c r="B5" s="226" t="s">
        <v>282</v>
      </c>
      <c r="D5" s="232">
        <f>D4-D2</f>
        <v>0.24030000000000001</v>
      </c>
      <c r="F5" t="s">
        <v>10358</v>
      </c>
      <c r="G5">
        <v>2017</v>
      </c>
      <c r="H5" s="230">
        <v>0.32350000000000001</v>
      </c>
    </row>
    <row r="6" spans="2:8">
      <c r="B6" s="226" t="s">
        <v>283</v>
      </c>
      <c r="D6" s="233">
        <f>D5*D3</f>
        <v>0.156195</v>
      </c>
      <c r="F6" s="74">
        <v>0.72310842901401118</v>
      </c>
      <c r="G6">
        <v>2018</v>
      </c>
      <c r="H6" s="230">
        <v>0.45019999999999999</v>
      </c>
    </row>
    <row r="7" spans="2:8">
      <c r="B7" s="226" t="s">
        <v>284</v>
      </c>
      <c r="D7" s="227">
        <f>[2]WACC!$D$8</f>
        <v>0.1202</v>
      </c>
      <c r="F7">
        <f>0.65</f>
        <v>0.65</v>
      </c>
      <c r="G7">
        <v>2019</v>
      </c>
      <c r="H7" s="230">
        <v>0.61980000000000002</v>
      </c>
    </row>
    <row r="8" spans="2:8">
      <c r="B8" s="234" t="s">
        <v>285</v>
      </c>
      <c r="C8" s="222"/>
      <c r="D8" s="235">
        <f>D7+D6+D2</f>
        <v>0.31429499999999999</v>
      </c>
      <c r="F8">
        <f>0.5</f>
        <v>0.5</v>
      </c>
      <c r="G8">
        <v>2020</v>
      </c>
      <c r="H8" s="230">
        <v>1.0162</v>
      </c>
    </row>
    <row r="9" spans="2:8">
      <c r="F9">
        <f>0.4</f>
        <v>0.4</v>
      </c>
      <c r="G9">
        <v>2021</v>
      </c>
      <c r="H9" s="230">
        <v>1.0078</v>
      </c>
    </row>
    <row r="10" spans="2:8">
      <c r="F10" s="74">
        <f>AVERAGE(F6:F7)</f>
        <v>0.6865542145070056</v>
      </c>
      <c r="G10">
        <v>2022</v>
      </c>
      <c r="H10" s="230">
        <v>1.4451000000000001</v>
      </c>
    </row>
    <row r="11" spans="2:8">
      <c r="G11">
        <v>2023</v>
      </c>
      <c r="H11">
        <v>1.5189999999999999</v>
      </c>
    </row>
    <row r="12" spans="2:8">
      <c r="G12">
        <v>2024</v>
      </c>
      <c r="H12" s="230">
        <v>2.5979000000000001</v>
      </c>
    </row>
    <row r="13" spans="2:8">
      <c r="G13" s="70" t="s">
        <v>195</v>
      </c>
      <c r="H13" s="236">
        <f>AVERAGE(H3:H12)</f>
        <v>0.97256999999999993</v>
      </c>
    </row>
    <row r="20" spans="2:8">
      <c r="B20" s="216" t="s">
        <v>286</v>
      </c>
    </row>
    <row r="21" spans="2:8" ht="15.6">
      <c r="B21" s="237" t="s">
        <v>273</v>
      </c>
      <c r="C21" s="238">
        <v>2020</v>
      </c>
      <c r="D21" s="238">
        <v>2021</v>
      </c>
      <c r="E21" s="238">
        <v>2022</v>
      </c>
      <c r="F21" s="238">
        <v>2023</v>
      </c>
      <c r="G21" s="238">
        <v>2024</v>
      </c>
    </row>
    <row r="22" spans="2:8">
      <c r="B22" s="211" t="s">
        <v>287</v>
      </c>
      <c r="C22" s="90">
        <f>FS!C11</f>
        <v>-6783</v>
      </c>
      <c r="D22" s="90">
        <f>FS!D11</f>
        <v>-4503</v>
      </c>
      <c r="E22" s="90">
        <f>FS!E11</f>
        <v>-25304</v>
      </c>
      <c r="F22" s="90">
        <f>FS!F11</f>
        <v>-86257</v>
      </c>
      <c r="G22" s="90">
        <f>FS!G11</f>
        <v>-58584</v>
      </c>
      <c r="H22" s="90"/>
    </row>
    <row r="23" spans="2:8">
      <c r="B23" s="211" t="s">
        <v>288</v>
      </c>
      <c r="C23" s="90">
        <f>EV!B21</f>
        <v>18914</v>
      </c>
      <c r="D23" s="90">
        <f>EV!C21</f>
        <v>29249</v>
      </c>
      <c r="E23" s="90">
        <f>EV!D21</f>
        <v>159177</v>
      </c>
      <c r="F23" s="90">
        <f>EV!E21</f>
        <v>236682</v>
      </c>
      <c r="G23" s="90">
        <f>EV!F21</f>
        <v>97959</v>
      </c>
    </row>
    <row r="24" spans="2:8">
      <c r="B24" s="211" t="s">
        <v>289</v>
      </c>
      <c r="C24" s="58">
        <f>C22/C23</f>
        <v>-0.35862324204293117</v>
      </c>
      <c r="D24" s="58">
        <f t="shared" ref="D24:G24" si="0">D22/D23</f>
        <v>-0.15395398133269514</v>
      </c>
      <c r="E24" s="58">
        <f t="shared" si="0"/>
        <v>-0.15896769005572414</v>
      </c>
      <c r="F24" s="58">
        <f t="shared" si="0"/>
        <v>-0.36444258540995933</v>
      </c>
      <c r="G24" s="58">
        <f t="shared" si="0"/>
        <v>-0.5980461213364775</v>
      </c>
    </row>
    <row r="25" spans="2:8">
      <c r="B25" s="211" t="s">
        <v>290</v>
      </c>
      <c r="G25" s="57">
        <f>-AVERAGE(C24:G24)</f>
        <v>0.32680672403555749</v>
      </c>
    </row>
    <row r="26" spans="2:8">
      <c r="B26" s="211" t="s">
        <v>291</v>
      </c>
      <c r="G26" s="58">
        <f>25%</f>
        <v>0.25</v>
      </c>
    </row>
    <row r="27" spans="2:8">
      <c r="B27" s="239" t="s">
        <v>292</v>
      </c>
      <c r="C27" s="240"/>
      <c r="D27" s="240"/>
      <c r="E27" s="240"/>
      <c r="F27" s="240"/>
      <c r="G27" s="241">
        <f>G25*(1-G26)</f>
        <v>0.24510504302666813</v>
      </c>
    </row>
    <row r="31" spans="2:8">
      <c r="B31" s="216" t="s">
        <v>293</v>
      </c>
    </row>
    <row r="32" spans="2:8" ht="15.6">
      <c r="B32" s="237"/>
      <c r="C32" s="200"/>
      <c r="D32" s="200"/>
      <c r="E32" s="200"/>
      <c r="F32" s="200"/>
      <c r="G32" s="200"/>
    </row>
    <row r="33" spans="2:7">
      <c r="B33" s="211" t="s">
        <v>17</v>
      </c>
      <c r="C33" s="58">
        <f>FS!C51/FS!C51</f>
        <v>1</v>
      </c>
      <c r="D33" s="58">
        <f>FS!D51/FS!D51</f>
        <v>1</v>
      </c>
      <c r="E33" s="58">
        <f>FS!E51/FS!E51</f>
        <v>1</v>
      </c>
      <c r="F33" s="58">
        <f>FS!F51/FS!F51</f>
        <v>1</v>
      </c>
      <c r="G33" s="58">
        <f>FS!G51/FS!G51</f>
        <v>1</v>
      </c>
    </row>
    <row r="34" spans="2:7">
      <c r="B34" s="211" t="s">
        <v>294</v>
      </c>
      <c r="C34" s="58">
        <f>FS!C58/FS!C51</f>
        <v>0.41976811283826793</v>
      </c>
      <c r="D34" s="58">
        <f>FS!D58/FS!D51</f>
        <v>0.41101915413171231</v>
      </c>
      <c r="E34" s="58">
        <f>FS!E58/FS!E51</f>
        <v>0.2885571150850918</v>
      </c>
      <c r="F34" s="58">
        <f>FS!F58/FS!F51</f>
        <v>0.28617886267450626</v>
      </c>
      <c r="G34" s="58">
        <f>FS!G58/FS!G51</f>
        <v>0.36804399812454519</v>
      </c>
    </row>
    <row r="35" spans="2:7">
      <c r="B35" s="211" t="s">
        <v>295</v>
      </c>
      <c r="C35" s="58">
        <f>FS!C73/FS!C51</f>
        <v>0.58023188716173213</v>
      </c>
      <c r="D35" s="58">
        <f>FS!D73/FS!D51</f>
        <v>0.58898084586828769</v>
      </c>
      <c r="E35" s="58">
        <f>FS!E73/FS!E51</f>
        <v>0.71176077125970294</v>
      </c>
      <c r="F35" s="58">
        <f>FS!F73/FS!F51</f>
        <v>0.71382113732549368</v>
      </c>
      <c r="G35" s="58">
        <f>FS!G73/FS!G51</f>
        <v>0.63195600187545475</v>
      </c>
    </row>
    <row r="36" spans="2:7">
      <c r="B36" s="242" t="s">
        <v>296</v>
      </c>
      <c r="C36" s="243"/>
      <c r="D36" s="243"/>
      <c r="E36" s="243"/>
      <c r="F36" s="243"/>
      <c r="G36" s="244">
        <f>(G34*D8)+(G35*G27)</f>
        <v>0.27056999142119842</v>
      </c>
    </row>
    <row r="39" spans="2:7">
      <c r="B39" s="216" t="s">
        <v>297</v>
      </c>
    </row>
    <row r="40" spans="2:7" ht="15.6">
      <c r="B40" s="237"/>
      <c r="C40" s="238">
        <v>2020</v>
      </c>
      <c r="D40" s="238">
        <v>2021</v>
      </c>
      <c r="E40" s="238">
        <v>2022</v>
      </c>
      <c r="F40" s="238">
        <v>2023</v>
      </c>
      <c r="G40" s="238">
        <v>2024</v>
      </c>
    </row>
    <row r="41" spans="2:7">
      <c r="B41" s="211" t="s">
        <v>194</v>
      </c>
      <c r="C41" s="58">
        <f>Ratios!B10</f>
        <v>0.32222168684260499</v>
      </c>
      <c r="D41" s="58">
        <f>Ratios!C10</f>
        <v>0.25812064434004595</v>
      </c>
      <c r="E41" s="58">
        <f>Ratios!D10</f>
        <v>0.33732330450566989</v>
      </c>
      <c r="F41" s="58">
        <f>Ratios!E10</f>
        <v>0.32351490944674272</v>
      </c>
      <c r="G41" s="58">
        <f>Ratios!F10</f>
        <v>0.44235487504185567</v>
      </c>
    </row>
    <row r="42" spans="2:7">
      <c r="B42" s="211" t="s">
        <v>298</v>
      </c>
      <c r="C42" s="58">
        <f>DDM!C20</f>
        <v>0.1789988043873785</v>
      </c>
      <c r="D42" s="58">
        <f>DDM!D20</f>
        <v>0.49544011965126034</v>
      </c>
      <c r="E42" s="58">
        <f>DDM!E20</f>
        <v>0.73172806510795252</v>
      </c>
      <c r="F42" s="58">
        <f>DDM!F20</f>
        <v>0.46820465843627707</v>
      </c>
      <c r="G42" s="58">
        <f>DDM!G20</f>
        <v>0.45979691054251348</v>
      </c>
    </row>
    <row r="43" spans="2:7">
      <c r="B43" s="211"/>
      <c r="G43" s="57">
        <f>1-G42</f>
        <v>0.54020308945748652</v>
      </c>
    </row>
    <row r="44" spans="2:7">
      <c r="B44" s="242" t="s">
        <v>299</v>
      </c>
      <c r="C44" s="245"/>
      <c r="D44" s="245"/>
      <c r="E44" s="245"/>
      <c r="F44" s="245"/>
      <c r="G44" s="246">
        <f>G43*G41</f>
        <v>0.23896147013419083</v>
      </c>
    </row>
  </sheetData>
  <mergeCells count="1"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3300"/>
  </sheetPr>
  <dimension ref="B1:N36"/>
  <sheetViews>
    <sheetView topLeftCell="A19" workbookViewId="0">
      <selection activeCell="C37" sqref="C37"/>
    </sheetView>
  </sheetViews>
  <sheetFormatPr defaultColWidth="10" defaultRowHeight="14.4"/>
  <cols>
    <col min="1" max="1" width="6.33203125" customWidth="1"/>
    <col min="2" max="2" width="34.109375" bestFit="1" customWidth="1"/>
    <col min="3" max="3" width="13.33203125" bestFit="1" customWidth="1"/>
    <col min="4" max="7" width="14.33203125" bestFit="1" customWidth="1"/>
    <col min="8" max="8" width="13.33203125" bestFit="1" customWidth="1"/>
    <col min="9" max="12" width="14.33203125" bestFit="1" customWidth="1"/>
  </cols>
  <sheetData>
    <row r="1" spans="2:12">
      <c r="B1" s="242" t="s">
        <v>301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</row>
    <row r="2" spans="2:12">
      <c r="B2" s="199"/>
      <c r="C2" s="199">
        <v>2020</v>
      </c>
      <c r="D2" s="199">
        <v>2021</v>
      </c>
      <c r="E2" s="199">
        <v>2022</v>
      </c>
      <c r="F2" s="199">
        <v>2023</v>
      </c>
      <c r="G2" s="199">
        <v>2024</v>
      </c>
      <c r="H2" s="200">
        <v>2025</v>
      </c>
      <c r="I2" s="200">
        <v>2026</v>
      </c>
      <c r="J2" s="200">
        <v>2027</v>
      </c>
      <c r="K2" s="200">
        <v>2028</v>
      </c>
      <c r="L2" s="200">
        <v>2029</v>
      </c>
    </row>
    <row r="3" spans="2:12">
      <c r="B3" t="s">
        <v>29</v>
      </c>
      <c r="C3" s="203">
        <f>Assumptions!C7</f>
        <v>2384158</v>
      </c>
      <c r="D3" s="203">
        <f>Assumptions!D7</f>
        <v>3218179</v>
      </c>
      <c r="E3" s="203">
        <f>Assumptions!E7</f>
        <v>5672210</v>
      </c>
      <c r="F3" s="203">
        <f>Assumptions!F7</f>
        <v>6041455</v>
      </c>
      <c r="G3" s="203">
        <f>Assumptions!G7</f>
        <v>6995488</v>
      </c>
      <c r="H3" s="203">
        <f>Assumptions!H7</f>
        <v>8675901.4963953495</v>
      </c>
      <c r="I3" s="203">
        <f>Assumptions!I7</f>
        <v>10759973.682344258</v>
      </c>
      <c r="J3" s="203">
        <f>Assumptions!J7</f>
        <v>13344668.988328639</v>
      </c>
      <c r="K3" s="203">
        <f>Assumptions!K7</f>
        <v>16550244.049413146</v>
      </c>
      <c r="L3" s="203">
        <f>Assumptions!L7</f>
        <v>20525842.816685807</v>
      </c>
    </row>
    <row r="4" spans="2:12">
      <c r="B4" t="s">
        <v>252</v>
      </c>
      <c r="C4" s="221">
        <f>Assumptions!C19</f>
        <v>-2039837</v>
      </c>
      <c r="D4" s="221">
        <f>Assumptions!D19</f>
        <v>-2896838</v>
      </c>
      <c r="E4" s="221">
        <f>Assumptions!E19</f>
        <v>-5188233</v>
      </c>
      <c r="F4" s="221">
        <f>Assumptions!F19</f>
        <v>-5429160</v>
      </c>
      <c r="G4" s="221">
        <f>Assumptions!G19</f>
        <v>-6213947</v>
      </c>
      <c r="H4" s="221">
        <f>Assumptions!H19</f>
        <v>-7588684.0322720744</v>
      </c>
      <c r="I4" s="221">
        <f>Assumptions!I19</f>
        <v>-9411591.4645641297</v>
      </c>
      <c r="J4" s="221">
        <f>Assumptions!J19</f>
        <v>-11672386.611323418</v>
      </c>
      <c r="K4" s="221">
        <f>Assumptions!K19</f>
        <v>-14476256.190802686</v>
      </c>
      <c r="L4" s="221">
        <f>Assumptions!L19</f>
        <v>-17953654.233698562</v>
      </c>
    </row>
    <row r="5" spans="2:12">
      <c r="B5" s="88" t="s">
        <v>232</v>
      </c>
      <c r="C5" s="208">
        <f>SUM(C3:C4)</f>
        <v>344321</v>
      </c>
      <c r="D5" s="208">
        <f t="shared" ref="D5:J5" si="0">SUM(D3:D4)</f>
        <v>321341</v>
      </c>
      <c r="E5" s="208">
        <f t="shared" si="0"/>
        <v>483977</v>
      </c>
      <c r="F5" s="208">
        <f t="shared" si="0"/>
        <v>612295</v>
      </c>
      <c r="G5" s="208">
        <f t="shared" si="0"/>
        <v>781541</v>
      </c>
      <c r="H5" s="208">
        <f t="shared" si="0"/>
        <v>1087217.4641232751</v>
      </c>
      <c r="I5" s="208">
        <f t="shared" si="0"/>
        <v>1348382.2177801281</v>
      </c>
      <c r="J5" s="208">
        <f t="shared" si="0"/>
        <v>1672282.3770052213</v>
      </c>
      <c r="K5" s="208">
        <f>SUM(K3:K4)</f>
        <v>2073987.8586104605</v>
      </c>
      <c r="L5" s="208">
        <f t="shared" ref="L5" si="1">SUM(L3:L4)</f>
        <v>2572188.5829872452</v>
      </c>
    </row>
    <row r="6" spans="2:12">
      <c r="B6" s="204" t="str">
        <f>Assumptions!B35</f>
        <v>Gen, Admin &amp; Selling Expense</v>
      </c>
      <c r="C6" s="90">
        <f>Assumptions!C35</f>
        <v>-187631</v>
      </c>
      <c r="D6" s="90">
        <f>Assumptions!D35</f>
        <v>-202765</v>
      </c>
      <c r="E6" s="90">
        <f>Assumptions!E35</f>
        <v>-275137</v>
      </c>
      <c r="F6" s="90">
        <f>Assumptions!F35</f>
        <v>-338826</v>
      </c>
      <c r="G6" s="90">
        <f>Assumptions!G35</f>
        <v>-365377</v>
      </c>
      <c r="H6" s="90">
        <f>Assumptions!H35</f>
        <v>-517995.07945653331</v>
      </c>
      <c r="I6" s="90">
        <f>Assumptions!I35</f>
        <v>-642424.70074744825</v>
      </c>
      <c r="J6" s="90">
        <f>Assumptions!J35</f>
        <v>-796744.04738255881</v>
      </c>
      <c r="K6" s="90">
        <f>Assumptions!K35</f>
        <v>-988133.0470340926</v>
      </c>
      <c r="L6" s="90">
        <f>Assumptions!L35</f>
        <v>-1225496.3458447475</v>
      </c>
    </row>
    <row r="7" spans="2:12">
      <c r="B7" s="247" t="str">
        <f>Assumptions!B49</f>
        <v>Other Income</v>
      </c>
      <c r="C7" s="221">
        <f>Assumptions!C49</f>
        <v>22009</v>
      </c>
      <c r="D7" s="221">
        <f>Assumptions!D49</f>
        <v>27275</v>
      </c>
      <c r="E7" s="221">
        <f>Assumptions!E49</f>
        <v>43031</v>
      </c>
      <c r="F7" s="221">
        <f>Assumptions!F49</f>
        <v>41571</v>
      </c>
      <c r="G7" s="221">
        <f>Assumptions!G49</f>
        <v>67184</v>
      </c>
      <c r="H7" s="221">
        <f>Assumptions!H49</f>
        <v>83322.531056278734</v>
      </c>
      <c r="I7" s="221">
        <f>Assumptions!I49</f>
        <v>103337.76169362548</v>
      </c>
      <c r="J7" s="221">
        <f>Assumptions!J49</f>
        <v>128160.92906054179</v>
      </c>
      <c r="K7" s="221">
        <f>Assumptions!K49</f>
        <v>158946.96641832177</v>
      </c>
      <c r="L7" s="221">
        <f>Assumptions!L49</f>
        <v>197128.23805804818</v>
      </c>
    </row>
    <row r="8" spans="2:12">
      <c r="B8" s="70" t="s">
        <v>149</v>
      </c>
      <c r="C8" s="208">
        <f>SUM(C5:C7)</f>
        <v>178699</v>
      </c>
      <c r="D8" s="208">
        <f t="shared" ref="D8:L8" si="2">SUM(D5:D7)</f>
        <v>145851</v>
      </c>
      <c r="E8" s="208">
        <f t="shared" si="2"/>
        <v>251871</v>
      </c>
      <c r="F8" s="208">
        <f t="shared" si="2"/>
        <v>315040</v>
      </c>
      <c r="G8" s="208">
        <f t="shared" si="2"/>
        <v>483348</v>
      </c>
      <c r="H8" s="208">
        <f t="shared" si="2"/>
        <v>652544.91572302056</v>
      </c>
      <c r="I8" s="208">
        <f t="shared" si="2"/>
        <v>809295.27872630535</v>
      </c>
      <c r="J8" s="208">
        <f t="shared" si="2"/>
        <v>1003699.2586832043</v>
      </c>
      <c r="K8" s="208">
        <f t="shared" si="2"/>
        <v>1244801.7779946895</v>
      </c>
      <c r="L8" s="208">
        <f t="shared" si="2"/>
        <v>1543820.475200546</v>
      </c>
    </row>
    <row r="9" spans="2:12">
      <c r="B9" s="222" t="str">
        <f>Assumptions!B63</f>
        <v>Depreciation and Amortization</v>
      </c>
      <c r="C9" s="221">
        <f>-Assumptions!C63</f>
        <v>-47890</v>
      </c>
      <c r="D9" s="221">
        <f>-Assumptions!D63</f>
        <v>-50448</v>
      </c>
      <c r="E9" s="221">
        <f>-Assumptions!E63</f>
        <v>-60067</v>
      </c>
      <c r="F9" s="221">
        <f>-Assumptions!F63</f>
        <v>-67762</v>
      </c>
      <c r="G9" s="221">
        <f>-Assumptions!G63</f>
        <v>-72760</v>
      </c>
      <c r="H9" s="221">
        <f>Assumptions!H63</f>
        <v>-117939.44786560713</v>
      </c>
      <c r="I9" s="221">
        <f>Assumptions!I63</f>
        <v>-146270.14330111956</v>
      </c>
      <c r="J9" s="221">
        <f>Assumptions!J63</f>
        <v>-181406.26574502673</v>
      </c>
      <c r="K9" s="221">
        <f>Assumptions!K63</f>
        <v>-224982.57340056475</v>
      </c>
      <c r="L9" s="221">
        <f>Assumptions!L63</f>
        <v>-279026.51612422703</v>
      </c>
    </row>
    <row r="10" spans="2:12">
      <c r="B10" s="70" t="s">
        <v>151</v>
      </c>
      <c r="C10" s="208">
        <f>SUM(C8:C9)</f>
        <v>130809</v>
      </c>
      <c r="D10" s="208">
        <f t="shared" ref="D10:L10" si="3">SUM(D8:D9)</f>
        <v>95403</v>
      </c>
      <c r="E10" s="208">
        <f t="shared" si="3"/>
        <v>191804</v>
      </c>
      <c r="F10" s="208">
        <f>SUM(F8:F9)</f>
        <v>247278</v>
      </c>
      <c r="G10" s="208">
        <f t="shared" si="3"/>
        <v>410588</v>
      </c>
      <c r="H10" s="208">
        <f t="shared" si="3"/>
        <v>534605.46785741346</v>
      </c>
      <c r="I10" s="208">
        <f t="shared" si="3"/>
        <v>663025.13542518578</v>
      </c>
      <c r="J10" s="208">
        <f t="shared" si="3"/>
        <v>822292.99293817754</v>
      </c>
      <c r="K10" s="208">
        <f t="shared" si="3"/>
        <v>1019819.2045941248</v>
      </c>
      <c r="L10" s="208">
        <f t="shared" si="3"/>
        <v>1264793.9590763189</v>
      </c>
    </row>
    <row r="11" spans="2:12">
      <c r="B11" s="222" t="s">
        <v>259</v>
      </c>
      <c r="C11" s="221">
        <f>Assumptions!C77</f>
        <v>-39512</v>
      </c>
      <c r="D11" s="221">
        <f>Assumptions!D77</f>
        <v>-39479</v>
      </c>
      <c r="E11" s="221">
        <f>Assumptions!E77</f>
        <v>-56892</v>
      </c>
      <c r="F11" s="221">
        <f>Assumptions!F77</f>
        <v>-69331</v>
      </c>
      <c r="G11" s="221">
        <f>Assumptions!G77</f>
        <v>-132202</v>
      </c>
      <c r="H11" s="248">
        <f>-H10*Assumptions!H79</f>
        <v>-133651.36696435336</v>
      </c>
      <c r="I11" s="248">
        <f>-I10*Assumptions!I79</f>
        <v>-165756.28385629645</v>
      </c>
      <c r="J11" s="248">
        <f>-J10*Assumptions!J79</f>
        <v>-205573.24823454439</v>
      </c>
      <c r="K11" s="248">
        <f>-K10*Assumptions!K79</f>
        <v>-254954.8011485312</v>
      </c>
      <c r="L11" s="248">
        <f>-L10*Assumptions!L79</f>
        <v>-316198.48976907972</v>
      </c>
    </row>
    <row r="12" spans="2:12">
      <c r="B12" s="70" t="s">
        <v>155</v>
      </c>
      <c r="C12" s="208">
        <f>SUM(C10:C11)</f>
        <v>91297</v>
      </c>
      <c r="D12" s="208">
        <f t="shared" ref="D12:L12" si="4">SUM(D10:D11)</f>
        <v>55924</v>
      </c>
      <c r="E12" s="208">
        <f t="shared" si="4"/>
        <v>134912</v>
      </c>
      <c r="F12" s="208">
        <f t="shared" si="4"/>
        <v>177947</v>
      </c>
      <c r="G12" s="208">
        <f t="shared" si="4"/>
        <v>278386</v>
      </c>
      <c r="H12" s="208">
        <f t="shared" si="4"/>
        <v>400954.10089306009</v>
      </c>
      <c r="I12" s="208">
        <f t="shared" si="4"/>
        <v>497268.85156888934</v>
      </c>
      <c r="J12" s="208">
        <f t="shared" si="4"/>
        <v>616719.74470363313</v>
      </c>
      <c r="K12" s="208">
        <f t="shared" si="4"/>
        <v>764864.40344559355</v>
      </c>
      <c r="L12" s="208">
        <f t="shared" si="4"/>
        <v>948595.46930723917</v>
      </c>
    </row>
    <row r="13" spans="2:12">
      <c r="B13" s="249" t="s">
        <v>302</v>
      </c>
      <c r="C13" s="90">
        <f>Assumptions!C63</f>
        <v>47890</v>
      </c>
      <c r="D13" s="90">
        <f>Assumptions!D63</f>
        <v>50448</v>
      </c>
      <c r="E13" s="90">
        <f>Assumptions!E63</f>
        <v>60067</v>
      </c>
      <c r="F13" s="90">
        <f>Assumptions!F63</f>
        <v>67762</v>
      </c>
      <c r="G13" s="90">
        <f>Assumptions!G63</f>
        <v>72760</v>
      </c>
      <c r="H13" s="203">
        <f>-Assumptions!H63</f>
        <v>117939.44786560713</v>
      </c>
      <c r="I13" s="203">
        <f>-Assumptions!I63</f>
        <v>146270.14330111956</v>
      </c>
      <c r="J13" s="203">
        <f>-Assumptions!J63</f>
        <v>181406.26574502673</v>
      </c>
      <c r="K13" s="203">
        <f>-Assumptions!K63</f>
        <v>224982.57340056475</v>
      </c>
      <c r="L13" s="203">
        <f>-Assumptions!L63</f>
        <v>279026.51612422703</v>
      </c>
    </row>
    <row r="14" spans="2:12">
      <c r="B14" s="249" t="s">
        <v>181</v>
      </c>
      <c r="C14" s="90">
        <f>Assumptions!C93</f>
        <v>334503</v>
      </c>
      <c r="D14" s="90">
        <f>Assumptions!D93</f>
        <v>60296.5</v>
      </c>
      <c r="E14" s="90">
        <f>Assumptions!E93</f>
        <v>98621</v>
      </c>
      <c r="F14" s="90">
        <f>Assumptions!F93</f>
        <v>116393</v>
      </c>
      <c r="G14" s="90">
        <f>Assumptions!G93</f>
        <v>113890.00000000006</v>
      </c>
      <c r="H14" s="90">
        <f>Assumptions!H93</f>
        <v>223195.10465415262</v>
      </c>
      <c r="I14" s="90">
        <f>Assumptions!I93</f>
        <v>274395.40705909766</v>
      </c>
      <c r="J14" s="90">
        <f>Assumptions!J93</f>
        <v>340504.61533359182</v>
      </c>
      <c r="K14" s="90">
        <f>Assumptions!K93</f>
        <v>422541.76240688562</v>
      </c>
      <c r="L14" s="90">
        <f>Assumptions!L93</f>
        <v>524344.53829050297</v>
      </c>
    </row>
    <row r="15" spans="2:12">
      <c r="B15" s="250" t="s">
        <v>303</v>
      </c>
      <c r="C15" s="251">
        <f>Assumptions!C107</f>
        <v>0</v>
      </c>
      <c r="D15" s="251">
        <f>Assumptions!D107</f>
        <v>1941.6532990543637</v>
      </c>
      <c r="E15" s="251">
        <f>Assumptions!E107</f>
        <v>35035.626639288268</v>
      </c>
      <c r="F15" s="251">
        <f>Assumptions!F107</f>
        <v>258513.1214265984</v>
      </c>
      <c r="G15" s="251">
        <f>Assumptions!G107</f>
        <v>-3282.7358705946244</v>
      </c>
      <c r="H15" s="251">
        <f>Assumptions!H107</f>
        <v>1151.2357589101885</v>
      </c>
      <c r="I15" s="251">
        <f>Assumptions!I107</f>
        <v>50775.613302878803</v>
      </c>
      <c r="J15" s="251">
        <f>Assumptions!J107</f>
        <v>54830.297793526668</v>
      </c>
      <c r="K15" s="251">
        <f>Assumptions!K107</f>
        <v>58425.250250937417</v>
      </c>
      <c r="L15" s="251">
        <f>Assumptions!L107</f>
        <v>61187.727987090126</v>
      </c>
    </row>
    <row r="16" spans="2:12">
      <c r="B16" s="252" t="s">
        <v>304</v>
      </c>
      <c r="C16" s="253">
        <f>SUM(C12:C15)</f>
        <v>473690</v>
      </c>
      <c r="D16" s="253">
        <f t="shared" ref="D16:L16" si="5">SUM(D12:D15)</f>
        <v>168610.15329905436</v>
      </c>
      <c r="E16" s="253">
        <f t="shared" si="5"/>
        <v>328635.62663928827</v>
      </c>
      <c r="F16" s="253">
        <f t="shared" si="5"/>
        <v>620615.1214265984</v>
      </c>
      <c r="G16" s="253">
        <f t="shared" si="5"/>
        <v>461753.26412940543</v>
      </c>
      <c r="H16" s="253">
        <f t="shared" si="5"/>
        <v>743239.88917173003</v>
      </c>
      <c r="I16" s="253">
        <f t="shared" si="5"/>
        <v>968710.01523198537</v>
      </c>
      <c r="J16" s="253">
        <f t="shared" si="5"/>
        <v>1193460.9235757785</v>
      </c>
      <c r="K16" s="253">
        <f t="shared" si="5"/>
        <v>1470813.9895039813</v>
      </c>
      <c r="L16" s="253">
        <f t="shared" si="5"/>
        <v>1813154.2517090593</v>
      </c>
    </row>
    <row r="20" spans="2:14">
      <c r="B20" s="70" t="s">
        <v>305</v>
      </c>
      <c r="C20" s="57">
        <f>WACC!G36</f>
        <v>0.27056999142119842</v>
      </c>
    </row>
    <row r="21" spans="2:14">
      <c r="B21" s="70" t="s">
        <v>306</v>
      </c>
      <c r="C21" s="57">
        <v>5.2999999999999999E-2</v>
      </c>
    </row>
    <row r="22" spans="2:14">
      <c r="B22" t="s">
        <v>307</v>
      </c>
      <c r="H22" s="212">
        <f>DDM!H27</f>
        <v>1</v>
      </c>
      <c r="I22" s="212">
        <f>DDM!I27</f>
        <v>2</v>
      </c>
      <c r="J22" s="212">
        <f>DDM!J27</f>
        <v>3</v>
      </c>
      <c r="K22" s="212">
        <f>DDM!K27</f>
        <v>4.0027397260273974</v>
      </c>
      <c r="L22" s="212">
        <f>DDM!L27</f>
        <v>5.0027397260273974</v>
      </c>
    </row>
    <row r="23" spans="2:14">
      <c r="B23" t="s">
        <v>308</v>
      </c>
      <c r="H23" s="74">
        <f>(1/((1+$C$20)^(H22)))</f>
        <v>0.78704833795220364</v>
      </c>
      <c r="I23" s="74">
        <f t="shared" ref="I23:L23" si="6">(1/((1+$C$20)^(I22)))</f>
        <v>0.61944508627332617</v>
      </c>
      <c r="J23" s="74">
        <f t="shared" si="6"/>
        <v>0.4875332256040808</v>
      </c>
      <c r="K23" s="74">
        <f t="shared" si="6"/>
        <v>0.38346055533242884</v>
      </c>
      <c r="L23" s="74">
        <f t="shared" si="6"/>
        <v>0.30180199274461716</v>
      </c>
    </row>
    <row r="24" spans="2:14">
      <c r="B24" t="s">
        <v>309</v>
      </c>
      <c r="H24" s="208">
        <f>H23*H16</f>
        <v>584965.71947239013</v>
      </c>
      <c r="I24" s="208">
        <f t="shared" ref="I24:L24" si="7">I23*I16</f>
        <v>600062.65895921225</v>
      </c>
      <c r="J24" s="208">
        <f t="shared" si="7"/>
        <v>581851.85370332468</v>
      </c>
      <c r="K24" s="208">
        <f t="shared" si="7"/>
        <v>563999.14920590189</v>
      </c>
      <c r="L24" s="208">
        <f t="shared" si="7"/>
        <v>547213.56631916924</v>
      </c>
    </row>
    <row r="25" spans="2:14">
      <c r="B25" t="s">
        <v>310</v>
      </c>
      <c r="L25" s="208">
        <f>(L16*(1+$C$21))/(C20-C21)</f>
        <v>8775343.5783038586</v>
      </c>
    </row>
    <row r="27" spans="2:14">
      <c r="B27" t="s">
        <v>311</v>
      </c>
      <c r="C27" s="208">
        <f>SUM(H24:L24)</f>
        <v>2878092.9476599982</v>
      </c>
    </row>
    <row r="28" spans="2:14">
      <c r="B28" t="s">
        <v>312</v>
      </c>
      <c r="C28" s="208">
        <f>L25*L23</f>
        <v>2648416.1789507838</v>
      </c>
    </row>
    <row r="29" spans="2:14" ht="21">
      <c r="B29" s="70" t="s">
        <v>160</v>
      </c>
      <c r="C29" s="254">
        <f>SUM(C27:C28)</f>
        <v>5526509.126610782</v>
      </c>
      <c r="J29" s="255" t="s">
        <v>10349</v>
      </c>
    </row>
    <row r="30" spans="2:14">
      <c r="B30" t="s">
        <v>313</v>
      </c>
      <c r="C30" s="90">
        <f>EV!F22</f>
        <v>166900</v>
      </c>
      <c r="H30" s="256"/>
      <c r="I30" s="256"/>
      <c r="J30" s="257" t="s">
        <v>305</v>
      </c>
      <c r="K30" s="256"/>
      <c r="L30" s="256"/>
      <c r="M30" s="256"/>
      <c r="N30" s="256"/>
    </row>
    <row r="31" spans="2:14">
      <c r="B31" t="s">
        <v>314</v>
      </c>
      <c r="C31" s="90">
        <f>EV!F21</f>
        <v>97959</v>
      </c>
      <c r="H31" s="293" t="s">
        <v>10350</v>
      </c>
      <c r="I31" s="258">
        <f>C35</f>
        <v>24.92</v>
      </c>
      <c r="J31" s="259">
        <f>K31-2%</f>
        <v>0.23056999142119841</v>
      </c>
      <c r="K31" s="259">
        <f>L31-2%</f>
        <v>0.2505699914211984</v>
      </c>
      <c r="L31" s="260">
        <f>C20</f>
        <v>0.27056999142119842</v>
      </c>
      <c r="M31" s="259">
        <f>L31+2%</f>
        <v>0.29056999142119844</v>
      </c>
      <c r="N31" s="259">
        <f>M31+2%</f>
        <v>0.31056999142119845</v>
      </c>
    </row>
    <row r="32" spans="2:14">
      <c r="B32" s="70" t="s">
        <v>204</v>
      </c>
      <c r="C32" s="254">
        <f>C29+C30-C31</f>
        <v>5595450.126610782</v>
      </c>
      <c r="H32" s="293"/>
      <c r="I32" s="259">
        <f>I33-1%</f>
        <v>0.03</v>
      </c>
      <c r="J32" s="74">
        <v>9.5293004973311515</v>
      </c>
      <c r="K32" s="74">
        <v>8.6251148687943626</v>
      </c>
      <c r="L32" s="261">
        <v>7.8946448927739956</v>
      </c>
      <c r="M32" s="74">
        <v>7.2924818489309926</v>
      </c>
      <c r="N32" s="74">
        <v>6.7877550865661167</v>
      </c>
    </row>
    <row r="33" spans="2:14">
      <c r="B33" t="s">
        <v>315</v>
      </c>
      <c r="C33" s="97">
        <f>EV!D3</f>
        <v>112000</v>
      </c>
      <c r="H33" s="293"/>
      <c r="I33" s="259">
        <f>I34-1%</f>
        <v>0.04</v>
      </c>
      <c r="J33" s="74">
        <v>9.8240123560627666</v>
      </c>
      <c r="K33" s="74">
        <v>9.5293004973311515</v>
      </c>
      <c r="L33" s="261">
        <v>9.5293004973311515</v>
      </c>
      <c r="M33" s="74">
        <v>9.5293004973311515</v>
      </c>
      <c r="N33" s="74">
        <v>9.5293004973311515</v>
      </c>
    </row>
    <row r="34" spans="2:14">
      <c r="B34" s="70" t="s">
        <v>316</v>
      </c>
      <c r="C34" s="262">
        <f>C32/C33</f>
        <v>49.959376130453414</v>
      </c>
      <c r="H34" s="293"/>
      <c r="I34" s="263">
        <v>0.05</v>
      </c>
      <c r="J34" s="264">
        <v>10.15801912929193</v>
      </c>
      <c r="K34" s="264">
        <v>9.5293004973311515</v>
      </c>
      <c r="L34" s="261">
        <v>9.5293004973311515</v>
      </c>
      <c r="M34" s="264">
        <v>9.5293004973311515</v>
      </c>
      <c r="N34" s="264">
        <v>9.5293004973311515</v>
      </c>
    </row>
    <row r="35" spans="2:14">
      <c r="B35" t="s">
        <v>317</v>
      </c>
      <c r="C35">
        <f>EV!D2</f>
        <v>24.92</v>
      </c>
      <c r="H35" s="293"/>
      <c r="I35" s="259">
        <f>I34+1%</f>
        <v>6.0000000000000005E-2</v>
      </c>
      <c r="J35" s="74">
        <v>10.539741155839542</v>
      </c>
      <c r="K35" s="74">
        <v>9.5293004973311515</v>
      </c>
      <c r="L35" s="261">
        <v>9.5293004973311515</v>
      </c>
      <c r="M35" s="74">
        <v>9.5293004973311515</v>
      </c>
      <c r="N35" s="74">
        <v>9.5293004973311515</v>
      </c>
    </row>
    <row r="36" spans="2:14">
      <c r="B36" s="211" t="s">
        <v>318</v>
      </c>
      <c r="C36" s="58">
        <f>C34/C35-1</f>
        <v>1.0047903744162685</v>
      </c>
      <c r="H36" s="293"/>
      <c r="I36" s="259">
        <f>I35+1%</f>
        <v>7.0000000000000007E-2</v>
      </c>
      <c r="J36" s="74">
        <v>10.980189648009867</v>
      </c>
      <c r="K36" s="74">
        <v>9.5293004973311515</v>
      </c>
      <c r="L36" s="261">
        <v>9.5293004973311515</v>
      </c>
      <c r="M36" s="74">
        <v>9.5293004973311515</v>
      </c>
      <c r="N36" s="74">
        <v>9.5293004973311515</v>
      </c>
    </row>
  </sheetData>
  <mergeCells count="1">
    <mergeCell ref="H31:H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4C7E7"/>
  </sheetPr>
  <dimension ref="B1:N41"/>
  <sheetViews>
    <sheetView topLeftCell="A22" workbookViewId="0">
      <selection activeCell="D25" sqref="D25"/>
    </sheetView>
  </sheetViews>
  <sheetFormatPr defaultColWidth="10" defaultRowHeight="14.4"/>
  <cols>
    <col min="2" max="2" width="28.6640625" bestFit="1" customWidth="1"/>
    <col min="3" max="3" width="10.5546875" bestFit="1" customWidth="1"/>
    <col min="4" max="7" width="11.5546875" bestFit="1" customWidth="1"/>
    <col min="8" max="8" width="12.33203125" bestFit="1" customWidth="1"/>
    <col min="9" max="12" width="11.5546875" bestFit="1" customWidth="1"/>
  </cols>
  <sheetData>
    <row r="1" spans="2:12">
      <c r="B1" s="245" t="s">
        <v>319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</row>
    <row r="2" spans="2:12">
      <c r="B2" s="199"/>
      <c r="C2" s="199">
        <v>2020</v>
      </c>
      <c r="D2" s="199">
        <v>2021</v>
      </c>
      <c r="E2" s="199">
        <v>2022</v>
      </c>
      <c r="F2" s="199">
        <v>2023</v>
      </c>
      <c r="G2" s="265">
        <v>45627</v>
      </c>
      <c r="H2" s="266">
        <v>45992</v>
      </c>
      <c r="I2" s="266">
        <v>46357</v>
      </c>
      <c r="J2" s="266">
        <v>46722</v>
      </c>
      <c r="K2" s="266">
        <v>47088</v>
      </c>
      <c r="L2" s="266">
        <v>47453</v>
      </c>
    </row>
    <row r="3" spans="2:12">
      <c r="B3" t="s">
        <v>29</v>
      </c>
      <c r="C3" s="203">
        <f>Assumptions!C7</f>
        <v>2384158</v>
      </c>
      <c r="D3" s="203">
        <f>Assumptions!D7</f>
        <v>3218179</v>
      </c>
      <c r="E3" s="203">
        <f>Assumptions!E7</f>
        <v>5672210</v>
      </c>
      <c r="F3" s="203">
        <f>Assumptions!F7</f>
        <v>6041455</v>
      </c>
      <c r="G3" s="203">
        <f>Assumptions!G7</f>
        <v>6995488</v>
      </c>
      <c r="H3" s="203">
        <f>Assumptions!H7</f>
        <v>8675901.4963953495</v>
      </c>
      <c r="I3" s="203">
        <f>Assumptions!I7</f>
        <v>10759973.682344258</v>
      </c>
      <c r="J3" s="203">
        <f>Assumptions!J7</f>
        <v>13344668.988328639</v>
      </c>
      <c r="K3" s="203">
        <f>Assumptions!K7</f>
        <v>16550244.049413146</v>
      </c>
      <c r="L3" s="203">
        <f>Assumptions!L7</f>
        <v>20525842.816685807</v>
      </c>
    </row>
    <row r="4" spans="2:12">
      <c r="B4" t="s">
        <v>252</v>
      </c>
      <c r="C4" s="221">
        <f>Assumptions!C19</f>
        <v>-2039837</v>
      </c>
      <c r="D4" s="221">
        <f>Assumptions!D19</f>
        <v>-2896838</v>
      </c>
      <c r="E4" s="221">
        <f>Assumptions!E19</f>
        <v>-5188233</v>
      </c>
      <c r="F4" s="221">
        <f>Assumptions!F19</f>
        <v>-5429160</v>
      </c>
      <c r="G4" s="221">
        <f>Assumptions!G19</f>
        <v>-6213947</v>
      </c>
      <c r="H4" s="221">
        <f>Assumptions!H19</f>
        <v>-7588684.0322720744</v>
      </c>
      <c r="I4" s="221">
        <f>Assumptions!I19</f>
        <v>-9411591.4645641297</v>
      </c>
      <c r="J4" s="221">
        <f>Assumptions!J19</f>
        <v>-11672386.611323418</v>
      </c>
      <c r="K4" s="221">
        <f>Assumptions!K19</f>
        <v>-14476256.190802686</v>
      </c>
      <c r="L4" s="221">
        <f>Assumptions!L19</f>
        <v>-17953654.233698562</v>
      </c>
    </row>
    <row r="5" spans="2:12">
      <c r="B5" s="88" t="s">
        <v>232</v>
      </c>
      <c r="C5" s="208">
        <f>SUM(C3:C4)</f>
        <v>344321</v>
      </c>
      <c r="D5" s="208">
        <f t="shared" ref="D5:J5" si="0">SUM(D3:D4)</f>
        <v>321341</v>
      </c>
      <c r="E5" s="208">
        <f t="shared" si="0"/>
        <v>483977</v>
      </c>
      <c r="F5" s="208">
        <f t="shared" si="0"/>
        <v>612295</v>
      </c>
      <c r="G5" s="208">
        <f t="shared" si="0"/>
        <v>781541</v>
      </c>
      <c r="H5" s="208">
        <f t="shared" si="0"/>
        <v>1087217.4641232751</v>
      </c>
      <c r="I5" s="208">
        <f t="shared" si="0"/>
        <v>1348382.2177801281</v>
      </c>
      <c r="J5" s="208">
        <f t="shared" si="0"/>
        <v>1672282.3770052213</v>
      </c>
      <c r="K5" s="208">
        <f>SUM(K3:K4)</f>
        <v>2073987.8586104605</v>
      </c>
      <c r="L5" s="208">
        <f t="shared" ref="L5" si="1">SUM(L3:L4)</f>
        <v>2572188.5829872452</v>
      </c>
    </row>
    <row r="6" spans="2:12">
      <c r="B6" s="204" t="str">
        <f>Assumptions!B35</f>
        <v>Gen, Admin &amp; Selling Expense</v>
      </c>
      <c r="C6" s="90">
        <f>Assumptions!C35</f>
        <v>-187631</v>
      </c>
      <c r="D6" s="90">
        <f>Assumptions!D35</f>
        <v>-202765</v>
      </c>
      <c r="E6" s="90">
        <f>Assumptions!E35</f>
        <v>-275137</v>
      </c>
      <c r="F6" s="90">
        <f>Assumptions!F35</f>
        <v>-338826</v>
      </c>
      <c r="G6" s="90">
        <f>Assumptions!G35</f>
        <v>-365377</v>
      </c>
      <c r="H6" s="90">
        <f>Assumptions!H35</f>
        <v>-517995.07945653331</v>
      </c>
      <c r="I6" s="90">
        <f>Assumptions!I35</f>
        <v>-642424.70074744825</v>
      </c>
      <c r="J6" s="90">
        <f>Assumptions!J35</f>
        <v>-796744.04738255881</v>
      </c>
      <c r="K6" s="90">
        <f>Assumptions!K35</f>
        <v>-988133.0470340926</v>
      </c>
      <c r="L6" s="90">
        <f>Assumptions!L35</f>
        <v>-1225496.3458447475</v>
      </c>
    </row>
    <row r="7" spans="2:12">
      <c r="B7" s="247" t="str">
        <f>Assumptions!B49</f>
        <v>Other Income</v>
      </c>
      <c r="C7" s="221">
        <f>Assumptions!C49</f>
        <v>22009</v>
      </c>
      <c r="D7" s="221">
        <f>Assumptions!D49</f>
        <v>27275</v>
      </c>
      <c r="E7" s="221">
        <f>Assumptions!E49</f>
        <v>43031</v>
      </c>
      <c r="F7" s="221">
        <f>Assumptions!F49</f>
        <v>41571</v>
      </c>
      <c r="G7" s="221">
        <f>Assumptions!G49</f>
        <v>67184</v>
      </c>
      <c r="H7" s="221">
        <f>Assumptions!H49</f>
        <v>83322.531056278734</v>
      </c>
      <c r="I7" s="221">
        <f>Assumptions!I49</f>
        <v>103337.76169362548</v>
      </c>
      <c r="J7" s="221">
        <f>Assumptions!J49</f>
        <v>128160.92906054179</v>
      </c>
      <c r="K7" s="221">
        <f>Assumptions!K49</f>
        <v>158946.96641832177</v>
      </c>
      <c r="L7" s="221">
        <f>Assumptions!L49</f>
        <v>197128.23805804818</v>
      </c>
    </row>
    <row r="8" spans="2:12">
      <c r="B8" s="70" t="s">
        <v>149</v>
      </c>
      <c r="C8" s="208">
        <f>SUM(C5:C7)</f>
        <v>178699</v>
      </c>
      <c r="D8" s="208">
        <f t="shared" ref="D8:L8" si="2">SUM(D5:D7)</f>
        <v>145851</v>
      </c>
      <c r="E8" s="208">
        <f t="shared" si="2"/>
        <v>251871</v>
      </c>
      <c r="F8" s="208">
        <f t="shared" si="2"/>
        <v>315040</v>
      </c>
      <c r="G8" s="208">
        <f t="shared" si="2"/>
        <v>483348</v>
      </c>
      <c r="H8" s="208">
        <f t="shared" si="2"/>
        <v>652544.91572302056</v>
      </c>
      <c r="I8" s="208">
        <f t="shared" si="2"/>
        <v>809295.27872630535</v>
      </c>
      <c r="J8" s="208">
        <f t="shared" si="2"/>
        <v>1003699.2586832043</v>
      </c>
      <c r="K8" s="208">
        <f t="shared" si="2"/>
        <v>1244801.7779946895</v>
      </c>
      <c r="L8" s="208">
        <f t="shared" si="2"/>
        <v>1543820.475200546</v>
      </c>
    </row>
    <row r="9" spans="2:12">
      <c r="B9" s="222" t="str">
        <f>Assumptions!B63</f>
        <v>Depreciation and Amortization</v>
      </c>
      <c r="C9" s="221">
        <f>-Assumptions!C63</f>
        <v>-47890</v>
      </c>
      <c r="D9" s="221">
        <f>-Assumptions!D63</f>
        <v>-50448</v>
      </c>
      <c r="E9" s="221">
        <f>-Assumptions!E63</f>
        <v>-60067</v>
      </c>
      <c r="F9" s="221">
        <f>-Assumptions!F63</f>
        <v>-67762</v>
      </c>
      <c r="G9" s="221">
        <f>-Assumptions!G63</f>
        <v>-72760</v>
      </c>
      <c r="H9" s="221">
        <f>Assumptions!H63</f>
        <v>-117939.44786560713</v>
      </c>
      <c r="I9" s="221">
        <f>Assumptions!I63</f>
        <v>-146270.14330111956</v>
      </c>
      <c r="J9" s="221">
        <f>Assumptions!J63</f>
        <v>-181406.26574502673</v>
      </c>
      <c r="K9" s="221">
        <f>Assumptions!K63</f>
        <v>-224982.57340056475</v>
      </c>
      <c r="L9" s="221">
        <f>Assumptions!L63</f>
        <v>-279026.51612422703</v>
      </c>
    </row>
    <row r="10" spans="2:12">
      <c r="B10" s="70" t="s">
        <v>151</v>
      </c>
      <c r="C10" s="208">
        <f>SUM(C8:C9)</f>
        <v>130809</v>
      </c>
      <c r="D10" s="208">
        <f t="shared" ref="D10:K10" si="3">SUM(D8:D9)</f>
        <v>95403</v>
      </c>
      <c r="E10" s="208">
        <f t="shared" si="3"/>
        <v>191804</v>
      </c>
      <c r="F10" s="208">
        <f t="shared" si="3"/>
        <v>247278</v>
      </c>
      <c r="G10" s="208">
        <f t="shared" si="3"/>
        <v>410588</v>
      </c>
      <c r="H10" s="208">
        <f t="shared" si="3"/>
        <v>534605.46785741346</v>
      </c>
      <c r="I10" s="208">
        <f t="shared" si="3"/>
        <v>663025.13542518578</v>
      </c>
      <c r="J10" s="208">
        <f t="shared" si="3"/>
        <v>822292.99293817754</v>
      </c>
      <c r="K10" s="208">
        <f t="shared" si="3"/>
        <v>1019819.2045941248</v>
      </c>
      <c r="L10" s="208">
        <f>SUM(L8:L9)</f>
        <v>1264793.9590763189</v>
      </c>
    </row>
    <row r="11" spans="2:12">
      <c r="B11" s="267" t="s">
        <v>320</v>
      </c>
      <c r="C11" s="221">
        <f>Assumptions!C114</f>
        <v>-4888</v>
      </c>
      <c r="D11" s="221">
        <f>Assumptions!D114</f>
        <v>1098</v>
      </c>
      <c r="E11" s="221">
        <f>Assumptions!E114</f>
        <v>-22611</v>
      </c>
      <c r="F11" s="221">
        <f>Assumptions!F114</f>
        <v>-82956</v>
      </c>
      <c r="G11" s="221">
        <f>Assumptions!G114</f>
        <v>-57919</v>
      </c>
      <c r="H11" s="221">
        <f>Assumptions!H114</f>
        <v>-52961.599305297837</v>
      </c>
      <c r="I11" s="221">
        <f>Assumptions!I114</f>
        <v>-65683.711938941749</v>
      </c>
      <c r="J11" s="221">
        <f>Assumptions!J114</f>
        <v>-81461.852940047422</v>
      </c>
      <c r="K11" s="221">
        <f>Assumptions!K114</f>
        <v>-101030.12281940808</v>
      </c>
      <c r="L11" s="221">
        <f>Assumptions!L114</f>
        <v>-125298.96323886313</v>
      </c>
    </row>
    <row r="12" spans="2:12">
      <c r="B12" s="268" t="s">
        <v>153</v>
      </c>
      <c r="C12" s="208">
        <f>C10-C11</f>
        <v>135697</v>
      </c>
      <c r="D12" s="208">
        <f t="shared" ref="D12:L12" si="4">D10-D11</f>
        <v>94305</v>
      </c>
      <c r="E12" s="208">
        <f t="shared" si="4"/>
        <v>214415</v>
      </c>
      <c r="F12" s="208">
        <f t="shared" si="4"/>
        <v>330234</v>
      </c>
      <c r="G12" s="208">
        <f t="shared" si="4"/>
        <v>468507</v>
      </c>
      <c r="H12" s="208">
        <f t="shared" si="4"/>
        <v>587567.06716271129</v>
      </c>
      <c r="I12" s="208">
        <f t="shared" si="4"/>
        <v>728708.84736412752</v>
      </c>
      <c r="J12" s="208">
        <f t="shared" si="4"/>
        <v>903754.84587822494</v>
      </c>
      <c r="K12" s="208">
        <f t="shared" si="4"/>
        <v>1120849.3274135329</v>
      </c>
      <c r="L12" s="208">
        <f t="shared" si="4"/>
        <v>1390092.9223151819</v>
      </c>
    </row>
    <row r="13" spans="2:12">
      <c r="B13" s="249" t="s">
        <v>154</v>
      </c>
      <c r="C13" s="221">
        <f>Assumptions!C77</f>
        <v>-39512</v>
      </c>
      <c r="D13" s="221">
        <f>Assumptions!D77</f>
        <v>-39479</v>
      </c>
      <c r="E13" s="221">
        <f>Assumptions!E77</f>
        <v>-56892</v>
      </c>
      <c r="F13" s="221">
        <f>Assumptions!F77</f>
        <v>-69331</v>
      </c>
      <c r="G13" s="221">
        <f>Assumptions!G77</f>
        <v>-132202</v>
      </c>
      <c r="H13" s="248">
        <f>H10*Assumptions!H87</f>
        <v>-133651.36696435336</v>
      </c>
      <c r="I13" s="248">
        <f>I10*Assumptions!I87</f>
        <v>-165756.28385629645</v>
      </c>
      <c r="J13" s="248">
        <f>J10*Assumptions!J87</f>
        <v>-205573.24823454439</v>
      </c>
      <c r="K13" s="248">
        <f>K10*Assumptions!K87</f>
        <v>-254954.8011485312</v>
      </c>
      <c r="L13" s="248">
        <f>L10*Assumptions!L87</f>
        <v>-316198.48976907972</v>
      </c>
    </row>
    <row r="14" spans="2:12">
      <c r="B14" s="269" t="s">
        <v>235</v>
      </c>
      <c r="C14" s="208">
        <f>SUM(C12:C13)</f>
        <v>96185</v>
      </c>
      <c r="D14" s="208">
        <f t="shared" ref="D14:L14" si="5">SUM(D12:D13)</f>
        <v>54826</v>
      </c>
      <c r="E14" s="208">
        <f t="shared" si="5"/>
        <v>157523</v>
      </c>
      <c r="F14" s="208">
        <f t="shared" si="5"/>
        <v>260903</v>
      </c>
      <c r="G14" s="208">
        <f t="shared" si="5"/>
        <v>336305</v>
      </c>
      <c r="H14" s="208">
        <f t="shared" si="5"/>
        <v>453915.70019835792</v>
      </c>
      <c r="I14" s="208">
        <f t="shared" si="5"/>
        <v>562952.56350783107</v>
      </c>
      <c r="J14" s="208">
        <f t="shared" si="5"/>
        <v>698181.59764368052</v>
      </c>
      <c r="K14" s="208">
        <f t="shared" si="5"/>
        <v>865894.52626500162</v>
      </c>
      <c r="L14" s="208">
        <f t="shared" si="5"/>
        <v>1073894.4325461022</v>
      </c>
    </row>
    <row r="17" spans="2:12">
      <c r="B17" s="199"/>
      <c r="C17" s="199">
        <v>2020</v>
      </c>
      <c r="D17" s="199">
        <v>2021</v>
      </c>
      <c r="E17" s="199">
        <v>2022</v>
      </c>
      <c r="F17" s="199">
        <v>2023</v>
      </c>
      <c r="G17" s="199">
        <v>2024</v>
      </c>
      <c r="H17" s="200">
        <v>2025</v>
      </c>
      <c r="I17" s="200">
        <v>2026</v>
      </c>
      <c r="J17" s="200">
        <v>2027</v>
      </c>
      <c r="K17" s="200">
        <v>2028</v>
      </c>
      <c r="L17" s="200">
        <v>2029</v>
      </c>
    </row>
    <row r="18" spans="2:12">
      <c r="B18" s="211" t="s">
        <v>10343</v>
      </c>
      <c r="C18" s="90">
        <f>-FS!C116</f>
        <v>17217</v>
      </c>
      <c r="D18" s="90">
        <f>-FS!D116</f>
        <v>27163</v>
      </c>
      <c r="E18" s="90">
        <f>-FS!E116</f>
        <v>115264</v>
      </c>
      <c r="F18" s="90">
        <f>-FS!F116</f>
        <v>122156</v>
      </c>
      <c r="G18" s="90">
        <f>-FS!G116</f>
        <v>154632</v>
      </c>
      <c r="H18" s="208">
        <f>H14*H20</f>
        <v>226957.85009917896</v>
      </c>
      <c r="I18" s="208">
        <f t="shared" ref="I18:L18" si="6">I14*I20</f>
        <v>281476.28175391554</v>
      </c>
      <c r="J18" s="208">
        <f t="shared" si="6"/>
        <v>349090.79882184026</v>
      </c>
      <c r="K18" s="208">
        <f t="shared" si="6"/>
        <v>432947.26313250081</v>
      </c>
      <c r="L18" s="208">
        <f t="shared" si="6"/>
        <v>536947.2162730511</v>
      </c>
    </row>
    <row r="19" spans="2:12">
      <c r="B19" s="211" t="s">
        <v>246</v>
      </c>
      <c r="D19" s="58">
        <f>D18/C18-1</f>
        <v>0.57768484637277107</v>
      </c>
      <c r="E19" s="58">
        <f>E18/D18-1</f>
        <v>3.243419357213857</v>
      </c>
      <c r="F19" s="58">
        <f t="shared" ref="F19:G19" si="7">F18/E18-1</f>
        <v>5.9793170460854972E-2</v>
      </c>
      <c r="G19" s="58">
        <f t="shared" si="7"/>
        <v>0.26585677330626423</v>
      </c>
    </row>
    <row r="20" spans="2:12">
      <c r="B20" s="211" t="s">
        <v>10344</v>
      </c>
      <c r="C20" s="58">
        <f>C18/C14</f>
        <v>0.1789988043873785</v>
      </c>
      <c r="D20" s="58">
        <f>D18/D14</f>
        <v>0.49544011965126034</v>
      </c>
      <c r="E20" s="58">
        <f t="shared" ref="E20:F20" si="8">E18/E14</f>
        <v>0.73172806510795252</v>
      </c>
      <c r="F20" s="58">
        <f t="shared" si="8"/>
        <v>0.46820465843627707</v>
      </c>
      <c r="G20" s="58">
        <f>G18/G14</f>
        <v>0.45979691054251348</v>
      </c>
      <c r="H20" s="57">
        <f>G22</f>
        <v>0.5</v>
      </c>
      <c r="I20" s="57">
        <f>H20</f>
        <v>0.5</v>
      </c>
      <c r="J20" s="57">
        <f>I20</f>
        <v>0.5</v>
      </c>
      <c r="K20" s="57">
        <f t="shared" ref="K20:L20" si="9">J20</f>
        <v>0.5</v>
      </c>
      <c r="L20" s="57">
        <f t="shared" si="9"/>
        <v>0.5</v>
      </c>
    </row>
    <row r="21" spans="2:12">
      <c r="B21" s="211" t="s">
        <v>10348</v>
      </c>
      <c r="G21" s="57">
        <f>AVERAGE(E20:G20)</f>
        <v>0.55324321136224774</v>
      </c>
    </row>
    <row r="22" spans="2:12">
      <c r="G22" s="58">
        <f>50%</f>
        <v>0.5</v>
      </c>
    </row>
    <row r="24" spans="2:12">
      <c r="B24" s="70" t="s">
        <v>10345</v>
      </c>
      <c r="C24" s="57">
        <f>WACC!D8</f>
        <v>0.31429499999999999</v>
      </c>
    </row>
    <row r="25" spans="2:12">
      <c r="B25" s="211" t="s">
        <v>297</v>
      </c>
      <c r="C25" s="57">
        <f>WACC!G44</f>
        <v>0.23896147013419083</v>
      </c>
    </row>
    <row r="27" spans="2:12">
      <c r="B27" t="s">
        <v>307</v>
      </c>
      <c r="H27" s="212">
        <f>YEARFRAC($G$2,H2,3)</f>
        <v>1</v>
      </c>
      <c r="I27" s="212">
        <f t="shared" ref="I27:L27" si="10">YEARFRAC($G$2,I2,3)</f>
        <v>2</v>
      </c>
      <c r="J27" s="212">
        <f t="shared" si="10"/>
        <v>3</v>
      </c>
      <c r="K27" s="212">
        <f t="shared" si="10"/>
        <v>4.0027397260273974</v>
      </c>
      <c r="L27" s="212">
        <f t="shared" si="10"/>
        <v>5.0027397260273974</v>
      </c>
    </row>
    <row r="28" spans="2:12">
      <c r="B28" t="s">
        <v>308</v>
      </c>
      <c r="H28" s="74">
        <f>(1/(1+$C$24))^H27</f>
        <v>0.76086418954648694</v>
      </c>
      <c r="I28" s="74">
        <f t="shared" ref="I28:L28" si="11">(1/(1+$C$24))^I27</f>
        <v>0.5789143149342324</v>
      </c>
      <c r="J28" s="74">
        <f t="shared" si="11"/>
        <v>0.44047517104929446</v>
      </c>
      <c r="K28" s="74">
        <f t="shared" si="11"/>
        <v>0.33489093444461143</v>
      </c>
      <c r="L28" s="74">
        <f t="shared" si="11"/>
        <v>0.25480651942266497</v>
      </c>
    </row>
    <row r="29" spans="2:12">
      <c r="B29" s="211" t="s">
        <v>10346</v>
      </c>
      <c r="H29" s="208">
        <f>H28*H18</f>
        <v>172684.10067692486</v>
      </c>
      <c r="I29" s="208">
        <f t="shared" ref="I29:L29" si="12">I28*I18</f>
        <v>162950.64882180298</v>
      </c>
      <c r="J29" s="208">
        <f t="shared" si="12"/>
        <v>153765.82932278494</v>
      </c>
      <c r="K29" s="208">
        <f t="shared" si="12"/>
        <v>144990.11351568028</v>
      </c>
      <c r="L29" s="208">
        <f t="shared" si="12"/>
        <v>136817.65129222508</v>
      </c>
    </row>
    <row r="30" spans="2:12">
      <c r="B30" t="s">
        <v>310</v>
      </c>
      <c r="L30" s="208">
        <f>(L18*(1+C25))/(C24-C25)</f>
        <v>8830820.9325002562</v>
      </c>
    </row>
    <row r="32" spans="2:12">
      <c r="B32" t="s">
        <v>10347</v>
      </c>
      <c r="C32" s="208">
        <f>SUM(H29:L29)</f>
        <v>771208.34362941817</v>
      </c>
    </row>
    <row r="33" spans="2:14">
      <c r="B33" t="s">
        <v>312</v>
      </c>
      <c r="C33" s="208">
        <f>L30*L28</f>
        <v>2250150.7454552031</v>
      </c>
    </row>
    <row r="34" spans="2:14" ht="21">
      <c r="B34" s="70" t="s">
        <v>204</v>
      </c>
      <c r="C34" s="208">
        <f>SUM(C32:C33)</f>
        <v>3021359.0890846215</v>
      </c>
      <c r="J34" s="255" t="s">
        <v>10349</v>
      </c>
    </row>
    <row r="35" spans="2:14">
      <c r="B35" t="s">
        <v>315</v>
      </c>
      <c r="C35" s="97">
        <f>EV!D3</f>
        <v>112000</v>
      </c>
      <c r="H35" s="256"/>
      <c r="I35" s="256"/>
      <c r="J35" s="257" t="s">
        <v>10351</v>
      </c>
      <c r="K35" s="256"/>
      <c r="L35" s="256"/>
      <c r="M35" s="256"/>
      <c r="N35" s="256"/>
    </row>
    <row r="36" spans="2:14">
      <c r="B36" s="70" t="s">
        <v>316</v>
      </c>
      <c r="C36" s="262">
        <f>C34/C35</f>
        <v>26.976420438255548</v>
      </c>
      <c r="H36" s="293" t="s">
        <v>297</v>
      </c>
      <c r="I36" s="258">
        <f>C36</f>
        <v>26.976420438255548</v>
      </c>
      <c r="J36" s="259">
        <f>K36-2%</f>
        <v>0.27429499999999996</v>
      </c>
      <c r="K36" s="259">
        <f>L36-2%</f>
        <v>0.29429499999999997</v>
      </c>
      <c r="L36" s="260">
        <f>C24</f>
        <v>0.31429499999999999</v>
      </c>
      <c r="M36" s="259">
        <f>L36+2%</f>
        <v>0.33429500000000001</v>
      </c>
      <c r="N36" s="259">
        <f>M36+2%</f>
        <v>0.35429500000000003</v>
      </c>
    </row>
    <row r="37" spans="2:14">
      <c r="B37" t="s">
        <v>317</v>
      </c>
      <c r="C37">
        <f>EV!D2</f>
        <v>24.92</v>
      </c>
      <c r="D37" s="58"/>
      <c r="H37" s="293"/>
      <c r="I37" s="259">
        <f>I38-1%</f>
        <v>0.21896147013419082</v>
      </c>
      <c r="J37" s="74">
        <v>27.870311702076592</v>
      </c>
      <c r="K37" s="74">
        <v>-14.458422091395063</v>
      </c>
      <c r="L37" s="261">
        <v>-14.458422091395063</v>
      </c>
      <c r="M37" s="74">
        <v>27.870311702076592</v>
      </c>
      <c r="N37" s="74">
        <v>4.1849689206197827</v>
      </c>
    </row>
    <row r="38" spans="2:14">
      <c r="B38" s="211" t="s">
        <v>318</v>
      </c>
      <c r="C38" s="58">
        <f>C36/C37-1</f>
        <v>8.2520884360174351E-2</v>
      </c>
      <c r="H38" s="293"/>
      <c r="I38" s="259">
        <f>I39-1%</f>
        <v>0.22896147013419083</v>
      </c>
      <c r="J38" s="74">
        <v>11.817628606351395</v>
      </c>
      <c r="K38" s="74">
        <v>27.870311702076592</v>
      </c>
      <c r="L38" s="261">
        <v>27.870311702076592</v>
      </c>
      <c r="M38" s="74">
        <v>27.870311702076592</v>
      </c>
      <c r="N38" s="74">
        <v>27.870311702076592</v>
      </c>
    </row>
    <row r="39" spans="2:14">
      <c r="H39" s="293"/>
      <c r="I39" s="263">
        <f>C25</f>
        <v>0.23896147013419083</v>
      </c>
      <c r="J39" s="264">
        <v>11.817628606351395</v>
      </c>
      <c r="K39" s="264">
        <v>27.870311702076592</v>
      </c>
      <c r="L39" s="261">
        <v>27.870311702076592</v>
      </c>
      <c r="M39" s="264">
        <v>27.870311702076592</v>
      </c>
      <c r="N39" s="264">
        <v>27.870311702076592</v>
      </c>
    </row>
    <row r="40" spans="2:14">
      <c r="H40" s="293"/>
      <c r="I40" s="259">
        <f>I39+1%</f>
        <v>0.24896147013419084</v>
      </c>
      <c r="J40" s="74">
        <v>27.870311702076592</v>
      </c>
      <c r="K40" s="74">
        <v>27.870311702076592</v>
      </c>
      <c r="L40" s="261">
        <v>27.870311702076592</v>
      </c>
      <c r="M40" s="74">
        <v>27.870311702076592</v>
      </c>
      <c r="N40" s="74">
        <v>27.870311702076592</v>
      </c>
    </row>
    <row r="41" spans="2:14">
      <c r="H41" s="293"/>
      <c r="I41" s="259">
        <f>I40+1%</f>
        <v>0.25896147013419085</v>
      </c>
      <c r="J41" s="74">
        <v>-13.476628444734786</v>
      </c>
      <c r="K41" s="74">
        <v>27.870311702076592</v>
      </c>
      <c r="L41" s="261">
        <v>27.870311702076592</v>
      </c>
      <c r="M41" s="74">
        <v>27.870311702076592</v>
      </c>
      <c r="N41" s="74">
        <v>27.870311702076592</v>
      </c>
    </row>
  </sheetData>
  <mergeCells count="1">
    <mergeCell ref="H36:H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35369"/>
  </sheetPr>
  <dimension ref="B2:M17"/>
  <sheetViews>
    <sheetView tabSelected="1" topLeftCell="E1" workbookViewId="0">
      <selection activeCell="K20" sqref="K20"/>
    </sheetView>
  </sheetViews>
  <sheetFormatPr defaultColWidth="10" defaultRowHeight="14.4"/>
  <cols>
    <col min="2" max="2" width="28" bestFit="1" customWidth="1"/>
    <col min="3" max="3" width="10" bestFit="1" customWidth="1"/>
    <col min="4" max="4" width="14.44140625" bestFit="1" customWidth="1"/>
    <col min="5" max="5" width="18.44140625" bestFit="1" customWidth="1"/>
    <col min="6" max="6" width="18.5546875" bestFit="1" customWidth="1"/>
    <col min="7" max="7" width="25.5546875" bestFit="1" customWidth="1"/>
  </cols>
  <sheetData>
    <row r="2" spans="2:13">
      <c r="B2" s="216" t="s">
        <v>321</v>
      </c>
      <c r="C2" s="216"/>
      <c r="D2" s="216"/>
      <c r="E2" s="216"/>
      <c r="F2" s="216"/>
    </row>
    <row r="3" spans="2:13" ht="15.6">
      <c r="B3" s="237" t="s">
        <v>322</v>
      </c>
      <c r="C3" s="237" t="s">
        <v>323</v>
      </c>
      <c r="D3" s="270" t="s">
        <v>324</v>
      </c>
      <c r="E3" s="270" t="s">
        <v>325</v>
      </c>
      <c r="F3" s="270" t="s">
        <v>326</v>
      </c>
    </row>
    <row r="4" spans="2:13">
      <c r="B4" s="211" t="s">
        <v>327</v>
      </c>
      <c r="C4" s="57">
        <v>0.4</v>
      </c>
      <c r="D4" s="262">
        <f>'Comparable Valuation'!I29</f>
        <v>43.534153431799574</v>
      </c>
      <c r="E4" s="57">
        <f>'Comparable Valuation'!I33</f>
        <v>0.74695639774476619</v>
      </c>
      <c r="F4" t="str">
        <f>IF(E4&gt;0,"BUY","SELL")</f>
        <v>BUY</v>
      </c>
    </row>
    <row r="5" spans="2:13">
      <c r="B5" s="211" t="s">
        <v>328</v>
      </c>
      <c r="C5" s="57">
        <f>30%</f>
        <v>0.3</v>
      </c>
      <c r="D5" s="262">
        <f>DCF!C34</f>
        <v>49.959376130453414</v>
      </c>
      <c r="E5" s="57">
        <f>DCF!C36</f>
        <v>1.0047903744162685</v>
      </c>
      <c r="F5" t="str">
        <f t="shared" ref="F5:F6" si="0">IF(E5&gt;0,"BUY","SELL")</f>
        <v>BUY</v>
      </c>
      <c r="M5" s="72">
        <f>100/3</f>
        <v>33.333333333333336</v>
      </c>
    </row>
    <row r="6" spans="2:13">
      <c r="B6" s="211" t="s">
        <v>329</v>
      </c>
      <c r="C6" s="57">
        <f>30%</f>
        <v>0.3</v>
      </c>
      <c r="D6" s="262">
        <f>DDM!C36</f>
        <v>26.976420438255548</v>
      </c>
      <c r="E6" s="57">
        <f>DDM!C38</f>
        <v>8.2520884360174351E-2</v>
      </c>
      <c r="F6" t="str">
        <f t="shared" si="0"/>
        <v>BUY</v>
      </c>
    </row>
    <row r="7" spans="2:13">
      <c r="B7" s="271" t="s">
        <v>330</v>
      </c>
      <c r="C7" s="272"/>
      <c r="D7" s="272"/>
      <c r="E7" s="272"/>
      <c r="F7" s="273">
        <f>(C4*D4)+(C5*D5)+(C6*D6)</f>
        <v>40.494400343332522</v>
      </c>
    </row>
    <row r="8" spans="2:13">
      <c r="B8" s="211" t="s">
        <v>331</v>
      </c>
      <c r="F8">
        <f>DDM!C37</f>
        <v>24.92</v>
      </c>
    </row>
    <row r="9" spans="2:13">
      <c r="B9" s="211" t="s">
        <v>332</v>
      </c>
      <c r="F9" s="58">
        <f>F7/F8-1</f>
        <v>0.6249759367308394</v>
      </c>
    </row>
    <row r="12" spans="2:13">
      <c r="G12" s="285" t="s">
        <v>10353</v>
      </c>
      <c r="H12" s="286"/>
    </row>
    <row r="13" spans="2:13">
      <c r="G13" s="274" t="s">
        <v>10354</v>
      </c>
      <c r="H13" s="275" t="s">
        <v>239</v>
      </c>
    </row>
    <row r="14" spans="2:13">
      <c r="G14" s="274" t="s">
        <v>10356</v>
      </c>
      <c r="H14" s="275">
        <v>24.92</v>
      </c>
    </row>
    <row r="15" spans="2:13">
      <c r="G15" s="274" t="s">
        <v>207</v>
      </c>
      <c r="H15" s="275"/>
    </row>
    <row r="16" spans="2:13">
      <c r="G16" s="274" t="s">
        <v>326</v>
      </c>
      <c r="H16" s="276" t="s">
        <v>10357</v>
      </c>
    </row>
    <row r="17" spans="7:8">
      <c r="G17" s="277" t="s">
        <v>10355</v>
      </c>
      <c r="H17" s="278"/>
    </row>
  </sheetData>
  <mergeCells count="1">
    <mergeCell ref="G12:H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H10010"/>
  <sheetViews>
    <sheetView workbookViewId="0">
      <selection activeCell="H12" sqref="H12"/>
    </sheetView>
  </sheetViews>
  <sheetFormatPr defaultColWidth="10" defaultRowHeight="14.4"/>
  <cols>
    <col min="2" max="2" width="36.44140625" bestFit="1" customWidth="1"/>
    <col min="4" max="4" width="12.44140625" bestFit="1" customWidth="1"/>
    <col min="5" max="5" width="23.109375" bestFit="1" customWidth="1"/>
    <col min="6" max="6" width="9" bestFit="1" customWidth="1"/>
    <col min="7" max="8" width="16.109375" bestFit="1" customWidth="1"/>
  </cols>
  <sheetData>
    <row r="1" spans="2:8">
      <c r="B1" s="271" t="s">
        <v>10337</v>
      </c>
      <c r="C1" s="272"/>
      <c r="D1" s="272"/>
    </row>
    <row r="2" spans="2:8" ht="15.6">
      <c r="B2" s="279" t="s">
        <v>10338</v>
      </c>
      <c r="D2" s="262">
        <f>'Fair Value'!F7</f>
        <v>40.494400343332522</v>
      </c>
    </row>
    <row r="3" spans="2:8" ht="15.6">
      <c r="B3" s="279" t="s">
        <v>10339</v>
      </c>
      <c r="D3" s="280">
        <f>WACC!D8</f>
        <v>0.31429499999999999</v>
      </c>
    </row>
    <row r="4" spans="2:8" ht="15.6">
      <c r="B4" s="279" t="s">
        <v>10340</v>
      </c>
      <c r="D4" s="74">
        <v>6.656110759748142E-2</v>
      </c>
    </row>
    <row r="5" spans="2:8" ht="15.6">
      <c r="B5" s="279" t="s">
        <v>10341</v>
      </c>
      <c r="D5">
        <v>1</v>
      </c>
    </row>
    <row r="6" spans="2:8" ht="15.6">
      <c r="B6" s="279" t="s">
        <v>10342</v>
      </c>
    </row>
    <row r="10" spans="2:8" ht="15.6">
      <c r="E10" s="281" t="s">
        <v>333</v>
      </c>
      <c r="F10" s="282" t="s">
        <v>334</v>
      </c>
      <c r="G10" s="283" t="s">
        <v>335</v>
      </c>
      <c r="H10" s="281" t="s">
        <v>336</v>
      </c>
    </row>
    <row r="11" spans="2:8">
      <c r="E11" t="s">
        <v>337</v>
      </c>
      <c r="F11" s="284">
        <f ca="1">RAND()</f>
        <v>0.61471499859253631</v>
      </c>
      <c r="G11" s="74">
        <v>57.701300892991966</v>
      </c>
      <c r="H11" s="74">
        <f>$D$2-G11</f>
        <v>-17.206900549659444</v>
      </c>
    </row>
    <row r="12" spans="2:8">
      <c r="E12" t="s">
        <v>338</v>
      </c>
      <c r="F12" s="284">
        <f t="shared" ref="F12:F75" ca="1" si="0">RAND()</f>
        <v>0.46365366169983691</v>
      </c>
      <c r="G12" s="74">
        <v>45.824501196812463</v>
      </c>
      <c r="H12" s="74">
        <f t="shared" ref="H12:H75" si="1">$D$2-G12</f>
        <v>-5.3301008534799408</v>
      </c>
    </row>
    <row r="13" spans="2:8">
      <c r="E13" t="s">
        <v>339</v>
      </c>
      <c r="F13" s="284">
        <f t="shared" ca="1" si="0"/>
        <v>0.17656458142735731</v>
      </c>
      <c r="G13" s="74">
        <v>118.71544421732231</v>
      </c>
      <c r="H13" s="74">
        <f t="shared" si="1"/>
        <v>-78.2210438739898</v>
      </c>
    </row>
    <row r="14" spans="2:8">
      <c r="E14" t="s">
        <v>340</v>
      </c>
      <c r="F14" s="284">
        <f t="shared" ca="1" si="0"/>
        <v>0.22356098921657308</v>
      </c>
      <c r="G14" s="74">
        <v>37.947319919038691</v>
      </c>
      <c r="H14" s="74">
        <f t="shared" si="1"/>
        <v>2.5470804242938314</v>
      </c>
    </row>
    <row r="15" spans="2:8">
      <c r="E15" t="s">
        <v>341</v>
      </c>
      <c r="F15" s="284">
        <f t="shared" ca="1" si="0"/>
        <v>0.48792178962454302</v>
      </c>
      <c r="G15" s="74">
        <v>35.968866411433979</v>
      </c>
      <c r="H15" s="74">
        <f t="shared" si="1"/>
        <v>4.5255339318985435</v>
      </c>
    </row>
    <row r="16" spans="2:8">
      <c r="E16" t="s">
        <v>342</v>
      </c>
      <c r="F16" s="284">
        <f t="shared" ca="1" si="0"/>
        <v>0.30655330860926455</v>
      </c>
      <c r="G16" s="74">
        <v>38.027876446765681</v>
      </c>
      <c r="H16" s="74">
        <f t="shared" si="1"/>
        <v>2.4665238965668408</v>
      </c>
    </row>
    <row r="17" spans="5:8">
      <c r="E17" t="s">
        <v>343</v>
      </c>
      <c r="F17" s="284">
        <f t="shared" ca="1" si="0"/>
        <v>0.43874943418212375</v>
      </c>
      <c r="G17" s="74">
        <v>36.18418692792411</v>
      </c>
      <c r="H17" s="74">
        <f t="shared" si="1"/>
        <v>4.3102134154084126</v>
      </c>
    </row>
    <row r="18" spans="5:8">
      <c r="E18" t="s">
        <v>344</v>
      </c>
      <c r="F18" s="284">
        <f t="shared" ca="1" si="0"/>
        <v>0.82730463380316666</v>
      </c>
      <c r="G18" s="74">
        <v>38.712160166112973</v>
      </c>
      <c r="H18" s="74">
        <f t="shared" si="1"/>
        <v>1.7822401772195491</v>
      </c>
    </row>
    <row r="19" spans="5:8">
      <c r="E19" t="s">
        <v>345</v>
      </c>
      <c r="F19" s="284">
        <f t="shared" ca="1" si="0"/>
        <v>0.36203941324942079</v>
      </c>
      <c r="G19" s="74">
        <v>36.05392701431213</v>
      </c>
      <c r="H19" s="74">
        <f t="shared" si="1"/>
        <v>4.4404733290203922</v>
      </c>
    </row>
    <row r="20" spans="5:8">
      <c r="E20" t="s">
        <v>346</v>
      </c>
      <c r="F20" s="284">
        <f t="shared" ca="1" si="0"/>
        <v>0.84725910918241565</v>
      </c>
      <c r="G20" s="74">
        <v>36.54699040285584</v>
      </c>
      <c r="H20" s="74">
        <f t="shared" si="1"/>
        <v>3.9474099404766818</v>
      </c>
    </row>
    <row r="21" spans="5:8">
      <c r="E21" t="s">
        <v>347</v>
      </c>
      <c r="F21" s="284">
        <f t="shared" ca="1" si="0"/>
        <v>0.5538268574858064</v>
      </c>
      <c r="G21" s="74">
        <v>40.674621625884917</v>
      </c>
      <c r="H21" s="74">
        <f t="shared" si="1"/>
        <v>-0.18022128255239522</v>
      </c>
    </row>
    <row r="22" spans="5:8">
      <c r="E22" t="s">
        <v>348</v>
      </c>
      <c r="F22" s="284">
        <f t="shared" ca="1" si="0"/>
        <v>0.2539297964366044</v>
      </c>
      <c r="G22" s="74">
        <v>37.0557792068373</v>
      </c>
      <c r="H22" s="74">
        <f t="shared" si="1"/>
        <v>3.4386211364952217</v>
      </c>
    </row>
    <row r="23" spans="5:8">
      <c r="E23" t="s">
        <v>349</v>
      </c>
      <c r="F23" s="284">
        <f t="shared" ca="1" si="0"/>
        <v>0.23174420393680839</v>
      </c>
      <c r="G23" s="74">
        <v>37.34973858573349</v>
      </c>
      <c r="H23" s="74">
        <f t="shared" si="1"/>
        <v>3.1446617575990317</v>
      </c>
    </row>
    <row r="24" spans="5:8">
      <c r="E24" t="s">
        <v>350</v>
      </c>
      <c r="F24" s="284">
        <f t="shared" ca="1" si="0"/>
        <v>0.23338359550785992</v>
      </c>
      <c r="G24" s="74">
        <v>39.377456738061362</v>
      </c>
      <c r="H24" s="74">
        <f t="shared" si="1"/>
        <v>1.1169436052711603</v>
      </c>
    </row>
    <row r="25" spans="5:8">
      <c r="E25" t="s">
        <v>351</v>
      </c>
      <c r="F25" s="284">
        <f t="shared" ca="1" si="0"/>
        <v>0.64189935777637952</v>
      </c>
      <c r="G25" s="74">
        <v>37.757481409413934</v>
      </c>
      <c r="H25" s="74">
        <f t="shared" si="1"/>
        <v>2.736918933918588</v>
      </c>
    </row>
    <row r="26" spans="5:8">
      <c r="E26" t="s">
        <v>352</v>
      </c>
      <c r="F26" s="284">
        <f t="shared" ca="1" si="0"/>
        <v>0.32878313914095969</v>
      </c>
      <c r="G26" s="74">
        <v>40.082481221889523</v>
      </c>
      <c r="H26" s="74">
        <f t="shared" si="1"/>
        <v>0.41191912144299891</v>
      </c>
    </row>
    <row r="27" spans="5:8">
      <c r="E27" t="s">
        <v>353</v>
      </c>
      <c r="F27" s="284">
        <f t="shared" ca="1" si="0"/>
        <v>0.32835708173445122</v>
      </c>
      <c r="G27" s="74">
        <v>35.820219128161526</v>
      </c>
      <c r="H27" s="74">
        <f t="shared" si="1"/>
        <v>4.6741812151709965</v>
      </c>
    </row>
    <row r="28" spans="5:8">
      <c r="E28" t="s">
        <v>354</v>
      </c>
      <c r="F28" s="284">
        <f t="shared" ca="1" si="0"/>
        <v>0.86412225060698866</v>
      </c>
      <c r="G28" s="74">
        <v>38.424270156898992</v>
      </c>
      <c r="H28" s="74">
        <f t="shared" si="1"/>
        <v>2.0701301864335306</v>
      </c>
    </row>
    <row r="29" spans="5:8">
      <c r="E29" t="s">
        <v>355</v>
      </c>
      <c r="F29" s="284">
        <f t="shared" ca="1" si="0"/>
        <v>0.65300592528285717</v>
      </c>
      <c r="G29" s="74">
        <v>40.711450469225348</v>
      </c>
      <c r="H29" s="74">
        <f t="shared" si="1"/>
        <v>-0.21705012589282546</v>
      </c>
    </row>
    <row r="30" spans="5:8">
      <c r="E30" t="s">
        <v>356</v>
      </c>
      <c r="F30" s="284">
        <f t="shared" ca="1" si="0"/>
        <v>4.0251829518998083E-2</v>
      </c>
      <c r="G30" s="74">
        <v>35.770511684302825</v>
      </c>
      <c r="H30" s="74">
        <f t="shared" si="1"/>
        <v>4.7238886590296971</v>
      </c>
    </row>
    <row r="31" spans="5:8">
      <c r="E31" t="s">
        <v>357</v>
      </c>
      <c r="F31" s="284">
        <f t="shared" ca="1" si="0"/>
        <v>0.96841277984673368</v>
      </c>
      <c r="G31" s="74">
        <v>42.493244262148366</v>
      </c>
      <c r="H31" s="74">
        <f t="shared" si="1"/>
        <v>-1.9988439188158438</v>
      </c>
    </row>
    <row r="32" spans="5:8">
      <c r="E32" t="s">
        <v>358</v>
      </c>
      <c r="F32" s="284">
        <f t="shared" ca="1" si="0"/>
        <v>0.25055083998462746</v>
      </c>
      <c r="G32" s="74">
        <v>36.238863739996098</v>
      </c>
      <c r="H32" s="74">
        <f t="shared" si="1"/>
        <v>4.2555366033364237</v>
      </c>
    </row>
    <row r="33" spans="5:8">
      <c r="E33" t="s">
        <v>359</v>
      </c>
      <c r="F33" s="284">
        <f t="shared" ca="1" si="0"/>
        <v>0.35999217504157399</v>
      </c>
      <c r="G33" s="74">
        <v>39.090918221587465</v>
      </c>
      <c r="H33" s="74">
        <f t="shared" si="1"/>
        <v>1.403482121745057</v>
      </c>
    </row>
    <row r="34" spans="5:8">
      <c r="E34" t="s">
        <v>360</v>
      </c>
      <c r="F34" s="284">
        <f t="shared" ca="1" si="0"/>
        <v>0.86522135682522605</v>
      </c>
      <c r="G34" s="74">
        <v>39.435564523538105</v>
      </c>
      <c r="H34" s="74">
        <f t="shared" si="1"/>
        <v>1.0588358197944174</v>
      </c>
    </row>
    <row r="35" spans="5:8">
      <c r="E35" t="s">
        <v>361</v>
      </c>
      <c r="F35" s="284">
        <f t="shared" ca="1" si="0"/>
        <v>0.30763375823130845</v>
      </c>
      <c r="G35" s="74">
        <v>36.074857722732332</v>
      </c>
      <c r="H35" s="74">
        <f t="shared" si="1"/>
        <v>4.4195426206001898</v>
      </c>
    </row>
    <row r="36" spans="5:8">
      <c r="E36" t="s">
        <v>362</v>
      </c>
      <c r="F36" s="284">
        <f t="shared" ca="1" si="0"/>
        <v>0.73406198879988094</v>
      </c>
      <c r="G36" s="74">
        <v>42.468110988967112</v>
      </c>
      <c r="H36" s="74">
        <f t="shared" si="1"/>
        <v>-1.9737106456345899</v>
      </c>
    </row>
    <row r="37" spans="5:8">
      <c r="E37" t="s">
        <v>363</v>
      </c>
      <c r="F37" s="284">
        <f t="shared" ca="1" si="0"/>
        <v>0.41172010418783422</v>
      </c>
      <c r="G37" s="74">
        <v>38.336534302153972</v>
      </c>
      <c r="H37" s="74">
        <f t="shared" si="1"/>
        <v>2.1578660411785506</v>
      </c>
    </row>
    <row r="38" spans="5:8">
      <c r="E38" t="s">
        <v>364</v>
      </c>
      <c r="F38" s="284">
        <f t="shared" ca="1" si="0"/>
        <v>0.22019637831152739</v>
      </c>
      <c r="G38" s="74">
        <v>40.481207974139259</v>
      </c>
      <c r="H38" s="74">
        <f t="shared" si="1"/>
        <v>1.3192369193262721E-2</v>
      </c>
    </row>
    <row r="39" spans="5:8">
      <c r="E39" t="s">
        <v>365</v>
      </c>
      <c r="F39" s="284">
        <f t="shared" ca="1" si="0"/>
        <v>0.86248773648483779</v>
      </c>
      <c r="G39" s="74">
        <v>39.28237818896168</v>
      </c>
      <c r="H39" s="74">
        <f t="shared" si="1"/>
        <v>1.2120221543708425</v>
      </c>
    </row>
    <row r="40" spans="5:8">
      <c r="E40" t="s">
        <v>366</v>
      </c>
      <c r="F40" s="284">
        <f t="shared" ca="1" si="0"/>
        <v>0.45127323159513499</v>
      </c>
      <c r="G40" s="74">
        <v>38.739970228332211</v>
      </c>
      <c r="H40" s="74">
        <f t="shared" si="1"/>
        <v>1.7544301150003108</v>
      </c>
    </row>
    <row r="41" spans="5:8">
      <c r="E41" t="s">
        <v>367</v>
      </c>
      <c r="F41" s="284">
        <f t="shared" ca="1" si="0"/>
        <v>0.49146782195738892</v>
      </c>
      <c r="G41" s="74">
        <v>34.171519871303495</v>
      </c>
      <c r="H41" s="74">
        <f t="shared" si="1"/>
        <v>6.322880472029027</v>
      </c>
    </row>
    <row r="42" spans="5:8">
      <c r="E42" t="s">
        <v>368</v>
      </c>
      <c r="F42" s="284">
        <f t="shared" ca="1" si="0"/>
        <v>0.37538901707253192</v>
      </c>
      <c r="G42" s="74">
        <v>44.798861442329773</v>
      </c>
      <c r="H42" s="74">
        <f t="shared" si="1"/>
        <v>-4.3044610989972512</v>
      </c>
    </row>
    <row r="43" spans="5:8">
      <c r="E43" t="s">
        <v>369</v>
      </c>
      <c r="F43" s="284">
        <f t="shared" ca="1" si="0"/>
        <v>0.14629300863538308</v>
      </c>
      <c r="G43" s="74">
        <v>38.722587168444164</v>
      </c>
      <c r="H43" s="74">
        <f t="shared" si="1"/>
        <v>1.7718131748883579</v>
      </c>
    </row>
    <row r="44" spans="5:8">
      <c r="E44" t="s">
        <v>370</v>
      </c>
      <c r="F44" s="284">
        <f t="shared" ca="1" si="0"/>
        <v>0.83924274139645094</v>
      </c>
      <c r="G44" s="74">
        <v>35.926459937323401</v>
      </c>
      <c r="H44" s="74">
        <f t="shared" si="1"/>
        <v>4.5679404060091215</v>
      </c>
    </row>
    <row r="45" spans="5:8">
      <c r="E45" t="s">
        <v>371</v>
      </c>
      <c r="F45" s="284">
        <f t="shared" ca="1" si="0"/>
        <v>0.97073123826125851</v>
      </c>
      <c r="G45" s="74">
        <v>45.030096087916462</v>
      </c>
      <c r="H45" s="74">
        <f t="shared" si="1"/>
        <v>-4.5356957445839399</v>
      </c>
    </row>
    <row r="46" spans="5:8">
      <c r="E46" t="s">
        <v>372</v>
      </c>
      <c r="F46" s="284">
        <f t="shared" ca="1" si="0"/>
        <v>0.99826605258716206</v>
      </c>
      <c r="G46" s="74">
        <v>39.795603707116271</v>
      </c>
      <c r="H46" s="74">
        <f t="shared" si="1"/>
        <v>0.69879663621625099</v>
      </c>
    </row>
    <row r="47" spans="5:8">
      <c r="E47" t="s">
        <v>373</v>
      </c>
      <c r="F47" s="284">
        <f t="shared" ca="1" si="0"/>
        <v>0.18253190985743595</v>
      </c>
      <c r="G47" s="74">
        <v>43.762103573656304</v>
      </c>
      <c r="H47" s="74">
        <f t="shared" si="1"/>
        <v>-3.2677032303237823</v>
      </c>
    </row>
    <row r="48" spans="5:8">
      <c r="E48" t="s">
        <v>374</v>
      </c>
      <c r="F48" s="284">
        <f t="shared" ca="1" si="0"/>
        <v>0.91299068155796015</v>
      </c>
      <c r="G48" s="74">
        <v>34.296747056652116</v>
      </c>
      <c r="H48" s="74">
        <f t="shared" si="1"/>
        <v>6.1976532866804064</v>
      </c>
    </row>
    <row r="49" spans="5:8">
      <c r="E49" t="s">
        <v>375</v>
      </c>
      <c r="F49" s="284">
        <f t="shared" ca="1" si="0"/>
        <v>0.10495775398354357</v>
      </c>
      <c r="G49" s="74">
        <v>38.008859687994757</v>
      </c>
      <c r="H49" s="74">
        <f t="shared" si="1"/>
        <v>2.4855406553377648</v>
      </c>
    </row>
    <row r="50" spans="5:8">
      <c r="E50" t="s">
        <v>376</v>
      </c>
      <c r="F50" s="284">
        <f t="shared" ca="1" si="0"/>
        <v>2.4696015215717959E-2</v>
      </c>
      <c r="G50" s="74">
        <v>36.5857246804174</v>
      </c>
      <c r="H50" s="74">
        <f t="shared" si="1"/>
        <v>3.9086756629151225</v>
      </c>
    </row>
    <row r="51" spans="5:8">
      <c r="E51" t="s">
        <v>377</v>
      </c>
      <c r="F51" s="284">
        <f t="shared" ca="1" si="0"/>
        <v>0.2839343764040555</v>
      </c>
      <c r="G51" s="74">
        <v>37.752869025762038</v>
      </c>
      <c r="H51" s="74">
        <f t="shared" si="1"/>
        <v>2.7415313175704838</v>
      </c>
    </row>
    <row r="52" spans="5:8">
      <c r="E52" t="s">
        <v>378</v>
      </c>
      <c r="F52" s="284">
        <f t="shared" ca="1" si="0"/>
        <v>0.54645392841779206</v>
      </c>
      <c r="G52" s="74">
        <v>33.27915141827124</v>
      </c>
      <c r="H52" s="74">
        <f t="shared" si="1"/>
        <v>7.2152489250612817</v>
      </c>
    </row>
    <row r="53" spans="5:8">
      <c r="E53" t="s">
        <v>379</v>
      </c>
      <c r="F53" s="284">
        <f t="shared" ca="1" si="0"/>
        <v>2.4947079944303008E-3</v>
      </c>
      <c r="G53" s="74">
        <v>36.097722239629825</v>
      </c>
      <c r="H53" s="74">
        <f t="shared" si="1"/>
        <v>4.3966781037026976</v>
      </c>
    </row>
    <row r="54" spans="5:8">
      <c r="E54" t="s">
        <v>380</v>
      </c>
      <c r="F54" s="284">
        <f t="shared" ca="1" si="0"/>
        <v>9.2510934178904769E-2</v>
      </c>
      <c r="G54" s="74">
        <v>37.895684818412924</v>
      </c>
      <c r="H54" s="74">
        <f t="shared" si="1"/>
        <v>2.5987155249195979</v>
      </c>
    </row>
    <row r="55" spans="5:8">
      <c r="E55" t="s">
        <v>381</v>
      </c>
      <c r="F55" s="284">
        <f t="shared" ca="1" si="0"/>
        <v>0.72878359667883119</v>
      </c>
      <c r="G55" s="74">
        <v>38.199024472162378</v>
      </c>
      <c r="H55" s="74">
        <f t="shared" si="1"/>
        <v>2.295375871170144</v>
      </c>
    </row>
    <row r="56" spans="5:8" ht="15.6">
      <c r="E56" s="279" t="s">
        <v>382</v>
      </c>
      <c r="F56" s="284">
        <f t="shared" ca="1" si="0"/>
        <v>0.88366293364730553</v>
      </c>
      <c r="G56" s="74">
        <v>37.951710521884465</v>
      </c>
      <c r="H56" s="74">
        <f t="shared" si="1"/>
        <v>2.5426898214480573</v>
      </c>
    </row>
    <row r="57" spans="5:8" ht="15.6">
      <c r="E57" s="279" t="s">
        <v>383</v>
      </c>
      <c r="F57" s="284">
        <f t="shared" ca="1" si="0"/>
        <v>0.37146591411230534</v>
      </c>
      <c r="G57" s="74">
        <v>40.35942042013167</v>
      </c>
      <c r="H57" s="74">
        <f t="shared" si="1"/>
        <v>0.13497992320085217</v>
      </c>
    </row>
    <row r="58" spans="5:8" ht="15.6">
      <c r="E58" s="279" t="s">
        <v>384</v>
      </c>
      <c r="F58" s="284">
        <f t="shared" ca="1" si="0"/>
        <v>0.21607136413421169</v>
      </c>
      <c r="G58" s="74">
        <v>40.844384890132318</v>
      </c>
      <c r="H58" s="74">
        <f t="shared" si="1"/>
        <v>-0.34998454679979574</v>
      </c>
    </row>
    <row r="59" spans="5:8" ht="15.6">
      <c r="E59" s="279" t="s">
        <v>385</v>
      </c>
      <c r="F59" s="284">
        <f t="shared" ca="1" si="0"/>
        <v>0.5805155169595474</v>
      </c>
      <c r="G59" s="74">
        <v>39.005598744140187</v>
      </c>
      <c r="H59" s="74">
        <f t="shared" si="1"/>
        <v>1.4888015991923353</v>
      </c>
    </row>
    <row r="60" spans="5:8" ht="15.6">
      <c r="E60" s="279" t="s">
        <v>386</v>
      </c>
      <c r="F60" s="284">
        <f t="shared" ca="1" si="0"/>
        <v>0.40339416499653069</v>
      </c>
      <c r="G60" s="74">
        <v>35.67112490990948</v>
      </c>
      <c r="H60" s="74">
        <f t="shared" si="1"/>
        <v>4.8232754334230421</v>
      </c>
    </row>
    <row r="61" spans="5:8" ht="15.6">
      <c r="E61" s="279" t="s">
        <v>387</v>
      </c>
      <c r="F61" s="284">
        <f t="shared" ca="1" si="0"/>
        <v>0.54101472769407555</v>
      </c>
      <c r="G61" s="74">
        <v>37.170124092574795</v>
      </c>
      <c r="H61" s="74">
        <f t="shared" si="1"/>
        <v>3.3242762507577268</v>
      </c>
    </row>
    <row r="62" spans="5:8" ht="15.6">
      <c r="E62" s="279" t="s">
        <v>388</v>
      </c>
      <c r="F62" s="284">
        <f t="shared" ca="1" si="0"/>
        <v>0.57413720175885719</v>
      </c>
      <c r="G62" s="74">
        <v>41.161270385537541</v>
      </c>
      <c r="H62" s="74">
        <f t="shared" si="1"/>
        <v>-0.66687004220501933</v>
      </c>
    </row>
    <row r="63" spans="5:8" ht="15.6">
      <c r="E63" s="279" t="s">
        <v>389</v>
      </c>
      <c r="F63" s="284">
        <f t="shared" ca="1" si="0"/>
        <v>0.67361486295552142</v>
      </c>
      <c r="G63" s="74">
        <v>34.938248281164178</v>
      </c>
      <c r="H63" s="74">
        <f t="shared" si="1"/>
        <v>5.5561520621683442</v>
      </c>
    </row>
    <row r="64" spans="5:8" ht="15.6">
      <c r="E64" s="279" t="s">
        <v>390</v>
      </c>
      <c r="F64" s="284">
        <f t="shared" ca="1" si="0"/>
        <v>0.44116884330087702</v>
      </c>
      <c r="G64" s="74">
        <v>40.493446094476873</v>
      </c>
      <c r="H64" s="74">
        <f t="shared" si="1"/>
        <v>9.54248855649098E-4</v>
      </c>
    </row>
    <row r="65" spans="5:8" ht="15.6">
      <c r="E65" s="279" t="s">
        <v>391</v>
      </c>
      <c r="F65" s="284">
        <f t="shared" ca="1" si="0"/>
        <v>0.88720671378758487</v>
      </c>
      <c r="G65" s="74">
        <v>38.485002742747554</v>
      </c>
      <c r="H65" s="74">
        <f t="shared" si="1"/>
        <v>2.0093976005849683</v>
      </c>
    </row>
    <row r="66" spans="5:8" ht="15.6">
      <c r="E66" s="279" t="s">
        <v>392</v>
      </c>
      <c r="F66" s="284">
        <f t="shared" ca="1" si="0"/>
        <v>0.29660188000322829</v>
      </c>
      <c r="G66" s="74">
        <v>39.968889244252757</v>
      </c>
      <c r="H66" s="74">
        <f t="shared" si="1"/>
        <v>0.52551109907976468</v>
      </c>
    </row>
    <row r="67" spans="5:8" ht="15.6">
      <c r="E67" s="279" t="s">
        <v>393</v>
      </c>
      <c r="F67" s="284">
        <f t="shared" ca="1" si="0"/>
        <v>0.60119273943517948</v>
      </c>
      <c r="G67" s="74">
        <v>43.267838518893406</v>
      </c>
      <c r="H67" s="74">
        <f t="shared" si="1"/>
        <v>-2.7734381755608837</v>
      </c>
    </row>
    <row r="68" spans="5:8" ht="15.6">
      <c r="E68" s="279" t="s">
        <v>394</v>
      </c>
      <c r="F68" s="284">
        <f t="shared" ca="1" si="0"/>
        <v>0.89024407925754689</v>
      </c>
      <c r="G68" s="74">
        <v>38.221290744741708</v>
      </c>
      <c r="H68" s="74">
        <f t="shared" si="1"/>
        <v>2.2731095985908141</v>
      </c>
    </row>
    <row r="69" spans="5:8" ht="15.6">
      <c r="E69" s="279" t="s">
        <v>395</v>
      </c>
      <c r="F69" s="284">
        <f t="shared" ca="1" si="0"/>
        <v>6.4578976294409562E-2</v>
      </c>
      <c r="G69" s="74">
        <v>40.267631448712372</v>
      </c>
      <c r="H69" s="74">
        <f t="shared" si="1"/>
        <v>0.22676889462015026</v>
      </c>
    </row>
    <row r="70" spans="5:8" ht="15.6">
      <c r="E70" s="279" t="s">
        <v>396</v>
      </c>
      <c r="F70" s="284">
        <f t="shared" ca="1" si="0"/>
        <v>0.69986335234200825</v>
      </c>
      <c r="G70" s="74">
        <v>40.730311305763159</v>
      </c>
      <c r="H70" s="74">
        <f t="shared" si="1"/>
        <v>-0.23591096243063703</v>
      </c>
    </row>
    <row r="71" spans="5:8" ht="15.6">
      <c r="E71" s="279" t="s">
        <v>397</v>
      </c>
      <c r="F71" s="284">
        <f t="shared" ca="1" si="0"/>
        <v>0.37027500527084145</v>
      </c>
      <c r="G71" s="74">
        <v>37.305108873888663</v>
      </c>
      <c r="H71" s="74">
        <f t="shared" si="1"/>
        <v>3.1892914694438588</v>
      </c>
    </row>
    <row r="72" spans="5:8" ht="15.6">
      <c r="E72" s="279" t="s">
        <v>398</v>
      </c>
      <c r="F72" s="284">
        <f t="shared" ca="1" si="0"/>
        <v>0.75893821346063073</v>
      </c>
      <c r="G72" s="74">
        <v>41.336130637712827</v>
      </c>
      <c r="H72" s="74">
        <f t="shared" si="1"/>
        <v>-0.84173029438030511</v>
      </c>
    </row>
    <row r="73" spans="5:8" ht="15.6">
      <c r="E73" s="279" t="s">
        <v>399</v>
      </c>
      <c r="F73" s="284">
        <f t="shared" ca="1" si="0"/>
        <v>0.22330691425607485</v>
      </c>
      <c r="G73" s="74">
        <v>35.514123592871591</v>
      </c>
      <c r="H73" s="74">
        <f t="shared" si="1"/>
        <v>4.9802767504609307</v>
      </c>
    </row>
    <row r="74" spans="5:8" ht="15.6">
      <c r="E74" s="279" t="s">
        <v>400</v>
      </c>
      <c r="F74" s="284">
        <f t="shared" ca="1" si="0"/>
        <v>0.41481420660859136</v>
      </c>
      <c r="G74" s="74">
        <v>38.52923897717001</v>
      </c>
      <c r="H74" s="74">
        <f t="shared" si="1"/>
        <v>1.965161366162512</v>
      </c>
    </row>
    <row r="75" spans="5:8" ht="15.6">
      <c r="E75" s="279" t="s">
        <v>401</v>
      </c>
      <c r="F75" s="284">
        <f t="shared" ca="1" si="0"/>
        <v>0.44384211817085506</v>
      </c>
      <c r="G75" s="74">
        <v>43.704375130481161</v>
      </c>
      <c r="H75" s="74">
        <f t="shared" si="1"/>
        <v>-3.2099747871486386</v>
      </c>
    </row>
    <row r="76" spans="5:8" ht="15.6">
      <c r="E76" s="279" t="s">
        <v>402</v>
      </c>
      <c r="F76" s="284">
        <f t="shared" ref="F76:F139" ca="1" si="2">RAND()</f>
        <v>0.37531441391002918</v>
      </c>
      <c r="G76" s="74">
        <v>37.708782870229463</v>
      </c>
      <c r="H76" s="74">
        <f t="shared" ref="H76:H139" si="3">$D$2-G76</f>
        <v>2.7856174731030592</v>
      </c>
    </row>
    <row r="77" spans="5:8" ht="15.6">
      <c r="E77" s="279" t="s">
        <v>403</v>
      </c>
      <c r="F77" s="284">
        <f t="shared" ca="1" si="2"/>
        <v>0.54699729409128706</v>
      </c>
      <c r="G77" s="74">
        <v>40.512928409303619</v>
      </c>
      <c r="H77" s="74">
        <f t="shared" si="3"/>
        <v>-1.8528065971096908E-2</v>
      </c>
    </row>
    <row r="78" spans="5:8" ht="15.6">
      <c r="E78" s="279" t="s">
        <v>404</v>
      </c>
      <c r="F78" s="284">
        <f t="shared" ca="1" si="2"/>
        <v>0.8146140522754699</v>
      </c>
      <c r="G78" s="74">
        <v>41.030362661388217</v>
      </c>
      <c r="H78" s="74">
        <f t="shared" si="3"/>
        <v>-0.53596231805569516</v>
      </c>
    </row>
    <row r="79" spans="5:8" ht="15.6">
      <c r="E79" s="279" t="s">
        <v>405</v>
      </c>
      <c r="F79" s="284">
        <f t="shared" ca="1" si="2"/>
        <v>0.62645451547634323</v>
      </c>
      <c r="G79" s="74">
        <v>42.785182387780551</v>
      </c>
      <c r="H79" s="74">
        <f t="shared" si="3"/>
        <v>-2.2907820444480294</v>
      </c>
    </row>
    <row r="80" spans="5:8" ht="15.6">
      <c r="E80" s="279" t="s">
        <v>406</v>
      </c>
      <c r="F80" s="284">
        <f t="shared" ca="1" si="2"/>
        <v>0.38720213997481689</v>
      </c>
      <c r="G80" s="74">
        <v>39.718779938962243</v>
      </c>
      <c r="H80" s="74">
        <f t="shared" si="3"/>
        <v>0.77562040437027946</v>
      </c>
    </row>
    <row r="81" spans="5:8" ht="15.6">
      <c r="E81" s="279" t="s">
        <v>407</v>
      </c>
      <c r="F81" s="284">
        <f t="shared" ca="1" si="2"/>
        <v>0.25220138358678046</v>
      </c>
      <c r="G81" s="74">
        <v>35.901062006510152</v>
      </c>
      <c r="H81" s="74">
        <f t="shared" si="3"/>
        <v>4.5933383368223701</v>
      </c>
    </row>
    <row r="82" spans="5:8" ht="15.6">
      <c r="E82" s="279" t="s">
        <v>408</v>
      </c>
      <c r="F82" s="284">
        <f t="shared" ca="1" si="2"/>
        <v>0.78812241350990986</v>
      </c>
      <c r="G82" s="74">
        <v>35.552726435783441</v>
      </c>
      <c r="H82" s="74">
        <f t="shared" si="3"/>
        <v>4.941673907549081</v>
      </c>
    </row>
    <row r="83" spans="5:8" ht="15.6">
      <c r="E83" s="279" t="s">
        <v>409</v>
      </c>
      <c r="F83" s="284">
        <f t="shared" ca="1" si="2"/>
        <v>0.87271536768982094</v>
      </c>
      <c r="G83" s="74">
        <v>38.711541733357834</v>
      </c>
      <c r="H83" s="74">
        <f t="shared" si="3"/>
        <v>1.7828586099746886</v>
      </c>
    </row>
    <row r="84" spans="5:8" ht="15.6">
      <c r="E84" s="279" t="s">
        <v>410</v>
      </c>
      <c r="F84" s="284">
        <f t="shared" ca="1" si="2"/>
        <v>0.36742465489249876</v>
      </c>
      <c r="G84" s="74">
        <v>36.877377586789102</v>
      </c>
      <c r="H84" s="74">
        <f t="shared" si="3"/>
        <v>3.6170227565434203</v>
      </c>
    </row>
    <row r="85" spans="5:8" ht="15.6">
      <c r="E85" s="279" t="s">
        <v>411</v>
      </c>
      <c r="F85" s="284">
        <f t="shared" ca="1" si="2"/>
        <v>0.4522057200716455</v>
      </c>
      <c r="G85" s="74">
        <v>43.534053949800949</v>
      </c>
      <c r="H85" s="74">
        <f t="shared" si="3"/>
        <v>-3.039653606468427</v>
      </c>
    </row>
    <row r="86" spans="5:8" ht="15.6">
      <c r="E86" s="279" t="s">
        <v>412</v>
      </c>
      <c r="F86" s="284">
        <f t="shared" ca="1" si="2"/>
        <v>0.83892764260893815</v>
      </c>
      <c r="G86" s="74">
        <v>40.307091547311366</v>
      </c>
      <c r="H86" s="74">
        <f t="shared" si="3"/>
        <v>0.18730879602115635</v>
      </c>
    </row>
    <row r="87" spans="5:8" ht="15.6">
      <c r="E87" s="279" t="s">
        <v>413</v>
      </c>
      <c r="F87" s="284">
        <f t="shared" ca="1" si="2"/>
        <v>0.43860790332280342</v>
      </c>
      <c r="G87" s="74">
        <v>38.247717602882851</v>
      </c>
      <c r="H87" s="74">
        <f t="shared" si="3"/>
        <v>2.2466827404496712</v>
      </c>
    </row>
    <row r="88" spans="5:8" ht="15.6">
      <c r="E88" s="279" t="s">
        <v>414</v>
      </c>
      <c r="F88" s="284">
        <f t="shared" ca="1" si="2"/>
        <v>0.69832779997965588</v>
      </c>
      <c r="G88" s="74">
        <v>36.619469891876292</v>
      </c>
      <c r="H88" s="74">
        <f t="shared" si="3"/>
        <v>3.8749304514562297</v>
      </c>
    </row>
    <row r="89" spans="5:8" ht="15.6">
      <c r="E89" s="279" t="s">
        <v>415</v>
      </c>
      <c r="F89" s="284">
        <f t="shared" ca="1" si="2"/>
        <v>0.63401301489402839</v>
      </c>
      <c r="G89" s="74">
        <v>40.675637988438432</v>
      </c>
      <c r="H89" s="74">
        <f t="shared" si="3"/>
        <v>-0.18123764510590945</v>
      </c>
    </row>
    <row r="90" spans="5:8" ht="15.6">
      <c r="E90" s="279" t="s">
        <v>416</v>
      </c>
      <c r="F90" s="284">
        <f t="shared" ca="1" si="2"/>
        <v>0.28862638012930164</v>
      </c>
      <c r="G90" s="74">
        <v>42.284526517983011</v>
      </c>
      <c r="H90" s="74">
        <f t="shared" si="3"/>
        <v>-1.7901261746504886</v>
      </c>
    </row>
    <row r="91" spans="5:8" ht="15.6">
      <c r="E91" s="279" t="s">
        <v>417</v>
      </c>
      <c r="F91" s="284">
        <f t="shared" ca="1" si="2"/>
        <v>0.60143537315541362</v>
      </c>
      <c r="G91" s="74">
        <v>46.920903297638546</v>
      </c>
      <c r="H91" s="74">
        <f t="shared" si="3"/>
        <v>-6.4265029543060237</v>
      </c>
    </row>
    <row r="92" spans="5:8" ht="15.6">
      <c r="E92" s="279" t="s">
        <v>418</v>
      </c>
      <c r="F92" s="284">
        <f t="shared" ca="1" si="2"/>
        <v>0.54054760477654373</v>
      </c>
      <c r="G92" s="74">
        <v>45.494077877196652</v>
      </c>
      <c r="H92" s="74">
        <f t="shared" si="3"/>
        <v>-4.9996775338641299</v>
      </c>
    </row>
    <row r="93" spans="5:8" ht="15.6">
      <c r="E93" s="279" t="s">
        <v>419</v>
      </c>
      <c r="F93" s="284">
        <f t="shared" ca="1" si="2"/>
        <v>0.63127983254032327</v>
      </c>
      <c r="G93" s="74">
        <v>40.752002638173479</v>
      </c>
      <c r="H93" s="74">
        <f t="shared" si="3"/>
        <v>-0.25760229484095731</v>
      </c>
    </row>
    <row r="94" spans="5:8" ht="15.6">
      <c r="E94" s="279" t="s">
        <v>420</v>
      </c>
      <c r="F94" s="284">
        <f t="shared" ca="1" si="2"/>
        <v>0.40625620698536857</v>
      </c>
      <c r="G94" s="74">
        <v>38.941679218906003</v>
      </c>
      <c r="H94" s="74">
        <f t="shared" si="3"/>
        <v>1.5527211244265189</v>
      </c>
    </row>
    <row r="95" spans="5:8" ht="15.6">
      <c r="E95" s="279" t="s">
        <v>421</v>
      </c>
      <c r="F95" s="284">
        <f t="shared" ca="1" si="2"/>
        <v>0.67540299419876748</v>
      </c>
      <c r="G95" s="74">
        <v>41.614122755524853</v>
      </c>
      <c r="H95" s="74">
        <f t="shared" si="3"/>
        <v>-1.1197224121923313</v>
      </c>
    </row>
    <row r="96" spans="5:8" ht="15.6">
      <c r="E96" s="279" t="s">
        <v>422</v>
      </c>
      <c r="F96" s="284">
        <f t="shared" ca="1" si="2"/>
        <v>0.28045413784754769</v>
      </c>
      <c r="G96" s="74">
        <v>41.628837288975213</v>
      </c>
      <c r="H96" s="74">
        <f t="shared" si="3"/>
        <v>-1.1344369456426904</v>
      </c>
    </row>
    <row r="97" spans="5:8" ht="15.6">
      <c r="E97" s="279" t="s">
        <v>423</v>
      </c>
      <c r="F97" s="284">
        <f t="shared" ca="1" si="2"/>
        <v>0.37464152178090993</v>
      </c>
      <c r="G97" s="74">
        <v>43.010149658031843</v>
      </c>
      <c r="H97" s="74">
        <f t="shared" si="3"/>
        <v>-2.5157493146993204</v>
      </c>
    </row>
    <row r="98" spans="5:8" ht="15.6">
      <c r="E98" s="279" t="s">
        <v>424</v>
      </c>
      <c r="F98" s="284">
        <f t="shared" ca="1" si="2"/>
        <v>5.9962530505113132E-2</v>
      </c>
      <c r="G98" s="74">
        <v>40.506873972857555</v>
      </c>
      <c r="H98" s="74">
        <f t="shared" si="3"/>
        <v>-1.2473629525032948E-2</v>
      </c>
    </row>
    <row r="99" spans="5:8" ht="15.6">
      <c r="E99" s="279" t="s">
        <v>425</v>
      </c>
      <c r="F99" s="284">
        <f t="shared" ca="1" si="2"/>
        <v>0.45099243942250078</v>
      </c>
      <c r="G99" s="74">
        <v>34.193931668495864</v>
      </c>
      <c r="H99" s="74">
        <f t="shared" si="3"/>
        <v>6.3004686748366581</v>
      </c>
    </row>
    <row r="100" spans="5:8" ht="15.6">
      <c r="E100" s="279" t="s">
        <v>426</v>
      </c>
      <c r="F100" s="284">
        <f t="shared" ca="1" si="2"/>
        <v>5.1870195414071452E-2</v>
      </c>
      <c r="G100" s="74">
        <v>37.506646996706849</v>
      </c>
      <c r="H100" s="74">
        <f t="shared" si="3"/>
        <v>2.9877533466256736</v>
      </c>
    </row>
    <row r="101" spans="5:8" ht="15.6">
      <c r="E101" s="279" t="s">
        <v>427</v>
      </c>
      <c r="F101" s="284">
        <f t="shared" ca="1" si="2"/>
        <v>0.65902279130630792</v>
      </c>
      <c r="G101" s="74">
        <v>37.362784393082002</v>
      </c>
      <c r="H101" s="74">
        <f t="shared" si="3"/>
        <v>3.1316159502505201</v>
      </c>
    </row>
    <row r="102" spans="5:8" ht="15.6">
      <c r="E102" s="279" t="s">
        <v>428</v>
      </c>
      <c r="F102" s="284">
        <f t="shared" ca="1" si="2"/>
        <v>0.39313599224416984</v>
      </c>
      <c r="G102" s="74">
        <v>40.041336203046114</v>
      </c>
      <c r="H102" s="74">
        <f t="shared" si="3"/>
        <v>0.45306414028640773</v>
      </c>
    </row>
    <row r="103" spans="5:8" ht="15.6">
      <c r="E103" s="279" t="s">
        <v>429</v>
      </c>
      <c r="F103" s="284">
        <f t="shared" ca="1" si="2"/>
        <v>0.6885578741041718</v>
      </c>
      <c r="G103" s="74">
        <v>37.177019021897081</v>
      </c>
      <c r="H103" s="74">
        <f t="shared" si="3"/>
        <v>3.3173813214354411</v>
      </c>
    </row>
    <row r="104" spans="5:8" ht="15.6">
      <c r="E104" s="279" t="s">
        <v>430</v>
      </c>
      <c r="F104" s="284">
        <f t="shared" ca="1" si="2"/>
        <v>0.22570206518992042</v>
      </c>
      <c r="G104" s="74">
        <v>35.934591658349206</v>
      </c>
      <c r="H104" s="74">
        <f t="shared" si="3"/>
        <v>4.5598086849833166</v>
      </c>
    </row>
    <row r="105" spans="5:8" ht="15.6">
      <c r="E105" s="279" t="s">
        <v>431</v>
      </c>
      <c r="F105" s="284">
        <f t="shared" ca="1" si="2"/>
        <v>0.50738519124504922</v>
      </c>
      <c r="G105" s="74">
        <v>39.567640227218114</v>
      </c>
      <c r="H105" s="74">
        <f t="shared" si="3"/>
        <v>0.92676011611440856</v>
      </c>
    </row>
    <row r="106" spans="5:8" ht="15.6">
      <c r="E106" s="279" t="s">
        <v>432</v>
      </c>
      <c r="F106" s="284">
        <f t="shared" ca="1" si="2"/>
        <v>0.93622476278463151</v>
      </c>
      <c r="G106" s="74">
        <v>41.744826059722762</v>
      </c>
      <c r="H106" s="74">
        <f t="shared" si="3"/>
        <v>-1.2504257163902395</v>
      </c>
    </row>
    <row r="107" spans="5:8" ht="15.6">
      <c r="E107" s="279" t="s">
        <v>433</v>
      </c>
      <c r="F107" s="284">
        <f t="shared" ca="1" si="2"/>
        <v>0.94463530662905548</v>
      </c>
      <c r="G107" s="74">
        <v>41.562024955982046</v>
      </c>
      <c r="H107" s="74">
        <f t="shared" si="3"/>
        <v>-1.0676246126495244</v>
      </c>
    </row>
    <row r="108" spans="5:8" ht="15.6">
      <c r="E108" s="279" t="s">
        <v>434</v>
      </c>
      <c r="F108" s="284">
        <f t="shared" ca="1" si="2"/>
        <v>0.15674835115229113</v>
      </c>
      <c r="G108" s="74">
        <v>44.023378014933392</v>
      </c>
      <c r="H108" s="74">
        <f t="shared" si="3"/>
        <v>-3.5289776716008703</v>
      </c>
    </row>
    <row r="109" spans="5:8" ht="15.6">
      <c r="E109" s="279" t="s">
        <v>435</v>
      </c>
      <c r="F109" s="284">
        <f t="shared" ca="1" si="2"/>
        <v>0.46146133650626164</v>
      </c>
      <c r="G109" s="74">
        <v>42.196904023538771</v>
      </c>
      <c r="H109" s="74">
        <f t="shared" si="3"/>
        <v>-1.7025036802062488</v>
      </c>
    </row>
    <row r="110" spans="5:8" ht="15.6">
      <c r="E110" s="279" t="s">
        <v>436</v>
      </c>
      <c r="F110" s="284">
        <f t="shared" ca="1" si="2"/>
        <v>4.0420502042435968E-2</v>
      </c>
      <c r="G110" s="74">
        <v>38.888768380686294</v>
      </c>
      <c r="H110" s="74">
        <f t="shared" si="3"/>
        <v>1.6056319626462283</v>
      </c>
    </row>
    <row r="111" spans="5:8" ht="15.6">
      <c r="E111" s="279" t="s">
        <v>437</v>
      </c>
      <c r="F111" s="284">
        <f t="shared" ca="1" si="2"/>
        <v>0.82767504892803034</v>
      </c>
      <c r="G111" s="74">
        <v>34.974593607156351</v>
      </c>
      <c r="H111" s="74">
        <f t="shared" si="3"/>
        <v>5.5198067361761716</v>
      </c>
    </row>
    <row r="112" spans="5:8" ht="15.6">
      <c r="E112" s="279" t="s">
        <v>438</v>
      </c>
      <c r="F112" s="284">
        <f t="shared" ca="1" si="2"/>
        <v>0.59746692070353602</v>
      </c>
      <c r="G112" s="74">
        <v>38.131094857054542</v>
      </c>
      <c r="H112" s="74">
        <f t="shared" si="3"/>
        <v>2.3633054862779801</v>
      </c>
    </row>
    <row r="113" spans="5:8" ht="15.6">
      <c r="E113" s="279" t="s">
        <v>439</v>
      </c>
      <c r="F113" s="284">
        <f t="shared" ca="1" si="2"/>
        <v>0.39752510664419372</v>
      </c>
      <c r="G113" s="74">
        <v>40.696183981709609</v>
      </c>
      <c r="H113" s="74">
        <f t="shared" si="3"/>
        <v>-0.20178363837708702</v>
      </c>
    </row>
    <row r="114" spans="5:8" ht="15.6">
      <c r="E114" s="279" t="s">
        <v>440</v>
      </c>
      <c r="F114" s="284">
        <f t="shared" ca="1" si="2"/>
        <v>0.60751082444394577</v>
      </c>
      <c r="G114" s="74">
        <v>33.436123619581238</v>
      </c>
      <c r="H114" s="74">
        <f t="shared" si="3"/>
        <v>7.058276723751284</v>
      </c>
    </row>
    <row r="115" spans="5:8" ht="15.6">
      <c r="E115" s="279" t="s">
        <v>441</v>
      </c>
      <c r="F115" s="284">
        <f t="shared" ca="1" si="2"/>
        <v>0.36895688376729052</v>
      </c>
      <c r="G115" s="74">
        <v>42.1375136525402</v>
      </c>
      <c r="H115" s="74">
        <f t="shared" si="3"/>
        <v>-1.6431133092076777</v>
      </c>
    </row>
    <row r="116" spans="5:8" ht="15.6">
      <c r="E116" s="279" t="s">
        <v>442</v>
      </c>
      <c r="F116" s="284">
        <f t="shared" ca="1" si="2"/>
        <v>0.52828633519239843</v>
      </c>
      <c r="G116" s="74">
        <v>37.764803560082598</v>
      </c>
      <c r="H116" s="74">
        <f t="shared" si="3"/>
        <v>2.7295967832499244</v>
      </c>
    </row>
    <row r="117" spans="5:8" ht="15.6">
      <c r="E117" s="279" t="s">
        <v>443</v>
      </c>
      <c r="F117" s="284">
        <f t="shared" ca="1" si="2"/>
        <v>0.403848983693466</v>
      </c>
      <c r="G117" s="74">
        <v>34.16120514761473</v>
      </c>
      <c r="H117" s="74">
        <f t="shared" si="3"/>
        <v>6.3331951957177921</v>
      </c>
    </row>
    <row r="118" spans="5:8" ht="15.6">
      <c r="E118" s="279" t="s">
        <v>444</v>
      </c>
      <c r="F118" s="284">
        <f t="shared" ca="1" si="2"/>
        <v>0.78269292590563877</v>
      </c>
      <c r="G118" s="74">
        <v>36.727878446020476</v>
      </c>
      <c r="H118" s="74">
        <f t="shared" si="3"/>
        <v>3.766521897312046</v>
      </c>
    </row>
    <row r="119" spans="5:8" ht="15.6">
      <c r="E119" s="279" t="s">
        <v>445</v>
      </c>
      <c r="F119" s="284">
        <f t="shared" ca="1" si="2"/>
        <v>4.0397713160551851E-2</v>
      </c>
      <c r="G119" s="74">
        <v>39.504087133572853</v>
      </c>
      <c r="H119" s="74">
        <f t="shared" si="3"/>
        <v>0.99031320975966963</v>
      </c>
    </row>
    <row r="120" spans="5:8" ht="15.6">
      <c r="E120" s="279" t="s">
        <v>446</v>
      </c>
      <c r="F120" s="284">
        <f t="shared" ca="1" si="2"/>
        <v>0.33532337854222016</v>
      </c>
      <c r="G120" s="74">
        <v>40.506198664676404</v>
      </c>
      <c r="H120" s="74">
        <f t="shared" si="3"/>
        <v>-1.1798321343881923E-2</v>
      </c>
    </row>
    <row r="121" spans="5:8" ht="15.6">
      <c r="E121" s="279" t="s">
        <v>447</v>
      </c>
      <c r="F121" s="284">
        <f t="shared" ca="1" si="2"/>
        <v>0.253112582519463</v>
      </c>
      <c r="G121" s="74">
        <v>42.166137731949377</v>
      </c>
      <c r="H121" s="74">
        <f t="shared" si="3"/>
        <v>-1.6717373886168545</v>
      </c>
    </row>
    <row r="122" spans="5:8" ht="15.6">
      <c r="E122" s="279" t="s">
        <v>448</v>
      </c>
      <c r="F122" s="284">
        <f t="shared" ca="1" si="2"/>
        <v>0.27811204137571344</v>
      </c>
      <c r="G122" s="74">
        <v>40.765358913171447</v>
      </c>
      <c r="H122" s="74">
        <f t="shared" si="3"/>
        <v>-0.27095856983892475</v>
      </c>
    </row>
    <row r="123" spans="5:8" ht="15.6">
      <c r="E123" s="279" t="s">
        <v>449</v>
      </c>
      <c r="F123" s="284">
        <f t="shared" ca="1" si="2"/>
        <v>0.30169528315345662</v>
      </c>
      <c r="G123" s="74">
        <v>39.677040539794881</v>
      </c>
      <c r="H123" s="74">
        <f t="shared" si="3"/>
        <v>0.81735980353764148</v>
      </c>
    </row>
    <row r="124" spans="5:8" ht="15.6">
      <c r="E124" s="279" t="s">
        <v>450</v>
      </c>
      <c r="F124" s="284">
        <f t="shared" ca="1" si="2"/>
        <v>0.74288716162525448</v>
      </c>
      <c r="G124" s="74">
        <v>41.753054634707212</v>
      </c>
      <c r="H124" s="74">
        <f t="shared" si="3"/>
        <v>-1.2586542913746896</v>
      </c>
    </row>
    <row r="125" spans="5:8" ht="15.6">
      <c r="E125" s="279" t="s">
        <v>451</v>
      </c>
      <c r="F125" s="284">
        <f t="shared" ca="1" si="2"/>
        <v>1.2908593977583593E-2</v>
      </c>
      <c r="G125" s="74">
        <v>38.610068631715421</v>
      </c>
      <c r="H125" s="74">
        <f t="shared" si="3"/>
        <v>1.8843317116171008</v>
      </c>
    </row>
    <row r="126" spans="5:8" ht="15.6">
      <c r="E126" s="279" t="s">
        <v>452</v>
      </c>
      <c r="F126" s="284">
        <f t="shared" ca="1" si="2"/>
        <v>7.279787639093116E-2</v>
      </c>
      <c r="G126" s="74">
        <v>39.673648751768731</v>
      </c>
      <c r="H126" s="74">
        <f t="shared" si="3"/>
        <v>0.82075159156379129</v>
      </c>
    </row>
    <row r="127" spans="5:8" ht="15.6">
      <c r="E127" s="279" t="s">
        <v>453</v>
      </c>
      <c r="F127" s="284">
        <f t="shared" ca="1" si="2"/>
        <v>0.74182537850245822</v>
      </c>
      <c r="G127" s="74">
        <v>40.573595017815137</v>
      </c>
      <c r="H127" s="74">
        <f t="shared" si="3"/>
        <v>-7.9194674482614857E-2</v>
      </c>
    </row>
    <row r="128" spans="5:8" ht="15.6">
      <c r="E128" s="279" t="s">
        <v>454</v>
      </c>
      <c r="F128" s="284">
        <f t="shared" ca="1" si="2"/>
        <v>0.63535129348471464</v>
      </c>
      <c r="G128" s="74">
        <v>31.641547908903082</v>
      </c>
      <c r="H128" s="74">
        <f t="shared" si="3"/>
        <v>8.8528524344294404</v>
      </c>
    </row>
    <row r="129" spans="5:8" ht="15.6">
      <c r="E129" s="279" t="s">
        <v>455</v>
      </c>
      <c r="F129" s="284">
        <f t="shared" ca="1" si="2"/>
        <v>0.96555046416997437</v>
      </c>
      <c r="G129" s="74">
        <v>33.853644157984519</v>
      </c>
      <c r="H129" s="74">
        <f t="shared" si="3"/>
        <v>6.6407561853480033</v>
      </c>
    </row>
    <row r="130" spans="5:8" ht="15.6">
      <c r="E130" s="279" t="s">
        <v>456</v>
      </c>
      <c r="F130" s="284">
        <f t="shared" ca="1" si="2"/>
        <v>0.51415194095510464</v>
      </c>
      <c r="G130" s="74">
        <v>40.768586836085866</v>
      </c>
      <c r="H130" s="74">
        <f t="shared" si="3"/>
        <v>-0.27418649275334417</v>
      </c>
    </row>
    <row r="131" spans="5:8" ht="15.6">
      <c r="E131" s="279" t="s">
        <v>457</v>
      </c>
      <c r="F131" s="284">
        <f t="shared" ca="1" si="2"/>
        <v>0.99044614231342909</v>
      </c>
      <c r="G131" s="74">
        <v>31.51357323776157</v>
      </c>
      <c r="H131" s="74">
        <f t="shared" si="3"/>
        <v>8.9808271055709525</v>
      </c>
    </row>
    <row r="132" spans="5:8" ht="15.6">
      <c r="E132" s="279" t="s">
        <v>458</v>
      </c>
      <c r="F132" s="284">
        <f t="shared" ca="1" si="2"/>
        <v>0.52320050813611019</v>
      </c>
      <c r="G132" s="74">
        <v>36.529484479233226</v>
      </c>
      <c r="H132" s="74">
        <f t="shared" si="3"/>
        <v>3.9649158640992965</v>
      </c>
    </row>
    <row r="133" spans="5:8" ht="15.6">
      <c r="E133" s="279" t="s">
        <v>459</v>
      </c>
      <c r="F133" s="284">
        <f t="shared" ca="1" si="2"/>
        <v>0.1454679459202779</v>
      </c>
      <c r="G133" s="74">
        <v>39.364818188942408</v>
      </c>
      <c r="H133" s="74">
        <f t="shared" si="3"/>
        <v>1.1295821543901141</v>
      </c>
    </row>
    <row r="134" spans="5:8" ht="15.6">
      <c r="E134" s="279" t="s">
        <v>460</v>
      </c>
      <c r="F134" s="284">
        <f t="shared" ca="1" si="2"/>
        <v>0.53643727569578636</v>
      </c>
      <c r="G134" s="74">
        <v>37.347951453741906</v>
      </c>
      <c r="H134" s="74">
        <f t="shared" si="3"/>
        <v>3.1464488895906157</v>
      </c>
    </row>
    <row r="135" spans="5:8" ht="15.6">
      <c r="E135" s="279" t="s">
        <v>461</v>
      </c>
      <c r="F135" s="284">
        <f t="shared" ca="1" si="2"/>
        <v>0.71925022718976028</v>
      </c>
      <c r="G135" s="74">
        <v>42.724188182571979</v>
      </c>
      <c r="H135" s="74">
        <f t="shared" si="3"/>
        <v>-2.2297878392394566</v>
      </c>
    </row>
    <row r="136" spans="5:8" ht="15.6">
      <c r="E136" s="279" t="s">
        <v>462</v>
      </c>
      <c r="F136" s="284">
        <f t="shared" ca="1" si="2"/>
        <v>0.33077180911311754</v>
      </c>
      <c r="G136" s="74">
        <v>34.634975345603515</v>
      </c>
      <c r="H136" s="74">
        <f t="shared" si="3"/>
        <v>5.8594249977290076</v>
      </c>
    </row>
    <row r="137" spans="5:8" ht="15.6">
      <c r="E137" s="279" t="s">
        <v>463</v>
      </c>
      <c r="F137" s="284">
        <f t="shared" ca="1" si="2"/>
        <v>0.63646500433404141</v>
      </c>
      <c r="G137" s="74">
        <v>39.154172027745481</v>
      </c>
      <c r="H137" s="74">
        <f t="shared" si="3"/>
        <v>1.3402283155870407</v>
      </c>
    </row>
    <row r="138" spans="5:8" ht="15.6">
      <c r="E138" s="279" t="s">
        <v>464</v>
      </c>
      <c r="F138" s="284">
        <f t="shared" ca="1" si="2"/>
        <v>0.20878444156534093</v>
      </c>
      <c r="G138" s="74">
        <v>37.048480792180086</v>
      </c>
      <c r="H138" s="74">
        <f t="shared" si="3"/>
        <v>3.4459195511524356</v>
      </c>
    </row>
    <row r="139" spans="5:8" ht="15.6">
      <c r="E139" s="279" t="s">
        <v>465</v>
      </c>
      <c r="F139" s="284">
        <f t="shared" ca="1" si="2"/>
        <v>0.89452885907113677</v>
      </c>
      <c r="G139" s="74">
        <v>39.309865429546463</v>
      </c>
      <c r="H139" s="74">
        <f t="shared" si="3"/>
        <v>1.1845349137860595</v>
      </c>
    </row>
    <row r="140" spans="5:8" ht="15.6">
      <c r="E140" s="279" t="s">
        <v>466</v>
      </c>
      <c r="F140" s="284">
        <f t="shared" ref="F140:F203" ca="1" si="4">RAND()</f>
        <v>0.13525753193535417</v>
      </c>
      <c r="G140" s="74">
        <v>38.362992713277592</v>
      </c>
      <c r="H140" s="74">
        <f t="shared" ref="H140:H203" si="5">$D$2-G140</f>
        <v>2.1314076300549303</v>
      </c>
    </row>
    <row r="141" spans="5:8" ht="15.6">
      <c r="E141" s="279" t="s">
        <v>467</v>
      </c>
      <c r="F141" s="284">
        <f t="shared" ca="1" si="4"/>
        <v>0.39003697512256164</v>
      </c>
      <c r="G141" s="74">
        <v>39.742701553858936</v>
      </c>
      <c r="H141" s="74">
        <f t="shared" si="5"/>
        <v>0.75169878947358626</v>
      </c>
    </row>
    <row r="142" spans="5:8" ht="15.6">
      <c r="E142" s="279" t="s">
        <v>468</v>
      </c>
      <c r="F142" s="284">
        <f t="shared" ca="1" si="4"/>
        <v>0.58151929866483354</v>
      </c>
      <c r="G142" s="74">
        <v>38.209370680471878</v>
      </c>
      <c r="H142" s="74">
        <f t="shared" si="5"/>
        <v>2.2850296628606444</v>
      </c>
    </row>
    <row r="143" spans="5:8" ht="15.6">
      <c r="E143" s="279" t="s">
        <v>469</v>
      </c>
      <c r="F143" s="284">
        <f t="shared" ca="1" si="4"/>
        <v>0.38279297470589391</v>
      </c>
      <c r="G143" s="74">
        <v>34.755318580310956</v>
      </c>
      <c r="H143" s="74">
        <f t="shared" si="5"/>
        <v>5.7390817630215665</v>
      </c>
    </row>
    <row r="144" spans="5:8" ht="15.6">
      <c r="E144" s="279" t="s">
        <v>470</v>
      </c>
      <c r="F144" s="284">
        <f t="shared" ca="1" si="4"/>
        <v>0.56110518158310929</v>
      </c>
      <c r="G144" s="74">
        <v>42.43592336854725</v>
      </c>
      <c r="H144" s="74">
        <f t="shared" si="5"/>
        <v>-1.9415230252147282</v>
      </c>
    </row>
    <row r="145" spans="5:8" ht="15.6">
      <c r="E145" s="279" t="s">
        <v>471</v>
      </c>
      <c r="F145" s="284">
        <f t="shared" ca="1" si="4"/>
        <v>0.59334575617512175</v>
      </c>
      <c r="G145" s="74">
        <v>39.491537464608136</v>
      </c>
      <c r="H145" s="74">
        <f t="shared" si="5"/>
        <v>1.0028628787243861</v>
      </c>
    </row>
    <row r="146" spans="5:8" ht="15.6">
      <c r="E146" s="279" t="s">
        <v>472</v>
      </c>
      <c r="F146" s="284">
        <f t="shared" ca="1" si="4"/>
        <v>0.70049103382805156</v>
      </c>
      <c r="G146" s="74">
        <v>39.295817777906386</v>
      </c>
      <c r="H146" s="74">
        <f t="shared" si="5"/>
        <v>1.1985825654261362</v>
      </c>
    </row>
    <row r="147" spans="5:8" ht="15.6">
      <c r="E147" s="279" t="s">
        <v>473</v>
      </c>
      <c r="F147" s="284">
        <f t="shared" ca="1" si="4"/>
        <v>0.98292411541246449</v>
      </c>
      <c r="G147" s="74">
        <v>38.439744656189717</v>
      </c>
      <c r="H147" s="74">
        <f t="shared" si="5"/>
        <v>2.0546556871428052</v>
      </c>
    </row>
    <row r="148" spans="5:8" ht="15.6">
      <c r="E148" s="279" t="s">
        <v>474</v>
      </c>
      <c r="F148" s="284">
        <f t="shared" ca="1" si="4"/>
        <v>3.2502756070809768E-2</v>
      </c>
      <c r="G148" s="74">
        <v>42.006271248680861</v>
      </c>
      <c r="H148" s="74">
        <f t="shared" si="5"/>
        <v>-1.5118709053483386</v>
      </c>
    </row>
    <row r="149" spans="5:8" ht="15.6">
      <c r="E149" s="279" t="s">
        <v>475</v>
      </c>
      <c r="F149" s="284">
        <f t="shared" ca="1" si="4"/>
        <v>0.67341338365030767</v>
      </c>
      <c r="G149" s="74">
        <v>34.746673463755663</v>
      </c>
      <c r="H149" s="74">
        <f t="shared" si="5"/>
        <v>5.7477268795768595</v>
      </c>
    </row>
    <row r="150" spans="5:8" ht="15.6">
      <c r="E150" s="279" t="s">
        <v>476</v>
      </c>
      <c r="F150" s="284">
        <f t="shared" ca="1" si="4"/>
        <v>0.33334324291056672</v>
      </c>
      <c r="G150" s="74">
        <v>38.581126378639667</v>
      </c>
      <c r="H150" s="74">
        <f t="shared" si="5"/>
        <v>1.9132739646928556</v>
      </c>
    </row>
    <row r="151" spans="5:8" ht="15.6">
      <c r="E151" s="279" t="s">
        <v>477</v>
      </c>
      <c r="F151" s="284">
        <f t="shared" ca="1" si="4"/>
        <v>0.47432040200200487</v>
      </c>
      <c r="G151" s="74">
        <v>36.226677466671106</v>
      </c>
      <c r="H151" s="74">
        <f t="shared" si="5"/>
        <v>4.2677228766614164</v>
      </c>
    </row>
    <row r="152" spans="5:8" ht="15.6">
      <c r="E152" s="279" t="s">
        <v>478</v>
      </c>
      <c r="F152" s="284">
        <f t="shared" ca="1" si="4"/>
        <v>0.79104917606984904</v>
      </c>
      <c r="G152" s="74">
        <v>42.982447416048323</v>
      </c>
      <c r="H152" s="74">
        <f t="shared" si="5"/>
        <v>-2.4880470727158013</v>
      </c>
    </row>
    <row r="153" spans="5:8" ht="15.6">
      <c r="E153" s="279" t="s">
        <v>479</v>
      </c>
      <c r="F153" s="284">
        <f t="shared" ca="1" si="4"/>
        <v>0.23993377807188865</v>
      </c>
      <c r="G153" s="74">
        <v>38.324612192054218</v>
      </c>
      <c r="H153" s="74">
        <f t="shared" si="5"/>
        <v>2.1697881512783042</v>
      </c>
    </row>
    <row r="154" spans="5:8" ht="15.6">
      <c r="E154" s="279" t="s">
        <v>480</v>
      </c>
      <c r="F154" s="284">
        <f t="shared" ca="1" si="4"/>
        <v>2.6741510551920311E-2</v>
      </c>
      <c r="G154" s="74">
        <v>40.796764258454473</v>
      </c>
      <c r="H154" s="74">
        <f t="shared" si="5"/>
        <v>-0.30236391512195127</v>
      </c>
    </row>
    <row r="155" spans="5:8" ht="15.6">
      <c r="E155" s="279" t="s">
        <v>481</v>
      </c>
      <c r="F155" s="284">
        <f t="shared" ca="1" si="4"/>
        <v>0.9802464648585123</v>
      </c>
      <c r="G155" s="74">
        <v>36.288225302613036</v>
      </c>
      <c r="H155" s="74">
        <f t="shared" si="5"/>
        <v>4.2061750407194864</v>
      </c>
    </row>
    <row r="156" spans="5:8" ht="15.6">
      <c r="E156" s="279" t="s">
        <v>482</v>
      </c>
      <c r="F156" s="284">
        <f t="shared" ca="1" si="4"/>
        <v>0.53263913346974523</v>
      </c>
      <c r="G156" s="74">
        <v>35.625830725539309</v>
      </c>
      <c r="H156" s="74">
        <f t="shared" si="5"/>
        <v>4.868569617793213</v>
      </c>
    </row>
    <row r="157" spans="5:8" ht="15.6">
      <c r="E157" s="279" t="s">
        <v>483</v>
      </c>
      <c r="F157" s="284">
        <f t="shared" ca="1" si="4"/>
        <v>0.79549595411416296</v>
      </c>
      <c r="G157" s="74">
        <v>37.023454285658502</v>
      </c>
      <c r="H157" s="74">
        <f t="shared" si="5"/>
        <v>3.4709460576740199</v>
      </c>
    </row>
    <row r="158" spans="5:8" ht="15.6">
      <c r="E158" s="279" t="s">
        <v>484</v>
      </c>
      <c r="F158" s="284">
        <f t="shared" ca="1" si="4"/>
        <v>0.23992245441571958</v>
      </c>
      <c r="G158" s="74">
        <v>36.416743791862046</v>
      </c>
      <c r="H158" s="74">
        <f t="shared" si="5"/>
        <v>4.0776565514704757</v>
      </c>
    </row>
    <row r="159" spans="5:8" ht="15.6">
      <c r="E159" s="279" t="s">
        <v>485</v>
      </c>
      <c r="F159" s="284">
        <f t="shared" ca="1" si="4"/>
        <v>0.41406196290898023</v>
      </c>
      <c r="G159" s="74">
        <v>41.713591686782024</v>
      </c>
      <c r="H159" s="74">
        <f t="shared" si="5"/>
        <v>-1.2191913434495021</v>
      </c>
    </row>
    <row r="160" spans="5:8" ht="15.6">
      <c r="E160" s="279" t="s">
        <v>486</v>
      </c>
      <c r="F160" s="284">
        <f t="shared" ca="1" si="4"/>
        <v>0.29923899601129522</v>
      </c>
      <c r="G160" s="74">
        <v>38.312801972949622</v>
      </c>
      <c r="H160" s="74">
        <f t="shared" si="5"/>
        <v>2.1815983703829005</v>
      </c>
    </row>
    <row r="161" spans="5:8" ht="15.6">
      <c r="E161" s="279" t="s">
        <v>487</v>
      </c>
      <c r="F161" s="284">
        <f t="shared" ca="1" si="4"/>
        <v>0.44750539481225082</v>
      </c>
      <c r="G161" s="74">
        <v>44.298886859506062</v>
      </c>
      <c r="H161" s="74">
        <f t="shared" si="5"/>
        <v>-3.8044865161735402</v>
      </c>
    </row>
    <row r="162" spans="5:8" ht="15.6">
      <c r="E162" s="279" t="s">
        <v>488</v>
      </c>
      <c r="F162" s="284">
        <f t="shared" ca="1" si="4"/>
        <v>0.8514639553076121</v>
      </c>
      <c r="G162" s="74">
        <v>34.819684872798007</v>
      </c>
      <c r="H162" s="74">
        <f t="shared" si="5"/>
        <v>5.6747154705345153</v>
      </c>
    </row>
    <row r="163" spans="5:8" ht="15.6">
      <c r="E163" s="279" t="s">
        <v>489</v>
      </c>
      <c r="F163" s="284">
        <f t="shared" ca="1" si="4"/>
        <v>5.4540220602588785E-2</v>
      </c>
      <c r="G163" s="74">
        <v>34.56114589030981</v>
      </c>
      <c r="H163" s="74">
        <f t="shared" si="5"/>
        <v>5.9332544530227125</v>
      </c>
    </row>
    <row r="164" spans="5:8" ht="15.6">
      <c r="E164" s="279" t="s">
        <v>490</v>
      </c>
      <c r="F164" s="284">
        <f t="shared" ca="1" si="4"/>
        <v>0.26533848492747869</v>
      </c>
      <c r="G164" s="74">
        <v>36.256045133699999</v>
      </c>
      <c r="H164" s="74">
        <f t="shared" si="5"/>
        <v>4.2383552096325232</v>
      </c>
    </row>
    <row r="165" spans="5:8" ht="15.6">
      <c r="E165" s="279" t="s">
        <v>491</v>
      </c>
      <c r="F165" s="284">
        <f t="shared" ca="1" si="4"/>
        <v>3.3089059600854842E-4</v>
      </c>
      <c r="G165" s="74">
        <v>38.388360678951926</v>
      </c>
      <c r="H165" s="74">
        <f t="shared" si="5"/>
        <v>2.1060396643805959</v>
      </c>
    </row>
    <row r="166" spans="5:8" ht="15.6">
      <c r="E166" s="279" t="s">
        <v>492</v>
      </c>
      <c r="F166" s="284">
        <f t="shared" ca="1" si="4"/>
        <v>0.4231615716998226</v>
      </c>
      <c r="G166" s="74">
        <v>36.759925278689359</v>
      </c>
      <c r="H166" s="74">
        <f t="shared" si="5"/>
        <v>3.7344750646431635</v>
      </c>
    </row>
    <row r="167" spans="5:8" ht="15.6">
      <c r="E167" s="279" t="s">
        <v>493</v>
      </c>
      <c r="F167" s="284">
        <f t="shared" ca="1" si="4"/>
        <v>2.7609134955923431E-2</v>
      </c>
      <c r="G167" s="74">
        <v>39.063262937267908</v>
      </c>
      <c r="H167" s="74">
        <f t="shared" si="5"/>
        <v>1.4311374060646145</v>
      </c>
    </row>
    <row r="168" spans="5:8" ht="15.6">
      <c r="E168" s="279" t="s">
        <v>494</v>
      </c>
      <c r="F168" s="284">
        <f t="shared" ca="1" si="4"/>
        <v>0.2244821723652497</v>
      </c>
      <c r="G168" s="74">
        <v>42.57984011358532</v>
      </c>
      <c r="H168" s="74">
        <f t="shared" si="5"/>
        <v>-2.0854397702527976</v>
      </c>
    </row>
    <row r="169" spans="5:8" ht="15.6">
      <c r="E169" s="279" t="s">
        <v>495</v>
      </c>
      <c r="F169" s="284">
        <f t="shared" ca="1" si="4"/>
        <v>0.63607940381707495</v>
      </c>
      <c r="G169" s="74">
        <v>32.979730123639122</v>
      </c>
      <c r="H169" s="74">
        <f t="shared" si="5"/>
        <v>7.5146702196934001</v>
      </c>
    </row>
    <row r="170" spans="5:8" ht="15.6">
      <c r="E170" s="279" t="s">
        <v>496</v>
      </c>
      <c r="F170" s="284">
        <f t="shared" ca="1" si="4"/>
        <v>0.96322705308896961</v>
      </c>
      <c r="G170" s="74">
        <v>40.014830128358085</v>
      </c>
      <c r="H170" s="74">
        <f t="shared" si="5"/>
        <v>0.47957021497443719</v>
      </c>
    </row>
    <row r="171" spans="5:8" ht="15.6">
      <c r="E171" s="279" t="s">
        <v>497</v>
      </c>
      <c r="F171" s="284">
        <f t="shared" ca="1" si="4"/>
        <v>0.62996973110644905</v>
      </c>
      <c r="G171" s="74">
        <v>37.983179598100733</v>
      </c>
      <c r="H171" s="74">
        <f t="shared" si="5"/>
        <v>2.511220745231789</v>
      </c>
    </row>
    <row r="172" spans="5:8" ht="15.6">
      <c r="E172" s="279" t="s">
        <v>498</v>
      </c>
      <c r="F172" s="284">
        <f t="shared" ca="1" si="4"/>
        <v>0.23825834924082034</v>
      </c>
      <c r="G172" s="74">
        <v>38.341400039682554</v>
      </c>
      <c r="H172" s="74">
        <f t="shared" si="5"/>
        <v>2.1530003036499679</v>
      </c>
    </row>
    <row r="173" spans="5:8" ht="15.6">
      <c r="E173" s="279" t="s">
        <v>499</v>
      </c>
      <c r="F173" s="284">
        <f t="shared" ca="1" si="4"/>
        <v>0.98673532378156514</v>
      </c>
      <c r="G173" s="74">
        <v>42.839982550745198</v>
      </c>
      <c r="H173" s="74">
        <f t="shared" si="5"/>
        <v>-2.3455822074126758</v>
      </c>
    </row>
    <row r="174" spans="5:8" ht="15.6">
      <c r="E174" s="279" t="s">
        <v>500</v>
      </c>
      <c r="F174" s="284">
        <f t="shared" ca="1" si="4"/>
        <v>2.8953057626183054E-2</v>
      </c>
      <c r="G174" s="74">
        <v>38.631505285159164</v>
      </c>
      <c r="H174" s="74">
        <f t="shared" si="5"/>
        <v>1.8628950581733577</v>
      </c>
    </row>
    <row r="175" spans="5:8" ht="15.6">
      <c r="E175" s="279" t="s">
        <v>501</v>
      </c>
      <c r="F175" s="284">
        <f t="shared" ca="1" si="4"/>
        <v>0.88509233961229716</v>
      </c>
      <c r="G175" s="74">
        <v>37.380474262371223</v>
      </c>
      <c r="H175" s="74">
        <f t="shared" si="5"/>
        <v>3.1139260809612992</v>
      </c>
    </row>
    <row r="176" spans="5:8" ht="15.6">
      <c r="E176" s="279" t="s">
        <v>502</v>
      </c>
      <c r="F176" s="284">
        <f t="shared" ca="1" si="4"/>
        <v>0.29169001676357531</v>
      </c>
      <c r="G176" s="74">
        <v>41.354873174838254</v>
      </c>
      <c r="H176" s="74">
        <f t="shared" si="5"/>
        <v>-0.86047283150573151</v>
      </c>
    </row>
    <row r="177" spans="5:8" ht="15.6">
      <c r="E177" s="279" t="s">
        <v>503</v>
      </c>
      <c r="F177" s="284">
        <f t="shared" ca="1" si="4"/>
        <v>2.7702228588693978E-2</v>
      </c>
      <c r="G177" s="74">
        <v>43.254140049289433</v>
      </c>
      <c r="H177" s="74">
        <f t="shared" si="5"/>
        <v>-2.7597397059569104</v>
      </c>
    </row>
    <row r="178" spans="5:8" ht="15.6">
      <c r="E178" s="279" t="s">
        <v>504</v>
      </c>
      <c r="F178" s="284">
        <f t="shared" ca="1" si="4"/>
        <v>0.89436031935563243</v>
      </c>
      <c r="G178" s="74">
        <v>38.768480443659904</v>
      </c>
      <c r="H178" s="74">
        <f t="shared" si="5"/>
        <v>1.7259198996726184</v>
      </c>
    </row>
    <row r="179" spans="5:8" ht="15.6">
      <c r="E179" s="279" t="s">
        <v>505</v>
      </c>
      <c r="F179" s="284">
        <f t="shared" ca="1" si="4"/>
        <v>0.35954390611607823</v>
      </c>
      <c r="G179" s="74">
        <v>35.177612544332192</v>
      </c>
      <c r="H179" s="74">
        <f t="shared" si="5"/>
        <v>5.3167877990003305</v>
      </c>
    </row>
    <row r="180" spans="5:8" ht="15.6">
      <c r="E180" s="279" t="s">
        <v>506</v>
      </c>
      <c r="F180" s="284">
        <f t="shared" ca="1" si="4"/>
        <v>0.81654121264566148</v>
      </c>
      <c r="G180" s="74">
        <v>40.786176573109152</v>
      </c>
      <c r="H180" s="74">
        <f t="shared" si="5"/>
        <v>-0.2917762297766302</v>
      </c>
    </row>
    <row r="181" spans="5:8" ht="15.6">
      <c r="E181" s="279" t="s">
        <v>507</v>
      </c>
      <c r="F181" s="284">
        <f t="shared" ca="1" si="4"/>
        <v>0.52857087650016121</v>
      </c>
      <c r="G181" s="74">
        <v>39.215839999507075</v>
      </c>
      <c r="H181" s="74">
        <f t="shared" si="5"/>
        <v>1.2785603438254469</v>
      </c>
    </row>
    <row r="182" spans="5:8" ht="15.6">
      <c r="E182" s="279" t="s">
        <v>508</v>
      </c>
      <c r="F182" s="284">
        <f t="shared" ca="1" si="4"/>
        <v>0.87013179475244307</v>
      </c>
      <c r="G182" s="74">
        <v>33.779944384181618</v>
      </c>
      <c r="H182" s="74">
        <f t="shared" si="5"/>
        <v>6.7144559591509037</v>
      </c>
    </row>
    <row r="183" spans="5:8" ht="15.6">
      <c r="E183" s="279" t="s">
        <v>509</v>
      </c>
      <c r="F183" s="284">
        <f t="shared" ca="1" si="4"/>
        <v>0.42604533872508388</v>
      </c>
      <c r="G183" s="74">
        <v>38.470962062463649</v>
      </c>
      <c r="H183" s="74">
        <f t="shared" si="5"/>
        <v>2.0234382808688736</v>
      </c>
    </row>
    <row r="184" spans="5:8" ht="15.6">
      <c r="E184" s="279" t="s">
        <v>510</v>
      </c>
      <c r="F184" s="284">
        <f t="shared" ca="1" si="4"/>
        <v>0.4678276037124377</v>
      </c>
      <c r="G184" s="74">
        <v>37.698640385297999</v>
      </c>
      <c r="H184" s="74">
        <f t="shared" si="5"/>
        <v>2.7957599580345232</v>
      </c>
    </row>
    <row r="185" spans="5:8" ht="15.6">
      <c r="E185" s="279" t="s">
        <v>511</v>
      </c>
      <c r="F185" s="284">
        <f t="shared" ca="1" si="4"/>
        <v>0.62512366634692307</v>
      </c>
      <c r="G185" s="74">
        <v>40.20770334178755</v>
      </c>
      <c r="H185" s="74">
        <f t="shared" si="5"/>
        <v>0.28669700154497235</v>
      </c>
    </row>
    <row r="186" spans="5:8" ht="15.6">
      <c r="E186" s="279" t="s">
        <v>512</v>
      </c>
      <c r="F186" s="284">
        <f t="shared" ca="1" si="4"/>
        <v>0.91823159450883562</v>
      </c>
      <c r="G186" s="74">
        <v>39.735207568718927</v>
      </c>
      <c r="H186" s="74">
        <f t="shared" si="5"/>
        <v>0.75919277461359513</v>
      </c>
    </row>
    <row r="187" spans="5:8" ht="15.6">
      <c r="E187" s="279" t="s">
        <v>513</v>
      </c>
      <c r="F187" s="284">
        <f t="shared" ca="1" si="4"/>
        <v>6.5688797297251189E-2</v>
      </c>
      <c r="G187" s="74">
        <v>36.261603363758887</v>
      </c>
      <c r="H187" s="74">
        <f t="shared" si="5"/>
        <v>4.2327969795736351</v>
      </c>
    </row>
    <row r="188" spans="5:8" ht="15.6">
      <c r="E188" s="279" t="s">
        <v>514</v>
      </c>
      <c r="F188" s="284">
        <f t="shared" ca="1" si="4"/>
        <v>0.60495828328955403</v>
      </c>
      <c r="G188" s="74">
        <v>35.175084659950528</v>
      </c>
      <c r="H188" s="74">
        <f t="shared" si="5"/>
        <v>5.3193156833819941</v>
      </c>
    </row>
    <row r="189" spans="5:8" ht="15.6">
      <c r="E189" s="279" t="s">
        <v>515</v>
      </c>
      <c r="F189" s="284">
        <f t="shared" ca="1" si="4"/>
        <v>0.76669347430805979</v>
      </c>
      <c r="G189" s="74">
        <v>39.971022249118938</v>
      </c>
      <c r="H189" s="74">
        <f t="shared" si="5"/>
        <v>0.52337809421358372</v>
      </c>
    </row>
    <row r="190" spans="5:8" ht="15.6">
      <c r="E190" s="279" t="s">
        <v>516</v>
      </c>
      <c r="F190" s="284">
        <f t="shared" ca="1" si="4"/>
        <v>0.29441610345837843</v>
      </c>
      <c r="G190" s="74">
        <v>36.539065136053857</v>
      </c>
      <c r="H190" s="74">
        <f t="shared" si="5"/>
        <v>3.9553352072786652</v>
      </c>
    </row>
    <row r="191" spans="5:8" ht="15.6">
      <c r="E191" s="279" t="s">
        <v>517</v>
      </c>
      <c r="F191" s="284">
        <f t="shared" ca="1" si="4"/>
        <v>7.7874897510642804E-2</v>
      </c>
      <c r="G191" s="74">
        <v>38.845623567882782</v>
      </c>
      <c r="H191" s="74">
        <f t="shared" si="5"/>
        <v>1.6487767754497398</v>
      </c>
    </row>
    <row r="192" spans="5:8" ht="15.6">
      <c r="E192" s="279" t="s">
        <v>518</v>
      </c>
      <c r="F192" s="284">
        <f t="shared" ca="1" si="4"/>
        <v>0.35554011102964878</v>
      </c>
      <c r="G192" s="74">
        <v>35.528008392912184</v>
      </c>
      <c r="H192" s="74">
        <f t="shared" si="5"/>
        <v>4.9663919504203378</v>
      </c>
    </row>
    <row r="193" spans="5:8" ht="15.6">
      <c r="E193" s="279" t="s">
        <v>519</v>
      </c>
      <c r="F193" s="284">
        <f t="shared" ca="1" si="4"/>
        <v>0.55965191418892868</v>
      </c>
      <c r="G193" s="74">
        <v>42.26243020585504</v>
      </c>
      <c r="H193" s="74">
        <f t="shared" si="5"/>
        <v>-1.7680298625225177</v>
      </c>
    </row>
    <row r="194" spans="5:8" ht="15.6">
      <c r="E194" s="279" t="s">
        <v>520</v>
      </c>
      <c r="F194" s="284">
        <f t="shared" ca="1" si="4"/>
        <v>0.5799199208414948</v>
      </c>
      <c r="G194" s="74">
        <v>39.313417748838752</v>
      </c>
      <c r="H194" s="74">
        <f t="shared" si="5"/>
        <v>1.18098259449377</v>
      </c>
    </row>
    <row r="195" spans="5:8" ht="15.6">
      <c r="E195" s="279" t="s">
        <v>521</v>
      </c>
      <c r="F195" s="284">
        <f t="shared" ca="1" si="4"/>
        <v>0.62236567646371121</v>
      </c>
      <c r="G195" s="74">
        <v>40.557509002805531</v>
      </c>
      <c r="H195" s="74">
        <f t="shared" si="5"/>
        <v>-6.3108659473009254E-2</v>
      </c>
    </row>
    <row r="196" spans="5:8" ht="15.6">
      <c r="E196" s="279" t="s">
        <v>522</v>
      </c>
      <c r="F196" s="284">
        <f t="shared" ca="1" si="4"/>
        <v>5.6859411638446766E-2</v>
      </c>
      <c r="G196" s="74">
        <v>40.222856468989981</v>
      </c>
      <c r="H196" s="74">
        <f t="shared" si="5"/>
        <v>0.2715438743425409</v>
      </c>
    </row>
    <row r="197" spans="5:8" ht="15.6">
      <c r="E197" s="279" t="s">
        <v>523</v>
      </c>
      <c r="F197" s="284">
        <f t="shared" ca="1" si="4"/>
        <v>0.24345188883690105</v>
      </c>
      <c r="G197" s="74">
        <v>44.347837865980445</v>
      </c>
      <c r="H197" s="74">
        <f t="shared" si="5"/>
        <v>-3.8534375226479227</v>
      </c>
    </row>
    <row r="198" spans="5:8" ht="15.6">
      <c r="E198" s="279" t="s">
        <v>524</v>
      </c>
      <c r="F198" s="284">
        <f t="shared" ca="1" si="4"/>
        <v>0.85953930749607821</v>
      </c>
      <c r="G198" s="74">
        <v>35.68262176852857</v>
      </c>
      <c r="H198" s="74">
        <f t="shared" si="5"/>
        <v>4.8117785748039523</v>
      </c>
    </row>
    <row r="199" spans="5:8" ht="15.6">
      <c r="E199" s="279" t="s">
        <v>525</v>
      </c>
      <c r="F199" s="284">
        <f t="shared" ca="1" si="4"/>
        <v>0.38591031539991161</v>
      </c>
      <c r="G199" s="74">
        <v>40.604415121590165</v>
      </c>
      <c r="H199" s="74">
        <f t="shared" si="5"/>
        <v>-0.11001477825764283</v>
      </c>
    </row>
    <row r="200" spans="5:8" ht="15.6">
      <c r="E200" s="279" t="s">
        <v>526</v>
      </c>
      <c r="F200" s="284">
        <f t="shared" ca="1" si="4"/>
        <v>0.18267005423646188</v>
      </c>
      <c r="G200" s="74">
        <v>36.505912689774227</v>
      </c>
      <c r="H200" s="74">
        <f t="shared" si="5"/>
        <v>3.9884876535582947</v>
      </c>
    </row>
    <row r="201" spans="5:8" ht="15.6">
      <c r="E201" s="279" t="s">
        <v>527</v>
      </c>
      <c r="F201" s="284">
        <f t="shared" ca="1" si="4"/>
        <v>0.57520663148861084</v>
      </c>
      <c r="G201" s="74">
        <v>38.951916224013011</v>
      </c>
      <c r="H201" s="74">
        <f t="shared" si="5"/>
        <v>1.5424841193195107</v>
      </c>
    </row>
    <row r="202" spans="5:8" ht="15.6">
      <c r="E202" s="279" t="s">
        <v>528</v>
      </c>
      <c r="F202" s="284">
        <f t="shared" ca="1" si="4"/>
        <v>0.91670325117098816</v>
      </c>
      <c r="G202" s="74">
        <v>40.07499272391204</v>
      </c>
      <c r="H202" s="74">
        <f t="shared" si="5"/>
        <v>0.41940761942048255</v>
      </c>
    </row>
    <row r="203" spans="5:8" ht="15.6">
      <c r="E203" s="279" t="s">
        <v>529</v>
      </c>
      <c r="F203" s="284">
        <f t="shared" ca="1" si="4"/>
        <v>0.18470002270025732</v>
      </c>
      <c r="G203" s="74">
        <v>41.910686663534761</v>
      </c>
      <c r="H203" s="74">
        <f t="shared" si="5"/>
        <v>-1.4162863202022393</v>
      </c>
    </row>
    <row r="204" spans="5:8" ht="15.6">
      <c r="E204" s="279" t="s">
        <v>530</v>
      </c>
      <c r="F204" s="284">
        <f t="shared" ref="F204:F267" ca="1" si="6">RAND()</f>
        <v>0.76053105643678764</v>
      </c>
      <c r="G204" s="74">
        <v>35.767594298803097</v>
      </c>
      <c r="H204" s="74">
        <f t="shared" ref="H204:H267" si="7">$D$2-G204</f>
        <v>4.7268060445294253</v>
      </c>
    </row>
    <row r="205" spans="5:8" ht="15.6">
      <c r="E205" s="279" t="s">
        <v>531</v>
      </c>
      <c r="F205" s="284">
        <f t="shared" ca="1" si="6"/>
        <v>0.69977454813965423</v>
      </c>
      <c r="G205" s="74">
        <v>41.592019391170993</v>
      </c>
      <c r="H205" s="74">
        <f t="shared" si="7"/>
        <v>-1.0976190478384709</v>
      </c>
    </row>
    <row r="206" spans="5:8" ht="15.6">
      <c r="E206" s="279" t="s">
        <v>532</v>
      </c>
      <c r="F206" s="284">
        <f t="shared" ca="1" si="6"/>
        <v>0.38160283498378367</v>
      </c>
      <c r="G206" s="74">
        <v>44.097172434154899</v>
      </c>
      <c r="H206" s="74">
        <f t="shared" si="7"/>
        <v>-3.602772090822377</v>
      </c>
    </row>
    <row r="207" spans="5:8" ht="15.6">
      <c r="E207" s="279" t="s">
        <v>533</v>
      </c>
      <c r="F207" s="284">
        <f t="shared" ca="1" si="6"/>
        <v>0.97057740825058347</v>
      </c>
      <c r="G207" s="74">
        <v>39.131757872024387</v>
      </c>
      <c r="H207" s="74">
        <f t="shared" si="7"/>
        <v>1.3626424713081349</v>
      </c>
    </row>
    <row r="208" spans="5:8" ht="15.6">
      <c r="E208" s="279" t="s">
        <v>534</v>
      </c>
      <c r="F208" s="284">
        <f t="shared" ca="1" si="6"/>
        <v>0.42854289359037612</v>
      </c>
      <c r="G208" s="74">
        <v>38.123775093150229</v>
      </c>
      <c r="H208" s="74">
        <f t="shared" si="7"/>
        <v>2.3706252501822931</v>
      </c>
    </row>
    <row r="209" spans="5:8" ht="15.6">
      <c r="E209" s="279" t="s">
        <v>535</v>
      </c>
      <c r="F209" s="284">
        <f t="shared" ca="1" si="6"/>
        <v>0.1368342660384857</v>
      </c>
      <c r="G209" s="74">
        <v>42.235050914252284</v>
      </c>
      <c r="H209" s="74">
        <f t="shared" si="7"/>
        <v>-1.7406505709197617</v>
      </c>
    </row>
    <row r="210" spans="5:8" ht="15.6">
      <c r="E210" s="279" t="s">
        <v>536</v>
      </c>
      <c r="F210" s="284">
        <f t="shared" ca="1" si="6"/>
        <v>0.46575935713702366</v>
      </c>
      <c r="G210" s="74">
        <v>38.880802555172174</v>
      </c>
      <c r="H210" s="74">
        <f t="shared" si="7"/>
        <v>1.613597788160348</v>
      </c>
    </row>
    <row r="211" spans="5:8" ht="15.6">
      <c r="E211" s="279" t="s">
        <v>537</v>
      </c>
      <c r="F211" s="284">
        <f t="shared" ca="1" si="6"/>
        <v>8.9121209509831489E-3</v>
      </c>
      <c r="G211" s="74">
        <v>39.631878669825923</v>
      </c>
      <c r="H211" s="74">
        <f t="shared" si="7"/>
        <v>0.86252167350659903</v>
      </c>
    </row>
    <row r="212" spans="5:8" ht="15.6">
      <c r="E212" s="279" t="s">
        <v>538</v>
      </c>
      <c r="F212" s="284">
        <f t="shared" ca="1" si="6"/>
        <v>0.82335051170654172</v>
      </c>
      <c r="G212" s="74">
        <v>39.339878559131108</v>
      </c>
      <c r="H212" s="74">
        <f t="shared" si="7"/>
        <v>1.1545217842014139</v>
      </c>
    </row>
    <row r="213" spans="5:8" ht="15.6">
      <c r="E213" s="279" t="s">
        <v>539</v>
      </c>
      <c r="F213" s="284">
        <f t="shared" ca="1" si="6"/>
        <v>7.3712186138415459E-2</v>
      </c>
      <c r="G213" s="74">
        <v>41.565602456696162</v>
      </c>
      <c r="H213" s="74">
        <f t="shared" si="7"/>
        <v>-1.0712021133636398</v>
      </c>
    </row>
    <row r="214" spans="5:8" ht="15.6">
      <c r="E214" s="279" t="s">
        <v>540</v>
      </c>
      <c r="F214" s="284">
        <f t="shared" ca="1" si="6"/>
        <v>0.72181299422570744</v>
      </c>
      <c r="G214" s="74">
        <v>41.751647494280448</v>
      </c>
      <c r="H214" s="74">
        <f t="shared" si="7"/>
        <v>-1.2572471509479257</v>
      </c>
    </row>
    <row r="215" spans="5:8" ht="15.6">
      <c r="E215" s="279" t="s">
        <v>541</v>
      </c>
      <c r="F215" s="284">
        <f t="shared" ca="1" si="6"/>
        <v>0.14624444760924571</v>
      </c>
      <c r="G215" s="74">
        <v>38.507570001930986</v>
      </c>
      <c r="H215" s="74">
        <f t="shared" si="7"/>
        <v>1.9868303414015358</v>
      </c>
    </row>
    <row r="216" spans="5:8" ht="15.6">
      <c r="E216" s="279" t="s">
        <v>542</v>
      </c>
      <c r="F216" s="284">
        <f t="shared" ca="1" si="6"/>
        <v>0.72973211869884336</v>
      </c>
      <c r="G216" s="74">
        <v>39.718812983189736</v>
      </c>
      <c r="H216" s="74">
        <f t="shared" si="7"/>
        <v>0.77558736014278651</v>
      </c>
    </row>
    <row r="217" spans="5:8" ht="15.6">
      <c r="E217" s="279" t="s">
        <v>543</v>
      </c>
      <c r="F217" s="284">
        <f t="shared" ca="1" si="6"/>
        <v>0.31833912043079049</v>
      </c>
      <c r="G217" s="74">
        <v>39.968947510438113</v>
      </c>
      <c r="H217" s="74">
        <f t="shared" si="7"/>
        <v>0.52545283289440903</v>
      </c>
    </row>
    <row r="218" spans="5:8" ht="15.6">
      <c r="E218" s="279" t="s">
        <v>544</v>
      </c>
      <c r="F218" s="284">
        <f t="shared" ca="1" si="6"/>
        <v>0.94281957040764142</v>
      </c>
      <c r="G218" s="74">
        <v>38.5921986753401</v>
      </c>
      <c r="H218" s="74">
        <f t="shared" si="7"/>
        <v>1.9022016679924221</v>
      </c>
    </row>
    <row r="219" spans="5:8" ht="15.6">
      <c r="E219" s="279" t="s">
        <v>545</v>
      </c>
      <c r="F219" s="284">
        <f t="shared" ca="1" si="6"/>
        <v>0.53439725056095433</v>
      </c>
      <c r="G219" s="74">
        <v>44.614470214689725</v>
      </c>
      <c r="H219" s="74">
        <f t="shared" si="7"/>
        <v>-4.1200698713572024</v>
      </c>
    </row>
    <row r="220" spans="5:8" ht="15.6">
      <c r="E220" s="279" t="s">
        <v>546</v>
      </c>
      <c r="F220" s="284">
        <f t="shared" ca="1" si="6"/>
        <v>0.21847639544778907</v>
      </c>
      <c r="G220" s="74">
        <v>36.521252812137149</v>
      </c>
      <c r="H220" s="74">
        <f t="shared" si="7"/>
        <v>3.973147531195373</v>
      </c>
    </row>
    <row r="221" spans="5:8" ht="15.6">
      <c r="E221" s="279" t="s">
        <v>547</v>
      </c>
      <c r="F221" s="284">
        <f t="shared" ca="1" si="6"/>
        <v>0.38645361237955378</v>
      </c>
      <c r="G221" s="74">
        <v>42.518501495188175</v>
      </c>
      <c r="H221" s="74">
        <f t="shared" si="7"/>
        <v>-2.0241011518556533</v>
      </c>
    </row>
    <row r="222" spans="5:8" ht="15.6">
      <c r="E222" s="279" t="s">
        <v>548</v>
      </c>
      <c r="F222" s="284">
        <f t="shared" ca="1" si="6"/>
        <v>0.47580976166283839</v>
      </c>
      <c r="G222" s="74">
        <v>38.982332894816494</v>
      </c>
      <c r="H222" s="74">
        <f t="shared" si="7"/>
        <v>1.5120674485160279</v>
      </c>
    </row>
    <row r="223" spans="5:8" ht="15.6">
      <c r="E223" s="279" t="s">
        <v>549</v>
      </c>
      <c r="F223" s="284">
        <f t="shared" ca="1" si="6"/>
        <v>0.82426479210328796</v>
      </c>
      <c r="G223" s="74">
        <v>41.223783668396699</v>
      </c>
      <c r="H223" s="74">
        <f t="shared" si="7"/>
        <v>-0.7293833250641768</v>
      </c>
    </row>
    <row r="224" spans="5:8" ht="15.6">
      <c r="E224" s="279" t="s">
        <v>550</v>
      </c>
      <c r="F224" s="284">
        <f t="shared" ca="1" si="6"/>
        <v>0.90925948816996427</v>
      </c>
      <c r="G224" s="74">
        <v>35.10175463763408</v>
      </c>
      <c r="H224" s="74">
        <f t="shared" si="7"/>
        <v>5.3926457056984418</v>
      </c>
    </row>
    <row r="225" spans="5:8" ht="15.6">
      <c r="E225" s="279" t="s">
        <v>551</v>
      </c>
      <c r="F225" s="284">
        <f t="shared" ca="1" si="6"/>
        <v>0.9497837983645544</v>
      </c>
      <c r="G225" s="74">
        <v>38.791306363014982</v>
      </c>
      <c r="H225" s="74">
        <f t="shared" si="7"/>
        <v>1.70309398031754</v>
      </c>
    </row>
    <row r="226" spans="5:8" ht="15.6">
      <c r="E226" s="279" t="s">
        <v>552</v>
      </c>
      <c r="F226" s="284">
        <f t="shared" ca="1" si="6"/>
        <v>0.32435910683278935</v>
      </c>
      <c r="G226" s="74">
        <v>36.69565892625549</v>
      </c>
      <c r="H226" s="74">
        <f t="shared" si="7"/>
        <v>3.7987414170770322</v>
      </c>
    </row>
    <row r="227" spans="5:8" ht="15.6">
      <c r="E227" s="279" t="s">
        <v>553</v>
      </c>
      <c r="F227" s="284">
        <f t="shared" ca="1" si="6"/>
        <v>0.59587862648391998</v>
      </c>
      <c r="G227" s="74">
        <v>37.319687360273562</v>
      </c>
      <c r="H227" s="74">
        <f t="shared" si="7"/>
        <v>3.17471298305896</v>
      </c>
    </row>
    <row r="228" spans="5:8" ht="15.6">
      <c r="E228" s="279" t="s">
        <v>554</v>
      </c>
      <c r="F228" s="284">
        <f t="shared" ca="1" si="6"/>
        <v>0.11008042874909385</v>
      </c>
      <c r="G228" s="74">
        <v>37.412641839069522</v>
      </c>
      <c r="H228" s="74">
        <f t="shared" si="7"/>
        <v>3.081758504263</v>
      </c>
    </row>
    <row r="229" spans="5:8" ht="15.6">
      <c r="E229" s="279" t="s">
        <v>555</v>
      </c>
      <c r="F229" s="284">
        <f t="shared" ca="1" si="6"/>
        <v>0.81330754525880011</v>
      </c>
      <c r="G229" s="74">
        <v>42.517746190632906</v>
      </c>
      <c r="H229" s="74">
        <f t="shared" si="7"/>
        <v>-2.0233458473003836</v>
      </c>
    </row>
    <row r="230" spans="5:8" ht="15.6">
      <c r="E230" s="279" t="s">
        <v>556</v>
      </c>
      <c r="F230" s="284">
        <f t="shared" ca="1" si="6"/>
        <v>0.34703393926469739</v>
      </c>
      <c r="G230" s="74">
        <v>43.677352830283283</v>
      </c>
      <c r="H230" s="74">
        <f t="shared" si="7"/>
        <v>-3.1829524869507608</v>
      </c>
    </row>
    <row r="231" spans="5:8" ht="15.6">
      <c r="E231" s="279" t="s">
        <v>557</v>
      </c>
      <c r="F231" s="284">
        <f t="shared" ca="1" si="6"/>
        <v>0.85646524171811289</v>
      </c>
      <c r="G231" s="74">
        <v>38.631194452728799</v>
      </c>
      <c r="H231" s="74">
        <f t="shared" si="7"/>
        <v>1.863205890603723</v>
      </c>
    </row>
    <row r="232" spans="5:8" ht="15.6">
      <c r="E232" s="279" t="s">
        <v>558</v>
      </c>
      <c r="F232" s="284">
        <f t="shared" ca="1" si="6"/>
        <v>0.60323677484102323</v>
      </c>
      <c r="G232" s="74">
        <v>44.247125779555773</v>
      </c>
      <c r="H232" s="74">
        <f t="shared" si="7"/>
        <v>-3.7527254362232512</v>
      </c>
    </row>
    <row r="233" spans="5:8" ht="15.6">
      <c r="E233" s="279" t="s">
        <v>559</v>
      </c>
      <c r="F233" s="284">
        <f t="shared" ca="1" si="6"/>
        <v>0.97314401409830797</v>
      </c>
      <c r="G233" s="74">
        <v>36.128666001522078</v>
      </c>
      <c r="H233" s="74">
        <f t="shared" si="7"/>
        <v>4.3657343418104446</v>
      </c>
    </row>
    <row r="234" spans="5:8" ht="15.6">
      <c r="E234" s="279" t="s">
        <v>560</v>
      </c>
      <c r="F234" s="284">
        <f t="shared" ca="1" si="6"/>
        <v>0.64119408316543125</v>
      </c>
      <c r="G234" s="74">
        <v>40.294678023243058</v>
      </c>
      <c r="H234" s="74">
        <f t="shared" si="7"/>
        <v>0.19972232008946378</v>
      </c>
    </row>
    <row r="235" spans="5:8" ht="15.6">
      <c r="E235" s="279" t="s">
        <v>561</v>
      </c>
      <c r="F235" s="284">
        <f t="shared" ca="1" si="6"/>
        <v>0.58372365709061202</v>
      </c>
      <c r="G235" s="74">
        <v>41.261188074904048</v>
      </c>
      <c r="H235" s="74">
        <f t="shared" si="7"/>
        <v>-0.76678773157152591</v>
      </c>
    </row>
    <row r="236" spans="5:8" ht="15.6">
      <c r="E236" s="279" t="s">
        <v>562</v>
      </c>
      <c r="F236" s="284">
        <f t="shared" ca="1" si="6"/>
        <v>0.16428871673886947</v>
      </c>
      <c r="G236" s="74">
        <v>41.612084820375962</v>
      </c>
      <c r="H236" s="74">
        <f t="shared" si="7"/>
        <v>-1.11768447704344</v>
      </c>
    </row>
    <row r="237" spans="5:8" ht="15.6">
      <c r="E237" s="279" t="s">
        <v>563</v>
      </c>
      <c r="F237" s="284">
        <f t="shared" ca="1" si="6"/>
        <v>0.94035509672871209</v>
      </c>
      <c r="G237" s="74">
        <v>39.74405237911057</v>
      </c>
      <c r="H237" s="74">
        <f t="shared" si="7"/>
        <v>0.75034796422195171</v>
      </c>
    </row>
    <row r="238" spans="5:8" ht="15.6">
      <c r="E238" s="279" t="s">
        <v>564</v>
      </c>
      <c r="F238" s="284">
        <f t="shared" ca="1" si="6"/>
        <v>9.3403366065419324E-2</v>
      </c>
      <c r="G238" s="74">
        <v>40.783094652158304</v>
      </c>
      <c r="H238" s="74">
        <f t="shared" si="7"/>
        <v>-0.28869430882578229</v>
      </c>
    </row>
    <row r="239" spans="5:8" ht="15.6">
      <c r="E239" s="279" t="s">
        <v>565</v>
      </c>
      <c r="F239" s="284">
        <f t="shared" ca="1" si="6"/>
        <v>9.3621170811811316E-2</v>
      </c>
      <c r="G239" s="74">
        <v>39.622877230425651</v>
      </c>
      <c r="H239" s="74">
        <f t="shared" si="7"/>
        <v>0.87152311290687123</v>
      </c>
    </row>
    <row r="240" spans="5:8" ht="15.6">
      <c r="E240" s="279" t="s">
        <v>566</v>
      </c>
      <c r="F240" s="284">
        <f t="shared" ca="1" si="6"/>
        <v>0.61440282478065211</v>
      </c>
      <c r="G240" s="74">
        <v>38.485406253913347</v>
      </c>
      <c r="H240" s="74">
        <f t="shared" si="7"/>
        <v>2.0089940894191756</v>
      </c>
    </row>
    <row r="241" spans="5:8" ht="15.6">
      <c r="E241" s="279" t="s">
        <v>567</v>
      </c>
      <c r="F241" s="284">
        <f t="shared" ca="1" si="6"/>
        <v>0.8892419112174671</v>
      </c>
      <c r="G241" s="74">
        <v>40.267472197003194</v>
      </c>
      <c r="H241" s="74">
        <f t="shared" si="7"/>
        <v>0.22692814632932823</v>
      </c>
    </row>
    <row r="242" spans="5:8" ht="15.6">
      <c r="E242" s="279" t="s">
        <v>568</v>
      </c>
      <c r="F242" s="284">
        <f t="shared" ca="1" si="6"/>
        <v>0.52103918449506958</v>
      </c>
      <c r="G242" s="74">
        <v>37.387250788081687</v>
      </c>
      <c r="H242" s="74">
        <f t="shared" si="7"/>
        <v>3.1071495552508352</v>
      </c>
    </row>
    <row r="243" spans="5:8" ht="15.6">
      <c r="E243" s="279" t="s">
        <v>569</v>
      </c>
      <c r="F243" s="284">
        <f t="shared" ca="1" si="6"/>
        <v>0.83863377806809503</v>
      </c>
      <c r="G243" s="74">
        <v>38.15094465276983</v>
      </c>
      <c r="H243" s="74">
        <f t="shared" si="7"/>
        <v>2.343455690562692</v>
      </c>
    </row>
    <row r="244" spans="5:8" ht="15.6">
      <c r="E244" s="279" t="s">
        <v>570</v>
      </c>
      <c r="F244" s="284">
        <f t="shared" ca="1" si="6"/>
        <v>0.78211419689615858</v>
      </c>
      <c r="G244" s="74">
        <v>42.752085296472671</v>
      </c>
      <c r="H244" s="74">
        <f t="shared" si="7"/>
        <v>-2.2576849531401493</v>
      </c>
    </row>
    <row r="245" spans="5:8" ht="15.6">
      <c r="E245" s="279" t="s">
        <v>571</v>
      </c>
      <c r="F245" s="284">
        <f t="shared" ca="1" si="6"/>
        <v>0.9123918108325616</v>
      </c>
      <c r="G245" s="74">
        <v>35.890268696769219</v>
      </c>
      <c r="H245" s="74">
        <f t="shared" si="7"/>
        <v>4.6041316465633031</v>
      </c>
    </row>
    <row r="246" spans="5:8" ht="15.6">
      <c r="E246" s="279" t="s">
        <v>572</v>
      </c>
      <c r="F246" s="284">
        <f t="shared" ca="1" si="6"/>
        <v>0.61028713303859239</v>
      </c>
      <c r="G246" s="74">
        <v>39.607478106573666</v>
      </c>
      <c r="H246" s="74">
        <f t="shared" si="7"/>
        <v>0.88692223675885629</v>
      </c>
    </row>
    <row r="247" spans="5:8" ht="15.6">
      <c r="E247" s="279" t="s">
        <v>573</v>
      </c>
      <c r="F247" s="284">
        <f t="shared" ca="1" si="6"/>
        <v>0.45284639631643597</v>
      </c>
      <c r="G247" s="74">
        <v>38.809767745561366</v>
      </c>
      <c r="H247" s="74">
        <f t="shared" si="7"/>
        <v>1.6846325977711558</v>
      </c>
    </row>
    <row r="248" spans="5:8" ht="15.6">
      <c r="E248" s="279" t="s">
        <v>574</v>
      </c>
      <c r="F248" s="284">
        <f t="shared" ca="1" si="6"/>
        <v>0.56308488991256878</v>
      </c>
      <c r="G248" s="74">
        <v>40.063671951517911</v>
      </c>
      <c r="H248" s="74">
        <f t="shared" si="7"/>
        <v>0.4307283918146112</v>
      </c>
    </row>
    <row r="249" spans="5:8" ht="15.6">
      <c r="E249" s="279" t="s">
        <v>575</v>
      </c>
      <c r="F249" s="284">
        <f t="shared" ca="1" si="6"/>
        <v>0.68346039299201977</v>
      </c>
      <c r="G249" s="74">
        <v>35.923069943503457</v>
      </c>
      <c r="H249" s="74">
        <f t="shared" si="7"/>
        <v>4.5713303998290655</v>
      </c>
    </row>
    <row r="250" spans="5:8" ht="15.6">
      <c r="E250" s="279" t="s">
        <v>576</v>
      </c>
      <c r="F250" s="284">
        <f t="shared" ca="1" si="6"/>
        <v>0.33559826436265316</v>
      </c>
      <c r="G250" s="74">
        <v>36.011286786474884</v>
      </c>
      <c r="H250" s="74">
        <f t="shared" si="7"/>
        <v>4.4831135568576386</v>
      </c>
    </row>
    <row r="251" spans="5:8" ht="15.6">
      <c r="E251" s="279" t="s">
        <v>577</v>
      </c>
      <c r="F251" s="284">
        <f t="shared" ca="1" si="6"/>
        <v>0.86027345305066261</v>
      </c>
      <c r="G251" s="74">
        <v>40.061780350938207</v>
      </c>
      <c r="H251" s="74">
        <f t="shared" si="7"/>
        <v>0.43261999239431503</v>
      </c>
    </row>
    <row r="252" spans="5:8" ht="15.6">
      <c r="E252" s="279" t="s">
        <v>578</v>
      </c>
      <c r="F252" s="284">
        <f t="shared" ca="1" si="6"/>
        <v>0.20322936937435487</v>
      </c>
      <c r="G252" s="74">
        <v>39.825010707822997</v>
      </c>
      <c r="H252" s="74">
        <f t="shared" si="7"/>
        <v>0.66938963550952479</v>
      </c>
    </row>
    <row r="253" spans="5:8" ht="15.6">
      <c r="E253" s="279" t="s">
        <v>579</v>
      </c>
      <c r="F253" s="284">
        <f t="shared" ca="1" si="6"/>
        <v>0.66701756410258328</v>
      </c>
      <c r="G253" s="74">
        <v>44.709407501562666</v>
      </c>
      <c r="H253" s="74">
        <f t="shared" si="7"/>
        <v>-4.2150071582301436</v>
      </c>
    </row>
    <row r="254" spans="5:8" ht="15.6">
      <c r="E254" s="279" t="s">
        <v>580</v>
      </c>
      <c r="F254" s="284">
        <f t="shared" ca="1" si="6"/>
        <v>0.85482645988588357</v>
      </c>
      <c r="G254" s="74">
        <v>39.777065792287267</v>
      </c>
      <c r="H254" s="74">
        <f t="shared" si="7"/>
        <v>0.7173345510452549</v>
      </c>
    </row>
    <row r="255" spans="5:8" ht="15.6">
      <c r="E255" s="279" t="s">
        <v>581</v>
      </c>
      <c r="F255" s="284">
        <f t="shared" ca="1" si="6"/>
        <v>0.66033084654769492</v>
      </c>
      <c r="G255" s="74">
        <v>41.153184934705649</v>
      </c>
      <c r="H255" s="74">
        <f t="shared" si="7"/>
        <v>-0.65878459137312717</v>
      </c>
    </row>
    <row r="256" spans="5:8" ht="15.6">
      <c r="E256" s="279" t="s">
        <v>582</v>
      </c>
      <c r="F256" s="284">
        <f t="shared" ca="1" si="6"/>
        <v>0.75848577081329582</v>
      </c>
      <c r="G256" s="74">
        <v>41.862877118824912</v>
      </c>
      <c r="H256" s="74">
        <f t="shared" si="7"/>
        <v>-1.3684767754923897</v>
      </c>
    </row>
    <row r="257" spans="5:8" ht="15.6">
      <c r="E257" s="279" t="s">
        <v>583</v>
      </c>
      <c r="F257" s="284">
        <f t="shared" ca="1" si="6"/>
        <v>0.41031421845301486</v>
      </c>
      <c r="G257" s="74">
        <v>42.587922292952157</v>
      </c>
      <c r="H257" s="74">
        <f t="shared" si="7"/>
        <v>-2.0935219496196353</v>
      </c>
    </row>
    <row r="258" spans="5:8" ht="15.6">
      <c r="E258" s="279" t="s">
        <v>584</v>
      </c>
      <c r="F258" s="284">
        <f t="shared" ca="1" si="6"/>
        <v>0.797574063753824</v>
      </c>
      <c r="G258" s="74">
        <v>38.746105611634505</v>
      </c>
      <c r="H258" s="74">
        <f t="shared" si="7"/>
        <v>1.7482947316980173</v>
      </c>
    </row>
    <row r="259" spans="5:8" ht="15.6">
      <c r="E259" s="279" t="s">
        <v>585</v>
      </c>
      <c r="F259" s="284">
        <f t="shared" ca="1" si="6"/>
        <v>0.57355587258591934</v>
      </c>
      <c r="G259" s="74">
        <v>38.998921290116215</v>
      </c>
      <c r="H259" s="74">
        <f t="shared" si="7"/>
        <v>1.4954790532163074</v>
      </c>
    </row>
    <row r="260" spans="5:8" ht="15.6">
      <c r="E260" s="279" t="s">
        <v>586</v>
      </c>
      <c r="F260" s="284">
        <f t="shared" ca="1" si="6"/>
        <v>0.16070088269369287</v>
      </c>
      <c r="G260" s="74">
        <v>40.355010390535114</v>
      </c>
      <c r="H260" s="74">
        <f t="shared" si="7"/>
        <v>0.13938995279740851</v>
      </c>
    </row>
    <row r="261" spans="5:8" ht="15.6">
      <c r="E261" s="279" t="s">
        <v>587</v>
      </c>
      <c r="F261" s="284">
        <f t="shared" ca="1" si="6"/>
        <v>0.70276371451127173</v>
      </c>
      <c r="G261" s="74">
        <v>36.886739183077964</v>
      </c>
      <c r="H261" s="74">
        <f t="shared" si="7"/>
        <v>3.6076611602545583</v>
      </c>
    </row>
    <row r="262" spans="5:8" ht="15.6">
      <c r="E262" s="279" t="s">
        <v>588</v>
      </c>
      <c r="F262" s="284">
        <f t="shared" ca="1" si="6"/>
        <v>0.12205576966946896</v>
      </c>
      <c r="G262" s="74">
        <v>42.671757108358619</v>
      </c>
      <c r="H262" s="74">
        <f t="shared" si="7"/>
        <v>-2.1773567650260972</v>
      </c>
    </row>
    <row r="263" spans="5:8" ht="15.6">
      <c r="E263" s="279" t="s">
        <v>589</v>
      </c>
      <c r="F263" s="284">
        <f t="shared" ca="1" si="6"/>
        <v>0.74675703701423735</v>
      </c>
      <c r="G263" s="74">
        <v>42.596652010927443</v>
      </c>
      <c r="H263" s="74">
        <f t="shared" si="7"/>
        <v>-2.1022516675949205</v>
      </c>
    </row>
    <row r="264" spans="5:8" ht="15.6">
      <c r="E264" s="279" t="s">
        <v>590</v>
      </c>
      <c r="F264" s="284">
        <f t="shared" ca="1" si="6"/>
        <v>6.0389312184911947E-2</v>
      </c>
      <c r="G264" s="74">
        <v>35.983350147310929</v>
      </c>
      <c r="H264" s="74">
        <f t="shared" si="7"/>
        <v>4.5110501960215927</v>
      </c>
    </row>
    <row r="265" spans="5:8" ht="15.6">
      <c r="E265" s="279" t="s">
        <v>591</v>
      </c>
      <c r="F265" s="284">
        <f t="shared" ca="1" si="6"/>
        <v>0.85716336898073586</v>
      </c>
      <c r="G265" s="74">
        <v>38.706583169929836</v>
      </c>
      <c r="H265" s="74">
        <f t="shared" si="7"/>
        <v>1.7878171734026864</v>
      </c>
    </row>
    <row r="266" spans="5:8" ht="15.6">
      <c r="E266" s="279" t="s">
        <v>592</v>
      </c>
      <c r="F266" s="284">
        <f t="shared" ca="1" si="6"/>
        <v>0.2530462860407211</v>
      </c>
      <c r="G266" s="74">
        <v>35.539754428246184</v>
      </c>
      <c r="H266" s="74">
        <f t="shared" si="7"/>
        <v>4.9546459150863384</v>
      </c>
    </row>
    <row r="267" spans="5:8" ht="15.6">
      <c r="E267" s="279" t="s">
        <v>593</v>
      </c>
      <c r="F267" s="284">
        <f t="shared" ca="1" si="6"/>
        <v>5.2405969478537928E-2</v>
      </c>
      <c r="G267" s="74">
        <v>39.255508204774955</v>
      </c>
      <c r="H267" s="74">
        <f t="shared" si="7"/>
        <v>1.2388921385575671</v>
      </c>
    </row>
    <row r="268" spans="5:8" ht="15.6">
      <c r="E268" s="279" t="s">
        <v>594</v>
      </c>
      <c r="F268" s="284">
        <f t="shared" ref="F268:F331" ca="1" si="8">RAND()</f>
        <v>0.29330624134647443</v>
      </c>
      <c r="G268" s="74">
        <v>40.734952146108597</v>
      </c>
      <c r="H268" s="74">
        <f t="shared" ref="H268:H331" si="9">$D$2-G268</f>
        <v>-0.24055180277607491</v>
      </c>
    </row>
    <row r="269" spans="5:8" ht="15.6">
      <c r="E269" s="279" t="s">
        <v>595</v>
      </c>
      <c r="F269" s="284">
        <f t="shared" ca="1" si="8"/>
        <v>0.80849186779035687</v>
      </c>
      <c r="G269" s="74">
        <v>38.692978546168064</v>
      </c>
      <c r="H269" s="74">
        <f t="shared" si="9"/>
        <v>1.8014217971644584</v>
      </c>
    </row>
    <row r="270" spans="5:8" ht="15.6">
      <c r="E270" s="279" t="s">
        <v>596</v>
      </c>
      <c r="F270" s="284">
        <f t="shared" ca="1" si="8"/>
        <v>0.69963761044860229</v>
      </c>
      <c r="G270" s="74">
        <v>37.169703550765369</v>
      </c>
      <c r="H270" s="74">
        <f t="shared" si="9"/>
        <v>3.3246967925671527</v>
      </c>
    </row>
    <row r="271" spans="5:8" ht="15.6">
      <c r="E271" s="279" t="s">
        <v>597</v>
      </c>
      <c r="F271" s="284">
        <f t="shared" ca="1" si="8"/>
        <v>0.27351648663992423</v>
      </c>
      <c r="G271" s="74">
        <v>41.412272221729637</v>
      </c>
      <c r="H271" s="74">
        <f t="shared" si="9"/>
        <v>-0.91787187839711493</v>
      </c>
    </row>
    <row r="272" spans="5:8" ht="15.6">
      <c r="E272" s="279" t="s">
        <v>598</v>
      </c>
      <c r="F272" s="284">
        <f t="shared" ca="1" si="8"/>
        <v>0.85567125952219392</v>
      </c>
      <c r="G272" s="74">
        <v>35.958597320963243</v>
      </c>
      <c r="H272" s="74">
        <f t="shared" si="9"/>
        <v>4.5358030223692793</v>
      </c>
    </row>
    <row r="273" spans="5:8" ht="15.6">
      <c r="E273" s="279" t="s">
        <v>599</v>
      </c>
      <c r="F273" s="284">
        <f t="shared" ca="1" si="8"/>
        <v>0.36408851837467315</v>
      </c>
      <c r="G273" s="74">
        <v>41.562876851931939</v>
      </c>
      <c r="H273" s="74">
        <f t="shared" si="9"/>
        <v>-1.0684765085994172</v>
      </c>
    </row>
    <row r="274" spans="5:8" ht="15.6">
      <c r="E274" s="279" t="s">
        <v>600</v>
      </c>
      <c r="F274" s="284">
        <f t="shared" ca="1" si="8"/>
        <v>0.83095556291692352</v>
      </c>
      <c r="G274" s="74">
        <v>38.650518724746732</v>
      </c>
      <c r="H274" s="74">
        <f t="shared" si="9"/>
        <v>1.8438816185857902</v>
      </c>
    </row>
    <row r="275" spans="5:8" ht="15.6">
      <c r="E275" s="279" t="s">
        <v>601</v>
      </c>
      <c r="F275" s="284">
        <f t="shared" ca="1" si="8"/>
        <v>0.64023999564877021</v>
      </c>
      <c r="G275" s="74">
        <v>39.735535308441776</v>
      </c>
      <c r="H275" s="74">
        <f t="shared" si="9"/>
        <v>0.75886503489074641</v>
      </c>
    </row>
    <row r="276" spans="5:8" ht="15.6">
      <c r="E276" s="279" t="s">
        <v>602</v>
      </c>
      <c r="F276" s="284">
        <f t="shared" ca="1" si="8"/>
        <v>0.45939468159812069</v>
      </c>
      <c r="G276" s="74">
        <v>34.56974682015727</v>
      </c>
      <c r="H276" s="74">
        <f t="shared" si="9"/>
        <v>5.9246535231752517</v>
      </c>
    </row>
    <row r="277" spans="5:8" ht="15.6">
      <c r="E277" s="279" t="s">
        <v>603</v>
      </c>
      <c r="F277" s="284">
        <f t="shared" ca="1" si="8"/>
        <v>0.85413333539775171</v>
      </c>
      <c r="G277" s="74">
        <v>35.663833782795436</v>
      </c>
      <c r="H277" s="74">
        <f t="shared" si="9"/>
        <v>4.8305665605370862</v>
      </c>
    </row>
    <row r="278" spans="5:8" ht="15.6">
      <c r="E278" s="279" t="s">
        <v>604</v>
      </c>
      <c r="F278" s="284">
        <f t="shared" ca="1" si="8"/>
        <v>0.29427501333029704</v>
      </c>
      <c r="G278" s="74">
        <v>38.475870854176428</v>
      </c>
      <c r="H278" s="74">
        <f t="shared" si="9"/>
        <v>2.0185294891560943</v>
      </c>
    </row>
    <row r="279" spans="5:8" ht="15.6">
      <c r="E279" s="279" t="s">
        <v>605</v>
      </c>
      <c r="F279" s="284">
        <f t="shared" ca="1" si="8"/>
        <v>0.75297415659139244</v>
      </c>
      <c r="G279" s="74">
        <v>35.638383208854307</v>
      </c>
      <c r="H279" s="74">
        <f t="shared" si="9"/>
        <v>4.8560171344782148</v>
      </c>
    </row>
    <row r="280" spans="5:8" ht="15.6">
      <c r="E280" s="279" t="s">
        <v>606</v>
      </c>
      <c r="F280" s="284">
        <f t="shared" ca="1" si="8"/>
        <v>0.9614894523586357</v>
      </c>
      <c r="G280" s="74">
        <v>42.923808215110604</v>
      </c>
      <c r="H280" s="74">
        <f t="shared" si="9"/>
        <v>-2.429407871778082</v>
      </c>
    </row>
    <row r="281" spans="5:8" ht="15.6">
      <c r="E281" s="279" t="s">
        <v>607</v>
      </c>
      <c r="F281" s="284">
        <f t="shared" ca="1" si="8"/>
        <v>0.27041390331612303</v>
      </c>
      <c r="G281" s="74">
        <v>40.787015214407745</v>
      </c>
      <c r="H281" s="74">
        <f t="shared" si="9"/>
        <v>-0.29261487107522299</v>
      </c>
    </row>
    <row r="282" spans="5:8" ht="15.6">
      <c r="E282" s="279" t="s">
        <v>608</v>
      </c>
      <c r="F282" s="284">
        <f t="shared" ca="1" si="8"/>
        <v>0.2834040746608808</v>
      </c>
      <c r="G282" s="74">
        <v>35.687572752979676</v>
      </c>
      <c r="H282" s="74">
        <f t="shared" si="9"/>
        <v>4.8068275903528459</v>
      </c>
    </row>
    <row r="283" spans="5:8" ht="15.6">
      <c r="E283" s="279" t="s">
        <v>609</v>
      </c>
      <c r="F283" s="284">
        <f t="shared" ca="1" si="8"/>
        <v>0.97743812985569478</v>
      </c>
      <c r="G283" s="74">
        <v>43.43327163701116</v>
      </c>
      <c r="H283" s="74">
        <f t="shared" si="9"/>
        <v>-2.9388712936786376</v>
      </c>
    </row>
    <row r="284" spans="5:8" ht="15.6">
      <c r="E284" s="279" t="s">
        <v>610</v>
      </c>
      <c r="F284" s="284">
        <f t="shared" ca="1" si="8"/>
        <v>0.37259952975916488</v>
      </c>
      <c r="G284" s="74">
        <v>38.514636606381629</v>
      </c>
      <c r="H284" s="74">
        <f t="shared" si="9"/>
        <v>1.9797637369508934</v>
      </c>
    </row>
    <row r="285" spans="5:8" ht="15.6">
      <c r="E285" s="279" t="s">
        <v>611</v>
      </c>
      <c r="F285" s="284">
        <f t="shared" ca="1" si="8"/>
        <v>0.61461977098458398</v>
      </c>
      <c r="G285" s="74">
        <v>39.732690829271185</v>
      </c>
      <c r="H285" s="74">
        <f t="shared" si="9"/>
        <v>0.76170951406133725</v>
      </c>
    </row>
    <row r="286" spans="5:8" ht="15.6">
      <c r="E286" s="279" t="s">
        <v>612</v>
      </c>
      <c r="F286" s="284">
        <f t="shared" ca="1" si="8"/>
        <v>0.26482380431153763</v>
      </c>
      <c r="G286" s="74">
        <v>44.58241476549258</v>
      </c>
      <c r="H286" s="74">
        <f t="shared" si="9"/>
        <v>-4.0880144221600574</v>
      </c>
    </row>
    <row r="287" spans="5:8" ht="15.6">
      <c r="E287" s="279" t="s">
        <v>613</v>
      </c>
      <c r="F287" s="284">
        <f t="shared" ca="1" si="8"/>
        <v>5.1227232793434885E-2</v>
      </c>
      <c r="G287" s="74">
        <v>46.771124746261805</v>
      </c>
      <c r="H287" s="74">
        <f t="shared" si="9"/>
        <v>-6.2767244029292826</v>
      </c>
    </row>
    <row r="288" spans="5:8" ht="15.6">
      <c r="E288" s="279" t="s">
        <v>614</v>
      </c>
      <c r="F288" s="284">
        <f t="shared" ca="1" si="8"/>
        <v>0.77515569087414249</v>
      </c>
      <c r="G288" s="74">
        <v>39.802557324465546</v>
      </c>
      <c r="H288" s="74">
        <f t="shared" si="9"/>
        <v>0.69184301886697597</v>
      </c>
    </row>
    <row r="289" spans="5:8" ht="15.6">
      <c r="E289" s="279" t="s">
        <v>615</v>
      </c>
      <c r="F289" s="284">
        <f t="shared" ca="1" si="8"/>
        <v>0.58527577056298763</v>
      </c>
      <c r="G289" s="74">
        <v>39.250552929358179</v>
      </c>
      <c r="H289" s="74">
        <f t="shared" si="9"/>
        <v>1.2438474139743434</v>
      </c>
    </row>
    <row r="290" spans="5:8" ht="15.6">
      <c r="E290" s="279" t="s">
        <v>616</v>
      </c>
      <c r="F290" s="284">
        <f t="shared" ca="1" si="8"/>
        <v>0.67742855132204804</v>
      </c>
      <c r="G290" s="74">
        <v>36.052871087052495</v>
      </c>
      <c r="H290" s="74">
        <f t="shared" si="9"/>
        <v>4.4415292562800275</v>
      </c>
    </row>
    <row r="291" spans="5:8" ht="15.6">
      <c r="E291" s="279" t="s">
        <v>617</v>
      </c>
      <c r="F291" s="284">
        <f t="shared" ca="1" si="8"/>
        <v>0.27636120876804526</v>
      </c>
      <c r="G291" s="74">
        <v>39.79102047551202</v>
      </c>
      <c r="H291" s="74">
        <f t="shared" si="9"/>
        <v>0.70337986782050166</v>
      </c>
    </row>
    <row r="292" spans="5:8" ht="15.6">
      <c r="E292" s="279" t="s">
        <v>618</v>
      </c>
      <c r="F292" s="284">
        <f t="shared" ca="1" si="8"/>
        <v>7.9670769479376236E-2</v>
      </c>
      <c r="G292" s="74">
        <v>40.550089519352134</v>
      </c>
      <c r="H292" s="74">
        <f t="shared" si="9"/>
        <v>-5.5689176019612319E-2</v>
      </c>
    </row>
    <row r="293" spans="5:8" ht="15.6">
      <c r="E293" s="279" t="s">
        <v>619</v>
      </c>
      <c r="F293" s="284">
        <f t="shared" ca="1" si="8"/>
        <v>0.69666244513611575</v>
      </c>
      <c r="G293" s="74">
        <v>40.333081635144715</v>
      </c>
      <c r="H293" s="74">
        <f t="shared" si="9"/>
        <v>0.16131870818780669</v>
      </c>
    </row>
    <row r="294" spans="5:8" ht="15.6">
      <c r="E294" s="279" t="s">
        <v>620</v>
      </c>
      <c r="F294" s="284">
        <f t="shared" ca="1" si="8"/>
        <v>0.51826556080777975</v>
      </c>
      <c r="G294" s="74">
        <v>35.201470188571847</v>
      </c>
      <c r="H294" s="74">
        <f t="shared" si="9"/>
        <v>5.2929301547606755</v>
      </c>
    </row>
    <row r="295" spans="5:8" ht="15.6">
      <c r="E295" s="279" t="s">
        <v>621</v>
      </c>
      <c r="F295" s="284">
        <f t="shared" ca="1" si="8"/>
        <v>0.61160269844995019</v>
      </c>
      <c r="G295" s="74">
        <v>39.886438788985522</v>
      </c>
      <c r="H295" s="74">
        <f t="shared" si="9"/>
        <v>0.60796155434699983</v>
      </c>
    </row>
    <row r="296" spans="5:8" ht="15.6">
      <c r="E296" s="279" t="s">
        <v>622</v>
      </c>
      <c r="F296" s="284">
        <f t="shared" ca="1" si="8"/>
        <v>4.1233986744021678E-2</v>
      </c>
      <c r="G296" s="74">
        <v>33.880527004999905</v>
      </c>
      <c r="H296" s="74">
        <f t="shared" si="9"/>
        <v>6.6138733383326169</v>
      </c>
    </row>
    <row r="297" spans="5:8" ht="15.6">
      <c r="E297" s="279" t="s">
        <v>623</v>
      </c>
      <c r="F297" s="284">
        <f t="shared" ca="1" si="8"/>
        <v>0.18753583969291421</v>
      </c>
      <c r="G297" s="74">
        <v>40.471459313198267</v>
      </c>
      <c r="H297" s="74">
        <f t="shared" si="9"/>
        <v>2.2941030134255413E-2</v>
      </c>
    </row>
    <row r="298" spans="5:8" ht="15.6">
      <c r="E298" s="279" t="s">
        <v>624</v>
      </c>
      <c r="F298" s="284">
        <f t="shared" ca="1" si="8"/>
        <v>0.35137883363268829</v>
      </c>
      <c r="G298" s="74">
        <v>38.130004427875996</v>
      </c>
      <c r="H298" s="74">
        <f t="shared" si="9"/>
        <v>2.3643959154565266</v>
      </c>
    </row>
    <row r="299" spans="5:8" ht="15.6">
      <c r="E299" s="279" t="s">
        <v>625</v>
      </c>
      <c r="F299" s="284">
        <f t="shared" ca="1" si="8"/>
        <v>0.38876921321056734</v>
      </c>
      <c r="G299" s="74">
        <v>39.019917986571301</v>
      </c>
      <c r="H299" s="74">
        <f t="shared" si="9"/>
        <v>1.4744823567612215</v>
      </c>
    </row>
    <row r="300" spans="5:8" ht="15.6">
      <c r="E300" s="279" t="s">
        <v>626</v>
      </c>
      <c r="F300" s="284">
        <f t="shared" ca="1" si="8"/>
        <v>0.50178835679292111</v>
      </c>
      <c r="G300" s="74">
        <v>37.736577627385998</v>
      </c>
      <c r="H300" s="74">
        <f t="shared" si="9"/>
        <v>2.7578227159465243</v>
      </c>
    </row>
    <row r="301" spans="5:8" ht="15.6">
      <c r="E301" s="279" t="s">
        <v>627</v>
      </c>
      <c r="F301" s="284">
        <f t="shared" ca="1" si="8"/>
        <v>0.81840253856997391</v>
      </c>
      <c r="G301" s="74">
        <v>42.341037816698595</v>
      </c>
      <c r="H301" s="74">
        <f t="shared" si="9"/>
        <v>-1.8466374733660729</v>
      </c>
    </row>
    <row r="302" spans="5:8" ht="15.6">
      <c r="E302" s="279" t="s">
        <v>628</v>
      </c>
      <c r="F302" s="284">
        <f t="shared" ca="1" si="8"/>
        <v>0.20944787220864458</v>
      </c>
      <c r="G302" s="74">
        <v>40.32139782713687</v>
      </c>
      <c r="H302" s="74">
        <f t="shared" si="9"/>
        <v>0.17300251619565188</v>
      </c>
    </row>
    <row r="303" spans="5:8" ht="15.6">
      <c r="E303" s="279" t="s">
        <v>629</v>
      </c>
      <c r="F303" s="284">
        <f t="shared" ca="1" si="8"/>
        <v>0.1031422369628594</v>
      </c>
      <c r="G303" s="74">
        <v>36.309298821773247</v>
      </c>
      <c r="H303" s="74">
        <f t="shared" si="9"/>
        <v>4.1851015215592753</v>
      </c>
    </row>
    <row r="304" spans="5:8" ht="15.6">
      <c r="E304" s="279" t="s">
        <v>630</v>
      </c>
      <c r="F304" s="284">
        <f t="shared" ca="1" si="8"/>
        <v>0.6234033750008795</v>
      </c>
      <c r="G304" s="74">
        <v>39.609095037625394</v>
      </c>
      <c r="H304" s="74">
        <f t="shared" si="9"/>
        <v>0.88530530570712784</v>
      </c>
    </row>
    <row r="305" spans="5:8" ht="15.6">
      <c r="E305" s="279" t="s">
        <v>631</v>
      </c>
      <c r="F305" s="284">
        <f t="shared" ca="1" si="8"/>
        <v>0.93742999577008779</v>
      </c>
      <c r="G305" s="74">
        <v>40.274513680092468</v>
      </c>
      <c r="H305" s="74">
        <f t="shared" si="9"/>
        <v>0.21988666324005379</v>
      </c>
    </row>
    <row r="306" spans="5:8" ht="15.6">
      <c r="E306" s="279" t="s">
        <v>632</v>
      </c>
      <c r="F306" s="284">
        <f t="shared" ca="1" si="8"/>
        <v>0.7196748369029361</v>
      </c>
      <c r="G306" s="74">
        <v>35.851037199041123</v>
      </c>
      <c r="H306" s="74">
        <f t="shared" si="9"/>
        <v>4.6433631442913992</v>
      </c>
    </row>
    <row r="307" spans="5:8" ht="15.6">
      <c r="E307" s="279" t="s">
        <v>633</v>
      </c>
      <c r="F307" s="284">
        <f t="shared" ca="1" si="8"/>
        <v>0.84824607407551</v>
      </c>
      <c r="G307" s="74">
        <v>37.54204680064781</v>
      </c>
      <c r="H307" s="74">
        <f t="shared" si="9"/>
        <v>2.9523535426847118</v>
      </c>
    </row>
    <row r="308" spans="5:8" ht="15.6">
      <c r="E308" s="279" t="s">
        <v>634</v>
      </c>
      <c r="F308" s="284">
        <f t="shared" ca="1" si="8"/>
        <v>0.64628164111159103</v>
      </c>
      <c r="G308" s="74">
        <v>39.813662372888871</v>
      </c>
      <c r="H308" s="74">
        <f t="shared" si="9"/>
        <v>0.68073797044365136</v>
      </c>
    </row>
    <row r="309" spans="5:8" ht="15.6">
      <c r="E309" s="279" t="s">
        <v>635</v>
      </c>
      <c r="F309" s="284">
        <f t="shared" ca="1" si="8"/>
        <v>0.82220183921687817</v>
      </c>
      <c r="G309" s="74">
        <v>43.581001181236374</v>
      </c>
      <c r="H309" s="74">
        <f t="shared" si="9"/>
        <v>-3.0866008379038519</v>
      </c>
    </row>
    <row r="310" spans="5:8" ht="15.6">
      <c r="E310" s="279" t="s">
        <v>636</v>
      </c>
      <c r="F310" s="284">
        <f t="shared" ca="1" si="8"/>
        <v>0.67250424916176521</v>
      </c>
      <c r="G310" s="74">
        <v>41.145577146943083</v>
      </c>
      <c r="H310" s="74">
        <f t="shared" si="9"/>
        <v>-0.65117680361056074</v>
      </c>
    </row>
    <row r="311" spans="5:8" ht="15.6">
      <c r="E311" s="279" t="s">
        <v>637</v>
      </c>
      <c r="F311" s="284">
        <f t="shared" ca="1" si="8"/>
        <v>0.25097994993993189</v>
      </c>
      <c r="G311" s="74">
        <v>37.091410884772117</v>
      </c>
      <c r="H311" s="74">
        <f t="shared" si="9"/>
        <v>3.4029894585604055</v>
      </c>
    </row>
    <row r="312" spans="5:8" ht="15.6">
      <c r="E312" s="279" t="s">
        <v>638</v>
      </c>
      <c r="F312" s="284">
        <f t="shared" ca="1" si="8"/>
        <v>0.47538650923151282</v>
      </c>
      <c r="G312" s="74">
        <v>34.633765682312678</v>
      </c>
      <c r="H312" s="74">
        <f t="shared" si="9"/>
        <v>5.8606346610198443</v>
      </c>
    </row>
    <row r="313" spans="5:8" ht="15.6">
      <c r="E313" s="279" t="s">
        <v>639</v>
      </c>
      <c r="F313" s="284">
        <f t="shared" ca="1" si="8"/>
        <v>9.1466847876644053E-2</v>
      </c>
      <c r="G313" s="74">
        <v>42.922516316661351</v>
      </c>
      <c r="H313" s="74">
        <f t="shared" si="9"/>
        <v>-2.4281159733288291</v>
      </c>
    </row>
    <row r="314" spans="5:8" ht="15.6">
      <c r="E314" s="279" t="s">
        <v>640</v>
      </c>
      <c r="F314" s="284">
        <f t="shared" ca="1" si="8"/>
        <v>0.21810515660721408</v>
      </c>
      <c r="G314" s="74">
        <v>36.678631495293146</v>
      </c>
      <c r="H314" s="74">
        <f t="shared" si="9"/>
        <v>3.8157688480393759</v>
      </c>
    </row>
    <row r="315" spans="5:8" ht="15.6">
      <c r="E315" s="279" t="s">
        <v>641</v>
      </c>
      <c r="F315" s="284">
        <f t="shared" ca="1" si="8"/>
        <v>0.59339396346147166</v>
      </c>
      <c r="G315" s="74">
        <v>35.302814858721376</v>
      </c>
      <c r="H315" s="74">
        <f t="shared" si="9"/>
        <v>5.1915854846111458</v>
      </c>
    </row>
    <row r="316" spans="5:8" ht="15.6">
      <c r="E316" s="279" t="s">
        <v>642</v>
      </c>
      <c r="F316" s="284">
        <f t="shared" ca="1" si="8"/>
        <v>0.39681179130213662</v>
      </c>
      <c r="G316" s="74">
        <v>45.935284307348844</v>
      </c>
      <c r="H316" s="74">
        <f t="shared" si="9"/>
        <v>-5.4408839640163222</v>
      </c>
    </row>
    <row r="317" spans="5:8" ht="15.6">
      <c r="E317" s="279" t="s">
        <v>643</v>
      </c>
      <c r="F317" s="284">
        <f t="shared" ca="1" si="8"/>
        <v>0.41202552152712624</v>
      </c>
      <c r="G317" s="74">
        <v>36.587648495793061</v>
      </c>
      <c r="H317" s="74">
        <f t="shared" si="9"/>
        <v>3.9067518475394607</v>
      </c>
    </row>
    <row r="318" spans="5:8" ht="15.6">
      <c r="E318" s="279" t="s">
        <v>644</v>
      </c>
      <c r="F318" s="284">
        <f t="shared" ca="1" si="8"/>
        <v>0.68774323744585042</v>
      </c>
      <c r="G318" s="74">
        <v>36.673677943584011</v>
      </c>
      <c r="H318" s="74">
        <f t="shared" si="9"/>
        <v>3.8207223997485116</v>
      </c>
    </row>
    <row r="319" spans="5:8" ht="15.6">
      <c r="E319" s="279" t="s">
        <v>645</v>
      </c>
      <c r="F319" s="284">
        <f t="shared" ca="1" si="8"/>
        <v>0.63134983753206697</v>
      </c>
      <c r="G319" s="74">
        <v>38.160892948001369</v>
      </c>
      <c r="H319" s="74">
        <f t="shared" si="9"/>
        <v>2.3335073953311536</v>
      </c>
    </row>
    <row r="320" spans="5:8" ht="15.6">
      <c r="E320" s="279" t="s">
        <v>646</v>
      </c>
      <c r="F320" s="284">
        <f t="shared" ca="1" si="8"/>
        <v>0.93466495005820716</v>
      </c>
      <c r="G320" s="74">
        <v>36.2569078552647</v>
      </c>
      <c r="H320" s="74">
        <f t="shared" si="9"/>
        <v>4.2374924880678222</v>
      </c>
    </row>
    <row r="321" spans="5:8" ht="15.6">
      <c r="E321" s="279" t="s">
        <v>647</v>
      </c>
      <c r="F321" s="284">
        <f t="shared" ca="1" si="8"/>
        <v>0.94450681316676666</v>
      </c>
      <c r="G321" s="74">
        <v>38.676380816323046</v>
      </c>
      <c r="H321" s="74">
        <f t="shared" si="9"/>
        <v>1.8180195270094757</v>
      </c>
    </row>
    <row r="322" spans="5:8" ht="15.6">
      <c r="E322" s="279" t="s">
        <v>648</v>
      </c>
      <c r="F322" s="284">
        <f t="shared" ca="1" si="8"/>
        <v>0.81605239888289738</v>
      </c>
      <c r="G322" s="74">
        <v>40.025223864802093</v>
      </c>
      <c r="H322" s="74">
        <f t="shared" si="9"/>
        <v>0.46917647853042865</v>
      </c>
    </row>
    <row r="323" spans="5:8" ht="15.6">
      <c r="E323" s="279" t="s">
        <v>649</v>
      </c>
      <c r="F323" s="284">
        <f t="shared" ca="1" si="8"/>
        <v>0.22122950638925365</v>
      </c>
      <c r="G323" s="74">
        <v>43.534756605696593</v>
      </c>
      <c r="H323" s="74">
        <f t="shared" si="9"/>
        <v>-3.040356262364071</v>
      </c>
    </row>
    <row r="324" spans="5:8" ht="15.6">
      <c r="E324" s="279" t="s">
        <v>650</v>
      </c>
      <c r="F324" s="284">
        <f t="shared" ca="1" si="8"/>
        <v>0.27950702733782973</v>
      </c>
      <c r="G324" s="74">
        <v>34.409958151668128</v>
      </c>
      <c r="H324" s="74">
        <f t="shared" si="9"/>
        <v>6.0844421916643938</v>
      </c>
    </row>
    <row r="325" spans="5:8" ht="15.6">
      <c r="E325" s="279" t="s">
        <v>651</v>
      </c>
      <c r="F325" s="284">
        <f t="shared" ca="1" si="8"/>
        <v>0.83414513931784984</v>
      </c>
      <c r="G325" s="74">
        <v>38.427204551626559</v>
      </c>
      <c r="H325" s="74">
        <f t="shared" si="9"/>
        <v>2.0671957917059629</v>
      </c>
    </row>
    <row r="326" spans="5:8" ht="15.6">
      <c r="E326" s="279" t="s">
        <v>652</v>
      </c>
      <c r="F326" s="284">
        <f t="shared" ca="1" si="8"/>
        <v>0.90681829110245959</v>
      </c>
      <c r="G326" s="74">
        <v>44.306903021056506</v>
      </c>
      <c r="H326" s="74">
        <f t="shared" si="9"/>
        <v>-3.8125026777239839</v>
      </c>
    </row>
    <row r="327" spans="5:8" ht="15.6">
      <c r="E327" s="279" t="s">
        <v>653</v>
      </c>
      <c r="F327" s="284">
        <f t="shared" ca="1" si="8"/>
        <v>0.10165602137001706</v>
      </c>
      <c r="G327" s="74">
        <v>45.185486408221443</v>
      </c>
      <c r="H327" s="74">
        <f t="shared" si="9"/>
        <v>-4.6910860648889212</v>
      </c>
    </row>
    <row r="328" spans="5:8" ht="15.6">
      <c r="E328" s="279" t="s">
        <v>654</v>
      </c>
      <c r="F328" s="284">
        <f t="shared" ca="1" si="8"/>
        <v>0.24934197682202675</v>
      </c>
      <c r="G328" s="74">
        <v>43.833021406492726</v>
      </c>
      <c r="H328" s="74">
        <f t="shared" si="9"/>
        <v>-3.338621063160204</v>
      </c>
    </row>
    <row r="329" spans="5:8" ht="15.6">
      <c r="E329" s="279" t="s">
        <v>655</v>
      </c>
      <c r="F329" s="284">
        <f t="shared" ca="1" si="8"/>
        <v>0.83218479037803827</v>
      </c>
      <c r="G329" s="74">
        <v>41.08306107301128</v>
      </c>
      <c r="H329" s="74">
        <f t="shared" si="9"/>
        <v>-0.58866072967875738</v>
      </c>
    </row>
    <row r="330" spans="5:8" ht="15.6">
      <c r="E330" s="279" t="s">
        <v>656</v>
      </c>
      <c r="F330" s="284">
        <f t="shared" ca="1" si="8"/>
        <v>0.11880283053173768</v>
      </c>
      <c r="G330" s="74">
        <v>46.449245745082337</v>
      </c>
      <c r="H330" s="74">
        <f t="shared" si="9"/>
        <v>-5.9548454017498145</v>
      </c>
    </row>
    <row r="331" spans="5:8" ht="15.6">
      <c r="E331" s="279" t="s">
        <v>657</v>
      </c>
      <c r="F331" s="284">
        <f t="shared" ca="1" si="8"/>
        <v>0.48439851563314928</v>
      </c>
      <c r="G331" s="74">
        <v>35.898760137984233</v>
      </c>
      <c r="H331" s="74">
        <f t="shared" si="9"/>
        <v>4.595640205348289</v>
      </c>
    </row>
    <row r="332" spans="5:8" ht="15.6">
      <c r="E332" s="279" t="s">
        <v>658</v>
      </c>
      <c r="F332" s="284">
        <f t="shared" ref="F332:F395" ca="1" si="10">RAND()</f>
        <v>0.8266993954455939</v>
      </c>
      <c r="G332" s="74">
        <v>37.601438922940531</v>
      </c>
      <c r="H332" s="74">
        <f t="shared" ref="H332:H395" si="11">$D$2-G332</f>
        <v>2.8929614203919911</v>
      </c>
    </row>
    <row r="333" spans="5:8" ht="15.6">
      <c r="E333" s="279" t="s">
        <v>659</v>
      </c>
      <c r="F333" s="284">
        <f t="shared" ca="1" si="10"/>
        <v>0.82121414368125523</v>
      </c>
      <c r="G333" s="74">
        <v>40.401561297358349</v>
      </c>
      <c r="H333" s="74">
        <f t="shared" si="11"/>
        <v>9.2839045974173473E-2</v>
      </c>
    </row>
    <row r="334" spans="5:8" ht="15.6">
      <c r="E334" s="279" t="s">
        <v>660</v>
      </c>
      <c r="F334" s="284">
        <f t="shared" ca="1" si="10"/>
        <v>0.96429350316664486</v>
      </c>
      <c r="G334" s="74">
        <v>36.507903250672278</v>
      </c>
      <c r="H334" s="74">
        <f t="shared" si="11"/>
        <v>3.9864970926602439</v>
      </c>
    </row>
    <row r="335" spans="5:8" ht="15.6">
      <c r="E335" s="279" t="s">
        <v>661</v>
      </c>
      <c r="F335" s="284">
        <f t="shared" ca="1" si="10"/>
        <v>0.12953453722744757</v>
      </c>
      <c r="G335" s="74">
        <v>42.433681898770168</v>
      </c>
      <c r="H335" s="74">
        <f t="shared" si="11"/>
        <v>-1.9392815554376455</v>
      </c>
    </row>
    <row r="336" spans="5:8" ht="15.6">
      <c r="E336" s="279" t="s">
        <v>662</v>
      </c>
      <c r="F336" s="284">
        <f t="shared" ca="1" si="10"/>
        <v>0.57424929897891042</v>
      </c>
      <c r="G336" s="74">
        <v>38.225375244331119</v>
      </c>
      <c r="H336" s="74">
        <f t="shared" si="11"/>
        <v>2.2690250990014036</v>
      </c>
    </row>
    <row r="337" spans="5:8" ht="15.6">
      <c r="E337" s="279" t="s">
        <v>663</v>
      </c>
      <c r="F337" s="284">
        <f t="shared" ca="1" si="10"/>
        <v>0.59898469715598579</v>
      </c>
      <c r="G337" s="74">
        <v>39.281883605845415</v>
      </c>
      <c r="H337" s="74">
        <f t="shared" si="11"/>
        <v>1.2125167374871069</v>
      </c>
    </row>
    <row r="338" spans="5:8" ht="15.6">
      <c r="E338" s="279" t="s">
        <v>664</v>
      </c>
      <c r="F338" s="284">
        <f t="shared" ca="1" si="10"/>
        <v>0.95283829929442609</v>
      </c>
      <c r="G338" s="74">
        <v>38.983962864869405</v>
      </c>
      <c r="H338" s="74">
        <f t="shared" si="11"/>
        <v>1.5104374784631176</v>
      </c>
    </row>
    <row r="339" spans="5:8" ht="15.6">
      <c r="E339" s="279" t="s">
        <v>665</v>
      </c>
      <c r="F339" s="284">
        <f t="shared" ca="1" si="10"/>
        <v>0.12566034792975334</v>
      </c>
      <c r="G339" s="74">
        <v>43.738235270782177</v>
      </c>
      <c r="H339" s="74">
        <f t="shared" si="11"/>
        <v>-3.2438349274496545</v>
      </c>
    </row>
    <row r="340" spans="5:8" ht="15.6">
      <c r="E340" s="279" t="s">
        <v>666</v>
      </c>
      <c r="F340" s="284">
        <f t="shared" ca="1" si="10"/>
        <v>0.67162616137051034</v>
      </c>
      <c r="G340" s="74">
        <v>37.358401349383008</v>
      </c>
      <c r="H340" s="74">
        <f t="shared" si="11"/>
        <v>3.1359989939495136</v>
      </c>
    </row>
    <row r="341" spans="5:8" ht="15.6">
      <c r="E341" s="279" t="s">
        <v>667</v>
      </c>
      <c r="F341" s="284">
        <f t="shared" ca="1" si="10"/>
        <v>0.39513614137567399</v>
      </c>
      <c r="G341" s="74">
        <v>39.877650747081702</v>
      </c>
      <c r="H341" s="74">
        <f t="shared" si="11"/>
        <v>0.61674959625081982</v>
      </c>
    </row>
    <row r="342" spans="5:8" ht="15.6">
      <c r="E342" s="279" t="s">
        <v>668</v>
      </c>
      <c r="F342" s="284">
        <f t="shared" ca="1" si="10"/>
        <v>0.63815516248351889</v>
      </c>
      <c r="G342" s="74">
        <v>38.202331251363397</v>
      </c>
      <c r="H342" s="74">
        <f t="shared" si="11"/>
        <v>2.2920690919691253</v>
      </c>
    </row>
    <row r="343" spans="5:8" ht="15.6">
      <c r="E343" s="279" t="s">
        <v>669</v>
      </c>
      <c r="F343" s="284">
        <f t="shared" ca="1" si="10"/>
        <v>0.43758003000514201</v>
      </c>
      <c r="G343" s="74">
        <v>41.193600598731344</v>
      </c>
      <c r="H343" s="74">
        <f t="shared" si="11"/>
        <v>-0.69920025539882147</v>
      </c>
    </row>
    <row r="344" spans="5:8" ht="15.6">
      <c r="E344" s="279" t="s">
        <v>670</v>
      </c>
      <c r="F344" s="284">
        <f t="shared" ca="1" si="10"/>
        <v>0.37982138888526384</v>
      </c>
      <c r="G344" s="74">
        <v>35.657333007363476</v>
      </c>
      <c r="H344" s="74">
        <f t="shared" si="11"/>
        <v>4.8370673359690457</v>
      </c>
    </row>
    <row r="345" spans="5:8" ht="15.6">
      <c r="E345" s="279" t="s">
        <v>671</v>
      </c>
      <c r="F345" s="284">
        <f t="shared" ca="1" si="10"/>
        <v>0.4718877240861209</v>
      </c>
      <c r="G345" s="74">
        <v>41.190863305676352</v>
      </c>
      <c r="H345" s="74">
        <f t="shared" si="11"/>
        <v>-0.69646296234382987</v>
      </c>
    </row>
    <row r="346" spans="5:8" ht="15.6">
      <c r="E346" s="279" t="s">
        <v>672</v>
      </c>
      <c r="F346" s="284">
        <f t="shared" ca="1" si="10"/>
        <v>0.18865505039824704</v>
      </c>
      <c r="G346" s="74">
        <v>33.908514292379422</v>
      </c>
      <c r="H346" s="74">
        <f t="shared" si="11"/>
        <v>6.5858860509530999</v>
      </c>
    </row>
    <row r="347" spans="5:8" ht="15.6">
      <c r="E347" s="279" t="s">
        <v>673</v>
      </c>
      <c r="F347" s="284">
        <f t="shared" ca="1" si="10"/>
        <v>0.95305517588518807</v>
      </c>
      <c r="G347" s="74">
        <v>43.066306813022287</v>
      </c>
      <c r="H347" s="74">
        <f t="shared" si="11"/>
        <v>-2.5719064696897647</v>
      </c>
    </row>
    <row r="348" spans="5:8" ht="15.6">
      <c r="E348" s="279" t="s">
        <v>674</v>
      </c>
      <c r="F348" s="284">
        <f t="shared" ca="1" si="10"/>
        <v>0.96511646784947069</v>
      </c>
      <c r="G348" s="74">
        <v>35.713038664955725</v>
      </c>
      <c r="H348" s="74">
        <f t="shared" si="11"/>
        <v>4.7813616783767969</v>
      </c>
    </row>
    <row r="349" spans="5:8" ht="15.6">
      <c r="E349" s="279" t="s">
        <v>675</v>
      </c>
      <c r="F349" s="284">
        <f t="shared" ca="1" si="10"/>
        <v>0.38160837419142646</v>
      </c>
      <c r="G349" s="74">
        <v>38.926473454650761</v>
      </c>
      <c r="H349" s="74">
        <f t="shared" si="11"/>
        <v>1.567926888681761</v>
      </c>
    </row>
    <row r="350" spans="5:8" ht="15.6">
      <c r="E350" s="279" t="s">
        <v>676</v>
      </c>
      <c r="F350" s="284">
        <f t="shared" ca="1" si="10"/>
        <v>0.34206031836269324</v>
      </c>
      <c r="G350" s="74">
        <v>40.148882706510243</v>
      </c>
      <c r="H350" s="74">
        <f t="shared" si="11"/>
        <v>0.34551763682227943</v>
      </c>
    </row>
    <row r="351" spans="5:8" ht="15.6">
      <c r="E351" s="279" t="s">
        <v>677</v>
      </c>
      <c r="F351" s="284">
        <f t="shared" ca="1" si="10"/>
        <v>0.22756806605797208</v>
      </c>
      <c r="G351" s="74">
        <v>38.942752300569623</v>
      </c>
      <c r="H351" s="74">
        <f t="shared" si="11"/>
        <v>1.5516480427628991</v>
      </c>
    </row>
    <row r="352" spans="5:8" ht="15.6">
      <c r="E352" s="279" t="s">
        <v>678</v>
      </c>
      <c r="F352" s="284">
        <f t="shared" ca="1" si="10"/>
        <v>0.3173440585750974</v>
      </c>
      <c r="G352" s="74">
        <v>40.094577785810266</v>
      </c>
      <c r="H352" s="74">
        <f t="shared" si="11"/>
        <v>0.39982255752225626</v>
      </c>
    </row>
    <row r="353" spans="5:8" ht="15.6">
      <c r="E353" s="279" t="s">
        <v>679</v>
      </c>
      <c r="F353" s="284">
        <f t="shared" ca="1" si="10"/>
        <v>0.39900759809602848</v>
      </c>
      <c r="G353" s="74">
        <v>40.856761845321245</v>
      </c>
      <c r="H353" s="74">
        <f t="shared" si="11"/>
        <v>-0.36236150198872252</v>
      </c>
    </row>
    <row r="354" spans="5:8" ht="15.6">
      <c r="E354" s="279" t="s">
        <v>680</v>
      </c>
      <c r="F354" s="284">
        <f t="shared" ca="1" si="10"/>
        <v>0.90203562697406547</v>
      </c>
      <c r="G354" s="74">
        <v>35.190031720725905</v>
      </c>
      <c r="H354" s="74">
        <f t="shared" si="11"/>
        <v>5.3043686226066171</v>
      </c>
    </row>
    <row r="355" spans="5:8" ht="15.6">
      <c r="E355" s="279" t="s">
        <v>681</v>
      </c>
      <c r="F355" s="284">
        <f t="shared" ca="1" si="10"/>
        <v>0.78734160589884761</v>
      </c>
      <c r="G355" s="74">
        <v>43.274849566745118</v>
      </c>
      <c r="H355" s="74">
        <f t="shared" si="11"/>
        <v>-2.7804492234125959</v>
      </c>
    </row>
    <row r="356" spans="5:8" ht="15.6">
      <c r="E356" s="279" t="s">
        <v>682</v>
      </c>
      <c r="F356" s="284">
        <f t="shared" ca="1" si="10"/>
        <v>0.19447051167302487</v>
      </c>
      <c r="G356" s="74">
        <v>42.006873599235362</v>
      </c>
      <c r="H356" s="74">
        <f t="shared" si="11"/>
        <v>-1.5124732559028402</v>
      </c>
    </row>
    <row r="357" spans="5:8" ht="15.6">
      <c r="E357" s="279" t="s">
        <v>683</v>
      </c>
      <c r="F357" s="284">
        <f t="shared" ca="1" si="10"/>
        <v>0.13811075688594787</v>
      </c>
      <c r="G357" s="74">
        <v>38.293055605425444</v>
      </c>
      <c r="H357" s="74">
        <f t="shared" si="11"/>
        <v>2.2013447379070783</v>
      </c>
    </row>
    <row r="358" spans="5:8" ht="15.6">
      <c r="E358" s="279" t="s">
        <v>684</v>
      </c>
      <c r="F358" s="284">
        <f t="shared" ca="1" si="10"/>
        <v>0.27455780965073284</v>
      </c>
      <c r="G358" s="74">
        <v>36.919750955124918</v>
      </c>
      <c r="H358" s="74">
        <f t="shared" si="11"/>
        <v>3.5746493882076038</v>
      </c>
    </row>
    <row r="359" spans="5:8" ht="15.6">
      <c r="E359" s="279" t="s">
        <v>685</v>
      </c>
      <c r="F359" s="284">
        <f t="shared" ca="1" si="10"/>
        <v>0.63557423365357579</v>
      </c>
      <c r="G359" s="74">
        <v>36.076485098837416</v>
      </c>
      <c r="H359" s="74">
        <f t="shared" si="11"/>
        <v>4.4179152444951058</v>
      </c>
    </row>
    <row r="360" spans="5:8" ht="15.6">
      <c r="E360" s="279" t="s">
        <v>686</v>
      </c>
      <c r="F360" s="284">
        <f t="shared" ca="1" si="10"/>
        <v>0.28672006002760797</v>
      </c>
      <c r="G360" s="74">
        <v>40.21210901359062</v>
      </c>
      <c r="H360" s="74">
        <f t="shared" si="11"/>
        <v>0.28229132974190208</v>
      </c>
    </row>
    <row r="361" spans="5:8" ht="15.6">
      <c r="E361" s="279" t="s">
        <v>687</v>
      </c>
      <c r="F361" s="284">
        <f t="shared" ca="1" si="10"/>
        <v>0.42343999545196509</v>
      </c>
      <c r="G361" s="74">
        <v>36.846180000599787</v>
      </c>
      <c r="H361" s="74">
        <f t="shared" si="11"/>
        <v>3.6482203427327349</v>
      </c>
    </row>
    <row r="362" spans="5:8" ht="15.6">
      <c r="E362" s="279" t="s">
        <v>688</v>
      </c>
      <c r="F362" s="284">
        <f t="shared" ca="1" si="10"/>
        <v>9.4831812923380054E-2</v>
      </c>
      <c r="G362" s="74">
        <v>36.899261209370792</v>
      </c>
      <c r="H362" s="74">
        <f t="shared" si="11"/>
        <v>3.5951391339617302</v>
      </c>
    </row>
    <row r="363" spans="5:8" ht="15.6">
      <c r="E363" s="279" t="s">
        <v>689</v>
      </c>
      <c r="F363" s="284">
        <f t="shared" ca="1" si="10"/>
        <v>0.48824957941666414</v>
      </c>
      <c r="G363" s="74">
        <v>37.180286556930241</v>
      </c>
      <c r="H363" s="74">
        <f t="shared" si="11"/>
        <v>3.3141137864022809</v>
      </c>
    </row>
    <row r="364" spans="5:8" ht="15.6">
      <c r="E364" s="279" t="s">
        <v>690</v>
      </c>
      <c r="F364" s="284">
        <f t="shared" ca="1" si="10"/>
        <v>0.15093222813360152</v>
      </c>
      <c r="G364" s="74">
        <v>40.221241485298151</v>
      </c>
      <c r="H364" s="74">
        <f t="shared" si="11"/>
        <v>0.27315885803437112</v>
      </c>
    </row>
    <row r="365" spans="5:8" ht="15.6">
      <c r="E365" s="279" t="s">
        <v>691</v>
      </c>
      <c r="F365" s="284">
        <f t="shared" ca="1" si="10"/>
        <v>0.64879087869076113</v>
      </c>
      <c r="G365" s="74">
        <v>38.275621046400019</v>
      </c>
      <c r="H365" s="74">
        <f t="shared" si="11"/>
        <v>2.2187792969325031</v>
      </c>
    </row>
    <row r="366" spans="5:8" ht="15.6">
      <c r="E366" s="279" t="s">
        <v>692</v>
      </c>
      <c r="F366" s="284">
        <f t="shared" ca="1" si="10"/>
        <v>0.79240586213072561</v>
      </c>
      <c r="G366" s="74">
        <v>44.788551753828578</v>
      </c>
      <c r="H366" s="74">
        <f t="shared" si="11"/>
        <v>-4.2941514104960561</v>
      </c>
    </row>
    <row r="367" spans="5:8" ht="15.6">
      <c r="E367" s="279" t="s">
        <v>693</v>
      </c>
      <c r="F367" s="284">
        <f t="shared" ca="1" si="10"/>
        <v>0.20462807566144736</v>
      </c>
      <c r="G367" s="74">
        <v>35.068636105794091</v>
      </c>
      <c r="H367" s="74">
        <f t="shared" si="11"/>
        <v>5.4257642375384307</v>
      </c>
    </row>
    <row r="368" spans="5:8" ht="15.6">
      <c r="E368" s="279" t="s">
        <v>694</v>
      </c>
      <c r="F368" s="284">
        <f t="shared" ca="1" si="10"/>
        <v>0.91097197493411886</v>
      </c>
      <c r="G368" s="74">
        <v>38.809257624153226</v>
      </c>
      <c r="H368" s="74">
        <f t="shared" si="11"/>
        <v>1.6851427191792965</v>
      </c>
    </row>
    <row r="369" spans="5:8" ht="15.6">
      <c r="E369" s="279" t="s">
        <v>695</v>
      </c>
      <c r="F369" s="284">
        <f t="shared" ca="1" si="10"/>
        <v>0.51546199464256948</v>
      </c>
      <c r="G369" s="74">
        <v>41.376937374080526</v>
      </c>
      <c r="H369" s="74">
        <f t="shared" si="11"/>
        <v>-0.88253703074800427</v>
      </c>
    </row>
    <row r="370" spans="5:8" ht="15.6">
      <c r="E370" s="279" t="s">
        <v>696</v>
      </c>
      <c r="F370" s="284">
        <f t="shared" ca="1" si="10"/>
        <v>0.79086527626281311</v>
      </c>
      <c r="G370" s="74">
        <v>38.408315081871628</v>
      </c>
      <c r="H370" s="74">
        <f t="shared" si="11"/>
        <v>2.0860852614608945</v>
      </c>
    </row>
    <row r="371" spans="5:8" ht="15.6">
      <c r="E371" s="279" t="s">
        <v>697</v>
      </c>
      <c r="F371" s="284">
        <f t="shared" ca="1" si="10"/>
        <v>9.0038125620686582E-2</v>
      </c>
      <c r="G371" s="74">
        <v>41.99168168588173</v>
      </c>
      <c r="H371" s="74">
        <f t="shared" si="11"/>
        <v>-1.4972813425492077</v>
      </c>
    </row>
    <row r="372" spans="5:8" ht="15.6">
      <c r="E372" s="279" t="s">
        <v>698</v>
      </c>
      <c r="F372" s="284">
        <f t="shared" ca="1" si="10"/>
        <v>0.82157092706645474</v>
      </c>
      <c r="G372" s="74">
        <v>41.7824688357559</v>
      </c>
      <c r="H372" s="74">
        <f t="shared" si="11"/>
        <v>-1.2880684924233776</v>
      </c>
    </row>
    <row r="373" spans="5:8" ht="15.6">
      <c r="E373" s="279" t="s">
        <v>699</v>
      </c>
      <c r="F373" s="284">
        <f t="shared" ca="1" si="10"/>
        <v>0.9030659639264067</v>
      </c>
      <c r="G373" s="74">
        <v>40.448125623926252</v>
      </c>
      <c r="H373" s="74">
        <f t="shared" si="11"/>
        <v>4.6274719406270037E-2</v>
      </c>
    </row>
    <row r="374" spans="5:8" ht="15.6">
      <c r="E374" s="279" t="s">
        <v>700</v>
      </c>
      <c r="F374" s="284">
        <f t="shared" ca="1" si="10"/>
        <v>5.7522239695815269E-2</v>
      </c>
      <c r="G374" s="74">
        <v>37.07596077227079</v>
      </c>
      <c r="H374" s="74">
        <f t="shared" si="11"/>
        <v>3.4184395710617324</v>
      </c>
    </row>
    <row r="375" spans="5:8" ht="15.6">
      <c r="E375" s="279" t="s">
        <v>701</v>
      </c>
      <c r="F375" s="284">
        <f t="shared" ca="1" si="10"/>
        <v>0.64191839957829311</v>
      </c>
      <c r="G375" s="74">
        <v>35.867230552924795</v>
      </c>
      <c r="H375" s="74">
        <f t="shared" si="11"/>
        <v>4.6271697904077271</v>
      </c>
    </row>
    <row r="376" spans="5:8" ht="15.6">
      <c r="E376" s="279" t="s">
        <v>702</v>
      </c>
      <c r="F376" s="284">
        <f t="shared" ca="1" si="10"/>
        <v>0.88005012099434754</v>
      </c>
      <c r="G376" s="74">
        <v>43.941204379225468</v>
      </c>
      <c r="H376" s="74">
        <f t="shared" si="11"/>
        <v>-3.4468040358929457</v>
      </c>
    </row>
    <row r="377" spans="5:8" ht="15.6">
      <c r="E377" s="279" t="s">
        <v>703</v>
      </c>
      <c r="F377" s="284">
        <f t="shared" ca="1" si="10"/>
        <v>0.37835825710847526</v>
      </c>
      <c r="G377" s="74">
        <v>39.09503065329725</v>
      </c>
      <c r="H377" s="74">
        <f t="shared" si="11"/>
        <v>1.3993696900352717</v>
      </c>
    </row>
    <row r="378" spans="5:8" ht="15.6">
      <c r="E378" s="279" t="s">
        <v>704</v>
      </c>
      <c r="F378" s="284">
        <f t="shared" ca="1" si="10"/>
        <v>0.92395200260752708</v>
      </c>
      <c r="G378" s="74">
        <v>42.26393995351463</v>
      </c>
      <c r="H378" s="74">
        <f t="shared" si="11"/>
        <v>-1.7695396101821075</v>
      </c>
    </row>
    <row r="379" spans="5:8" ht="15.6">
      <c r="E379" s="279" t="s">
        <v>705</v>
      </c>
      <c r="F379" s="284">
        <f t="shared" ca="1" si="10"/>
        <v>0.87660389422202245</v>
      </c>
      <c r="G379" s="74">
        <v>38.107555200753076</v>
      </c>
      <c r="H379" s="74">
        <f t="shared" si="11"/>
        <v>2.3868451425794461</v>
      </c>
    </row>
    <row r="380" spans="5:8" ht="15.6">
      <c r="E380" s="279" t="s">
        <v>706</v>
      </c>
      <c r="F380" s="284">
        <f t="shared" ca="1" si="10"/>
        <v>0.32798345550026475</v>
      </c>
      <c r="G380" s="74">
        <v>35.572514208393272</v>
      </c>
      <c r="H380" s="74">
        <f t="shared" si="11"/>
        <v>4.9218861349392498</v>
      </c>
    </row>
    <row r="381" spans="5:8" ht="15.6">
      <c r="E381" s="279" t="s">
        <v>707</v>
      </c>
      <c r="F381" s="284">
        <f t="shared" ca="1" si="10"/>
        <v>0.42911520480154619</v>
      </c>
      <c r="G381" s="74">
        <v>39.74968551224557</v>
      </c>
      <c r="H381" s="74">
        <f t="shared" si="11"/>
        <v>0.74471483108695224</v>
      </c>
    </row>
    <row r="382" spans="5:8" ht="15.6">
      <c r="E382" s="279" t="s">
        <v>708</v>
      </c>
      <c r="F382" s="284">
        <f t="shared" ca="1" si="10"/>
        <v>0.8779755896798217</v>
      </c>
      <c r="G382" s="74">
        <v>39.413423864915075</v>
      </c>
      <c r="H382" s="74">
        <f t="shared" si="11"/>
        <v>1.0809764784174476</v>
      </c>
    </row>
    <row r="383" spans="5:8" ht="15.6">
      <c r="E383" s="279" t="s">
        <v>709</v>
      </c>
      <c r="F383" s="284">
        <f t="shared" ca="1" si="10"/>
        <v>0.38514698231751565</v>
      </c>
      <c r="G383" s="74">
        <v>39.016036344837431</v>
      </c>
      <c r="H383" s="74">
        <f t="shared" si="11"/>
        <v>1.4783639984950909</v>
      </c>
    </row>
    <row r="384" spans="5:8" ht="15.6">
      <c r="E384" s="279" t="s">
        <v>710</v>
      </c>
      <c r="F384" s="284">
        <f t="shared" ca="1" si="10"/>
        <v>0.33525475083697742</v>
      </c>
      <c r="G384" s="74">
        <v>39.41712235106408</v>
      </c>
      <c r="H384" s="74">
        <f t="shared" si="11"/>
        <v>1.0772779922684421</v>
      </c>
    </row>
    <row r="385" spans="5:8" ht="15.6">
      <c r="E385" s="279" t="s">
        <v>711</v>
      </c>
      <c r="F385" s="284">
        <f t="shared" ca="1" si="10"/>
        <v>0.79415463526032315</v>
      </c>
      <c r="G385" s="74">
        <v>42.06602943004512</v>
      </c>
      <c r="H385" s="74">
        <f t="shared" si="11"/>
        <v>-1.5716290867125977</v>
      </c>
    </row>
    <row r="386" spans="5:8" ht="15.6">
      <c r="E386" s="279" t="s">
        <v>712</v>
      </c>
      <c r="F386" s="284">
        <f t="shared" ca="1" si="10"/>
        <v>0.68293040754605328</v>
      </c>
      <c r="G386" s="74">
        <v>39.281238799312568</v>
      </c>
      <c r="H386" s="74">
        <f t="shared" si="11"/>
        <v>1.2131615440199539</v>
      </c>
    </row>
    <row r="387" spans="5:8" ht="15.6">
      <c r="E387" s="279" t="s">
        <v>713</v>
      </c>
      <c r="F387" s="284">
        <f t="shared" ca="1" si="10"/>
        <v>0.43438783986109619</v>
      </c>
      <c r="G387" s="74">
        <v>40.037505348448185</v>
      </c>
      <c r="H387" s="74">
        <f t="shared" si="11"/>
        <v>0.45689499488433682</v>
      </c>
    </row>
    <row r="388" spans="5:8" ht="15.6">
      <c r="E388" s="279" t="s">
        <v>714</v>
      </c>
      <c r="F388" s="284">
        <f t="shared" ca="1" si="10"/>
        <v>0.36400928773838248</v>
      </c>
      <c r="G388" s="74">
        <v>38.122942520643406</v>
      </c>
      <c r="H388" s="74">
        <f t="shared" si="11"/>
        <v>2.3714578226891163</v>
      </c>
    </row>
    <row r="389" spans="5:8" ht="15.6">
      <c r="E389" s="279" t="s">
        <v>715</v>
      </c>
      <c r="F389" s="284">
        <f t="shared" ca="1" si="10"/>
        <v>2.9909356892311889E-2</v>
      </c>
      <c r="G389" s="74">
        <v>36.9449937214575</v>
      </c>
      <c r="H389" s="74">
        <f t="shared" si="11"/>
        <v>3.549406621875022</v>
      </c>
    </row>
    <row r="390" spans="5:8" ht="15.6">
      <c r="E390" s="279" t="s">
        <v>716</v>
      </c>
      <c r="F390" s="284">
        <f t="shared" ca="1" si="10"/>
        <v>6.2069987910070124E-2</v>
      </c>
      <c r="G390" s="74">
        <v>40.065433971217338</v>
      </c>
      <c r="H390" s="74">
        <f t="shared" si="11"/>
        <v>0.42896637211518396</v>
      </c>
    </row>
    <row r="391" spans="5:8" ht="15.6">
      <c r="E391" s="279" t="s">
        <v>717</v>
      </c>
      <c r="F391" s="284">
        <f t="shared" ca="1" si="10"/>
        <v>0.4789508956108377</v>
      </c>
      <c r="G391" s="74">
        <v>37.441511171031379</v>
      </c>
      <c r="H391" s="74">
        <f t="shared" si="11"/>
        <v>3.0528891723011427</v>
      </c>
    </row>
    <row r="392" spans="5:8" ht="15.6">
      <c r="E392" s="279" t="s">
        <v>718</v>
      </c>
      <c r="F392" s="284">
        <f t="shared" ca="1" si="10"/>
        <v>0.51630807946156232</v>
      </c>
      <c r="G392" s="74">
        <v>37.199587912245427</v>
      </c>
      <c r="H392" s="74">
        <f t="shared" si="11"/>
        <v>3.2948124310870952</v>
      </c>
    </row>
    <row r="393" spans="5:8" ht="15.6">
      <c r="E393" s="279" t="s">
        <v>719</v>
      </c>
      <c r="F393" s="284">
        <f t="shared" ca="1" si="10"/>
        <v>0.5064657507920538</v>
      </c>
      <c r="G393" s="74">
        <v>38.904254859585954</v>
      </c>
      <c r="H393" s="74">
        <f t="shared" si="11"/>
        <v>1.5901454837465678</v>
      </c>
    </row>
    <row r="394" spans="5:8" ht="15.6">
      <c r="E394" s="279" t="s">
        <v>720</v>
      </c>
      <c r="F394" s="284">
        <f t="shared" ca="1" si="10"/>
        <v>0.63262648401297195</v>
      </c>
      <c r="G394" s="74">
        <v>39.297311967773076</v>
      </c>
      <c r="H394" s="74">
        <f t="shared" si="11"/>
        <v>1.1970883755594457</v>
      </c>
    </row>
    <row r="395" spans="5:8" ht="15.6">
      <c r="E395" s="279" t="s">
        <v>721</v>
      </c>
      <c r="F395" s="284">
        <f t="shared" ca="1" si="10"/>
        <v>0.14044543477911564</v>
      </c>
      <c r="G395" s="74">
        <v>39.712751421370257</v>
      </c>
      <c r="H395" s="74">
        <f t="shared" si="11"/>
        <v>0.78164892196226532</v>
      </c>
    </row>
    <row r="396" spans="5:8" ht="15.6">
      <c r="E396" s="279" t="s">
        <v>722</v>
      </c>
      <c r="F396" s="284">
        <f t="shared" ref="F396:F459" ca="1" si="12">RAND()</f>
        <v>0.73851796879467102</v>
      </c>
      <c r="G396" s="74">
        <v>41.404785158227419</v>
      </c>
      <c r="H396" s="74">
        <f t="shared" ref="H396:H459" si="13">$D$2-G396</f>
        <v>-0.91038481489489698</v>
      </c>
    </row>
    <row r="397" spans="5:8" ht="15.6">
      <c r="E397" s="279" t="s">
        <v>723</v>
      </c>
      <c r="F397" s="284">
        <f t="shared" ca="1" si="12"/>
        <v>0.67470852293417916</v>
      </c>
      <c r="G397" s="74">
        <v>41.68487597044394</v>
      </c>
      <c r="H397" s="74">
        <f t="shared" si="13"/>
        <v>-1.1904756271114181</v>
      </c>
    </row>
    <row r="398" spans="5:8" ht="15.6">
      <c r="E398" s="279" t="s">
        <v>724</v>
      </c>
      <c r="F398" s="284">
        <f t="shared" ca="1" si="12"/>
        <v>0.3324562522934319</v>
      </c>
      <c r="G398" s="74">
        <v>39.836727729682984</v>
      </c>
      <c r="H398" s="74">
        <f t="shared" si="13"/>
        <v>0.65767261364953811</v>
      </c>
    </row>
    <row r="399" spans="5:8" ht="15.6">
      <c r="E399" s="279" t="s">
        <v>725</v>
      </c>
      <c r="F399" s="284">
        <f t="shared" ca="1" si="12"/>
        <v>0.19543066804644216</v>
      </c>
      <c r="G399" s="74">
        <v>40.224658298728862</v>
      </c>
      <c r="H399" s="74">
        <f t="shared" si="13"/>
        <v>0.26974204460366025</v>
      </c>
    </row>
    <row r="400" spans="5:8" ht="15.6">
      <c r="E400" s="279" t="s">
        <v>726</v>
      </c>
      <c r="F400" s="284">
        <f t="shared" ca="1" si="12"/>
        <v>2.4998198845998965E-2</v>
      </c>
      <c r="G400" s="74">
        <v>35.905121327204107</v>
      </c>
      <c r="H400" s="74">
        <f t="shared" si="13"/>
        <v>4.5892790161284154</v>
      </c>
    </row>
    <row r="401" spans="5:8" ht="15.6">
      <c r="E401" s="279" t="s">
        <v>727</v>
      </c>
      <c r="F401" s="284">
        <f t="shared" ca="1" si="12"/>
        <v>0.1561225232730048</v>
      </c>
      <c r="G401" s="74">
        <v>38.109286060351906</v>
      </c>
      <c r="H401" s="74">
        <f t="shared" si="13"/>
        <v>2.3851142829806165</v>
      </c>
    </row>
    <row r="402" spans="5:8" ht="15.6">
      <c r="E402" s="279" t="s">
        <v>728</v>
      </c>
      <c r="F402" s="284">
        <f t="shared" ca="1" si="12"/>
        <v>0.10699883971679602</v>
      </c>
      <c r="G402" s="74">
        <v>38.116754608314537</v>
      </c>
      <c r="H402" s="74">
        <f t="shared" si="13"/>
        <v>2.3776457350179854</v>
      </c>
    </row>
    <row r="403" spans="5:8" ht="15.6">
      <c r="E403" s="279" t="s">
        <v>729</v>
      </c>
      <c r="F403" s="284">
        <f t="shared" ca="1" si="12"/>
        <v>0.35668776558119342</v>
      </c>
      <c r="G403" s="74">
        <v>41.420386011993592</v>
      </c>
      <c r="H403" s="74">
        <f t="shared" si="13"/>
        <v>-0.92598566866107035</v>
      </c>
    </row>
    <row r="404" spans="5:8" ht="15.6">
      <c r="E404" s="279" t="s">
        <v>730</v>
      </c>
      <c r="F404" s="284">
        <f t="shared" ca="1" si="12"/>
        <v>0.28641907482747153</v>
      </c>
      <c r="G404" s="74">
        <v>39.242673501955416</v>
      </c>
      <c r="H404" s="74">
        <f t="shared" si="13"/>
        <v>1.2517268413771063</v>
      </c>
    </row>
    <row r="405" spans="5:8" ht="15.6">
      <c r="E405" s="279" t="s">
        <v>731</v>
      </c>
      <c r="F405" s="284">
        <f t="shared" ca="1" si="12"/>
        <v>0.54618671285497522</v>
      </c>
      <c r="G405" s="74">
        <v>37.344952518107455</v>
      </c>
      <c r="H405" s="74">
        <f t="shared" si="13"/>
        <v>3.1494478252250673</v>
      </c>
    </row>
    <row r="406" spans="5:8" ht="15.6">
      <c r="E406" s="279" t="s">
        <v>732</v>
      </c>
      <c r="F406" s="284">
        <f t="shared" ca="1" si="12"/>
        <v>0.95596870727266636</v>
      </c>
      <c r="G406" s="74">
        <v>37.968075575292751</v>
      </c>
      <c r="H406" s="74">
        <f t="shared" si="13"/>
        <v>2.5263247680397711</v>
      </c>
    </row>
    <row r="407" spans="5:8" ht="15.6">
      <c r="E407" s="279" t="s">
        <v>733</v>
      </c>
      <c r="F407" s="284">
        <f t="shared" ca="1" si="12"/>
        <v>7.8704784677964379E-2</v>
      </c>
      <c r="G407" s="74">
        <v>37.721912614932364</v>
      </c>
      <c r="H407" s="74">
        <f t="shared" si="13"/>
        <v>2.7724877284001579</v>
      </c>
    </row>
    <row r="408" spans="5:8" ht="15.6">
      <c r="E408" s="279" t="s">
        <v>734</v>
      </c>
      <c r="F408" s="284">
        <f t="shared" ca="1" si="12"/>
        <v>0.70988342706693297</v>
      </c>
      <c r="G408" s="74">
        <v>38.157493132130305</v>
      </c>
      <c r="H408" s="74">
        <f t="shared" si="13"/>
        <v>2.3369072112022167</v>
      </c>
    </row>
    <row r="409" spans="5:8" ht="15.6">
      <c r="E409" s="279" t="s">
        <v>735</v>
      </c>
      <c r="F409" s="284">
        <f t="shared" ca="1" si="12"/>
        <v>0.70999776237462175</v>
      </c>
      <c r="G409" s="74">
        <v>36.578871154505954</v>
      </c>
      <c r="H409" s="74">
        <f t="shared" si="13"/>
        <v>3.915529188826568</v>
      </c>
    </row>
    <row r="410" spans="5:8" ht="15.6">
      <c r="E410" s="279" t="s">
        <v>736</v>
      </c>
      <c r="F410" s="284">
        <f t="shared" ca="1" si="12"/>
        <v>0.3372955204939716</v>
      </c>
      <c r="G410" s="74">
        <v>41.736838613183288</v>
      </c>
      <c r="H410" s="74">
        <f t="shared" si="13"/>
        <v>-1.2424382698507657</v>
      </c>
    </row>
    <row r="411" spans="5:8" ht="15.6">
      <c r="E411" s="279" t="s">
        <v>737</v>
      </c>
      <c r="F411" s="284">
        <f t="shared" ca="1" si="12"/>
        <v>0.41962184622277399</v>
      </c>
      <c r="G411" s="74">
        <v>38.448489625288467</v>
      </c>
      <c r="H411" s="74">
        <f t="shared" si="13"/>
        <v>2.0459107180440554</v>
      </c>
    </row>
    <row r="412" spans="5:8" ht="15.6">
      <c r="E412" s="279" t="s">
        <v>738</v>
      </c>
      <c r="F412" s="284">
        <f t="shared" ca="1" si="12"/>
        <v>0.32871333087625598</v>
      </c>
      <c r="G412" s="74">
        <v>44.699722370130253</v>
      </c>
      <c r="H412" s="74">
        <f t="shared" si="13"/>
        <v>-4.2053220267977309</v>
      </c>
    </row>
    <row r="413" spans="5:8" ht="15.6">
      <c r="E413" s="279" t="s">
        <v>739</v>
      </c>
      <c r="F413" s="284">
        <f t="shared" ca="1" si="12"/>
        <v>0.75880655338978165</v>
      </c>
      <c r="G413" s="74">
        <v>40.630945329169251</v>
      </c>
      <c r="H413" s="74">
        <f t="shared" si="13"/>
        <v>-0.13654498583672847</v>
      </c>
    </row>
    <row r="414" spans="5:8" ht="15.6">
      <c r="E414" s="279" t="s">
        <v>740</v>
      </c>
      <c r="F414" s="284">
        <f t="shared" ca="1" si="12"/>
        <v>0.93433275047837538</v>
      </c>
      <c r="G414" s="74">
        <v>37.3873547837117</v>
      </c>
      <c r="H414" s="74">
        <f t="shared" si="13"/>
        <v>3.107045559620822</v>
      </c>
    </row>
    <row r="415" spans="5:8" ht="15.6">
      <c r="E415" s="279" t="s">
        <v>741</v>
      </c>
      <c r="F415" s="284">
        <f t="shared" ca="1" si="12"/>
        <v>0.8878883922553561</v>
      </c>
      <c r="G415" s="74">
        <v>38.577978185010998</v>
      </c>
      <c r="H415" s="74">
        <f t="shared" si="13"/>
        <v>1.9164221583215237</v>
      </c>
    </row>
    <row r="416" spans="5:8" ht="15.6">
      <c r="E416" s="279" t="s">
        <v>742</v>
      </c>
      <c r="F416" s="284">
        <f t="shared" ca="1" si="12"/>
        <v>0.77681732286436045</v>
      </c>
      <c r="G416" s="74">
        <v>37.922068360685756</v>
      </c>
      <c r="H416" s="74">
        <f t="shared" si="13"/>
        <v>2.5723319826467659</v>
      </c>
    </row>
    <row r="417" spans="5:8" ht="15.6">
      <c r="E417" s="279" t="s">
        <v>743</v>
      </c>
      <c r="F417" s="284">
        <f t="shared" ca="1" si="12"/>
        <v>0.47019666485943867</v>
      </c>
      <c r="G417" s="74">
        <v>35.351459589195954</v>
      </c>
      <c r="H417" s="74">
        <f t="shared" si="13"/>
        <v>5.1429407541365677</v>
      </c>
    </row>
    <row r="418" spans="5:8" ht="15.6">
      <c r="E418" s="279" t="s">
        <v>744</v>
      </c>
      <c r="F418" s="284">
        <f t="shared" ca="1" si="12"/>
        <v>0.35837673036213324</v>
      </c>
      <c r="G418" s="74">
        <v>37.580382300987466</v>
      </c>
      <c r="H418" s="74">
        <f t="shared" si="13"/>
        <v>2.9140180423450559</v>
      </c>
    </row>
    <row r="419" spans="5:8" ht="15.6">
      <c r="E419" s="279" t="s">
        <v>745</v>
      </c>
      <c r="F419" s="284">
        <f t="shared" ca="1" si="12"/>
        <v>4.5564361012335297E-2</v>
      </c>
      <c r="G419" s="74">
        <v>41.612697446327097</v>
      </c>
      <c r="H419" s="74">
        <f t="shared" si="13"/>
        <v>-1.1182971029945747</v>
      </c>
    </row>
    <row r="420" spans="5:8" ht="15.6">
      <c r="E420" s="279" t="s">
        <v>746</v>
      </c>
      <c r="F420" s="284">
        <f t="shared" ca="1" si="12"/>
        <v>0.11806863584779936</v>
      </c>
      <c r="G420" s="74">
        <v>40.470713763676024</v>
      </c>
      <c r="H420" s="74">
        <f t="shared" si="13"/>
        <v>2.3686579656498452E-2</v>
      </c>
    </row>
    <row r="421" spans="5:8" ht="15.6">
      <c r="E421" s="279" t="s">
        <v>747</v>
      </c>
      <c r="F421" s="284">
        <f t="shared" ca="1" si="12"/>
        <v>0.7223517384917717</v>
      </c>
      <c r="G421" s="74">
        <v>37.828043476968055</v>
      </c>
      <c r="H421" s="74">
        <f t="shared" si="13"/>
        <v>2.6663568663644668</v>
      </c>
    </row>
    <row r="422" spans="5:8" ht="15.6">
      <c r="E422" s="279" t="s">
        <v>748</v>
      </c>
      <c r="F422" s="284">
        <f t="shared" ca="1" si="12"/>
        <v>0.1518888381473098</v>
      </c>
      <c r="G422" s="74">
        <v>36.119790382917472</v>
      </c>
      <c r="H422" s="74">
        <f t="shared" si="13"/>
        <v>4.3746099604150501</v>
      </c>
    </row>
    <row r="423" spans="5:8" ht="15.6">
      <c r="E423" s="279" t="s">
        <v>749</v>
      </c>
      <c r="F423" s="284">
        <f t="shared" ca="1" si="12"/>
        <v>0.63722320671974697</v>
      </c>
      <c r="G423" s="74">
        <v>39.07865548959137</v>
      </c>
      <c r="H423" s="74">
        <f t="shared" si="13"/>
        <v>1.4157448537411526</v>
      </c>
    </row>
    <row r="424" spans="5:8" ht="15.6">
      <c r="E424" s="279" t="s">
        <v>750</v>
      </c>
      <c r="F424" s="284">
        <f t="shared" ca="1" si="12"/>
        <v>0.94799675758205859</v>
      </c>
      <c r="G424" s="74">
        <v>35.673923836592579</v>
      </c>
      <c r="H424" s="74">
        <f t="shared" si="13"/>
        <v>4.8204765067399435</v>
      </c>
    </row>
    <row r="425" spans="5:8" ht="15.6">
      <c r="E425" s="279" t="s">
        <v>751</v>
      </c>
      <c r="F425" s="284">
        <f t="shared" ca="1" si="12"/>
        <v>0.44484416512586566</v>
      </c>
      <c r="G425" s="74">
        <v>40.303855517342974</v>
      </c>
      <c r="H425" s="74">
        <f t="shared" si="13"/>
        <v>0.19054482598954792</v>
      </c>
    </row>
    <row r="426" spans="5:8" ht="15.6">
      <c r="E426" s="279" t="s">
        <v>752</v>
      </c>
      <c r="F426" s="284">
        <f t="shared" ca="1" si="12"/>
        <v>0.51962697828250937</v>
      </c>
      <c r="G426" s="74">
        <v>39.318765545472594</v>
      </c>
      <c r="H426" s="74">
        <f t="shared" si="13"/>
        <v>1.175634797859928</v>
      </c>
    </row>
    <row r="427" spans="5:8" ht="15.6">
      <c r="E427" s="279" t="s">
        <v>753</v>
      </c>
      <c r="F427" s="284">
        <f t="shared" ca="1" si="12"/>
        <v>1.3629824289904446E-2</v>
      </c>
      <c r="G427" s="74">
        <v>42.287894055029753</v>
      </c>
      <c r="H427" s="74">
        <f t="shared" si="13"/>
        <v>-1.7934937116972307</v>
      </c>
    </row>
    <row r="428" spans="5:8" ht="15.6">
      <c r="E428" s="279" t="s">
        <v>754</v>
      </c>
      <c r="F428" s="284">
        <f t="shared" ca="1" si="12"/>
        <v>0.54502821966180981</v>
      </c>
      <c r="G428" s="74">
        <v>39.466755708074231</v>
      </c>
      <c r="H428" s="74">
        <f t="shared" si="13"/>
        <v>1.0276446352582909</v>
      </c>
    </row>
    <row r="429" spans="5:8" ht="15.6">
      <c r="E429" s="279" t="s">
        <v>755</v>
      </c>
      <c r="F429" s="284">
        <f t="shared" ca="1" si="12"/>
        <v>0.77867238430968722</v>
      </c>
      <c r="G429" s="74">
        <v>41.298585740256293</v>
      </c>
      <c r="H429" s="74">
        <f t="shared" si="13"/>
        <v>-0.80418539692377067</v>
      </c>
    </row>
    <row r="430" spans="5:8" ht="15.6">
      <c r="E430" s="279" t="s">
        <v>756</v>
      </c>
      <c r="F430" s="284">
        <f t="shared" ca="1" si="12"/>
        <v>0.42407103834774174</v>
      </c>
      <c r="G430" s="74">
        <v>39.832116087274734</v>
      </c>
      <c r="H430" s="74">
        <f t="shared" si="13"/>
        <v>0.66228425605778796</v>
      </c>
    </row>
    <row r="431" spans="5:8" ht="15.6">
      <c r="E431" s="279" t="s">
        <v>757</v>
      </c>
      <c r="F431" s="284">
        <f t="shared" ca="1" si="12"/>
        <v>0.7158170904374882</v>
      </c>
      <c r="G431" s="74">
        <v>39.221903767421338</v>
      </c>
      <c r="H431" s="74">
        <f t="shared" si="13"/>
        <v>1.2724965759111839</v>
      </c>
    </row>
    <row r="432" spans="5:8" ht="15.6">
      <c r="E432" s="279" t="s">
        <v>758</v>
      </c>
      <c r="F432" s="284">
        <f t="shared" ca="1" si="12"/>
        <v>0.52805395641764985</v>
      </c>
      <c r="G432" s="74">
        <v>42.971643471351634</v>
      </c>
      <c r="H432" s="74">
        <f t="shared" si="13"/>
        <v>-2.4772431280191114</v>
      </c>
    </row>
    <row r="433" spans="5:8" ht="15.6">
      <c r="E433" s="279" t="s">
        <v>759</v>
      </c>
      <c r="F433" s="284">
        <f t="shared" ca="1" si="12"/>
        <v>0.59543279994587928</v>
      </c>
      <c r="G433" s="74">
        <v>38.174254406903636</v>
      </c>
      <c r="H433" s="74">
        <f t="shared" si="13"/>
        <v>2.3201459364288866</v>
      </c>
    </row>
    <row r="434" spans="5:8" ht="15.6">
      <c r="E434" s="279" t="s">
        <v>760</v>
      </c>
      <c r="F434" s="284">
        <f t="shared" ca="1" si="12"/>
        <v>0.99859320141571628</v>
      </c>
      <c r="G434" s="74">
        <v>39.718710033230678</v>
      </c>
      <c r="H434" s="74">
        <f t="shared" si="13"/>
        <v>0.77569031010184375</v>
      </c>
    </row>
    <row r="435" spans="5:8" ht="15.6">
      <c r="E435" s="279" t="s">
        <v>761</v>
      </c>
      <c r="F435" s="284">
        <f t="shared" ca="1" si="12"/>
        <v>0.66285219023017428</v>
      </c>
      <c r="G435" s="74">
        <v>36.774782771775712</v>
      </c>
      <c r="H435" s="74">
        <f t="shared" si="13"/>
        <v>3.7196175715568103</v>
      </c>
    </row>
    <row r="436" spans="5:8" ht="15.6">
      <c r="E436" s="279" t="s">
        <v>762</v>
      </c>
      <c r="F436" s="284">
        <f t="shared" ca="1" si="12"/>
        <v>0.24265019912121633</v>
      </c>
      <c r="G436" s="74">
        <v>42.240887460608015</v>
      </c>
      <c r="H436" s="74">
        <f t="shared" si="13"/>
        <v>-1.7464871172754926</v>
      </c>
    </row>
    <row r="437" spans="5:8" ht="15.6">
      <c r="E437" s="279" t="s">
        <v>763</v>
      </c>
      <c r="F437" s="284">
        <f t="shared" ca="1" si="12"/>
        <v>1.4480321156717935E-2</v>
      </c>
      <c r="G437" s="74">
        <v>39.459542063665644</v>
      </c>
      <c r="H437" s="74">
        <f t="shared" si="13"/>
        <v>1.0348582796668779</v>
      </c>
    </row>
    <row r="438" spans="5:8" ht="15.6">
      <c r="E438" s="279" t="s">
        <v>764</v>
      </c>
      <c r="F438" s="284">
        <f t="shared" ca="1" si="12"/>
        <v>0.9301575786400641</v>
      </c>
      <c r="G438" s="74">
        <v>41.654025377093937</v>
      </c>
      <c r="H438" s="74">
        <f t="shared" si="13"/>
        <v>-1.1596250337614151</v>
      </c>
    </row>
    <row r="439" spans="5:8" ht="15.6">
      <c r="E439" s="279" t="s">
        <v>765</v>
      </c>
      <c r="F439" s="284">
        <f t="shared" ca="1" si="12"/>
        <v>0.87272492698579507</v>
      </c>
      <c r="G439" s="74">
        <v>40.642937577072729</v>
      </c>
      <c r="H439" s="74">
        <f t="shared" si="13"/>
        <v>-0.14853723374020689</v>
      </c>
    </row>
    <row r="440" spans="5:8" ht="15.6">
      <c r="E440" s="279" t="s">
        <v>766</v>
      </c>
      <c r="F440" s="284">
        <f t="shared" ca="1" si="12"/>
        <v>4.4750437747487215E-3</v>
      </c>
      <c r="G440" s="74">
        <v>40.644658205745046</v>
      </c>
      <c r="H440" s="74">
        <f t="shared" si="13"/>
        <v>-0.15025786241252348</v>
      </c>
    </row>
    <row r="441" spans="5:8" ht="15.6">
      <c r="E441" s="279" t="s">
        <v>767</v>
      </c>
      <c r="F441" s="284">
        <f t="shared" ca="1" si="12"/>
        <v>0.5445831346503277</v>
      </c>
      <c r="G441" s="74">
        <v>38.698282159440936</v>
      </c>
      <c r="H441" s="74">
        <f t="shared" si="13"/>
        <v>1.7961181838915863</v>
      </c>
    </row>
    <row r="442" spans="5:8" ht="15.6">
      <c r="E442" s="279" t="s">
        <v>768</v>
      </c>
      <c r="F442" s="284">
        <f t="shared" ca="1" si="12"/>
        <v>0.94682457773362871</v>
      </c>
      <c r="G442" s="74">
        <v>41.115568659368364</v>
      </c>
      <c r="H442" s="74">
        <f t="shared" si="13"/>
        <v>-0.62116831603584188</v>
      </c>
    </row>
    <row r="443" spans="5:8" ht="15.6">
      <c r="E443" s="279" t="s">
        <v>769</v>
      </c>
      <c r="F443" s="284">
        <f t="shared" ca="1" si="12"/>
        <v>0.39453768709642767</v>
      </c>
      <c r="G443" s="74">
        <v>36.563361145173964</v>
      </c>
      <c r="H443" s="74">
        <f t="shared" si="13"/>
        <v>3.9310391981585582</v>
      </c>
    </row>
    <row r="444" spans="5:8" ht="15.6">
      <c r="E444" s="279" t="s">
        <v>770</v>
      </c>
      <c r="F444" s="284">
        <f t="shared" ca="1" si="12"/>
        <v>0.25022491812275804</v>
      </c>
      <c r="G444" s="74">
        <v>38.001572327947628</v>
      </c>
      <c r="H444" s="74">
        <f t="shared" si="13"/>
        <v>2.4928280153848945</v>
      </c>
    </row>
    <row r="445" spans="5:8" ht="15.6">
      <c r="E445" s="279" t="s">
        <v>771</v>
      </c>
      <c r="F445" s="284">
        <f t="shared" ca="1" si="12"/>
        <v>0.92369196375947649</v>
      </c>
      <c r="G445" s="74">
        <v>40.857956074020798</v>
      </c>
      <c r="H445" s="74">
        <f t="shared" si="13"/>
        <v>-0.36355573068827596</v>
      </c>
    </row>
    <row r="446" spans="5:8" ht="15.6">
      <c r="E446" s="279" t="s">
        <v>772</v>
      </c>
      <c r="F446" s="284">
        <f t="shared" ca="1" si="12"/>
        <v>0.36966381014925909</v>
      </c>
      <c r="G446" s="74">
        <v>40.923598827637363</v>
      </c>
      <c r="H446" s="74">
        <f t="shared" si="13"/>
        <v>-0.42919848430484109</v>
      </c>
    </row>
    <row r="447" spans="5:8" ht="15.6">
      <c r="E447" s="279" t="s">
        <v>773</v>
      </c>
      <c r="F447" s="284">
        <f t="shared" ca="1" si="12"/>
        <v>0.4657251783378441</v>
      </c>
      <c r="G447" s="74">
        <v>37.995333108613124</v>
      </c>
      <c r="H447" s="74">
        <f t="shared" si="13"/>
        <v>2.4990672347193978</v>
      </c>
    </row>
    <row r="448" spans="5:8" ht="15.6">
      <c r="E448" s="279" t="s">
        <v>774</v>
      </c>
      <c r="F448" s="284">
        <f t="shared" ca="1" si="12"/>
        <v>0.32625676178544993</v>
      </c>
      <c r="G448" s="74">
        <v>40.891190263278922</v>
      </c>
      <c r="H448" s="74">
        <f t="shared" si="13"/>
        <v>-0.3967899199464</v>
      </c>
    </row>
    <row r="449" spans="5:8" ht="15.6">
      <c r="E449" s="279" t="s">
        <v>775</v>
      </c>
      <c r="F449" s="284">
        <f t="shared" ca="1" si="12"/>
        <v>0.28179605520512718</v>
      </c>
      <c r="G449" s="74">
        <v>38.572434350292355</v>
      </c>
      <c r="H449" s="74">
        <f t="shared" si="13"/>
        <v>1.9219659930401676</v>
      </c>
    </row>
    <row r="450" spans="5:8" ht="15.6">
      <c r="E450" s="279" t="s">
        <v>776</v>
      </c>
      <c r="F450" s="284">
        <f t="shared" ca="1" si="12"/>
        <v>0.47459350083988572</v>
      </c>
      <c r="G450" s="74">
        <v>36.493195253158781</v>
      </c>
      <c r="H450" s="74">
        <f t="shared" si="13"/>
        <v>4.001205090173741</v>
      </c>
    </row>
    <row r="451" spans="5:8" ht="15.6">
      <c r="E451" s="279" t="s">
        <v>777</v>
      </c>
      <c r="F451" s="284">
        <f t="shared" ca="1" si="12"/>
        <v>0.41107701825637188</v>
      </c>
      <c r="G451" s="74">
        <v>40.07124672417352</v>
      </c>
      <c r="H451" s="74">
        <f t="shared" si="13"/>
        <v>0.4231536191590024</v>
      </c>
    </row>
    <row r="452" spans="5:8" ht="15.6">
      <c r="E452" s="279" t="s">
        <v>778</v>
      </c>
      <c r="F452" s="284">
        <f t="shared" ca="1" si="12"/>
        <v>0.4725930202452614</v>
      </c>
      <c r="G452" s="74">
        <v>39.993395843518861</v>
      </c>
      <c r="H452" s="74">
        <f t="shared" si="13"/>
        <v>0.50100449981366069</v>
      </c>
    </row>
    <row r="453" spans="5:8" ht="15.6">
      <c r="E453" s="279" t="s">
        <v>779</v>
      </c>
      <c r="F453" s="284">
        <f t="shared" ca="1" si="12"/>
        <v>0.7604372425411311</v>
      </c>
      <c r="G453" s="74">
        <v>37.459972669429085</v>
      </c>
      <c r="H453" s="74">
        <f t="shared" si="13"/>
        <v>3.034427673903437</v>
      </c>
    </row>
    <row r="454" spans="5:8" ht="15.6">
      <c r="E454" s="279" t="s">
        <v>780</v>
      </c>
      <c r="F454" s="284">
        <f t="shared" ca="1" si="12"/>
        <v>0.15620933813355897</v>
      </c>
      <c r="G454" s="74">
        <v>45.210099501879583</v>
      </c>
      <c r="H454" s="74">
        <f t="shared" si="13"/>
        <v>-4.7156991585470607</v>
      </c>
    </row>
    <row r="455" spans="5:8" ht="15.6">
      <c r="E455" s="279" t="s">
        <v>781</v>
      </c>
      <c r="F455" s="284">
        <f t="shared" ca="1" si="12"/>
        <v>0.69875760041577017</v>
      </c>
      <c r="G455" s="74">
        <v>36.024562938115388</v>
      </c>
      <c r="H455" s="74">
        <f t="shared" si="13"/>
        <v>4.4698374052171346</v>
      </c>
    </row>
    <row r="456" spans="5:8" ht="15.6">
      <c r="E456" s="279" t="s">
        <v>782</v>
      </c>
      <c r="F456" s="284">
        <f t="shared" ca="1" si="12"/>
        <v>0.38545458334074423</v>
      </c>
      <c r="G456" s="74">
        <v>36.508334781623446</v>
      </c>
      <c r="H456" s="74">
        <f t="shared" si="13"/>
        <v>3.9860655617090757</v>
      </c>
    </row>
    <row r="457" spans="5:8" ht="15.6">
      <c r="E457" s="279" t="s">
        <v>783</v>
      </c>
      <c r="F457" s="284">
        <f t="shared" ca="1" si="12"/>
        <v>0.11020330322913763</v>
      </c>
      <c r="G457" s="74">
        <v>36.767729147323159</v>
      </c>
      <c r="H457" s="74">
        <f t="shared" si="13"/>
        <v>3.726671196009363</v>
      </c>
    </row>
    <row r="458" spans="5:8" ht="15.6">
      <c r="E458" s="279" t="s">
        <v>784</v>
      </c>
      <c r="F458" s="284">
        <f t="shared" ca="1" si="12"/>
        <v>0.14408308691390792</v>
      </c>
      <c r="G458" s="74">
        <v>32.599530679318825</v>
      </c>
      <c r="H458" s="74">
        <f t="shared" si="13"/>
        <v>7.8948696640136973</v>
      </c>
    </row>
    <row r="459" spans="5:8" ht="15.6">
      <c r="E459" s="279" t="s">
        <v>785</v>
      </c>
      <c r="F459" s="284">
        <f t="shared" ca="1" si="12"/>
        <v>0.87165465499545813</v>
      </c>
      <c r="G459" s="74">
        <v>39.314696810211053</v>
      </c>
      <c r="H459" s="74">
        <f t="shared" si="13"/>
        <v>1.1797035331214687</v>
      </c>
    </row>
    <row r="460" spans="5:8" ht="15.6">
      <c r="E460" s="279" t="s">
        <v>786</v>
      </c>
      <c r="F460" s="284">
        <f t="shared" ref="F460:F523" ca="1" si="14">RAND()</f>
        <v>5.772178131338257E-2</v>
      </c>
      <c r="G460" s="74">
        <v>39.44497501771405</v>
      </c>
      <c r="H460" s="74">
        <f t="shared" ref="H460:H523" si="15">$D$2-G460</f>
        <v>1.049425325618472</v>
      </c>
    </row>
    <row r="461" spans="5:8" ht="15.6">
      <c r="E461" s="279" t="s">
        <v>787</v>
      </c>
      <c r="F461" s="284">
        <f t="shared" ca="1" si="14"/>
        <v>0.37918104161735189</v>
      </c>
      <c r="G461" s="74">
        <v>38.366496560093232</v>
      </c>
      <c r="H461" s="74">
        <f t="shared" si="15"/>
        <v>2.1279037832392902</v>
      </c>
    </row>
    <row r="462" spans="5:8" ht="15.6">
      <c r="E462" s="279" t="s">
        <v>788</v>
      </c>
      <c r="F462" s="284">
        <f t="shared" ca="1" si="14"/>
        <v>0.32897743035595861</v>
      </c>
      <c r="G462" s="74">
        <v>36.831464038968818</v>
      </c>
      <c r="H462" s="74">
        <f t="shared" si="15"/>
        <v>3.6629363043637042</v>
      </c>
    </row>
    <row r="463" spans="5:8" ht="15.6">
      <c r="E463" s="279" t="s">
        <v>789</v>
      </c>
      <c r="F463" s="284">
        <f t="shared" ca="1" si="14"/>
        <v>0.94365363541971736</v>
      </c>
      <c r="G463" s="74">
        <v>41.729041610124305</v>
      </c>
      <c r="H463" s="74">
        <f t="shared" si="15"/>
        <v>-1.2346412667917832</v>
      </c>
    </row>
    <row r="464" spans="5:8" ht="15.6">
      <c r="E464" s="279" t="s">
        <v>790</v>
      </c>
      <c r="F464" s="284">
        <f t="shared" ca="1" si="14"/>
        <v>0.78488532663075039</v>
      </c>
      <c r="G464" s="74">
        <v>39.109415364494218</v>
      </c>
      <c r="H464" s="74">
        <f t="shared" si="15"/>
        <v>1.384984978838304</v>
      </c>
    </row>
    <row r="465" spans="5:8" ht="15.6">
      <c r="E465" s="279" t="s">
        <v>791</v>
      </c>
      <c r="F465" s="284">
        <f t="shared" ca="1" si="14"/>
        <v>0.78935755316090306</v>
      </c>
      <c r="G465" s="74">
        <v>34.316756477078641</v>
      </c>
      <c r="H465" s="74">
        <f t="shared" si="15"/>
        <v>6.1776438662538808</v>
      </c>
    </row>
    <row r="466" spans="5:8" ht="15.6">
      <c r="E466" s="279" t="s">
        <v>792</v>
      </c>
      <c r="F466" s="284">
        <f t="shared" ca="1" si="14"/>
        <v>0.93249440988109777</v>
      </c>
      <c r="G466" s="74">
        <v>35.59476526416568</v>
      </c>
      <c r="H466" s="74">
        <f t="shared" si="15"/>
        <v>4.8996350791668419</v>
      </c>
    </row>
    <row r="467" spans="5:8" ht="15.6">
      <c r="E467" s="279" t="s">
        <v>793</v>
      </c>
      <c r="F467" s="284">
        <f t="shared" ca="1" si="14"/>
        <v>0.69954429193317913</v>
      </c>
      <c r="G467" s="74">
        <v>39.398629372278954</v>
      </c>
      <c r="H467" s="74">
        <f t="shared" si="15"/>
        <v>1.0957709710535681</v>
      </c>
    </row>
    <row r="468" spans="5:8" ht="15.6">
      <c r="E468" s="279" t="s">
        <v>794</v>
      </c>
      <c r="F468" s="284">
        <f t="shared" ca="1" si="14"/>
        <v>0.67199742904422621</v>
      </c>
      <c r="G468" s="74">
        <v>39.840745669235666</v>
      </c>
      <c r="H468" s="74">
        <f t="shared" si="15"/>
        <v>0.65365467409685607</v>
      </c>
    </row>
    <row r="469" spans="5:8" ht="15.6">
      <c r="E469" s="279" t="s">
        <v>795</v>
      </c>
      <c r="F469" s="284">
        <f t="shared" ca="1" si="14"/>
        <v>4.9407173737384014E-2</v>
      </c>
      <c r="G469" s="74">
        <v>42.898151917435065</v>
      </c>
      <c r="H469" s="74">
        <f t="shared" si="15"/>
        <v>-2.403751574102543</v>
      </c>
    </row>
    <row r="470" spans="5:8" ht="15.6">
      <c r="E470" s="279" t="s">
        <v>796</v>
      </c>
      <c r="F470" s="284">
        <f t="shared" ca="1" si="14"/>
        <v>0.44045586084167876</v>
      </c>
      <c r="G470" s="74">
        <v>40.426678480161272</v>
      </c>
      <c r="H470" s="74">
        <f t="shared" si="15"/>
        <v>6.7721863171250618E-2</v>
      </c>
    </row>
    <row r="471" spans="5:8" ht="15.6">
      <c r="E471" s="279" t="s">
        <v>797</v>
      </c>
      <c r="F471" s="284">
        <f t="shared" ca="1" si="14"/>
        <v>0.53406285153808353</v>
      </c>
      <c r="G471" s="74">
        <v>39.419515829888361</v>
      </c>
      <c r="H471" s="74">
        <f t="shared" si="15"/>
        <v>1.0748845134441609</v>
      </c>
    </row>
    <row r="472" spans="5:8" ht="15.6">
      <c r="E472" s="279" t="s">
        <v>798</v>
      </c>
      <c r="F472" s="284">
        <f t="shared" ca="1" si="14"/>
        <v>0.60014449494754352</v>
      </c>
      <c r="G472" s="74">
        <v>39.388211767380277</v>
      </c>
      <c r="H472" s="74">
        <f t="shared" si="15"/>
        <v>1.1061885759522454</v>
      </c>
    </row>
    <row r="473" spans="5:8" ht="15.6">
      <c r="E473" s="279" t="s">
        <v>799</v>
      </c>
      <c r="F473" s="284">
        <f t="shared" ca="1" si="14"/>
        <v>0.62006448478667586</v>
      </c>
      <c r="G473" s="74">
        <v>40.668587608377763</v>
      </c>
      <c r="H473" s="74">
        <f t="shared" si="15"/>
        <v>-0.17418726504524074</v>
      </c>
    </row>
    <row r="474" spans="5:8" ht="15.6">
      <c r="E474" s="279" t="s">
        <v>800</v>
      </c>
      <c r="F474" s="284">
        <f t="shared" ca="1" si="14"/>
        <v>0.71134843181532259</v>
      </c>
      <c r="G474" s="74">
        <v>38.677058419263567</v>
      </c>
      <c r="H474" s="74">
        <f t="shared" si="15"/>
        <v>1.8173419240689554</v>
      </c>
    </row>
    <row r="475" spans="5:8" ht="15.6">
      <c r="E475" s="279" t="s">
        <v>801</v>
      </c>
      <c r="F475" s="284">
        <f t="shared" ca="1" si="14"/>
        <v>0.57583510113860026</v>
      </c>
      <c r="G475" s="74">
        <v>41.495259716786911</v>
      </c>
      <c r="H475" s="74">
        <f t="shared" si="15"/>
        <v>-1.0008593734543894</v>
      </c>
    </row>
    <row r="476" spans="5:8" ht="15.6">
      <c r="E476" s="279" t="s">
        <v>802</v>
      </c>
      <c r="F476" s="284">
        <f t="shared" ca="1" si="14"/>
        <v>0.73860143023004221</v>
      </c>
      <c r="G476" s="74">
        <v>37.083133623315213</v>
      </c>
      <c r="H476" s="74">
        <f t="shared" si="15"/>
        <v>3.4112667200173092</v>
      </c>
    </row>
    <row r="477" spans="5:8" ht="15.6">
      <c r="E477" s="279" t="s">
        <v>803</v>
      </c>
      <c r="F477" s="284">
        <f t="shared" ca="1" si="14"/>
        <v>0.87569484902764461</v>
      </c>
      <c r="G477" s="74">
        <v>40.597740743881715</v>
      </c>
      <c r="H477" s="74">
        <f t="shared" si="15"/>
        <v>-0.10334040054919313</v>
      </c>
    </row>
    <row r="478" spans="5:8" ht="15.6">
      <c r="E478" s="279" t="s">
        <v>804</v>
      </c>
      <c r="F478" s="284">
        <f t="shared" ca="1" si="14"/>
        <v>0.47194675234430683</v>
      </c>
      <c r="G478" s="74">
        <v>37.142088673532356</v>
      </c>
      <c r="H478" s="74">
        <f t="shared" si="15"/>
        <v>3.3523116698001658</v>
      </c>
    </row>
    <row r="479" spans="5:8" ht="15.6">
      <c r="E479" s="279" t="s">
        <v>805</v>
      </c>
      <c r="F479" s="284">
        <f t="shared" ca="1" si="14"/>
        <v>0.38844978472675651</v>
      </c>
      <c r="G479" s="74">
        <v>38.585125377745833</v>
      </c>
      <c r="H479" s="74">
        <f t="shared" si="15"/>
        <v>1.9092749655866896</v>
      </c>
    </row>
    <row r="480" spans="5:8" ht="15.6">
      <c r="E480" s="279" t="s">
        <v>806</v>
      </c>
      <c r="F480" s="284">
        <f t="shared" ca="1" si="14"/>
        <v>0.94377596410491205</v>
      </c>
      <c r="G480" s="74">
        <v>39.212458832104076</v>
      </c>
      <c r="H480" s="74">
        <f t="shared" si="15"/>
        <v>1.281941511228446</v>
      </c>
    </row>
    <row r="481" spans="5:8" ht="15.6">
      <c r="E481" s="279" t="s">
        <v>807</v>
      </c>
      <c r="F481" s="284">
        <f t="shared" ca="1" si="14"/>
        <v>0.84188552487844748</v>
      </c>
      <c r="G481" s="74">
        <v>41.042000919597669</v>
      </c>
      <c r="H481" s="74">
        <f t="shared" si="15"/>
        <v>-0.5476005762651468</v>
      </c>
    </row>
    <row r="482" spans="5:8" ht="15.6">
      <c r="E482" s="279" t="s">
        <v>808</v>
      </c>
      <c r="F482" s="284">
        <f t="shared" ca="1" si="14"/>
        <v>0.15535920357869359</v>
      </c>
      <c r="G482" s="74">
        <v>36.190961826856515</v>
      </c>
      <c r="H482" s="74">
        <f t="shared" si="15"/>
        <v>4.3034385164760067</v>
      </c>
    </row>
    <row r="483" spans="5:8" ht="15.6">
      <c r="E483" s="279" t="s">
        <v>809</v>
      </c>
      <c r="F483" s="284">
        <f t="shared" ca="1" si="14"/>
        <v>0.1466848013731803</v>
      </c>
      <c r="G483" s="74">
        <v>40.197273410352317</v>
      </c>
      <c r="H483" s="74">
        <f t="shared" si="15"/>
        <v>0.29712693298020554</v>
      </c>
    </row>
    <row r="484" spans="5:8" ht="15.6">
      <c r="E484" s="279" t="s">
        <v>810</v>
      </c>
      <c r="F484" s="284">
        <f t="shared" ca="1" si="14"/>
        <v>0.25374211986452089</v>
      </c>
      <c r="G484" s="74">
        <v>40.200732442030798</v>
      </c>
      <c r="H484" s="74">
        <f t="shared" si="15"/>
        <v>0.29366790130172404</v>
      </c>
    </row>
    <row r="485" spans="5:8" ht="15.6">
      <c r="E485" s="279" t="s">
        <v>811</v>
      </c>
      <c r="F485" s="284">
        <f t="shared" ca="1" si="14"/>
        <v>7.4076480178216109E-2</v>
      </c>
      <c r="G485" s="74">
        <v>38.824699284071613</v>
      </c>
      <c r="H485" s="74">
        <f t="shared" si="15"/>
        <v>1.6697010592609089</v>
      </c>
    </row>
    <row r="486" spans="5:8" ht="15.6">
      <c r="E486" s="279" t="s">
        <v>812</v>
      </c>
      <c r="F486" s="284">
        <f t="shared" ca="1" si="14"/>
        <v>1.106039568690409E-2</v>
      </c>
      <c r="G486" s="74">
        <v>39.869665135841238</v>
      </c>
      <c r="H486" s="74">
        <f t="shared" si="15"/>
        <v>0.62473520749128397</v>
      </c>
    </row>
    <row r="487" spans="5:8" ht="15.6">
      <c r="E487" s="279" t="s">
        <v>813</v>
      </c>
      <c r="F487" s="284">
        <f t="shared" ca="1" si="14"/>
        <v>0.77226056172677071</v>
      </c>
      <c r="G487" s="74">
        <v>41.647476246139952</v>
      </c>
      <c r="H487" s="74">
        <f t="shared" si="15"/>
        <v>-1.15307590280743</v>
      </c>
    </row>
    <row r="488" spans="5:8" ht="15.6">
      <c r="E488" s="279" t="s">
        <v>814</v>
      </c>
      <c r="F488" s="284">
        <f t="shared" ca="1" si="14"/>
        <v>7.1956504611751071E-2</v>
      </c>
      <c r="G488" s="74">
        <v>43.303545369808759</v>
      </c>
      <c r="H488" s="74">
        <f t="shared" si="15"/>
        <v>-2.8091450264762372</v>
      </c>
    </row>
    <row r="489" spans="5:8" ht="15.6">
      <c r="E489" s="279" t="s">
        <v>815</v>
      </c>
      <c r="F489" s="284">
        <f t="shared" ca="1" si="14"/>
        <v>0.40576147691113873</v>
      </c>
      <c r="G489" s="74">
        <v>35.622420379102039</v>
      </c>
      <c r="H489" s="74">
        <f t="shared" si="15"/>
        <v>4.8719799642304835</v>
      </c>
    </row>
    <row r="490" spans="5:8" ht="15.6">
      <c r="E490" s="279" t="s">
        <v>816</v>
      </c>
      <c r="F490" s="284">
        <f t="shared" ca="1" si="14"/>
        <v>0.80722809553068919</v>
      </c>
      <c r="G490" s="74">
        <v>41.639828216189116</v>
      </c>
      <c r="H490" s="74">
        <f t="shared" si="15"/>
        <v>-1.1454278728565939</v>
      </c>
    </row>
    <row r="491" spans="5:8" ht="15.6">
      <c r="E491" s="279" t="s">
        <v>817</v>
      </c>
      <c r="F491" s="284">
        <f t="shared" ca="1" si="14"/>
        <v>0.12944919943897404</v>
      </c>
      <c r="G491" s="74">
        <v>37.43670995496479</v>
      </c>
      <c r="H491" s="74">
        <f t="shared" si="15"/>
        <v>3.0576903883677318</v>
      </c>
    </row>
    <row r="492" spans="5:8" ht="15.6">
      <c r="E492" s="279" t="s">
        <v>818</v>
      </c>
      <c r="F492" s="284">
        <f t="shared" ca="1" si="14"/>
        <v>0.88173881749996874</v>
      </c>
      <c r="G492" s="74">
        <v>50.902548856525989</v>
      </c>
      <c r="H492" s="74">
        <f t="shared" si="15"/>
        <v>-10.408148513193467</v>
      </c>
    </row>
    <row r="493" spans="5:8" ht="15.6">
      <c r="E493" s="279" t="s">
        <v>819</v>
      </c>
      <c r="F493" s="284">
        <f t="shared" ca="1" si="14"/>
        <v>0.8796574350148012</v>
      </c>
      <c r="G493" s="74">
        <v>43.149909256417025</v>
      </c>
      <c r="H493" s="74">
        <f t="shared" si="15"/>
        <v>-2.6555089130845033</v>
      </c>
    </row>
    <row r="494" spans="5:8" ht="15.6">
      <c r="E494" s="279" t="s">
        <v>820</v>
      </c>
      <c r="F494" s="284">
        <f t="shared" ca="1" si="14"/>
        <v>0.77821679475607064</v>
      </c>
      <c r="G494" s="74">
        <v>41.596166112670652</v>
      </c>
      <c r="H494" s="74">
        <f t="shared" si="15"/>
        <v>-1.1017657693381295</v>
      </c>
    </row>
    <row r="495" spans="5:8" ht="15.6">
      <c r="E495" s="279" t="s">
        <v>821</v>
      </c>
      <c r="F495" s="284">
        <f t="shared" ca="1" si="14"/>
        <v>0.99332728222725164</v>
      </c>
      <c r="G495" s="74">
        <v>39.476882163339759</v>
      </c>
      <c r="H495" s="74">
        <f t="shared" si="15"/>
        <v>1.0175181799927628</v>
      </c>
    </row>
    <row r="496" spans="5:8" ht="15.6">
      <c r="E496" s="279" t="s">
        <v>822</v>
      </c>
      <c r="F496" s="284">
        <f t="shared" ca="1" si="14"/>
        <v>0.37299713988569383</v>
      </c>
      <c r="G496" s="74">
        <v>37.881160798798803</v>
      </c>
      <c r="H496" s="74">
        <f t="shared" si="15"/>
        <v>2.6132395445337195</v>
      </c>
    </row>
    <row r="497" spans="5:8" ht="15.6">
      <c r="E497" s="279" t="s">
        <v>823</v>
      </c>
      <c r="F497" s="284">
        <f t="shared" ca="1" si="14"/>
        <v>0.85256233863873965</v>
      </c>
      <c r="G497" s="74">
        <v>41.308587820597133</v>
      </c>
      <c r="H497" s="74">
        <f t="shared" si="15"/>
        <v>-0.81418747726461049</v>
      </c>
    </row>
    <row r="498" spans="5:8" ht="15.6">
      <c r="E498" s="279" t="s">
        <v>824</v>
      </c>
      <c r="F498" s="284">
        <f t="shared" ca="1" si="14"/>
        <v>0.7800196344542677</v>
      </c>
      <c r="G498" s="74">
        <v>40.748380173800562</v>
      </c>
      <c r="H498" s="74">
        <f t="shared" si="15"/>
        <v>-0.25397983046804029</v>
      </c>
    </row>
    <row r="499" spans="5:8" ht="15.6">
      <c r="E499" s="279" t="s">
        <v>825</v>
      </c>
      <c r="F499" s="284">
        <f t="shared" ca="1" si="14"/>
        <v>0.54419408231480859</v>
      </c>
      <c r="G499" s="74">
        <v>41.112103449515111</v>
      </c>
      <c r="H499" s="74">
        <f t="shared" si="15"/>
        <v>-0.61770310618258861</v>
      </c>
    </row>
    <row r="500" spans="5:8" ht="15.6">
      <c r="E500" s="279" t="s">
        <v>826</v>
      </c>
      <c r="F500" s="284">
        <f t="shared" ca="1" si="14"/>
        <v>0.72981093698624599</v>
      </c>
      <c r="G500" s="74">
        <v>36.246184972058636</v>
      </c>
      <c r="H500" s="74">
        <f t="shared" si="15"/>
        <v>4.2482153712738864</v>
      </c>
    </row>
    <row r="501" spans="5:8" ht="15.6">
      <c r="E501" s="279" t="s">
        <v>827</v>
      </c>
      <c r="F501" s="284">
        <f t="shared" ca="1" si="14"/>
        <v>0.44290848303919073</v>
      </c>
      <c r="G501" s="74">
        <v>39.743493762006388</v>
      </c>
      <c r="H501" s="74">
        <f t="shared" si="15"/>
        <v>0.75090658132613441</v>
      </c>
    </row>
    <row r="502" spans="5:8" ht="15.6">
      <c r="E502" s="279" t="s">
        <v>828</v>
      </c>
      <c r="F502" s="284">
        <f t="shared" ca="1" si="14"/>
        <v>0.80818610422827286</v>
      </c>
      <c r="G502" s="74">
        <v>39.79061174749873</v>
      </c>
      <c r="H502" s="74">
        <f t="shared" si="15"/>
        <v>0.70378859583379239</v>
      </c>
    </row>
    <row r="503" spans="5:8" ht="15.6">
      <c r="E503" s="279" t="s">
        <v>829</v>
      </c>
      <c r="F503" s="284">
        <f t="shared" ca="1" si="14"/>
        <v>0.60862324408790491</v>
      </c>
      <c r="G503" s="74">
        <v>37.252108450816053</v>
      </c>
      <c r="H503" s="74">
        <f t="shared" si="15"/>
        <v>3.2422918925164694</v>
      </c>
    </row>
    <row r="504" spans="5:8" ht="15.6">
      <c r="E504" s="279" t="s">
        <v>830</v>
      </c>
      <c r="F504" s="284">
        <f t="shared" ca="1" si="14"/>
        <v>0.3502744046507964</v>
      </c>
      <c r="G504" s="74">
        <v>40.354826039181368</v>
      </c>
      <c r="H504" s="74">
        <f t="shared" si="15"/>
        <v>0.13957430415115368</v>
      </c>
    </row>
    <row r="505" spans="5:8" ht="15.6">
      <c r="E505" s="279" t="s">
        <v>831</v>
      </c>
      <c r="F505" s="284">
        <f t="shared" ca="1" si="14"/>
        <v>0.76038871297426147</v>
      </c>
      <c r="G505" s="74">
        <v>38.580817234003227</v>
      </c>
      <c r="H505" s="74">
        <f t="shared" si="15"/>
        <v>1.913583109329295</v>
      </c>
    </row>
    <row r="506" spans="5:8" ht="15.6">
      <c r="E506" s="279" t="s">
        <v>832</v>
      </c>
      <c r="F506" s="284">
        <f t="shared" ca="1" si="14"/>
        <v>0.69214609798339877</v>
      </c>
      <c r="G506" s="74">
        <v>40.479758496246092</v>
      </c>
      <c r="H506" s="74">
        <f t="shared" si="15"/>
        <v>1.464184708643046E-2</v>
      </c>
    </row>
    <row r="507" spans="5:8" ht="15.6">
      <c r="E507" s="279" t="s">
        <v>833</v>
      </c>
      <c r="F507" s="284">
        <f t="shared" ca="1" si="14"/>
        <v>9.8117010047050535E-2</v>
      </c>
      <c r="G507" s="74">
        <v>41.255334713440078</v>
      </c>
      <c r="H507" s="74">
        <f t="shared" si="15"/>
        <v>-0.76093437010755594</v>
      </c>
    </row>
    <row r="508" spans="5:8" ht="15.6">
      <c r="E508" s="279" t="s">
        <v>834</v>
      </c>
      <c r="F508" s="284">
        <f t="shared" ca="1" si="14"/>
        <v>0.77858200129393029</v>
      </c>
      <c r="G508" s="74">
        <v>43.814987628411878</v>
      </c>
      <c r="H508" s="74">
        <f t="shared" si="15"/>
        <v>-3.3205872850793554</v>
      </c>
    </row>
    <row r="509" spans="5:8" ht="15.6">
      <c r="E509" s="279" t="s">
        <v>835</v>
      </c>
      <c r="F509" s="284">
        <f t="shared" ca="1" si="14"/>
        <v>0.13814985262733503</v>
      </c>
      <c r="G509" s="74">
        <v>38.853587453726938</v>
      </c>
      <c r="H509" s="74">
        <f t="shared" si="15"/>
        <v>1.6408128896055842</v>
      </c>
    </row>
    <row r="510" spans="5:8" ht="15.6">
      <c r="E510" s="279" t="s">
        <v>836</v>
      </c>
      <c r="F510" s="284">
        <f t="shared" ca="1" si="14"/>
        <v>0.90858860225893712</v>
      </c>
      <c r="G510" s="74">
        <v>38.927627862022945</v>
      </c>
      <c r="H510" s="74">
        <f t="shared" si="15"/>
        <v>1.5667724813095774</v>
      </c>
    </row>
    <row r="511" spans="5:8" ht="15.6">
      <c r="E511" s="279" t="s">
        <v>837</v>
      </c>
      <c r="F511" s="284">
        <f t="shared" ca="1" si="14"/>
        <v>0.67440938200891543</v>
      </c>
      <c r="G511" s="74">
        <v>41.936157989015008</v>
      </c>
      <c r="H511" s="74">
        <f t="shared" si="15"/>
        <v>-1.4417576456824861</v>
      </c>
    </row>
    <row r="512" spans="5:8" ht="15.6">
      <c r="E512" s="279" t="s">
        <v>838</v>
      </c>
      <c r="F512" s="284">
        <f t="shared" ca="1" si="14"/>
        <v>0.32654707076433076</v>
      </c>
      <c r="G512" s="74">
        <v>37.654552392580499</v>
      </c>
      <c r="H512" s="74">
        <f t="shared" si="15"/>
        <v>2.8398479507520236</v>
      </c>
    </row>
    <row r="513" spans="5:8" ht="15.6">
      <c r="E513" s="279" t="s">
        <v>839</v>
      </c>
      <c r="F513" s="284">
        <f t="shared" ca="1" si="14"/>
        <v>7.7140404422654241E-2</v>
      </c>
      <c r="G513" s="74">
        <v>36.183304522114561</v>
      </c>
      <c r="H513" s="74">
        <f t="shared" si="15"/>
        <v>4.3110958212179611</v>
      </c>
    </row>
    <row r="514" spans="5:8" ht="15.6">
      <c r="E514" s="279" t="s">
        <v>840</v>
      </c>
      <c r="F514" s="284">
        <f t="shared" ca="1" si="14"/>
        <v>0.31974129484826141</v>
      </c>
      <c r="G514" s="74">
        <v>39.312566759132494</v>
      </c>
      <c r="H514" s="74">
        <f t="shared" si="15"/>
        <v>1.181833584200028</v>
      </c>
    </row>
    <row r="515" spans="5:8" ht="15.6">
      <c r="E515" s="279" t="s">
        <v>841</v>
      </c>
      <c r="F515" s="284">
        <f t="shared" ca="1" si="14"/>
        <v>4.3743207600255407E-2</v>
      </c>
      <c r="G515" s="74">
        <v>45.225949995793563</v>
      </c>
      <c r="H515" s="74">
        <f t="shared" si="15"/>
        <v>-4.731549652461041</v>
      </c>
    </row>
    <row r="516" spans="5:8" ht="15.6">
      <c r="E516" s="279" t="s">
        <v>842</v>
      </c>
      <c r="F516" s="284">
        <f t="shared" ca="1" si="14"/>
        <v>0.51983291253772579</v>
      </c>
      <c r="G516" s="74">
        <v>38.097069913164809</v>
      </c>
      <c r="H516" s="74">
        <f t="shared" si="15"/>
        <v>2.3973304301677132</v>
      </c>
    </row>
    <row r="517" spans="5:8" ht="15.6">
      <c r="E517" s="279" t="s">
        <v>843</v>
      </c>
      <c r="F517" s="284">
        <f t="shared" ca="1" si="14"/>
        <v>0.61631661008054306</v>
      </c>
      <c r="G517" s="74">
        <v>37.649685383477191</v>
      </c>
      <c r="H517" s="74">
        <f t="shared" si="15"/>
        <v>2.844714959855331</v>
      </c>
    </row>
    <row r="518" spans="5:8" ht="15.6">
      <c r="E518" s="279" t="s">
        <v>844</v>
      </c>
      <c r="F518" s="284">
        <f t="shared" ca="1" si="14"/>
        <v>0.5707507230441573</v>
      </c>
      <c r="G518" s="74">
        <v>37.391374771341489</v>
      </c>
      <c r="H518" s="74">
        <f t="shared" si="15"/>
        <v>3.1030255719910329</v>
      </c>
    </row>
    <row r="519" spans="5:8" ht="15.6">
      <c r="E519" s="279" t="s">
        <v>845</v>
      </c>
      <c r="F519" s="284">
        <f t="shared" ca="1" si="14"/>
        <v>0.8330555391134884</v>
      </c>
      <c r="G519" s="74">
        <v>38.318661458010709</v>
      </c>
      <c r="H519" s="74">
        <f t="shared" si="15"/>
        <v>2.1757388853218131</v>
      </c>
    </row>
    <row r="520" spans="5:8" ht="15.6">
      <c r="E520" s="279" t="s">
        <v>846</v>
      </c>
      <c r="F520" s="284">
        <f t="shared" ca="1" si="14"/>
        <v>0.98139686040856267</v>
      </c>
      <c r="G520" s="74">
        <v>36.013429955191448</v>
      </c>
      <c r="H520" s="74">
        <f t="shared" si="15"/>
        <v>4.4809703881410741</v>
      </c>
    </row>
    <row r="521" spans="5:8" ht="15.6">
      <c r="E521" s="279" t="s">
        <v>847</v>
      </c>
      <c r="F521" s="284">
        <f t="shared" ca="1" si="14"/>
        <v>0.18982603621750249</v>
      </c>
      <c r="G521" s="74">
        <v>40.16490181219671</v>
      </c>
      <c r="H521" s="74">
        <f t="shared" si="15"/>
        <v>0.32949853113581185</v>
      </c>
    </row>
    <row r="522" spans="5:8" ht="15.6">
      <c r="E522" s="279" t="s">
        <v>848</v>
      </c>
      <c r="F522" s="284">
        <f t="shared" ca="1" si="14"/>
        <v>0.59094390254841278</v>
      </c>
      <c r="G522" s="74">
        <v>37.773170584116805</v>
      </c>
      <c r="H522" s="74">
        <f t="shared" si="15"/>
        <v>2.7212297592157171</v>
      </c>
    </row>
    <row r="523" spans="5:8" ht="15.6">
      <c r="E523" s="279" t="s">
        <v>849</v>
      </c>
      <c r="F523" s="284">
        <f t="shared" ca="1" si="14"/>
        <v>0.92272082811728895</v>
      </c>
      <c r="G523" s="74">
        <v>37.06766855950724</v>
      </c>
      <c r="H523" s="74">
        <f t="shared" si="15"/>
        <v>3.4267317838252822</v>
      </c>
    </row>
    <row r="524" spans="5:8" ht="15.6">
      <c r="E524" s="279" t="s">
        <v>850</v>
      </c>
      <c r="F524" s="284">
        <f t="shared" ref="F524:F587" ca="1" si="16">RAND()</f>
        <v>0.52645712231648778</v>
      </c>
      <c r="G524" s="74">
        <v>39.446452217715255</v>
      </c>
      <c r="H524" s="74">
        <f t="shared" ref="H524:H587" si="17">$D$2-G524</f>
        <v>1.0479481256172676</v>
      </c>
    </row>
    <row r="525" spans="5:8" ht="15.6">
      <c r="E525" s="279" t="s">
        <v>851</v>
      </c>
      <c r="F525" s="284">
        <f t="shared" ca="1" si="16"/>
        <v>0.61171864702682999</v>
      </c>
      <c r="G525" s="74">
        <v>37.874992779317012</v>
      </c>
      <c r="H525" s="74">
        <f t="shared" si="17"/>
        <v>2.6194075640155106</v>
      </c>
    </row>
    <row r="526" spans="5:8" ht="15.6">
      <c r="E526" s="279" t="s">
        <v>852</v>
      </c>
      <c r="F526" s="284">
        <f t="shared" ca="1" si="16"/>
        <v>0.66506896020575246</v>
      </c>
      <c r="G526" s="74">
        <v>42.102271120958953</v>
      </c>
      <c r="H526" s="74">
        <f t="shared" si="17"/>
        <v>-1.6078707776264309</v>
      </c>
    </row>
    <row r="527" spans="5:8" ht="15.6">
      <c r="E527" s="279" t="s">
        <v>853</v>
      </c>
      <c r="F527" s="284">
        <f t="shared" ca="1" si="16"/>
        <v>0.98114538473112611</v>
      </c>
      <c r="G527" s="74">
        <v>32.643449847858577</v>
      </c>
      <c r="H527" s="74">
        <f t="shared" si="17"/>
        <v>7.8509504954739455</v>
      </c>
    </row>
    <row r="528" spans="5:8" ht="15.6">
      <c r="E528" s="279" t="s">
        <v>854</v>
      </c>
      <c r="F528" s="284">
        <f t="shared" ca="1" si="16"/>
        <v>0.15552119178462298</v>
      </c>
      <c r="G528" s="74">
        <v>36.162313356805718</v>
      </c>
      <c r="H528" s="74">
        <f t="shared" si="17"/>
        <v>4.3320869865268037</v>
      </c>
    </row>
    <row r="529" spans="5:8" ht="15.6">
      <c r="E529" s="279" t="s">
        <v>855</v>
      </c>
      <c r="F529" s="284">
        <f t="shared" ca="1" si="16"/>
        <v>0.13155866335167798</v>
      </c>
      <c r="G529" s="74">
        <v>35.524811002099447</v>
      </c>
      <c r="H529" s="74">
        <f t="shared" si="17"/>
        <v>4.9695893412330747</v>
      </c>
    </row>
    <row r="530" spans="5:8" ht="15.6">
      <c r="E530" s="279" t="s">
        <v>856</v>
      </c>
      <c r="F530" s="284">
        <f t="shared" ca="1" si="16"/>
        <v>0.16072362969977894</v>
      </c>
      <c r="G530" s="74">
        <v>36.126081031435703</v>
      </c>
      <c r="H530" s="74">
        <f t="shared" si="17"/>
        <v>4.3683193118968191</v>
      </c>
    </row>
    <row r="531" spans="5:8" ht="15.6">
      <c r="E531" s="279" t="s">
        <v>857</v>
      </c>
      <c r="F531" s="284">
        <f t="shared" ca="1" si="16"/>
        <v>0.85056948565491342</v>
      </c>
      <c r="G531" s="74">
        <v>39.028038468726095</v>
      </c>
      <c r="H531" s="74">
        <f t="shared" si="17"/>
        <v>1.4663618746064273</v>
      </c>
    </row>
    <row r="532" spans="5:8" ht="15.6">
      <c r="E532" s="279" t="s">
        <v>858</v>
      </c>
      <c r="F532" s="284">
        <f t="shared" ca="1" si="16"/>
        <v>0.59079226842351173</v>
      </c>
      <c r="G532" s="74">
        <v>38.320286800852706</v>
      </c>
      <c r="H532" s="74">
        <f t="shared" si="17"/>
        <v>2.1741135424798159</v>
      </c>
    </row>
    <row r="533" spans="5:8" ht="15.6">
      <c r="E533" s="279" t="s">
        <v>859</v>
      </c>
      <c r="F533" s="284">
        <f t="shared" ca="1" si="16"/>
        <v>3.0059842568641582E-4</v>
      </c>
      <c r="G533" s="74">
        <v>43.391611798122668</v>
      </c>
      <c r="H533" s="74">
        <f t="shared" si="17"/>
        <v>-2.8972114547901455</v>
      </c>
    </row>
    <row r="534" spans="5:8" ht="15.6">
      <c r="E534" s="279" t="s">
        <v>860</v>
      </c>
      <c r="F534" s="284">
        <f t="shared" ca="1" si="16"/>
        <v>0.32820407140661079</v>
      </c>
      <c r="G534" s="74">
        <v>39.909448027278806</v>
      </c>
      <c r="H534" s="74">
        <f t="shared" si="17"/>
        <v>0.584952316053716</v>
      </c>
    </row>
    <row r="535" spans="5:8" ht="15.6">
      <c r="E535" s="279" t="s">
        <v>861</v>
      </c>
      <c r="F535" s="284">
        <f t="shared" ca="1" si="16"/>
        <v>0.99975656861205719</v>
      </c>
      <c r="G535" s="74">
        <v>36.008492542686142</v>
      </c>
      <c r="H535" s="74">
        <f t="shared" si="17"/>
        <v>4.4859078006463804</v>
      </c>
    </row>
    <row r="536" spans="5:8" ht="15.6">
      <c r="E536" s="279" t="s">
        <v>862</v>
      </c>
      <c r="F536" s="284">
        <f t="shared" ca="1" si="16"/>
        <v>0.95224042940841169</v>
      </c>
      <c r="G536" s="74">
        <v>46.916478399813279</v>
      </c>
      <c r="H536" s="74">
        <f t="shared" si="17"/>
        <v>-6.4220780564807569</v>
      </c>
    </row>
    <row r="537" spans="5:8" ht="15.6">
      <c r="E537" s="279" t="s">
        <v>863</v>
      </c>
      <c r="F537" s="284">
        <f t="shared" ca="1" si="16"/>
        <v>0.76214666767959904</v>
      </c>
      <c r="G537" s="74">
        <v>40.063302161832006</v>
      </c>
      <c r="H537" s="74">
        <f t="shared" si="17"/>
        <v>0.43109818150051638</v>
      </c>
    </row>
    <row r="538" spans="5:8" ht="15.6">
      <c r="E538" s="279" t="s">
        <v>864</v>
      </c>
      <c r="F538" s="284">
        <f t="shared" ca="1" si="16"/>
        <v>0.54633490110952154</v>
      </c>
      <c r="G538" s="74">
        <v>40.577638340839854</v>
      </c>
      <c r="H538" s="74">
        <f t="shared" si="17"/>
        <v>-8.3237997507332295E-2</v>
      </c>
    </row>
    <row r="539" spans="5:8" ht="15.6">
      <c r="E539" s="279" t="s">
        <v>865</v>
      </c>
      <c r="F539" s="284">
        <f t="shared" ca="1" si="16"/>
        <v>0.29129171471527004</v>
      </c>
      <c r="G539" s="74">
        <v>41.117070639902678</v>
      </c>
      <c r="H539" s="74">
        <f t="shared" si="17"/>
        <v>-0.62267029657015627</v>
      </c>
    </row>
    <row r="540" spans="5:8" ht="15.6">
      <c r="E540" s="279" t="s">
        <v>866</v>
      </c>
      <c r="F540" s="284">
        <f t="shared" ca="1" si="16"/>
        <v>0.56791695657030783</v>
      </c>
      <c r="G540" s="74">
        <v>37.937675711316842</v>
      </c>
      <c r="H540" s="74">
        <f t="shared" si="17"/>
        <v>2.5567246320156798</v>
      </c>
    </row>
    <row r="541" spans="5:8" ht="15.6">
      <c r="E541" s="279" t="s">
        <v>867</v>
      </c>
      <c r="F541" s="284">
        <f t="shared" ca="1" si="16"/>
        <v>0.38807810424804245</v>
      </c>
      <c r="G541" s="74">
        <v>38.554074997853022</v>
      </c>
      <c r="H541" s="74">
        <f t="shared" si="17"/>
        <v>1.9403253454795006</v>
      </c>
    </row>
    <row r="542" spans="5:8" ht="15.6">
      <c r="E542" s="279" t="s">
        <v>868</v>
      </c>
      <c r="F542" s="284">
        <f t="shared" ca="1" si="16"/>
        <v>0.63494380372456916</v>
      </c>
      <c r="G542" s="74">
        <v>38.52279128748544</v>
      </c>
      <c r="H542" s="74">
        <f t="shared" si="17"/>
        <v>1.9716090558470825</v>
      </c>
    </row>
    <row r="543" spans="5:8" ht="15.6">
      <c r="E543" s="279" t="s">
        <v>869</v>
      </c>
      <c r="F543" s="284">
        <f t="shared" ca="1" si="16"/>
        <v>8.162333010026368E-2</v>
      </c>
      <c r="G543" s="74">
        <v>37.405116051198128</v>
      </c>
      <c r="H543" s="74">
        <f t="shared" si="17"/>
        <v>3.0892842921343941</v>
      </c>
    </row>
    <row r="544" spans="5:8" ht="15.6">
      <c r="E544" s="279" t="s">
        <v>870</v>
      </c>
      <c r="F544" s="284">
        <f t="shared" ca="1" si="16"/>
        <v>0.38521278420959748</v>
      </c>
      <c r="G544" s="74">
        <v>41.157410613844483</v>
      </c>
      <c r="H544" s="74">
        <f t="shared" si="17"/>
        <v>-0.66301027051196115</v>
      </c>
    </row>
    <row r="545" spans="5:8" ht="15.6">
      <c r="E545" s="279" t="s">
        <v>871</v>
      </c>
      <c r="F545" s="284">
        <f t="shared" ca="1" si="16"/>
        <v>0.51635540089786414</v>
      </c>
      <c r="G545" s="74">
        <v>41.979045266729834</v>
      </c>
      <c r="H545" s="74">
        <f t="shared" si="17"/>
        <v>-1.4846449233973118</v>
      </c>
    </row>
    <row r="546" spans="5:8" ht="15.6">
      <c r="E546" s="279" t="s">
        <v>872</v>
      </c>
      <c r="F546" s="284">
        <f t="shared" ca="1" si="16"/>
        <v>0.68078720008278715</v>
      </c>
      <c r="G546" s="74">
        <v>38.007239791569738</v>
      </c>
      <c r="H546" s="74">
        <f t="shared" si="17"/>
        <v>2.4871605517627842</v>
      </c>
    </row>
    <row r="547" spans="5:8" ht="15.6">
      <c r="E547" s="279" t="s">
        <v>873</v>
      </c>
      <c r="F547" s="284">
        <f t="shared" ca="1" si="16"/>
        <v>0.92097391093247605</v>
      </c>
      <c r="G547" s="74">
        <v>36.471341352861373</v>
      </c>
      <c r="H547" s="74">
        <f t="shared" si="17"/>
        <v>4.0230589904711493</v>
      </c>
    </row>
    <row r="548" spans="5:8" ht="15.6">
      <c r="E548" s="279" t="s">
        <v>874</v>
      </c>
      <c r="F548" s="284">
        <f t="shared" ca="1" si="16"/>
        <v>0.3572696272479059</v>
      </c>
      <c r="G548" s="74">
        <v>40.58004657678152</v>
      </c>
      <c r="H548" s="74">
        <f t="shared" si="17"/>
        <v>-8.5646233448997577E-2</v>
      </c>
    </row>
    <row r="549" spans="5:8" ht="15.6">
      <c r="E549" s="279" t="s">
        <v>875</v>
      </c>
      <c r="F549" s="284">
        <f t="shared" ca="1" si="16"/>
        <v>0.83723603434199156</v>
      </c>
      <c r="G549" s="74">
        <v>36.314555911691087</v>
      </c>
      <c r="H549" s="74">
        <f t="shared" si="17"/>
        <v>4.1798444316414347</v>
      </c>
    </row>
    <row r="550" spans="5:8" ht="15.6">
      <c r="E550" s="279" t="s">
        <v>876</v>
      </c>
      <c r="F550" s="284">
        <f t="shared" ca="1" si="16"/>
        <v>0.96254327129644246</v>
      </c>
      <c r="G550" s="74">
        <v>43.659231461444435</v>
      </c>
      <c r="H550" s="74">
        <f t="shared" si="17"/>
        <v>-3.1648311181119126</v>
      </c>
    </row>
    <row r="551" spans="5:8" ht="15.6">
      <c r="E551" s="279" t="s">
        <v>877</v>
      </c>
      <c r="F551" s="284">
        <f t="shared" ca="1" si="16"/>
        <v>0.91285284650437237</v>
      </c>
      <c r="G551" s="74">
        <v>34.200602837560098</v>
      </c>
      <c r="H551" s="74">
        <f t="shared" si="17"/>
        <v>6.2937975057724245</v>
      </c>
    </row>
    <row r="552" spans="5:8" ht="15.6">
      <c r="E552" s="279" t="s">
        <v>878</v>
      </c>
      <c r="F552" s="284">
        <f t="shared" ca="1" si="16"/>
        <v>0.59867739712130574</v>
      </c>
      <c r="G552" s="74">
        <v>41.2254671430249</v>
      </c>
      <c r="H552" s="74">
        <f t="shared" si="17"/>
        <v>-0.73106679969237831</v>
      </c>
    </row>
    <row r="553" spans="5:8" ht="15.6">
      <c r="E553" s="279" t="s">
        <v>879</v>
      </c>
      <c r="F553" s="284">
        <f t="shared" ca="1" si="16"/>
        <v>0.93293280844255322</v>
      </c>
      <c r="G553" s="74">
        <v>40.29751141177794</v>
      </c>
      <c r="H553" s="74">
        <f t="shared" si="17"/>
        <v>0.19688893155458231</v>
      </c>
    </row>
    <row r="554" spans="5:8" ht="15.6">
      <c r="E554" s="279" t="s">
        <v>880</v>
      </c>
      <c r="F554" s="284">
        <f t="shared" ca="1" si="16"/>
        <v>0.61505175750082397</v>
      </c>
      <c r="G554" s="74">
        <v>39.127259932165245</v>
      </c>
      <c r="H554" s="74">
        <f t="shared" si="17"/>
        <v>1.3671404111672771</v>
      </c>
    </row>
    <row r="555" spans="5:8" ht="15.6">
      <c r="E555" s="279" t="s">
        <v>881</v>
      </c>
      <c r="F555" s="284">
        <f t="shared" ca="1" si="16"/>
        <v>0.46052048650304245</v>
      </c>
      <c r="G555" s="74">
        <v>40.735625751765483</v>
      </c>
      <c r="H555" s="74">
        <f t="shared" si="17"/>
        <v>-0.24122540843296036</v>
      </c>
    </row>
    <row r="556" spans="5:8" ht="15.6">
      <c r="E556" s="279" t="s">
        <v>882</v>
      </c>
      <c r="F556" s="284">
        <f t="shared" ca="1" si="16"/>
        <v>0.35982112019650303</v>
      </c>
      <c r="G556" s="74">
        <v>38.650288902033523</v>
      </c>
      <c r="H556" s="74">
        <f t="shared" si="17"/>
        <v>1.844111441298999</v>
      </c>
    </row>
    <row r="557" spans="5:8" ht="15.6">
      <c r="E557" s="279" t="s">
        <v>883</v>
      </c>
      <c r="F557" s="284">
        <f t="shared" ca="1" si="16"/>
        <v>0.35617587719103816</v>
      </c>
      <c r="G557" s="74">
        <v>36.520335056855025</v>
      </c>
      <c r="H557" s="74">
        <f t="shared" si="17"/>
        <v>3.9740652864774972</v>
      </c>
    </row>
    <row r="558" spans="5:8" ht="15.6">
      <c r="E558" s="279" t="s">
        <v>884</v>
      </c>
      <c r="F558" s="284">
        <f t="shared" ca="1" si="16"/>
        <v>0.88195139392464794</v>
      </c>
      <c r="G558" s="74">
        <v>45.791388689685768</v>
      </c>
      <c r="H558" s="74">
        <f t="shared" si="17"/>
        <v>-5.2969883463532454</v>
      </c>
    </row>
    <row r="559" spans="5:8" ht="15.6">
      <c r="E559" s="279" t="s">
        <v>885</v>
      </c>
      <c r="F559" s="284">
        <f t="shared" ca="1" si="16"/>
        <v>0.40719772145974364</v>
      </c>
      <c r="G559" s="74">
        <v>40.350685602883985</v>
      </c>
      <c r="H559" s="74">
        <f t="shared" si="17"/>
        <v>0.14371474044853727</v>
      </c>
    </row>
    <row r="560" spans="5:8" ht="15.6">
      <c r="E560" s="279" t="s">
        <v>886</v>
      </c>
      <c r="F560" s="284">
        <f t="shared" ca="1" si="16"/>
        <v>0.90901067604157237</v>
      </c>
      <c r="G560" s="74">
        <v>37.121799037357448</v>
      </c>
      <c r="H560" s="74">
        <f t="shared" si="17"/>
        <v>3.3726013059750741</v>
      </c>
    </row>
    <row r="561" spans="5:8" ht="15.6">
      <c r="E561" s="279" t="s">
        <v>887</v>
      </c>
      <c r="F561" s="284">
        <f t="shared" ca="1" si="16"/>
        <v>0.8830879779771259</v>
      </c>
      <c r="G561" s="74">
        <v>42.683569726129853</v>
      </c>
      <c r="H561" s="74">
        <f t="shared" si="17"/>
        <v>-2.1891693827973313</v>
      </c>
    </row>
    <row r="562" spans="5:8" ht="15.6">
      <c r="E562" s="279" t="s">
        <v>888</v>
      </c>
      <c r="F562" s="284">
        <f t="shared" ca="1" si="16"/>
        <v>0.26605177425493898</v>
      </c>
      <c r="G562" s="74">
        <v>37.383620330206341</v>
      </c>
      <c r="H562" s="74">
        <f t="shared" si="17"/>
        <v>3.1107800131261811</v>
      </c>
    </row>
    <row r="563" spans="5:8" ht="15.6">
      <c r="E563" s="279" t="s">
        <v>889</v>
      </c>
      <c r="F563" s="284">
        <f t="shared" ca="1" si="16"/>
        <v>0.83916338865969653</v>
      </c>
      <c r="G563" s="74">
        <v>38.555086699878515</v>
      </c>
      <c r="H563" s="74">
        <f t="shared" si="17"/>
        <v>1.9393136434540068</v>
      </c>
    </row>
    <row r="564" spans="5:8" ht="15.6">
      <c r="E564" s="279" t="s">
        <v>890</v>
      </c>
      <c r="F564" s="284">
        <f t="shared" ca="1" si="16"/>
        <v>0.25109649965655112</v>
      </c>
      <c r="G564" s="74">
        <v>39.626879260822079</v>
      </c>
      <c r="H564" s="74">
        <f t="shared" si="17"/>
        <v>0.86752108251044291</v>
      </c>
    </row>
    <row r="565" spans="5:8" ht="15.6">
      <c r="E565" s="279" t="s">
        <v>891</v>
      </c>
      <c r="F565" s="284">
        <f t="shared" ca="1" si="16"/>
        <v>0.56266490964682825</v>
      </c>
      <c r="G565" s="74">
        <v>39.529032183489186</v>
      </c>
      <c r="H565" s="74">
        <f t="shared" si="17"/>
        <v>0.96536815984333657</v>
      </c>
    </row>
    <row r="566" spans="5:8" ht="15.6">
      <c r="E566" s="279" t="s">
        <v>892</v>
      </c>
      <c r="F566" s="284">
        <f t="shared" ca="1" si="16"/>
        <v>0.60725077593522492</v>
      </c>
      <c r="G566" s="74">
        <v>45.452164785816976</v>
      </c>
      <c r="H566" s="74">
        <f t="shared" si="17"/>
        <v>-4.9577644424844536</v>
      </c>
    </row>
    <row r="567" spans="5:8" ht="15.6">
      <c r="E567" s="279" t="s">
        <v>893</v>
      </c>
      <c r="F567" s="284">
        <f t="shared" ca="1" si="16"/>
        <v>0.86465737479399163</v>
      </c>
      <c r="G567" s="74">
        <v>39.654527021756088</v>
      </c>
      <c r="H567" s="74">
        <f t="shared" si="17"/>
        <v>0.8398733215764338</v>
      </c>
    </row>
    <row r="568" spans="5:8" ht="15.6">
      <c r="E568" s="279" t="s">
        <v>894</v>
      </c>
      <c r="F568" s="284">
        <f t="shared" ca="1" si="16"/>
        <v>0.36371356452851833</v>
      </c>
      <c r="G568" s="74">
        <v>37.663290894861866</v>
      </c>
      <c r="H568" s="74">
        <f t="shared" si="17"/>
        <v>2.8311094484706558</v>
      </c>
    </row>
    <row r="569" spans="5:8" ht="15.6">
      <c r="E569" s="279" t="s">
        <v>895</v>
      </c>
      <c r="F569" s="284">
        <f t="shared" ca="1" si="16"/>
        <v>0.75453232992746821</v>
      </c>
      <c r="G569" s="74">
        <v>37.24283614485104</v>
      </c>
      <c r="H569" s="74">
        <f t="shared" si="17"/>
        <v>3.251564198481482</v>
      </c>
    </row>
    <row r="570" spans="5:8" ht="15.6">
      <c r="E570" s="279" t="s">
        <v>896</v>
      </c>
      <c r="F570" s="284">
        <f t="shared" ca="1" si="16"/>
        <v>0.41819771811111195</v>
      </c>
      <c r="G570" s="74">
        <v>40.806358359129774</v>
      </c>
      <c r="H570" s="74">
        <f t="shared" si="17"/>
        <v>-0.31195801579725213</v>
      </c>
    </row>
    <row r="571" spans="5:8" ht="15.6">
      <c r="E571" s="279" t="s">
        <v>897</v>
      </c>
      <c r="F571" s="284">
        <f t="shared" ca="1" si="16"/>
        <v>0.58921767777730683</v>
      </c>
      <c r="G571" s="74">
        <v>44.188944229675279</v>
      </c>
      <c r="H571" s="74">
        <f t="shared" si="17"/>
        <v>-3.6945438863427569</v>
      </c>
    </row>
    <row r="572" spans="5:8" ht="15.6">
      <c r="E572" s="279" t="s">
        <v>898</v>
      </c>
      <c r="F572" s="284">
        <f t="shared" ca="1" si="16"/>
        <v>0.65818508622911709</v>
      </c>
      <c r="G572" s="74">
        <v>34.621703534731076</v>
      </c>
      <c r="H572" s="74">
        <f t="shared" si="17"/>
        <v>5.8726968086014466</v>
      </c>
    </row>
    <row r="573" spans="5:8" ht="15.6">
      <c r="E573" s="279" t="s">
        <v>899</v>
      </c>
      <c r="F573" s="284">
        <f t="shared" ca="1" si="16"/>
        <v>0.92679366844208666</v>
      </c>
      <c r="G573" s="74">
        <v>35.126310512802455</v>
      </c>
      <c r="H573" s="74">
        <f t="shared" si="17"/>
        <v>5.3680898305300673</v>
      </c>
    </row>
    <row r="574" spans="5:8" ht="15.6">
      <c r="E574" s="279" t="s">
        <v>900</v>
      </c>
      <c r="F574" s="284">
        <f t="shared" ca="1" si="16"/>
        <v>0.10576855297482035</v>
      </c>
      <c r="G574" s="74">
        <v>40.409824782282556</v>
      </c>
      <c r="H574" s="74">
        <f t="shared" si="17"/>
        <v>8.4575561049966552E-2</v>
      </c>
    </row>
    <row r="575" spans="5:8" ht="15.6">
      <c r="E575" s="279" t="s">
        <v>901</v>
      </c>
      <c r="F575" s="284">
        <f t="shared" ca="1" si="16"/>
        <v>0.40822698253491796</v>
      </c>
      <c r="G575" s="74">
        <v>42.499166602769215</v>
      </c>
      <c r="H575" s="74">
        <f t="shared" si="17"/>
        <v>-2.0047662594366926</v>
      </c>
    </row>
    <row r="576" spans="5:8" ht="15.6">
      <c r="E576" s="279" t="s">
        <v>902</v>
      </c>
      <c r="F576" s="284">
        <f t="shared" ca="1" si="16"/>
        <v>0.39762188090093453</v>
      </c>
      <c r="G576" s="74">
        <v>39.797550546978897</v>
      </c>
      <c r="H576" s="74">
        <f t="shared" si="17"/>
        <v>0.69684979635362509</v>
      </c>
    </row>
    <row r="577" spans="5:8" ht="15.6">
      <c r="E577" s="279" t="s">
        <v>903</v>
      </c>
      <c r="F577" s="284">
        <f t="shared" ca="1" si="16"/>
        <v>0.80190923710068951</v>
      </c>
      <c r="G577" s="74">
        <v>39.10456714377996</v>
      </c>
      <c r="H577" s="74">
        <f t="shared" si="17"/>
        <v>1.3898331995525623</v>
      </c>
    </row>
    <row r="578" spans="5:8" ht="15.6">
      <c r="E578" s="279" t="s">
        <v>904</v>
      </c>
      <c r="F578" s="284">
        <f t="shared" ca="1" si="16"/>
        <v>0.9124345394741703</v>
      </c>
      <c r="G578" s="74">
        <v>41.843499632609088</v>
      </c>
      <c r="H578" s="74">
        <f t="shared" si="17"/>
        <v>-1.3490992892765661</v>
      </c>
    </row>
    <row r="579" spans="5:8" ht="15.6">
      <c r="E579" s="279" t="s">
        <v>905</v>
      </c>
      <c r="F579" s="284">
        <f t="shared" ca="1" si="16"/>
        <v>0.46766982831150694</v>
      </c>
      <c r="G579" s="74">
        <v>40.540822661861235</v>
      </c>
      <c r="H579" s="74">
        <f t="shared" si="17"/>
        <v>-4.6422318528712481E-2</v>
      </c>
    </row>
    <row r="580" spans="5:8" ht="15.6">
      <c r="E580" s="279" t="s">
        <v>906</v>
      </c>
      <c r="F580" s="284">
        <f t="shared" ca="1" si="16"/>
        <v>0.93135286112327387</v>
      </c>
      <c r="G580" s="74">
        <v>40.786018294568635</v>
      </c>
      <c r="H580" s="74">
        <f t="shared" si="17"/>
        <v>-0.29161795123611256</v>
      </c>
    </row>
    <row r="581" spans="5:8" ht="15.6">
      <c r="E581" s="279" t="s">
        <v>907</v>
      </c>
      <c r="F581" s="284">
        <f t="shared" ca="1" si="16"/>
        <v>0.66789114396863158</v>
      </c>
      <c r="G581" s="74">
        <v>41.992408287480522</v>
      </c>
      <c r="H581" s="74">
        <f t="shared" si="17"/>
        <v>-1.4980079441480001</v>
      </c>
    </row>
    <row r="582" spans="5:8" ht="15.6">
      <c r="E582" s="279" t="s">
        <v>908</v>
      </c>
      <c r="F582" s="284">
        <f t="shared" ca="1" si="16"/>
        <v>0.52583463583416201</v>
      </c>
      <c r="G582" s="74">
        <v>38.263989854421418</v>
      </c>
      <c r="H582" s="74">
        <f t="shared" si="17"/>
        <v>2.2304104889111045</v>
      </c>
    </row>
    <row r="583" spans="5:8" ht="15.6">
      <c r="E583" s="279" t="s">
        <v>909</v>
      </c>
      <c r="F583" s="284">
        <f t="shared" ca="1" si="16"/>
        <v>2.5351614347554952E-2</v>
      </c>
      <c r="G583" s="74">
        <v>40.871834654183246</v>
      </c>
      <c r="H583" s="74">
        <f t="shared" si="17"/>
        <v>-0.37743431085072388</v>
      </c>
    </row>
    <row r="584" spans="5:8" ht="15.6">
      <c r="E584" s="279" t="s">
        <v>910</v>
      </c>
      <c r="F584" s="284">
        <f t="shared" ca="1" si="16"/>
        <v>0.45711066728122274</v>
      </c>
      <c r="G584" s="74">
        <v>42.34583446830402</v>
      </c>
      <c r="H584" s="74">
        <f t="shared" si="17"/>
        <v>-1.8514341249714974</v>
      </c>
    </row>
    <row r="585" spans="5:8" ht="15.6">
      <c r="E585" s="279" t="s">
        <v>911</v>
      </c>
      <c r="F585" s="284">
        <f t="shared" ca="1" si="16"/>
        <v>0.66631796289076606</v>
      </c>
      <c r="G585" s="74">
        <v>37.790865817024795</v>
      </c>
      <c r="H585" s="74">
        <f t="shared" si="17"/>
        <v>2.7035345263077275</v>
      </c>
    </row>
    <row r="586" spans="5:8" ht="15.6">
      <c r="E586" s="279" t="s">
        <v>912</v>
      </c>
      <c r="F586" s="284">
        <f t="shared" ca="1" si="16"/>
        <v>0.40084718123456875</v>
      </c>
      <c r="G586" s="74">
        <v>37.404828421782767</v>
      </c>
      <c r="H586" s="74">
        <f t="shared" si="17"/>
        <v>3.089571921549755</v>
      </c>
    </row>
    <row r="587" spans="5:8" ht="15.6">
      <c r="E587" s="279" t="s">
        <v>913</v>
      </c>
      <c r="F587" s="284">
        <f t="shared" ca="1" si="16"/>
        <v>0.24683241038453707</v>
      </c>
      <c r="G587" s="74">
        <v>38.567319120906447</v>
      </c>
      <c r="H587" s="74">
        <f t="shared" si="17"/>
        <v>1.9270812224260752</v>
      </c>
    </row>
    <row r="588" spans="5:8" ht="15.6">
      <c r="E588" s="279" t="s">
        <v>914</v>
      </c>
      <c r="F588" s="284">
        <f t="shared" ref="F588:F651" ca="1" si="18">RAND()</f>
        <v>0.28579100381885836</v>
      </c>
      <c r="G588" s="74">
        <v>39.748833022828499</v>
      </c>
      <c r="H588" s="74">
        <f t="shared" ref="H588:H651" si="19">$D$2-G588</f>
        <v>0.74556732050402275</v>
      </c>
    </row>
    <row r="589" spans="5:8" ht="15.6">
      <c r="E589" s="279" t="s">
        <v>915</v>
      </c>
      <c r="F589" s="284">
        <f t="shared" ca="1" si="18"/>
        <v>0.40950806662656958</v>
      </c>
      <c r="G589" s="74">
        <v>40.168790617926184</v>
      </c>
      <c r="H589" s="74">
        <f t="shared" si="19"/>
        <v>0.3256097254063377</v>
      </c>
    </row>
    <row r="590" spans="5:8" ht="15.6">
      <c r="E590" s="279" t="s">
        <v>916</v>
      </c>
      <c r="F590" s="284">
        <f t="shared" ca="1" si="18"/>
        <v>3.8664868470891678E-2</v>
      </c>
      <c r="G590" s="74">
        <v>42.727992192045477</v>
      </c>
      <c r="H590" s="74">
        <f t="shared" si="19"/>
        <v>-2.2335918487129547</v>
      </c>
    </row>
    <row r="591" spans="5:8" ht="15.6">
      <c r="E591" s="279" t="s">
        <v>917</v>
      </c>
      <c r="F591" s="284">
        <f t="shared" ca="1" si="18"/>
        <v>0.78222548189761665</v>
      </c>
      <c r="G591" s="74">
        <v>39.346523502956117</v>
      </c>
      <c r="H591" s="74">
        <f t="shared" si="19"/>
        <v>1.147876840376405</v>
      </c>
    </row>
    <row r="592" spans="5:8" ht="15.6">
      <c r="E592" s="279" t="s">
        <v>918</v>
      </c>
      <c r="F592" s="284">
        <f t="shared" ca="1" si="18"/>
        <v>0.13132958179969878</v>
      </c>
      <c r="G592" s="74">
        <v>44.868705704687471</v>
      </c>
      <c r="H592" s="74">
        <f t="shared" si="19"/>
        <v>-4.3743053613549492</v>
      </c>
    </row>
    <row r="593" spans="5:8" ht="15.6">
      <c r="E593" s="279" t="s">
        <v>919</v>
      </c>
      <c r="F593" s="284">
        <f t="shared" ca="1" si="18"/>
        <v>0.97009718667885758</v>
      </c>
      <c r="G593" s="74">
        <v>41.462547590678533</v>
      </c>
      <c r="H593" s="74">
        <f t="shared" si="19"/>
        <v>-0.96814724734601043</v>
      </c>
    </row>
    <row r="594" spans="5:8" ht="15.6">
      <c r="E594" s="279" t="s">
        <v>920</v>
      </c>
      <c r="F594" s="284">
        <f t="shared" ca="1" si="18"/>
        <v>3.977828190374455E-2</v>
      </c>
      <c r="G594" s="74">
        <v>45.901862147445236</v>
      </c>
      <c r="H594" s="74">
        <f t="shared" si="19"/>
        <v>-5.4074618041127138</v>
      </c>
    </row>
    <row r="595" spans="5:8" ht="15.6">
      <c r="E595" s="279" t="s">
        <v>921</v>
      </c>
      <c r="F595" s="284">
        <f t="shared" ca="1" si="18"/>
        <v>0.61848358278592896</v>
      </c>
      <c r="G595" s="74">
        <v>36.768962638342188</v>
      </c>
      <c r="H595" s="74">
        <f t="shared" si="19"/>
        <v>3.725437704990334</v>
      </c>
    </row>
    <row r="596" spans="5:8" ht="15.6">
      <c r="E596" s="279" t="s">
        <v>922</v>
      </c>
      <c r="F596" s="284">
        <f t="shared" ca="1" si="18"/>
        <v>0.36838236026082405</v>
      </c>
      <c r="G596" s="74">
        <v>38.070073795026595</v>
      </c>
      <c r="H596" s="74">
        <f t="shared" si="19"/>
        <v>2.4243265483059275</v>
      </c>
    </row>
    <row r="597" spans="5:8" ht="15.6">
      <c r="E597" s="279" t="s">
        <v>923</v>
      </c>
      <c r="F597" s="284">
        <f t="shared" ca="1" si="18"/>
        <v>0.16192604588436543</v>
      </c>
      <c r="G597" s="74">
        <v>39.538796196391779</v>
      </c>
      <c r="H597" s="74">
        <f t="shared" si="19"/>
        <v>0.95560414694074325</v>
      </c>
    </row>
    <row r="598" spans="5:8" ht="15.6">
      <c r="E598" s="279" t="s">
        <v>924</v>
      </c>
      <c r="F598" s="284">
        <f t="shared" ca="1" si="18"/>
        <v>0.28389700130698359</v>
      </c>
      <c r="G598" s="74">
        <v>42.376962477985138</v>
      </c>
      <c r="H598" s="74">
        <f t="shared" si="19"/>
        <v>-1.8825621346526162</v>
      </c>
    </row>
    <row r="599" spans="5:8" ht="15.6">
      <c r="E599" s="279" t="s">
        <v>925</v>
      </c>
      <c r="F599" s="284">
        <f t="shared" ca="1" si="18"/>
        <v>0.30801543272684917</v>
      </c>
      <c r="G599" s="74">
        <v>35.911915055432736</v>
      </c>
      <c r="H599" s="74">
        <f t="shared" si="19"/>
        <v>4.5824852878997859</v>
      </c>
    </row>
    <row r="600" spans="5:8" ht="15.6">
      <c r="E600" s="279" t="s">
        <v>926</v>
      </c>
      <c r="F600" s="284">
        <f t="shared" ca="1" si="18"/>
        <v>0.19591342009189616</v>
      </c>
      <c r="G600" s="74">
        <v>40.435499356632889</v>
      </c>
      <c r="H600" s="74">
        <f t="shared" si="19"/>
        <v>5.8900986699633506E-2</v>
      </c>
    </row>
    <row r="601" spans="5:8" ht="15.6">
      <c r="E601" s="279" t="s">
        <v>927</v>
      </c>
      <c r="F601" s="284">
        <f t="shared" ca="1" si="18"/>
        <v>2.1236772893990175E-2</v>
      </c>
      <c r="G601" s="74">
        <v>40.853926143746058</v>
      </c>
      <c r="H601" s="74">
        <f t="shared" si="19"/>
        <v>-0.35952580041353599</v>
      </c>
    </row>
    <row r="602" spans="5:8" ht="15.6">
      <c r="E602" s="279" t="s">
        <v>928</v>
      </c>
      <c r="F602" s="284">
        <f t="shared" ca="1" si="18"/>
        <v>0.40144051031343275</v>
      </c>
      <c r="G602" s="74">
        <v>43.481707066219613</v>
      </c>
      <c r="H602" s="74">
        <f t="shared" si="19"/>
        <v>-2.9873067228870909</v>
      </c>
    </row>
    <row r="603" spans="5:8" ht="15.6">
      <c r="E603" s="279" t="s">
        <v>929</v>
      </c>
      <c r="F603" s="284">
        <f t="shared" ca="1" si="18"/>
        <v>9.8189448658096978E-3</v>
      </c>
      <c r="G603" s="74">
        <v>37.612206231711752</v>
      </c>
      <c r="H603" s="74">
        <f t="shared" si="19"/>
        <v>2.8821941116207697</v>
      </c>
    </row>
    <row r="604" spans="5:8" ht="15.6">
      <c r="E604" s="279" t="s">
        <v>930</v>
      </c>
      <c r="F604" s="284">
        <f t="shared" ca="1" si="18"/>
        <v>0.3030305052237956</v>
      </c>
      <c r="G604" s="74">
        <v>40.982010628979658</v>
      </c>
      <c r="H604" s="74">
        <f t="shared" si="19"/>
        <v>-0.48761028564713627</v>
      </c>
    </row>
    <row r="605" spans="5:8" ht="15.6">
      <c r="E605" s="279" t="s">
        <v>931</v>
      </c>
      <c r="F605" s="284">
        <f t="shared" ca="1" si="18"/>
        <v>0.46107476788709534</v>
      </c>
      <c r="G605" s="74">
        <v>38.669772589641084</v>
      </c>
      <c r="H605" s="74">
        <f t="shared" si="19"/>
        <v>1.8246277536914377</v>
      </c>
    </row>
    <row r="606" spans="5:8" ht="15.6">
      <c r="E606" s="279" t="s">
        <v>932</v>
      </c>
      <c r="F606" s="284">
        <f t="shared" ca="1" si="18"/>
        <v>4.6130836245354301E-2</v>
      </c>
      <c r="G606" s="74">
        <v>36.410043561732593</v>
      </c>
      <c r="H606" s="74">
        <f t="shared" si="19"/>
        <v>4.0843567815999293</v>
      </c>
    </row>
    <row r="607" spans="5:8" ht="15.6">
      <c r="E607" s="279" t="s">
        <v>933</v>
      </c>
      <c r="F607" s="284">
        <f t="shared" ca="1" si="18"/>
        <v>0.40099011573547894</v>
      </c>
      <c r="G607" s="74">
        <v>42.604368886796863</v>
      </c>
      <c r="H607" s="74">
        <f t="shared" si="19"/>
        <v>-2.1099685434643405</v>
      </c>
    </row>
    <row r="608" spans="5:8" ht="15.6">
      <c r="E608" s="279" t="s">
        <v>934</v>
      </c>
      <c r="F608" s="284">
        <f t="shared" ca="1" si="18"/>
        <v>0.29464704925260354</v>
      </c>
      <c r="G608" s="74">
        <v>36.654515225410009</v>
      </c>
      <c r="H608" s="74">
        <f t="shared" si="19"/>
        <v>3.8398851179225133</v>
      </c>
    </row>
    <row r="609" spans="5:8" ht="15.6">
      <c r="E609" s="279" t="s">
        <v>935</v>
      </c>
      <c r="F609" s="284">
        <f t="shared" ca="1" si="18"/>
        <v>0.72165171578486587</v>
      </c>
      <c r="G609" s="74">
        <v>38.211774311129446</v>
      </c>
      <c r="H609" s="74">
        <f t="shared" si="19"/>
        <v>2.2826260322030762</v>
      </c>
    </row>
    <row r="610" spans="5:8" ht="15.6">
      <c r="E610" s="279" t="s">
        <v>936</v>
      </c>
      <c r="F610" s="284">
        <f t="shared" ca="1" si="18"/>
        <v>0.3308182109590142</v>
      </c>
      <c r="G610" s="74">
        <v>40.514122347381679</v>
      </c>
      <c r="H610" s="74">
        <f t="shared" si="19"/>
        <v>-1.9722004049157249E-2</v>
      </c>
    </row>
    <row r="611" spans="5:8" ht="15.6">
      <c r="E611" s="279" t="s">
        <v>937</v>
      </c>
      <c r="F611" s="284">
        <f t="shared" ca="1" si="18"/>
        <v>0.3808546454683942</v>
      </c>
      <c r="G611" s="74">
        <v>37.667300844249866</v>
      </c>
      <c r="H611" s="74">
        <f t="shared" si="19"/>
        <v>2.8270994990826566</v>
      </c>
    </row>
    <row r="612" spans="5:8" ht="15.6">
      <c r="E612" s="279" t="s">
        <v>938</v>
      </c>
      <c r="F612" s="284">
        <f t="shared" ca="1" si="18"/>
        <v>0.50767999793486163</v>
      </c>
      <c r="G612" s="74">
        <v>39.602625658587954</v>
      </c>
      <c r="H612" s="74">
        <f t="shared" si="19"/>
        <v>0.89177468474456845</v>
      </c>
    </row>
    <row r="613" spans="5:8" ht="15.6">
      <c r="E613" s="279" t="s">
        <v>939</v>
      </c>
      <c r="F613" s="284">
        <f t="shared" ca="1" si="18"/>
        <v>0.64531294066615885</v>
      </c>
      <c r="G613" s="74">
        <v>40.703725212887711</v>
      </c>
      <c r="H613" s="74">
        <f t="shared" si="19"/>
        <v>-0.20932486955518925</v>
      </c>
    </row>
    <row r="614" spans="5:8" ht="15.6">
      <c r="E614" s="279" t="s">
        <v>940</v>
      </c>
      <c r="F614" s="284">
        <f t="shared" ca="1" si="18"/>
        <v>0.5743105679327688</v>
      </c>
      <c r="G614" s="74">
        <v>38.308950426361626</v>
      </c>
      <c r="H614" s="74">
        <f t="shared" si="19"/>
        <v>2.1854499169708959</v>
      </c>
    </row>
    <row r="615" spans="5:8" ht="15.6">
      <c r="E615" s="279" t="s">
        <v>941</v>
      </c>
      <c r="F615" s="284">
        <f t="shared" ca="1" si="18"/>
        <v>0.18348241389870823</v>
      </c>
      <c r="G615" s="74">
        <v>37.165490528656754</v>
      </c>
      <c r="H615" s="74">
        <f t="shared" si="19"/>
        <v>3.3289098146757681</v>
      </c>
    </row>
    <row r="616" spans="5:8" ht="15.6">
      <c r="E616" s="279" t="s">
        <v>942</v>
      </c>
      <c r="F616" s="284">
        <f t="shared" ca="1" si="18"/>
        <v>0.19220340421021342</v>
      </c>
      <c r="G616" s="74">
        <v>39.129140985889052</v>
      </c>
      <c r="H616" s="74">
        <f t="shared" si="19"/>
        <v>1.3652593574434704</v>
      </c>
    </row>
    <row r="617" spans="5:8" ht="15.6">
      <c r="E617" s="279" t="s">
        <v>943</v>
      </c>
      <c r="F617" s="284">
        <f t="shared" ca="1" si="18"/>
        <v>0.46110626399721399</v>
      </c>
      <c r="G617" s="74">
        <v>46.473639746683503</v>
      </c>
      <c r="H617" s="74">
        <f t="shared" si="19"/>
        <v>-5.9792394033509808</v>
      </c>
    </row>
    <row r="618" spans="5:8" ht="15.6">
      <c r="E618" s="279" t="s">
        <v>944</v>
      </c>
      <c r="F618" s="284">
        <f t="shared" ca="1" si="18"/>
        <v>3.2297413678607945E-2</v>
      </c>
      <c r="G618" s="74">
        <v>38.897615665142283</v>
      </c>
      <c r="H618" s="74">
        <f t="shared" si="19"/>
        <v>1.5967846781902395</v>
      </c>
    </row>
    <row r="619" spans="5:8" ht="15.6">
      <c r="E619" s="279" t="s">
        <v>945</v>
      </c>
      <c r="F619" s="284">
        <f t="shared" ca="1" si="18"/>
        <v>0.19966236476625265</v>
      </c>
      <c r="G619" s="74">
        <v>37.5175998944461</v>
      </c>
      <c r="H619" s="74">
        <f t="shared" si="19"/>
        <v>2.9768004488864221</v>
      </c>
    </row>
    <row r="620" spans="5:8" ht="15.6">
      <c r="E620" s="279" t="s">
        <v>946</v>
      </c>
      <c r="F620" s="284">
        <f t="shared" ca="1" si="18"/>
        <v>6.1068547086181035E-2</v>
      </c>
      <c r="G620" s="74">
        <v>39.855624837660741</v>
      </c>
      <c r="H620" s="74">
        <f t="shared" si="19"/>
        <v>0.63877550567178076</v>
      </c>
    </row>
    <row r="621" spans="5:8" ht="15.6">
      <c r="E621" s="279" t="s">
        <v>947</v>
      </c>
      <c r="F621" s="284">
        <f t="shared" ca="1" si="18"/>
        <v>0.56937993134947606</v>
      </c>
      <c r="G621" s="74">
        <v>39.379682614015941</v>
      </c>
      <c r="H621" s="74">
        <f t="shared" si="19"/>
        <v>1.1147177293165811</v>
      </c>
    </row>
    <row r="622" spans="5:8" ht="15.6">
      <c r="E622" s="279" t="s">
        <v>948</v>
      </c>
      <c r="F622" s="284">
        <f t="shared" ca="1" si="18"/>
        <v>0.68774023887246827</v>
      </c>
      <c r="G622" s="74">
        <v>39.698060260117501</v>
      </c>
      <c r="H622" s="74">
        <f t="shared" si="19"/>
        <v>0.79634008321502137</v>
      </c>
    </row>
    <row r="623" spans="5:8" ht="15.6">
      <c r="E623" s="279" t="s">
        <v>949</v>
      </c>
      <c r="F623" s="284">
        <f t="shared" ca="1" si="18"/>
        <v>0.10471231661318237</v>
      </c>
      <c r="G623" s="74">
        <v>42.102156076678618</v>
      </c>
      <c r="H623" s="74">
        <f t="shared" si="19"/>
        <v>-1.6077557333460959</v>
      </c>
    </row>
    <row r="624" spans="5:8" ht="15.6">
      <c r="E624" s="279" t="s">
        <v>950</v>
      </c>
      <c r="F624" s="284">
        <f t="shared" ca="1" si="18"/>
        <v>6.0063661286773429E-2</v>
      </c>
      <c r="G624" s="74">
        <v>35.660357651621261</v>
      </c>
      <c r="H624" s="74">
        <f t="shared" si="19"/>
        <v>4.8340426917112609</v>
      </c>
    </row>
    <row r="625" spans="5:8" ht="15.6">
      <c r="E625" s="279" t="s">
        <v>951</v>
      </c>
      <c r="F625" s="284">
        <f t="shared" ca="1" si="18"/>
        <v>0.60088991557656135</v>
      </c>
      <c r="G625" s="74">
        <v>37.05092716591443</v>
      </c>
      <c r="H625" s="74">
        <f t="shared" si="19"/>
        <v>3.4434731774180918</v>
      </c>
    </row>
    <row r="626" spans="5:8" ht="15.6">
      <c r="E626" s="279" t="s">
        <v>952</v>
      </c>
      <c r="F626" s="284">
        <f t="shared" ca="1" si="18"/>
        <v>0.7434327311703427</v>
      </c>
      <c r="G626" s="74">
        <v>38.992666748906736</v>
      </c>
      <c r="H626" s="74">
        <f t="shared" si="19"/>
        <v>1.5017335944257866</v>
      </c>
    </row>
    <row r="627" spans="5:8" ht="15.6">
      <c r="E627" s="279" t="s">
        <v>953</v>
      </c>
      <c r="F627" s="284">
        <f t="shared" ca="1" si="18"/>
        <v>0.85822128930670349</v>
      </c>
      <c r="G627" s="74">
        <v>38.934543272980171</v>
      </c>
      <c r="H627" s="74">
        <f t="shared" si="19"/>
        <v>1.5598570703523507</v>
      </c>
    </row>
    <row r="628" spans="5:8" ht="15.6">
      <c r="E628" s="279" t="s">
        <v>954</v>
      </c>
      <c r="F628" s="284">
        <f t="shared" ca="1" si="18"/>
        <v>0.51613449359615171</v>
      </c>
      <c r="G628" s="74">
        <v>38.260998437083956</v>
      </c>
      <c r="H628" s="74">
        <f t="shared" si="19"/>
        <v>2.2334019062485666</v>
      </c>
    </row>
    <row r="629" spans="5:8" ht="15.6">
      <c r="E629" s="279" t="s">
        <v>955</v>
      </c>
      <c r="F629" s="284">
        <f t="shared" ca="1" si="18"/>
        <v>0.87124230589775009</v>
      </c>
      <c r="G629" s="74">
        <v>34.095796974022427</v>
      </c>
      <c r="H629" s="74">
        <f t="shared" si="19"/>
        <v>6.398603369310095</v>
      </c>
    </row>
    <row r="630" spans="5:8" ht="15.6">
      <c r="E630" s="279" t="s">
        <v>956</v>
      </c>
      <c r="F630" s="284">
        <f t="shared" ca="1" si="18"/>
        <v>0.71825260176058803</v>
      </c>
      <c r="G630" s="74">
        <v>38.792247567933821</v>
      </c>
      <c r="H630" s="74">
        <f t="shared" si="19"/>
        <v>1.7021527753987016</v>
      </c>
    </row>
    <row r="631" spans="5:8" ht="15.6">
      <c r="E631" s="279" t="s">
        <v>957</v>
      </c>
      <c r="F631" s="284">
        <f t="shared" ca="1" si="18"/>
        <v>0.85349642610170029</v>
      </c>
      <c r="G631" s="74">
        <v>40.383467511343362</v>
      </c>
      <c r="H631" s="74">
        <f t="shared" si="19"/>
        <v>0.11093283198916026</v>
      </c>
    </row>
    <row r="632" spans="5:8" ht="15.6">
      <c r="E632" s="279" t="s">
        <v>958</v>
      </c>
      <c r="F632" s="284">
        <f t="shared" ca="1" si="18"/>
        <v>0.63274210065342296</v>
      </c>
      <c r="G632" s="74">
        <v>42.722286731941765</v>
      </c>
      <c r="H632" s="74">
        <f t="shared" si="19"/>
        <v>-2.2278863886092424</v>
      </c>
    </row>
    <row r="633" spans="5:8" ht="15.6">
      <c r="E633" s="279" t="s">
        <v>959</v>
      </c>
      <c r="F633" s="284">
        <f t="shared" ca="1" si="18"/>
        <v>0.27435951286390914</v>
      </c>
      <c r="G633" s="74">
        <v>41.210426106496655</v>
      </c>
      <c r="H633" s="74">
        <f t="shared" si="19"/>
        <v>-0.71602576316413291</v>
      </c>
    </row>
    <row r="634" spans="5:8" ht="15.6">
      <c r="E634" s="279" t="s">
        <v>960</v>
      </c>
      <c r="F634" s="284">
        <f t="shared" ca="1" si="18"/>
        <v>0.20453078027140859</v>
      </c>
      <c r="G634" s="74">
        <v>37.806107287594259</v>
      </c>
      <c r="H634" s="74">
        <f t="shared" si="19"/>
        <v>2.6882930557382636</v>
      </c>
    </row>
    <row r="635" spans="5:8" ht="15.6">
      <c r="E635" s="279" t="s">
        <v>961</v>
      </c>
      <c r="F635" s="284">
        <f t="shared" ca="1" si="18"/>
        <v>0.97044600527396374</v>
      </c>
      <c r="G635" s="74">
        <v>41.94118068476476</v>
      </c>
      <c r="H635" s="74">
        <f t="shared" si="19"/>
        <v>-1.4467803414322375</v>
      </c>
    </row>
    <row r="636" spans="5:8" ht="15.6">
      <c r="E636" s="279" t="s">
        <v>962</v>
      </c>
      <c r="F636" s="284">
        <f t="shared" ca="1" si="18"/>
        <v>0.94037820613848822</v>
      </c>
      <c r="G636" s="74">
        <v>36.127481950445393</v>
      </c>
      <c r="H636" s="74">
        <f t="shared" si="19"/>
        <v>4.3669183928871291</v>
      </c>
    </row>
    <row r="637" spans="5:8" ht="15.6">
      <c r="E637" s="279" t="s">
        <v>963</v>
      </c>
      <c r="F637" s="284">
        <f t="shared" ca="1" si="18"/>
        <v>0.50621456610111404</v>
      </c>
      <c r="G637" s="74">
        <v>36.132254919070391</v>
      </c>
      <c r="H637" s="74">
        <f t="shared" si="19"/>
        <v>4.3621454242621311</v>
      </c>
    </row>
    <row r="638" spans="5:8" ht="15.6">
      <c r="E638" s="279" t="s">
        <v>964</v>
      </c>
      <c r="F638" s="284">
        <f t="shared" ca="1" si="18"/>
        <v>6.41498697663484E-2</v>
      </c>
      <c r="G638" s="74">
        <v>35.869292330315403</v>
      </c>
      <c r="H638" s="74">
        <f t="shared" si="19"/>
        <v>4.6251080130171189</v>
      </c>
    </row>
    <row r="639" spans="5:8" ht="15.6">
      <c r="E639" s="279" t="s">
        <v>965</v>
      </c>
      <c r="F639" s="284">
        <f t="shared" ca="1" si="18"/>
        <v>0.13267220729702456</v>
      </c>
      <c r="G639" s="74">
        <v>36.490695002732231</v>
      </c>
      <c r="H639" s="74">
        <f t="shared" si="19"/>
        <v>4.0037053406002912</v>
      </c>
    </row>
    <row r="640" spans="5:8" ht="15.6">
      <c r="E640" s="279" t="s">
        <v>966</v>
      </c>
      <c r="F640" s="284">
        <f t="shared" ca="1" si="18"/>
        <v>0.9261955022288515</v>
      </c>
      <c r="G640" s="74">
        <v>40.522959846093372</v>
      </c>
      <c r="H640" s="74">
        <f t="shared" si="19"/>
        <v>-2.8559502760849398E-2</v>
      </c>
    </row>
    <row r="641" spans="5:8" ht="15.6">
      <c r="E641" s="279" t="s">
        <v>967</v>
      </c>
      <c r="F641" s="284">
        <f t="shared" ca="1" si="18"/>
        <v>0.31387754393896816</v>
      </c>
      <c r="G641" s="74">
        <v>39.163019446921439</v>
      </c>
      <c r="H641" s="74">
        <f t="shared" si="19"/>
        <v>1.3313808964110834</v>
      </c>
    </row>
    <row r="642" spans="5:8" ht="15.6">
      <c r="E642" s="279" t="s">
        <v>968</v>
      </c>
      <c r="F642" s="284">
        <f t="shared" ca="1" si="18"/>
        <v>0.35786736274278508</v>
      </c>
      <c r="G642" s="74">
        <v>35.834104271517162</v>
      </c>
      <c r="H642" s="74">
        <f t="shared" si="19"/>
        <v>4.6602960718153597</v>
      </c>
    </row>
    <row r="643" spans="5:8" ht="15.6">
      <c r="E643" s="279" t="s">
        <v>969</v>
      </c>
      <c r="F643" s="284">
        <f t="shared" ca="1" si="18"/>
        <v>0.27619239678512186</v>
      </c>
      <c r="G643" s="74">
        <v>34.105799816890212</v>
      </c>
      <c r="H643" s="74">
        <f t="shared" si="19"/>
        <v>6.3886005264423105</v>
      </c>
    </row>
    <row r="644" spans="5:8" ht="15.6">
      <c r="E644" s="279" t="s">
        <v>970</v>
      </c>
      <c r="F644" s="284">
        <f t="shared" ca="1" si="18"/>
        <v>0.1792225273449124</v>
      </c>
      <c r="G644" s="74">
        <v>38.210855090341767</v>
      </c>
      <c r="H644" s="74">
        <f t="shared" si="19"/>
        <v>2.2835452529907556</v>
      </c>
    </row>
    <row r="645" spans="5:8" ht="15.6">
      <c r="E645" s="279" t="s">
        <v>971</v>
      </c>
      <c r="F645" s="284">
        <f t="shared" ca="1" si="18"/>
        <v>0.11844652932199762</v>
      </c>
      <c r="G645" s="74">
        <v>34.743933452092271</v>
      </c>
      <c r="H645" s="74">
        <f t="shared" si="19"/>
        <v>5.7504668912402508</v>
      </c>
    </row>
    <row r="646" spans="5:8" ht="15.6">
      <c r="E646" s="279" t="s">
        <v>972</v>
      </c>
      <c r="F646" s="284">
        <f t="shared" ca="1" si="18"/>
        <v>0.14487228429737731</v>
      </c>
      <c r="G646" s="74">
        <v>37.549490941690699</v>
      </c>
      <c r="H646" s="74">
        <f t="shared" si="19"/>
        <v>2.9449094016418229</v>
      </c>
    </row>
    <row r="647" spans="5:8" ht="15.6">
      <c r="E647" s="279" t="s">
        <v>973</v>
      </c>
      <c r="F647" s="284">
        <f t="shared" ca="1" si="18"/>
        <v>0.78612590200009735</v>
      </c>
      <c r="G647" s="74">
        <v>41.006255056552099</v>
      </c>
      <c r="H647" s="74">
        <f t="shared" si="19"/>
        <v>-0.51185471321957721</v>
      </c>
    </row>
    <row r="648" spans="5:8" ht="15.6">
      <c r="E648" s="279" t="s">
        <v>974</v>
      </c>
      <c r="F648" s="284">
        <f t="shared" ca="1" si="18"/>
        <v>0.905593427726332</v>
      </c>
      <c r="G648" s="74">
        <v>33.245689851492365</v>
      </c>
      <c r="H648" s="74">
        <f t="shared" si="19"/>
        <v>7.248710491840157</v>
      </c>
    </row>
    <row r="649" spans="5:8" ht="15.6">
      <c r="E649" s="279" t="s">
        <v>975</v>
      </c>
      <c r="F649" s="284">
        <f t="shared" ca="1" si="18"/>
        <v>0.31262050174616873</v>
      </c>
      <c r="G649" s="74">
        <v>40.257466046035042</v>
      </c>
      <c r="H649" s="74">
        <f t="shared" si="19"/>
        <v>0.23693429729748061</v>
      </c>
    </row>
    <row r="650" spans="5:8" ht="15.6">
      <c r="E650" s="279" t="s">
        <v>976</v>
      </c>
      <c r="F650" s="284">
        <f t="shared" ca="1" si="18"/>
        <v>0.42963928668415396</v>
      </c>
      <c r="G650" s="74">
        <v>42.572168720133575</v>
      </c>
      <c r="H650" s="74">
        <f t="shared" si="19"/>
        <v>-2.0777683768010533</v>
      </c>
    </row>
    <row r="651" spans="5:8" ht="15.6">
      <c r="E651" s="279" t="s">
        <v>977</v>
      </c>
      <c r="F651" s="284">
        <f t="shared" ca="1" si="18"/>
        <v>0.59807415238266382</v>
      </c>
      <c r="G651" s="74">
        <v>39.709317570734491</v>
      </c>
      <c r="H651" s="74">
        <f t="shared" si="19"/>
        <v>0.78508277259803094</v>
      </c>
    </row>
    <row r="652" spans="5:8" ht="15.6">
      <c r="E652" s="279" t="s">
        <v>978</v>
      </c>
      <c r="F652" s="284">
        <f t="shared" ref="F652:F715" ca="1" si="20">RAND()</f>
        <v>8.3175725315595139E-3</v>
      </c>
      <c r="G652" s="74">
        <v>41.903484383219883</v>
      </c>
      <c r="H652" s="74">
        <f t="shared" ref="H652:H715" si="21">$D$2-G652</f>
        <v>-1.409084039887361</v>
      </c>
    </row>
    <row r="653" spans="5:8" ht="15.6">
      <c r="E653" s="279" t="s">
        <v>979</v>
      </c>
      <c r="F653" s="284">
        <f t="shared" ca="1" si="20"/>
        <v>0.14110793596881654</v>
      </c>
      <c r="G653" s="74">
        <v>31.856303100241149</v>
      </c>
      <c r="H653" s="74">
        <f t="shared" si="21"/>
        <v>8.6380972430913729</v>
      </c>
    </row>
    <row r="654" spans="5:8" ht="15.6">
      <c r="E654" s="279" t="s">
        <v>980</v>
      </c>
      <c r="F654" s="284">
        <f t="shared" ca="1" si="20"/>
        <v>0.31292215422330938</v>
      </c>
      <c r="G654" s="74">
        <v>45.224026954372192</v>
      </c>
      <c r="H654" s="74">
        <f t="shared" si="21"/>
        <v>-4.7296266110396701</v>
      </c>
    </row>
    <row r="655" spans="5:8" ht="15.6">
      <c r="E655" s="279" t="s">
        <v>981</v>
      </c>
      <c r="F655" s="284">
        <f t="shared" ca="1" si="20"/>
        <v>0.76065625278823346</v>
      </c>
      <c r="G655" s="74">
        <v>44.445195765996544</v>
      </c>
      <c r="H655" s="74">
        <f t="shared" si="21"/>
        <v>-3.9507954226640223</v>
      </c>
    </row>
    <row r="656" spans="5:8" ht="15.6">
      <c r="E656" s="279" t="s">
        <v>982</v>
      </c>
      <c r="F656" s="284">
        <f t="shared" ca="1" si="20"/>
        <v>0.8058258763142554</v>
      </c>
      <c r="G656" s="74">
        <v>40.423868699138644</v>
      </c>
      <c r="H656" s="74">
        <f t="shared" si="21"/>
        <v>7.0531644193877696E-2</v>
      </c>
    </row>
    <row r="657" spans="5:8" ht="15.6">
      <c r="E657" s="279" t="s">
        <v>983</v>
      </c>
      <c r="F657" s="284">
        <f t="shared" ca="1" si="20"/>
        <v>0.20479590058851582</v>
      </c>
      <c r="G657" s="74">
        <v>39.491567666512402</v>
      </c>
      <c r="H657" s="74">
        <f t="shared" si="21"/>
        <v>1.0028326768201197</v>
      </c>
    </row>
    <row r="658" spans="5:8" ht="15.6">
      <c r="E658" s="279" t="s">
        <v>984</v>
      </c>
      <c r="F658" s="284">
        <f t="shared" ca="1" si="20"/>
        <v>0.88608168783758468</v>
      </c>
      <c r="G658" s="74">
        <v>38.065016726113001</v>
      </c>
      <c r="H658" s="74">
        <f t="shared" si="21"/>
        <v>2.4293836172195213</v>
      </c>
    </row>
    <row r="659" spans="5:8" ht="15.6">
      <c r="E659" s="279" t="s">
        <v>985</v>
      </c>
      <c r="F659" s="284">
        <f t="shared" ca="1" si="20"/>
        <v>9.0237832941683638E-2</v>
      </c>
      <c r="G659" s="74">
        <v>36.974307591932046</v>
      </c>
      <c r="H659" s="74">
        <f t="shared" si="21"/>
        <v>3.5200927514004761</v>
      </c>
    </row>
    <row r="660" spans="5:8" ht="15.6">
      <c r="E660" s="279" t="s">
        <v>986</v>
      </c>
      <c r="F660" s="284">
        <f t="shared" ca="1" si="20"/>
        <v>2.5287762180032591E-2</v>
      </c>
      <c r="G660" s="74">
        <v>45.853724872431734</v>
      </c>
      <c r="H660" s="74">
        <f t="shared" si="21"/>
        <v>-5.3593245290992115</v>
      </c>
    </row>
    <row r="661" spans="5:8" ht="15.6">
      <c r="E661" s="279" t="s">
        <v>987</v>
      </c>
      <c r="F661" s="284">
        <f t="shared" ca="1" si="20"/>
        <v>5.0254138221003664E-2</v>
      </c>
      <c r="G661" s="74">
        <v>43.592201642345678</v>
      </c>
      <c r="H661" s="74">
        <f t="shared" si="21"/>
        <v>-3.097801299013156</v>
      </c>
    </row>
    <row r="662" spans="5:8" ht="15.6">
      <c r="E662" s="279" t="s">
        <v>988</v>
      </c>
      <c r="F662" s="284">
        <f t="shared" ca="1" si="20"/>
        <v>0.45368706780525148</v>
      </c>
      <c r="G662" s="74">
        <v>37.852515660291331</v>
      </c>
      <c r="H662" s="74">
        <f t="shared" si="21"/>
        <v>2.6418846830411908</v>
      </c>
    </row>
    <row r="663" spans="5:8" ht="15.6">
      <c r="E663" s="279" t="s">
        <v>989</v>
      </c>
      <c r="F663" s="284">
        <f t="shared" ca="1" si="20"/>
        <v>0.67993106963687522</v>
      </c>
      <c r="G663" s="74">
        <v>39.347436616055475</v>
      </c>
      <c r="H663" s="74">
        <f t="shared" si="21"/>
        <v>1.146963727277047</v>
      </c>
    </row>
    <row r="664" spans="5:8" ht="15.6">
      <c r="E664" s="279" t="s">
        <v>990</v>
      </c>
      <c r="F664" s="284">
        <f t="shared" ca="1" si="20"/>
        <v>0.10829177207353835</v>
      </c>
      <c r="G664" s="74">
        <v>45.454573177726935</v>
      </c>
      <c r="H664" s="74">
        <f t="shared" si="21"/>
        <v>-4.9601728343944131</v>
      </c>
    </row>
    <row r="665" spans="5:8" ht="15.6">
      <c r="E665" s="279" t="s">
        <v>991</v>
      </c>
      <c r="F665" s="284">
        <f t="shared" ca="1" si="20"/>
        <v>0.8052776670172247</v>
      </c>
      <c r="G665" s="74">
        <v>41.091959813414192</v>
      </c>
      <c r="H665" s="74">
        <f t="shared" si="21"/>
        <v>-0.59755947008166999</v>
      </c>
    </row>
    <row r="666" spans="5:8" ht="15.6">
      <c r="E666" s="279" t="s">
        <v>992</v>
      </c>
      <c r="F666" s="284">
        <f t="shared" ca="1" si="20"/>
        <v>0.15759748977792187</v>
      </c>
      <c r="G666" s="74">
        <v>42.514764840077994</v>
      </c>
      <c r="H666" s="74">
        <f t="shared" si="21"/>
        <v>-2.0203644967454721</v>
      </c>
    </row>
    <row r="667" spans="5:8" ht="15.6">
      <c r="E667" s="279" t="s">
        <v>993</v>
      </c>
      <c r="F667" s="284">
        <f t="shared" ca="1" si="20"/>
        <v>0.54736058318403003</v>
      </c>
      <c r="G667" s="74">
        <v>36.707736636284828</v>
      </c>
      <c r="H667" s="74">
        <f t="shared" si="21"/>
        <v>3.7866637070476941</v>
      </c>
    </row>
    <row r="668" spans="5:8" ht="15.6">
      <c r="E668" s="279" t="s">
        <v>994</v>
      </c>
      <c r="F668" s="284">
        <f t="shared" ca="1" si="20"/>
        <v>0.21765486236497311</v>
      </c>
      <c r="G668" s="74">
        <v>36.164961460266419</v>
      </c>
      <c r="H668" s="74">
        <f t="shared" si="21"/>
        <v>4.3294388830661035</v>
      </c>
    </row>
    <row r="669" spans="5:8" ht="15.6">
      <c r="E669" s="279" t="s">
        <v>995</v>
      </c>
      <c r="F669" s="284">
        <f t="shared" ca="1" si="20"/>
        <v>0.94455250470103147</v>
      </c>
      <c r="G669" s="74">
        <v>42.537677309117342</v>
      </c>
      <c r="H669" s="74">
        <f t="shared" si="21"/>
        <v>-2.0432769657848198</v>
      </c>
    </row>
    <row r="670" spans="5:8" ht="15.6">
      <c r="E670" s="279" t="s">
        <v>996</v>
      </c>
      <c r="F670" s="284">
        <f t="shared" ca="1" si="20"/>
        <v>4.8527725167897828E-2</v>
      </c>
      <c r="G670" s="74">
        <v>41.285966653478525</v>
      </c>
      <c r="H670" s="74">
        <f t="shared" si="21"/>
        <v>-0.79156631014600265</v>
      </c>
    </row>
    <row r="671" spans="5:8" ht="15.6">
      <c r="E671" s="279" t="s">
        <v>997</v>
      </c>
      <c r="F671" s="284">
        <f t="shared" ca="1" si="20"/>
        <v>0.86639344628983717</v>
      </c>
      <c r="G671" s="74">
        <v>34.205263751142397</v>
      </c>
      <c r="H671" s="74">
        <f t="shared" si="21"/>
        <v>6.2891365921901254</v>
      </c>
    </row>
    <row r="672" spans="5:8" ht="15.6">
      <c r="E672" s="279" t="s">
        <v>998</v>
      </c>
      <c r="F672" s="284">
        <f t="shared" ca="1" si="20"/>
        <v>0.1894433327338243</v>
      </c>
      <c r="G672" s="74">
        <v>34.320307533095892</v>
      </c>
      <c r="H672" s="74">
        <f t="shared" si="21"/>
        <v>6.1740928102366297</v>
      </c>
    </row>
    <row r="673" spans="5:8" ht="15.6">
      <c r="E673" s="279" t="s">
        <v>999</v>
      </c>
      <c r="F673" s="284">
        <f t="shared" ca="1" si="20"/>
        <v>0.54027344851734105</v>
      </c>
      <c r="G673" s="74">
        <v>39.338457966484249</v>
      </c>
      <c r="H673" s="74">
        <f t="shared" si="21"/>
        <v>1.1559423768482731</v>
      </c>
    </row>
    <row r="674" spans="5:8" ht="15.6">
      <c r="E674" s="279" t="s">
        <v>1000</v>
      </c>
      <c r="F674" s="284">
        <f t="shared" ca="1" si="20"/>
        <v>0.35510927642414758</v>
      </c>
      <c r="G674" s="74">
        <v>38.808004913896063</v>
      </c>
      <c r="H674" s="74">
        <f t="shared" si="21"/>
        <v>1.6863954294364589</v>
      </c>
    </row>
    <row r="675" spans="5:8" ht="15.6">
      <c r="E675" s="279" t="s">
        <v>1001</v>
      </c>
      <c r="F675" s="284">
        <f t="shared" ca="1" si="20"/>
        <v>0.87550304767343867</v>
      </c>
      <c r="G675" s="74">
        <v>38.456214799819996</v>
      </c>
      <c r="H675" s="74">
        <f t="shared" si="21"/>
        <v>2.038185543512526</v>
      </c>
    </row>
    <row r="676" spans="5:8" ht="15.6">
      <c r="E676" s="279" t="s">
        <v>1002</v>
      </c>
      <c r="F676" s="284">
        <f t="shared" ca="1" si="20"/>
        <v>0.44075448074296042</v>
      </c>
      <c r="G676" s="74">
        <v>35.174224565169375</v>
      </c>
      <c r="H676" s="74">
        <f t="shared" si="21"/>
        <v>5.3201757781631471</v>
      </c>
    </row>
    <row r="677" spans="5:8" ht="15.6">
      <c r="E677" s="279" t="s">
        <v>1003</v>
      </c>
      <c r="F677" s="284">
        <f t="shared" ca="1" si="20"/>
        <v>0.97787564812716565</v>
      </c>
      <c r="G677" s="74">
        <v>39.072010045414544</v>
      </c>
      <c r="H677" s="74">
        <f t="shared" si="21"/>
        <v>1.4223902979179783</v>
      </c>
    </row>
    <row r="678" spans="5:8" ht="15.6">
      <c r="E678" s="279" t="s">
        <v>1004</v>
      </c>
      <c r="F678" s="284">
        <f t="shared" ca="1" si="20"/>
        <v>0.24503448666530503</v>
      </c>
      <c r="G678" s="74">
        <v>38.727014211136002</v>
      </c>
      <c r="H678" s="74">
        <f t="shared" si="21"/>
        <v>1.7673861321965205</v>
      </c>
    </row>
    <row r="679" spans="5:8" ht="15.6">
      <c r="E679" s="279" t="s">
        <v>1005</v>
      </c>
      <c r="F679" s="284">
        <f t="shared" ca="1" si="20"/>
        <v>0.41218715294734465</v>
      </c>
      <c r="G679" s="74">
        <v>41.659961356522004</v>
      </c>
      <c r="H679" s="74">
        <f t="shared" si="21"/>
        <v>-1.1655610131894818</v>
      </c>
    </row>
    <row r="680" spans="5:8" ht="15.6">
      <c r="E680" s="279" t="s">
        <v>1006</v>
      </c>
      <c r="F680" s="284">
        <f t="shared" ca="1" si="20"/>
        <v>0.79680131347042915</v>
      </c>
      <c r="G680" s="74">
        <v>41.526255343905191</v>
      </c>
      <c r="H680" s="74">
        <f t="shared" si="21"/>
        <v>-1.0318550005726692</v>
      </c>
    </row>
    <row r="681" spans="5:8" ht="15.6">
      <c r="E681" s="279" t="s">
        <v>1007</v>
      </c>
      <c r="F681" s="284">
        <f t="shared" ca="1" si="20"/>
        <v>0.1154494621594585</v>
      </c>
      <c r="G681" s="74">
        <v>40.864052533566174</v>
      </c>
      <c r="H681" s="74">
        <f t="shared" si="21"/>
        <v>-0.36965219023365137</v>
      </c>
    </row>
    <row r="682" spans="5:8" ht="15.6">
      <c r="E682" s="279" t="s">
        <v>1008</v>
      </c>
      <c r="F682" s="284">
        <f t="shared" ca="1" si="20"/>
        <v>0.39138548853137001</v>
      </c>
      <c r="G682" s="74">
        <v>36.919122489692086</v>
      </c>
      <c r="H682" s="74">
        <f t="shared" si="21"/>
        <v>3.5752778536404364</v>
      </c>
    </row>
    <row r="683" spans="5:8" ht="15.6">
      <c r="E683" s="279" t="s">
        <v>1009</v>
      </c>
      <c r="F683" s="284">
        <f t="shared" ca="1" si="20"/>
        <v>0.55683913694646925</v>
      </c>
      <c r="G683" s="74">
        <v>35.69589118584112</v>
      </c>
      <c r="H683" s="74">
        <f t="shared" si="21"/>
        <v>4.7985091574914023</v>
      </c>
    </row>
    <row r="684" spans="5:8" ht="15.6">
      <c r="E684" s="279" t="s">
        <v>1010</v>
      </c>
      <c r="F684" s="284">
        <f t="shared" ca="1" si="20"/>
        <v>0.36251188983148419</v>
      </c>
      <c r="G684" s="74">
        <v>36.80756996297302</v>
      </c>
      <c r="H684" s="74">
        <f t="shared" si="21"/>
        <v>3.6868303803595026</v>
      </c>
    </row>
    <row r="685" spans="5:8" ht="15.6">
      <c r="E685" s="279" t="s">
        <v>1011</v>
      </c>
      <c r="F685" s="284">
        <f t="shared" ca="1" si="20"/>
        <v>0.21307469057816608</v>
      </c>
      <c r="G685" s="74">
        <v>40.447604298594754</v>
      </c>
      <c r="H685" s="74">
        <f t="shared" si="21"/>
        <v>4.6796044737767772E-2</v>
      </c>
    </row>
    <row r="686" spans="5:8" ht="15.6">
      <c r="E686" s="279" t="s">
        <v>1012</v>
      </c>
      <c r="F686" s="284">
        <f t="shared" ca="1" si="20"/>
        <v>0.16899878200949692</v>
      </c>
      <c r="G686" s="74">
        <v>37.915878378954687</v>
      </c>
      <c r="H686" s="74">
        <f t="shared" si="21"/>
        <v>2.5785219643778348</v>
      </c>
    </row>
    <row r="687" spans="5:8" ht="15.6">
      <c r="E687" s="279" t="s">
        <v>1013</v>
      </c>
      <c r="F687" s="284">
        <f t="shared" ca="1" si="20"/>
        <v>0.14870459461659979</v>
      </c>
      <c r="G687" s="74">
        <v>36.714041239195765</v>
      </c>
      <c r="H687" s="74">
        <f t="shared" si="21"/>
        <v>3.7803591041367568</v>
      </c>
    </row>
    <row r="688" spans="5:8" ht="15.6">
      <c r="E688" s="279" t="s">
        <v>1014</v>
      </c>
      <c r="F688" s="284">
        <f t="shared" ca="1" si="20"/>
        <v>0.19800464122964934</v>
      </c>
      <c r="G688" s="74">
        <v>42.880133047667726</v>
      </c>
      <c r="H688" s="74">
        <f t="shared" si="21"/>
        <v>-2.3857327043352043</v>
      </c>
    </row>
    <row r="689" spans="5:8" ht="15.6">
      <c r="E689" s="279" t="s">
        <v>1015</v>
      </c>
      <c r="F689" s="284">
        <f t="shared" ca="1" si="20"/>
        <v>0.68924428867191656</v>
      </c>
      <c r="G689" s="74">
        <v>39.954859491805834</v>
      </c>
      <c r="H689" s="74">
        <f t="shared" si="21"/>
        <v>0.53954085152668796</v>
      </c>
    </row>
    <row r="690" spans="5:8" ht="15.6">
      <c r="E690" s="279" t="s">
        <v>1016</v>
      </c>
      <c r="F690" s="284">
        <f t="shared" ca="1" si="20"/>
        <v>0.31118040926484014</v>
      </c>
      <c r="G690" s="74">
        <v>44.888135649840514</v>
      </c>
      <c r="H690" s="74">
        <f t="shared" si="21"/>
        <v>-4.3937353065079918</v>
      </c>
    </row>
    <row r="691" spans="5:8" ht="15.6">
      <c r="E691" s="279" t="s">
        <v>1017</v>
      </c>
      <c r="F691" s="284">
        <f t="shared" ca="1" si="20"/>
        <v>6.326082664564836E-2</v>
      </c>
      <c r="G691" s="74">
        <v>38.825505977495069</v>
      </c>
      <c r="H691" s="74">
        <f t="shared" si="21"/>
        <v>1.6688943658374527</v>
      </c>
    </row>
    <row r="692" spans="5:8" ht="15.6">
      <c r="E692" s="279" t="s">
        <v>1018</v>
      </c>
      <c r="F692" s="284">
        <f t="shared" ca="1" si="20"/>
        <v>0.4621566412054664</v>
      </c>
      <c r="G692" s="74">
        <v>35.656197506573726</v>
      </c>
      <c r="H692" s="74">
        <f t="shared" si="21"/>
        <v>4.8382028367587964</v>
      </c>
    </row>
    <row r="693" spans="5:8" ht="15.6">
      <c r="E693" s="279" t="s">
        <v>1019</v>
      </c>
      <c r="F693" s="284">
        <f t="shared" ca="1" si="20"/>
        <v>0.98476974299213649</v>
      </c>
      <c r="G693" s="74">
        <v>43.36888268821879</v>
      </c>
      <c r="H693" s="74">
        <f t="shared" si="21"/>
        <v>-2.8744823448862675</v>
      </c>
    </row>
    <row r="694" spans="5:8" ht="15.6">
      <c r="E694" s="279" t="s">
        <v>1020</v>
      </c>
      <c r="F694" s="284">
        <f t="shared" ca="1" si="20"/>
        <v>0.48952868346662493</v>
      </c>
      <c r="G694" s="74">
        <v>39.02393120489613</v>
      </c>
      <c r="H694" s="74">
        <f t="shared" si="21"/>
        <v>1.4704691384363926</v>
      </c>
    </row>
    <row r="695" spans="5:8" ht="15.6">
      <c r="E695" s="279" t="s">
        <v>1021</v>
      </c>
      <c r="F695" s="284">
        <f t="shared" ca="1" si="20"/>
        <v>0.96324757233443159</v>
      </c>
      <c r="G695" s="74">
        <v>40.846473498951731</v>
      </c>
      <c r="H695" s="74">
        <f t="shared" si="21"/>
        <v>-0.35207315561920893</v>
      </c>
    </row>
    <row r="696" spans="5:8" ht="15.6">
      <c r="E696" s="279" t="s">
        <v>1022</v>
      </c>
      <c r="F696" s="284">
        <f t="shared" ca="1" si="20"/>
        <v>0.96143514241171724</v>
      </c>
      <c r="G696" s="74">
        <v>35.349869295266508</v>
      </c>
      <c r="H696" s="74">
        <f t="shared" si="21"/>
        <v>5.144531048066014</v>
      </c>
    </row>
    <row r="697" spans="5:8" ht="15.6">
      <c r="E697" s="279" t="s">
        <v>1023</v>
      </c>
      <c r="F697" s="284">
        <f t="shared" ca="1" si="20"/>
        <v>0.78158734569342059</v>
      </c>
      <c r="G697" s="74">
        <v>38.006554603126908</v>
      </c>
      <c r="H697" s="74">
        <f t="shared" si="21"/>
        <v>2.4878457402056142</v>
      </c>
    </row>
    <row r="698" spans="5:8" ht="15.6">
      <c r="E698" s="279" t="s">
        <v>1024</v>
      </c>
      <c r="F698" s="284">
        <f t="shared" ca="1" si="20"/>
        <v>0.21731545512225425</v>
      </c>
      <c r="G698" s="74">
        <v>40.735918443269441</v>
      </c>
      <c r="H698" s="74">
        <f t="shared" si="21"/>
        <v>-0.24151809993691842</v>
      </c>
    </row>
    <row r="699" spans="5:8" ht="15.6">
      <c r="E699" s="279" t="s">
        <v>1025</v>
      </c>
      <c r="F699" s="284">
        <f t="shared" ca="1" si="20"/>
        <v>0.28914755851359863</v>
      </c>
      <c r="G699" s="74">
        <v>35.081347777550441</v>
      </c>
      <c r="H699" s="74">
        <f t="shared" si="21"/>
        <v>5.4130525657820812</v>
      </c>
    </row>
    <row r="700" spans="5:8" ht="15.6">
      <c r="E700" s="279" t="s">
        <v>1026</v>
      </c>
      <c r="F700" s="284">
        <f t="shared" ca="1" si="20"/>
        <v>0.44482012361061307</v>
      </c>
      <c r="G700" s="74">
        <v>41.670014889861804</v>
      </c>
      <c r="H700" s="74">
        <f t="shared" si="21"/>
        <v>-1.1756145465292818</v>
      </c>
    </row>
    <row r="701" spans="5:8" ht="15.6">
      <c r="E701" s="279" t="s">
        <v>1027</v>
      </c>
      <c r="F701" s="284">
        <f t="shared" ca="1" si="20"/>
        <v>5.7724882924489851E-2</v>
      </c>
      <c r="G701" s="74">
        <v>42.248632507188063</v>
      </c>
      <c r="H701" s="74">
        <f t="shared" si="21"/>
        <v>-1.7542321638555407</v>
      </c>
    </row>
    <row r="702" spans="5:8" ht="15.6">
      <c r="E702" s="279" t="s">
        <v>1028</v>
      </c>
      <c r="F702" s="284">
        <f t="shared" ca="1" si="20"/>
        <v>0.23325587023327721</v>
      </c>
      <c r="G702" s="74">
        <v>43.402680535065571</v>
      </c>
      <c r="H702" s="74">
        <f t="shared" si="21"/>
        <v>-2.9082801917330485</v>
      </c>
    </row>
    <row r="703" spans="5:8" ht="15.6">
      <c r="E703" s="279" t="s">
        <v>1029</v>
      </c>
      <c r="F703" s="284">
        <f t="shared" ca="1" si="20"/>
        <v>0.85396115865589062</v>
      </c>
      <c r="G703" s="74">
        <v>37.355381520574845</v>
      </c>
      <c r="H703" s="74">
        <f t="shared" si="21"/>
        <v>3.1390188227576772</v>
      </c>
    </row>
    <row r="704" spans="5:8" ht="15.6">
      <c r="E704" s="279" t="s">
        <v>1030</v>
      </c>
      <c r="F704" s="284">
        <f t="shared" ca="1" si="20"/>
        <v>0.83374455912885359</v>
      </c>
      <c r="G704" s="74">
        <v>35.440321155830524</v>
      </c>
      <c r="H704" s="74">
        <f t="shared" si="21"/>
        <v>5.0540791875019977</v>
      </c>
    </row>
    <row r="705" spans="5:8" ht="15.6">
      <c r="E705" s="279" t="s">
        <v>1031</v>
      </c>
      <c r="F705" s="284">
        <f t="shared" ca="1" si="20"/>
        <v>0.80991897248041711</v>
      </c>
      <c r="G705" s="74">
        <v>41.497147530377049</v>
      </c>
      <c r="H705" s="74">
        <f t="shared" si="21"/>
        <v>-1.0027471870445268</v>
      </c>
    </row>
    <row r="706" spans="5:8" ht="15.6">
      <c r="E706" s="279" t="s">
        <v>1032</v>
      </c>
      <c r="F706" s="284">
        <f t="shared" ca="1" si="20"/>
        <v>6.1724439637691808E-2</v>
      </c>
      <c r="G706" s="74">
        <v>41.468422031279744</v>
      </c>
      <c r="H706" s="74">
        <f t="shared" si="21"/>
        <v>-0.97402168794722144</v>
      </c>
    </row>
    <row r="707" spans="5:8" ht="15.6">
      <c r="E707" s="279" t="s">
        <v>1033</v>
      </c>
      <c r="F707" s="284">
        <f t="shared" ca="1" si="20"/>
        <v>0.89973619015784378</v>
      </c>
      <c r="G707" s="74">
        <v>36.494766668638363</v>
      </c>
      <c r="H707" s="74">
        <f t="shared" si="21"/>
        <v>3.9996336746941594</v>
      </c>
    </row>
    <row r="708" spans="5:8" ht="15.6">
      <c r="E708" s="279" t="s">
        <v>1034</v>
      </c>
      <c r="F708" s="284">
        <f t="shared" ca="1" si="20"/>
        <v>0.96893943047892372</v>
      </c>
      <c r="G708" s="74">
        <v>39.155854439125896</v>
      </c>
      <c r="H708" s="74">
        <f t="shared" si="21"/>
        <v>1.3385459042066259</v>
      </c>
    </row>
    <row r="709" spans="5:8" ht="15.6">
      <c r="E709" s="279" t="s">
        <v>1035</v>
      </c>
      <c r="F709" s="284">
        <f t="shared" ca="1" si="20"/>
        <v>4.3674296937969537E-2</v>
      </c>
      <c r="G709" s="74">
        <v>35.857872152809058</v>
      </c>
      <c r="H709" s="74">
        <f t="shared" si="21"/>
        <v>4.6365281905234639</v>
      </c>
    </row>
    <row r="710" spans="5:8" ht="15.6">
      <c r="E710" s="279" t="s">
        <v>1036</v>
      </c>
      <c r="F710" s="284">
        <f t="shared" ca="1" si="20"/>
        <v>0.11330316541679208</v>
      </c>
      <c r="G710" s="74">
        <v>37.444728745388673</v>
      </c>
      <c r="H710" s="74">
        <f t="shared" si="21"/>
        <v>3.0496715979438491</v>
      </c>
    </row>
    <row r="711" spans="5:8" ht="15.6">
      <c r="E711" s="279" t="s">
        <v>1037</v>
      </c>
      <c r="F711" s="284">
        <f t="shared" ca="1" si="20"/>
        <v>0.38620577315456472</v>
      </c>
      <c r="G711" s="74">
        <v>39.470110978170027</v>
      </c>
      <c r="H711" s="74">
        <f t="shared" si="21"/>
        <v>1.0242893651624954</v>
      </c>
    </row>
    <row r="712" spans="5:8" ht="15.6">
      <c r="E712" s="279" t="s">
        <v>1038</v>
      </c>
      <c r="F712" s="284">
        <f t="shared" ca="1" si="20"/>
        <v>0.42994156102580772</v>
      </c>
      <c r="G712" s="74">
        <v>41.648114013033506</v>
      </c>
      <c r="H712" s="74">
        <f t="shared" si="21"/>
        <v>-1.1537136697009842</v>
      </c>
    </row>
    <row r="713" spans="5:8" ht="15.6">
      <c r="E713" s="279" t="s">
        <v>1039</v>
      </c>
      <c r="F713" s="284">
        <f t="shared" ca="1" si="20"/>
        <v>0.10928697238969021</v>
      </c>
      <c r="G713" s="74">
        <v>40.895723470974069</v>
      </c>
      <c r="H713" s="74">
        <f t="shared" si="21"/>
        <v>-0.40132312764154676</v>
      </c>
    </row>
    <row r="714" spans="5:8" ht="15.6">
      <c r="E714" s="279" t="s">
        <v>1040</v>
      </c>
      <c r="F714" s="284">
        <f t="shared" ca="1" si="20"/>
        <v>0.4666174049170192</v>
      </c>
      <c r="G714" s="74">
        <v>38.117262811503231</v>
      </c>
      <c r="H714" s="74">
        <f t="shared" si="21"/>
        <v>2.3771375318292911</v>
      </c>
    </row>
    <row r="715" spans="5:8" ht="15.6">
      <c r="E715" s="279" t="s">
        <v>1041</v>
      </c>
      <c r="F715" s="284">
        <f t="shared" ca="1" si="20"/>
        <v>0.68583739322715809</v>
      </c>
      <c r="G715" s="74">
        <v>36.562670972191938</v>
      </c>
      <c r="H715" s="74">
        <f t="shared" si="21"/>
        <v>3.9317293711405839</v>
      </c>
    </row>
    <row r="716" spans="5:8" ht="15.6">
      <c r="E716" s="279" t="s">
        <v>1042</v>
      </c>
      <c r="F716" s="284">
        <f t="shared" ref="F716:F779" ca="1" si="22">RAND()</f>
        <v>0.78927808816023515</v>
      </c>
      <c r="G716" s="74">
        <v>41.929342441151064</v>
      </c>
      <c r="H716" s="74">
        <f t="shared" ref="H716:H779" si="23">$D$2-G716</f>
        <v>-1.4349420978185421</v>
      </c>
    </row>
    <row r="717" spans="5:8" ht="15.6">
      <c r="E717" s="279" t="s">
        <v>1043</v>
      </c>
      <c r="F717" s="284">
        <f t="shared" ca="1" si="22"/>
        <v>0.59847144139108865</v>
      </c>
      <c r="G717" s="74">
        <v>38.916355525579803</v>
      </c>
      <c r="H717" s="74">
        <f t="shared" si="23"/>
        <v>1.5780448177527191</v>
      </c>
    </row>
    <row r="718" spans="5:8" ht="15.6">
      <c r="E718" s="279" t="s">
        <v>1044</v>
      </c>
      <c r="F718" s="284">
        <f t="shared" ca="1" si="22"/>
        <v>0.48853290073299149</v>
      </c>
      <c r="G718" s="74">
        <v>36.234247603613376</v>
      </c>
      <c r="H718" s="74">
        <f t="shared" si="23"/>
        <v>4.2601527397191461</v>
      </c>
    </row>
    <row r="719" spans="5:8" ht="15.6">
      <c r="E719" s="279" t="s">
        <v>1045</v>
      </c>
      <c r="F719" s="284">
        <f t="shared" ca="1" si="22"/>
        <v>0.57337692473111068</v>
      </c>
      <c r="G719" s="74">
        <v>44.074930972610566</v>
      </c>
      <c r="H719" s="74">
        <f t="shared" si="23"/>
        <v>-3.5805306292780443</v>
      </c>
    </row>
    <row r="720" spans="5:8" ht="15.6">
      <c r="E720" s="279" t="s">
        <v>1046</v>
      </c>
      <c r="F720" s="284">
        <f t="shared" ca="1" si="22"/>
        <v>0.7648863206300559</v>
      </c>
      <c r="G720" s="74">
        <v>37.323024449909745</v>
      </c>
      <c r="H720" s="74">
        <f t="shared" si="23"/>
        <v>3.1713758934227769</v>
      </c>
    </row>
    <row r="721" spans="5:8" ht="15.6">
      <c r="E721" s="279" t="s">
        <v>1047</v>
      </c>
      <c r="F721" s="284">
        <f t="shared" ca="1" si="22"/>
        <v>0.94213172739698614</v>
      </c>
      <c r="G721" s="74">
        <v>39.548834067912672</v>
      </c>
      <c r="H721" s="74">
        <f t="shared" si="23"/>
        <v>0.94556627541984994</v>
      </c>
    </row>
    <row r="722" spans="5:8" ht="15.6">
      <c r="E722" s="279" t="s">
        <v>1048</v>
      </c>
      <c r="F722" s="284">
        <f t="shared" ca="1" si="22"/>
        <v>8.7651082849655948E-2</v>
      </c>
      <c r="G722" s="74">
        <v>42.034058671321077</v>
      </c>
      <c r="H722" s="74">
        <f t="shared" si="23"/>
        <v>-1.5396583279885547</v>
      </c>
    </row>
    <row r="723" spans="5:8" ht="15.6">
      <c r="E723" s="279" t="s">
        <v>1049</v>
      </c>
      <c r="F723" s="284">
        <f t="shared" ca="1" si="22"/>
        <v>0.75470791930777203</v>
      </c>
      <c r="G723" s="74">
        <v>38.996751025919387</v>
      </c>
      <c r="H723" s="74">
        <f t="shared" si="23"/>
        <v>1.4976493174131349</v>
      </c>
    </row>
    <row r="724" spans="5:8" ht="15.6">
      <c r="E724" s="279" t="s">
        <v>1050</v>
      </c>
      <c r="F724" s="284">
        <f t="shared" ca="1" si="22"/>
        <v>0.30701538211427348</v>
      </c>
      <c r="G724" s="74">
        <v>39.923867116601926</v>
      </c>
      <c r="H724" s="74">
        <f t="shared" si="23"/>
        <v>0.57053322673059625</v>
      </c>
    </row>
    <row r="725" spans="5:8" ht="15.6">
      <c r="E725" s="279" t="s">
        <v>1051</v>
      </c>
      <c r="F725" s="284">
        <f t="shared" ca="1" si="22"/>
        <v>0.9512023058846345</v>
      </c>
      <c r="G725" s="74">
        <v>36.175659741561347</v>
      </c>
      <c r="H725" s="74">
        <f t="shared" si="23"/>
        <v>4.3187406017711751</v>
      </c>
    </row>
    <row r="726" spans="5:8" ht="15.6">
      <c r="E726" s="279" t="s">
        <v>1052</v>
      </c>
      <c r="F726" s="284">
        <f t="shared" ca="1" si="22"/>
        <v>1.5933690863593308E-2</v>
      </c>
      <c r="G726" s="74">
        <v>38.343889629699802</v>
      </c>
      <c r="H726" s="74">
        <f t="shared" si="23"/>
        <v>2.1505107136327197</v>
      </c>
    </row>
    <row r="727" spans="5:8" ht="15.6">
      <c r="E727" s="279" t="s">
        <v>1053</v>
      </c>
      <c r="F727" s="284">
        <f t="shared" ca="1" si="22"/>
        <v>0.55229314324180245</v>
      </c>
      <c r="G727" s="74">
        <v>34.618048051159157</v>
      </c>
      <c r="H727" s="74">
        <f t="shared" si="23"/>
        <v>5.8763522921733653</v>
      </c>
    </row>
    <row r="728" spans="5:8" ht="15.6">
      <c r="E728" s="279" t="s">
        <v>1054</v>
      </c>
      <c r="F728" s="284">
        <f t="shared" ca="1" si="22"/>
        <v>0.34090261620749329</v>
      </c>
      <c r="G728" s="74">
        <v>43.011442712471002</v>
      </c>
      <c r="H728" s="74">
        <f t="shared" si="23"/>
        <v>-2.5170423691384798</v>
      </c>
    </row>
    <row r="729" spans="5:8" ht="15.6">
      <c r="E729" s="279" t="s">
        <v>1055</v>
      </c>
      <c r="F729" s="284">
        <f t="shared" ca="1" si="22"/>
        <v>0.62118410840726201</v>
      </c>
      <c r="G729" s="74">
        <v>37.755069224159236</v>
      </c>
      <c r="H729" s="74">
        <f t="shared" si="23"/>
        <v>2.7393311191732863</v>
      </c>
    </row>
    <row r="730" spans="5:8" ht="15.6">
      <c r="E730" s="279" t="s">
        <v>1056</v>
      </c>
      <c r="F730" s="284">
        <f t="shared" ca="1" si="22"/>
        <v>0.37154022150004051</v>
      </c>
      <c r="G730" s="74">
        <v>36.52645649666735</v>
      </c>
      <c r="H730" s="74">
        <f t="shared" si="23"/>
        <v>3.9679438466651717</v>
      </c>
    </row>
    <row r="731" spans="5:8" ht="15.6">
      <c r="E731" s="279" t="s">
        <v>1057</v>
      </c>
      <c r="F731" s="284">
        <f t="shared" ca="1" si="22"/>
        <v>0.17867005801539759</v>
      </c>
      <c r="G731" s="74">
        <v>35.55488936153651</v>
      </c>
      <c r="H731" s="74">
        <f t="shared" si="23"/>
        <v>4.9395109817960119</v>
      </c>
    </row>
    <row r="732" spans="5:8" ht="15.6">
      <c r="E732" s="279" t="s">
        <v>1058</v>
      </c>
      <c r="F732" s="284">
        <f t="shared" ca="1" si="22"/>
        <v>3.9271803615028023E-2</v>
      </c>
      <c r="G732" s="74">
        <v>37.396879563234108</v>
      </c>
      <c r="H732" s="74">
        <f t="shared" si="23"/>
        <v>3.0975207800984137</v>
      </c>
    </row>
    <row r="733" spans="5:8" ht="15.6">
      <c r="E733" s="279" t="s">
        <v>1059</v>
      </c>
      <c r="F733" s="284">
        <f t="shared" ca="1" si="22"/>
        <v>2.1883612332413427E-2</v>
      </c>
      <c r="G733" s="74">
        <v>42.429248137968202</v>
      </c>
      <c r="H733" s="74">
        <f t="shared" si="23"/>
        <v>-1.9348477946356795</v>
      </c>
    </row>
    <row r="734" spans="5:8" ht="15.6">
      <c r="E734" s="279" t="s">
        <v>1060</v>
      </c>
      <c r="F734" s="284">
        <f t="shared" ca="1" si="22"/>
        <v>0.53646150289305283</v>
      </c>
      <c r="G734" s="74">
        <v>39.999103962696594</v>
      </c>
      <c r="H734" s="74">
        <f t="shared" si="23"/>
        <v>0.49529638063592785</v>
      </c>
    </row>
    <row r="735" spans="5:8" ht="15.6">
      <c r="E735" s="279" t="s">
        <v>1061</v>
      </c>
      <c r="F735" s="284">
        <f t="shared" ca="1" si="22"/>
        <v>0.43003395856250115</v>
      </c>
      <c r="G735" s="74">
        <v>38.079556374263447</v>
      </c>
      <c r="H735" s="74">
        <f t="shared" si="23"/>
        <v>2.4148439690690751</v>
      </c>
    </row>
    <row r="736" spans="5:8" ht="15.6">
      <c r="E736" s="279" t="s">
        <v>1062</v>
      </c>
      <c r="F736" s="284">
        <f t="shared" ca="1" si="22"/>
        <v>0.80564756307742169</v>
      </c>
      <c r="G736" s="74">
        <v>39.721110412262199</v>
      </c>
      <c r="H736" s="74">
        <f t="shared" si="23"/>
        <v>0.77328993107032318</v>
      </c>
    </row>
    <row r="737" spans="5:8" ht="15.6">
      <c r="E737" s="279" t="s">
        <v>1063</v>
      </c>
      <c r="F737" s="284">
        <f t="shared" ca="1" si="22"/>
        <v>0.27460359996430395</v>
      </c>
      <c r="G737" s="74">
        <v>44.174307090647503</v>
      </c>
      <c r="H737" s="74">
        <f t="shared" si="23"/>
        <v>-3.6799067473149805</v>
      </c>
    </row>
    <row r="738" spans="5:8" ht="15.6">
      <c r="E738" s="279" t="s">
        <v>1064</v>
      </c>
      <c r="F738" s="284">
        <f t="shared" ca="1" si="22"/>
        <v>0.31407150151766794</v>
      </c>
      <c r="G738" s="74">
        <v>35.935845922089264</v>
      </c>
      <c r="H738" s="74">
        <f t="shared" si="23"/>
        <v>4.558554421243258</v>
      </c>
    </row>
    <row r="739" spans="5:8" ht="15.6">
      <c r="E739" s="279" t="s">
        <v>1065</v>
      </c>
      <c r="F739" s="284">
        <f t="shared" ca="1" si="22"/>
        <v>0.54262076042833329</v>
      </c>
      <c r="G739" s="74">
        <v>41.087616714090942</v>
      </c>
      <c r="H739" s="74">
        <f t="shared" si="23"/>
        <v>-0.59321637075841949</v>
      </c>
    </row>
    <row r="740" spans="5:8" ht="15.6">
      <c r="E740" s="279" t="s">
        <v>1066</v>
      </c>
      <c r="F740" s="284">
        <f t="shared" ca="1" si="22"/>
        <v>0.10026546167735162</v>
      </c>
      <c r="G740" s="74">
        <v>39.530281267763129</v>
      </c>
      <c r="H740" s="74">
        <f t="shared" si="23"/>
        <v>0.96411907556939269</v>
      </c>
    </row>
    <row r="741" spans="5:8" ht="15.6">
      <c r="E741" s="279" t="s">
        <v>1067</v>
      </c>
      <c r="F741" s="284">
        <f t="shared" ca="1" si="22"/>
        <v>7.3086668865454674E-2</v>
      </c>
      <c r="G741" s="74">
        <v>37.329665737576121</v>
      </c>
      <c r="H741" s="74">
        <f t="shared" si="23"/>
        <v>3.1647346057564008</v>
      </c>
    </row>
    <row r="742" spans="5:8" ht="15.6">
      <c r="E742" s="279" t="s">
        <v>1068</v>
      </c>
      <c r="F742" s="284">
        <f t="shared" ca="1" si="22"/>
        <v>0.90264597225857535</v>
      </c>
      <c r="G742" s="74">
        <v>36.408954594441347</v>
      </c>
      <c r="H742" s="74">
        <f t="shared" si="23"/>
        <v>4.0854457488911748</v>
      </c>
    </row>
    <row r="743" spans="5:8" ht="15.6">
      <c r="E743" s="279" t="s">
        <v>1069</v>
      </c>
      <c r="F743" s="284">
        <f t="shared" ca="1" si="22"/>
        <v>0.74609323026734176</v>
      </c>
      <c r="G743" s="74">
        <v>39.617986744508698</v>
      </c>
      <c r="H743" s="74">
        <f t="shared" si="23"/>
        <v>0.87641359882382375</v>
      </c>
    </row>
    <row r="744" spans="5:8" ht="15.6">
      <c r="E744" s="279" t="s">
        <v>1070</v>
      </c>
      <c r="F744" s="284">
        <f t="shared" ca="1" si="22"/>
        <v>0.49301829323228119</v>
      </c>
      <c r="G744" s="74">
        <v>37.977685979837894</v>
      </c>
      <c r="H744" s="74">
        <f t="shared" si="23"/>
        <v>2.5167143634946285</v>
      </c>
    </row>
    <row r="745" spans="5:8" ht="15.6">
      <c r="E745" s="279" t="s">
        <v>1071</v>
      </c>
      <c r="F745" s="284">
        <f t="shared" ca="1" si="22"/>
        <v>0.85077452509577456</v>
      </c>
      <c r="G745" s="74">
        <v>33.359497747762774</v>
      </c>
      <c r="H745" s="74">
        <f t="shared" si="23"/>
        <v>7.1349025955697485</v>
      </c>
    </row>
    <row r="746" spans="5:8" ht="15.6">
      <c r="E746" s="279" t="s">
        <v>1072</v>
      </c>
      <c r="F746" s="284">
        <f t="shared" ca="1" si="22"/>
        <v>0.21800574176899568</v>
      </c>
      <c r="G746" s="74">
        <v>41.868758139680068</v>
      </c>
      <c r="H746" s="74">
        <f t="shared" si="23"/>
        <v>-1.374357796347546</v>
      </c>
    </row>
    <row r="747" spans="5:8" ht="15.6">
      <c r="E747" s="279" t="s">
        <v>1073</v>
      </c>
      <c r="F747" s="284">
        <f t="shared" ca="1" si="22"/>
        <v>0.74703976727314647</v>
      </c>
      <c r="G747" s="74">
        <v>42.128313144570953</v>
      </c>
      <c r="H747" s="74">
        <f t="shared" si="23"/>
        <v>-1.6339128012384307</v>
      </c>
    </row>
    <row r="748" spans="5:8" ht="15.6">
      <c r="E748" s="279" t="s">
        <v>1074</v>
      </c>
      <c r="F748" s="284">
        <f t="shared" ca="1" si="22"/>
        <v>0.70295485938295599</v>
      </c>
      <c r="G748" s="74">
        <v>37.362045937016752</v>
      </c>
      <c r="H748" s="74">
        <f t="shared" si="23"/>
        <v>3.1323544063157698</v>
      </c>
    </row>
    <row r="749" spans="5:8" ht="15.6">
      <c r="E749" s="279" t="s">
        <v>1075</v>
      </c>
      <c r="F749" s="284">
        <f t="shared" ca="1" si="22"/>
        <v>0.190648129119941</v>
      </c>
      <c r="G749" s="74">
        <v>41.686709258613</v>
      </c>
      <c r="H749" s="74">
        <f t="shared" si="23"/>
        <v>-1.1923089152804778</v>
      </c>
    </row>
    <row r="750" spans="5:8" ht="15.6">
      <c r="E750" s="279" t="s">
        <v>1076</v>
      </c>
      <c r="F750" s="284">
        <f t="shared" ca="1" si="22"/>
        <v>0.24548226111852378</v>
      </c>
      <c r="G750" s="74">
        <v>42.012243422151101</v>
      </c>
      <c r="H750" s="74">
        <f t="shared" si="23"/>
        <v>-1.5178430788185793</v>
      </c>
    </row>
    <row r="751" spans="5:8" ht="15.6">
      <c r="E751" s="279" t="s">
        <v>1077</v>
      </c>
      <c r="F751" s="284">
        <f t="shared" ca="1" si="22"/>
        <v>0.47111464612779841</v>
      </c>
      <c r="G751" s="74">
        <v>38.823297716442632</v>
      </c>
      <c r="H751" s="74">
        <f t="shared" si="23"/>
        <v>1.6711026268898905</v>
      </c>
    </row>
    <row r="752" spans="5:8" ht="15.6">
      <c r="E752" s="279" t="s">
        <v>1078</v>
      </c>
      <c r="F752" s="284">
        <f t="shared" ca="1" si="22"/>
        <v>0.33196781980142431</v>
      </c>
      <c r="G752" s="74">
        <v>38.848418202062007</v>
      </c>
      <c r="H752" s="74">
        <f t="shared" si="23"/>
        <v>1.6459821412705153</v>
      </c>
    </row>
    <row r="753" spans="5:8" ht="15.6">
      <c r="E753" s="279" t="s">
        <v>1079</v>
      </c>
      <c r="F753" s="284">
        <f t="shared" ca="1" si="22"/>
        <v>0.15061080205075017</v>
      </c>
      <c r="G753" s="74">
        <v>38.110471170867172</v>
      </c>
      <c r="H753" s="74">
        <f t="shared" si="23"/>
        <v>2.3839291724653506</v>
      </c>
    </row>
    <row r="754" spans="5:8" ht="15.6">
      <c r="E754" s="279" t="s">
        <v>1080</v>
      </c>
      <c r="F754" s="284">
        <f t="shared" ca="1" si="22"/>
        <v>0.28742639715699247</v>
      </c>
      <c r="G754" s="74">
        <v>39.42961328764887</v>
      </c>
      <c r="H754" s="74">
        <f t="shared" si="23"/>
        <v>1.0647870556836523</v>
      </c>
    </row>
    <row r="755" spans="5:8" ht="15.6">
      <c r="E755" s="279" t="s">
        <v>1081</v>
      </c>
      <c r="F755" s="284">
        <f t="shared" ca="1" si="22"/>
        <v>0.33667920651088623</v>
      </c>
      <c r="G755" s="74">
        <v>39.458214108396547</v>
      </c>
      <c r="H755" s="74">
        <f t="shared" si="23"/>
        <v>1.0361862349359754</v>
      </c>
    </row>
    <row r="756" spans="5:8" ht="15.6">
      <c r="E756" s="279" t="s">
        <v>1082</v>
      </c>
      <c r="F756" s="284">
        <f t="shared" ca="1" si="22"/>
        <v>0.9838520633415756</v>
      </c>
      <c r="G756" s="74">
        <v>42.464501225736981</v>
      </c>
      <c r="H756" s="74">
        <f t="shared" si="23"/>
        <v>-1.9701008824044592</v>
      </c>
    </row>
    <row r="757" spans="5:8" ht="15.6">
      <c r="E757" s="279" t="s">
        <v>1083</v>
      </c>
      <c r="F757" s="284">
        <f t="shared" ca="1" si="22"/>
        <v>0.54721868949962338</v>
      </c>
      <c r="G757" s="74">
        <v>40.906388184388796</v>
      </c>
      <c r="H757" s="74">
        <f t="shared" si="23"/>
        <v>-0.4119878410562734</v>
      </c>
    </row>
    <row r="758" spans="5:8" ht="15.6">
      <c r="E758" s="279" t="s">
        <v>1084</v>
      </c>
      <c r="F758" s="284">
        <f t="shared" ca="1" si="22"/>
        <v>0.74255440402495687</v>
      </c>
      <c r="G758" s="74">
        <v>43.974876033458315</v>
      </c>
      <c r="H758" s="74">
        <f t="shared" si="23"/>
        <v>-3.4804756901257932</v>
      </c>
    </row>
    <row r="759" spans="5:8" ht="15.6">
      <c r="E759" s="279" t="s">
        <v>1085</v>
      </c>
      <c r="F759" s="284">
        <f t="shared" ca="1" si="22"/>
        <v>0.22752248027895206</v>
      </c>
      <c r="G759" s="74">
        <v>43.894182726663558</v>
      </c>
      <c r="H759" s="74">
        <f t="shared" si="23"/>
        <v>-3.3997823833310363</v>
      </c>
    </row>
    <row r="760" spans="5:8" ht="15.6">
      <c r="E760" s="279" t="s">
        <v>1086</v>
      </c>
      <c r="F760" s="284">
        <f t="shared" ca="1" si="22"/>
        <v>0.20688114388429757</v>
      </c>
      <c r="G760" s="74">
        <v>41.72440416732433</v>
      </c>
      <c r="H760" s="74">
        <f t="shared" si="23"/>
        <v>-1.2300038239918081</v>
      </c>
    </row>
    <row r="761" spans="5:8" ht="15.6">
      <c r="E761" s="279" t="s">
        <v>1087</v>
      </c>
      <c r="F761" s="284">
        <f t="shared" ca="1" si="22"/>
        <v>0.81437172867148344</v>
      </c>
      <c r="G761" s="74">
        <v>39.306282740434568</v>
      </c>
      <c r="H761" s="74">
        <f t="shared" si="23"/>
        <v>1.1881176028979539</v>
      </c>
    </row>
    <row r="762" spans="5:8" ht="15.6">
      <c r="E762" s="279" t="s">
        <v>1088</v>
      </c>
      <c r="F762" s="284">
        <f t="shared" ca="1" si="22"/>
        <v>0.15305973627962277</v>
      </c>
      <c r="G762" s="74">
        <v>34.686767670995735</v>
      </c>
      <c r="H762" s="74">
        <f t="shared" si="23"/>
        <v>5.807632672336787</v>
      </c>
    </row>
    <row r="763" spans="5:8" ht="15.6">
      <c r="E763" s="279" t="s">
        <v>1089</v>
      </c>
      <c r="F763" s="284">
        <f t="shared" ca="1" si="22"/>
        <v>0.60915462085004368</v>
      </c>
      <c r="G763" s="74">
        <v>38.786051140003522</v>
      </c>
      <c r="H763" s="74">
        <f t="shared" si="23"/>
        <v>1.708349203329</v>
      </c>
    </row>
    <row r="764" spans="5:8" ht="15.6">
      <c r="E764" s="279" t="s">
        <v>1090</v>
      </c>
      <c r="F764" s="284">
        <f t="shared" ca="1" si="22"/>
        <v>0.29451084551740803</v>
      </c>
      <c r="G764" s="74">
        <v>37.521541313872078</v>
      </c>
      <c r="H764" s="74">
        <f t="shared" si="23"/>
        <v>2.9728590294604444</v>
      </c>
    </row>
    <row r="765" spans="5:8" ht="15.6">
      <c r="E765" s="279" t="s">
        <v>1091</v>
      </c>
      <c r="F765" s="284">
        <f t="shared" ca="1" si="22"/>
        <v>0.44653638861877976</v>
      </c>
      <c r="G765" s="74">
        <v>36.80223049299827</v>
      </c>
      <c r="H765" s="74">
        <f t="shared" si="23"/>
        <v>3.6921698503342526</v>
      </c>
    </row>
    <row r="766" spans="5:8" ht="15.6">
      <c r="E766" s="279" t="s">
        <v>1092</v>
      </c>
      <c r="F766" s="284">
        <f t="shared" ca="1" si="22"/>
        <v>9.645118792830798E-2</v>
      </c>
      <c r="G766" s="74">
        <v>36.318172904338475</v>
      </c>
      <c r="H766" s="74">
        <f t="shared" si="23"/>
        <v>4.1762274389940472</v>
      </c>
    </row>
    <row r="767" spans="5:8" ht="15.6">
      <c r="E767" s="279" t="s">
        <v>1093</v>
      </c>
      <c r="F767" s="284">
        <f t="shared" ca="1" si="22"/>
        <v>0.31470116062299813</v>
      </c>
      <c r="G767" s="74">
        <v>36.838921725400354</v>
      </c>
      <c r="H767" s="74">
        <f t="shared" si="23"/>
        <v>3.6554786179321681</v>
      </c>
    </row>
    <row r="768" spans="5:8" ht="15.6">
      <c r="E768" s="279" t="s">
        <v>1094</v>
      </c>
      <c r="F768" s="284">
        <f t="shared" ca="1" si="22"/>
        <v>0.9668689957183233</v>
      </c>
      <c r="G768" s="74">
        <v>40.893152492582175</v>
      </c>
      <c r="H768" s="74">
        <f t="shared" si="23"/>
        <v>-0.39875214924965263</v>
      </c>
    </row>
    <row r="769" spans="5:8" ht="15.6">
      <c r="E769" s="279" t="s">
        <v>1095</v>
      </c>
      <c r="F769" s="284">
        <f t="shared" ca="1" si="22"/>
        <v>0.49849538399792315</v>
      </c>
      <c r="G769" s="74">
        <v>40.156379491495237</v>
      </c>
      <c r="H769" s="74">
        <f t="shared" si="23"/>
        <v>0.33802085183728536</v>
      </c>
    </row>
    <row r="770" spans="5:8" ht="15.6">
      <c r="E770" s="279" t="s">
        <v>1096</v>
      </c>
      <c r="F770" s="284">
        <f t="shared" ca="1" si="22"/>
        <v>0.91028470943467377</v>
      </c>
      <c r="G770" s="74">
        <v>37.370676729527581</v>
      </c>
      <c r="H770" s="74">
        <f t="shared" si="23"/>
        <v>3.1237236138049411</v>
      </c>
    </row>
    <row r="771" spans="5:8" ht="15.6">
      <c r="E771" s="279" t="s">
        <v>1097</v>
      </c>
      <c r="F771" s="284">
        <f t="shared" ca="1" si="22"/>
        <v>0.56025158263864216</v>
      </c>
      <c r="G771" s="74">
        <v>41.698894633324869</v>
      </c>
      <c r="H771" s="74">
        <f t="shared" si="23"/>
        <v>-1.204494289992347</v>
      </c>
    </row>
    <row r="772" spans="5:8" ht="15.6">
      <c r="E772" s="279" t="s">
        <v>1098</v>
      </c>
      <c r="F772" s="284">
        <f t="shared" ca="1" si="22"/>
        <v>0.70627732263451071</v>
      </c>
      <c r="G772" s="74">
        <v>36.953132949253053</v>
      </c>
      <c r="H772" s="74">
        <f t="shared" si="23"/>
        <v>3.541267394079469</v>
      </c>
    </row>
    <row r="773" spans="5:8" ht="15.6">
      <c r="E773" s="279" t="s">
        <v>1099</v>
      </c>
      <c r="F773" s="284">
        <f t="shared" ca="1" si="22"/>
        <v>0.36574695758162989</v>
      </c>
      <c r="G773" s="74">
        <v>41.004734442045262</v>
      </c>
      <c r="H773" s="74">
        <f t="shared" si="23"/>
        <v>-0.5103340987127396</v>
      </c>
    </row>
    <row r="774" spans="5:8" ht="15.6">
      <c r="E774" s="279" t="s">
        <v>1100</v>
      </c>
      <c r="F774" s="284">
        <f t="shared" ca="1" si="22"/>
        <v>1.5710699453172494E-2</v>
      </c>
      <c r="G774" s="74">
        <v>38.943273355972373</v>
      </c>
      <c r="H774" s="74">
        <f t="shared" si="23"/>
        <v>1.5511269873601492</v>
      </c>
    </row>
    <row r="775" spans="5:8" ht="15.6">
      <c r="E775" s="279" t="s">
        <v>1101</v>
      </c>
      <c r="F775" s="284">
        <f t="shared" ca="1" si="22"/>
        <v>0.13840378203061654</v>
      </c>
      <c r="G775" s="74">
        <v>40.534788080189116</v>
      </c>
      <c r="H775" s="74">
        <f t="shared" si="23"/>
        <v>-4.0387736856594358E-2</v>
      </c>
    </row>
    <row r="776" spans="5:8" ht="15.6">
      <c r="E776" s="279" t="s">
        <v>1102</v>
      </c>
      <c r="F776" s="284">
        <f t="shared" ca="1" si="22"/>
        <v>0.30635129419386908</v>
      </c>
      <c r="G776" s="74">
        <v>44.32469526309405</v>
      </c>
      <c r="H776" s="74">
        <f t="shared" si="23"/>
        <v>-3.8302949197615277</v>
      </c>
    </row>
    <row r="777" spans="5:8" ht="15.6">
      <c r="E777" s="279" t="s">
        <v>1103</v>
      </c>
      <c r="F777" s="284">
        <f t="shared" ca="1" si="22"/>
        <v>0.47593580632080912</v>
      </c>
      <c r="G777" s="74">
        <v>34.804302766879715</v>
      </c>
      <c r="H777" s="74">
        <f t="shared" si="23"/>
        <v>5.690097576452807</v>
      </c>
    </row>
    <row r="778" spans="5:8" ht="15.6">
      <c r="E778" s="279" t="s">
        <v>1104</v>
      </c>
      <c r="F778" s="284">
        <f t="shared" ca="1" si="22"/>
        <v>0.60568780750611795</v>
      </c>
      <c r="G778" s="74">
        <v>37.735442958025232</v>
      </c>
      <c r="H778" s="74">
        <f t="shared" si="23"/>
        <v>2.7589573853072906</v>
      </c>
    </row>
    <row r="779" spans="5:8" ht="15.6">
      <c r="E779" s="279" t="s">
        <v>1105</v>
      </c>
      <c r="F779" s="284">
        <f t="shared" ca="1" si="22"/>
        <v>0.99568414874751565</v>
      </c>
      <c r="G779" s="74">
        <v>40.272083132981365</v>
      </c>
      <c r="H779" s="74">
        <f t="shared" si="23"/>
        <v>0.22231721035115726</v>
      </c>
    </row>
    <row r="780" spans="5:8" ht="15.6">
      <c r="E780" s="279" t="s">
        <v>1106</v>
      </c>
      <c r="F780" s="284">
        <f t="shared" ref="F780:F843" ca="1" si="24">RAND()</f>
        <v>0.68963959705219902</v>
      </c>
      <c r="G780" s="74">
        <v>35.965820051854266</v>
      </c>
      <c r="H780" s="74">
        <f t="shared" ref="H780:H843" si="25">$D$2-G780</f>
        <v>4.5285802914782565</v>
      </c>
    </row>
    <row r="781" spans="5:8" ht="15.6">
      <c r="E781" s="279" t="s">
        <v>1107</v>
      </c>
      <c r="F781" s="284">
        <f t="shared" ca="1" si="24"/>
        <v>0.57870638197996771</v>
      </c>
      <c r="G781" s="74">
        <v>38.226601486860275</v>
      </c>
      <c r="H781" s="74">
        <f t="shared" si="25"/>
        <v>2.2677988564722469</v>
      </c>
    </row>
    <row r="782" spans="5:8" ht="15.6">
      <c r="E782" s="279" t="s">
        <v>1108</v>
      </c>
      <c r="F782" s="284">
        <f t="shared" ca="1" si="24"/>
        <v>0.13483655595402044</v>
      </c>
      <c r="G782" s="74">
        <v>35.729252889908018</v>
      </c>
      <c r="H782" s="74">
        <f t="shared" si="25"/>
        <v>4.765147453424504</v>
      </c>
    </row>
    <row r="783" spans="5:8" ht="15.6">
      <c r="E783" s="279" t="s">
        <v>1109</v>
      </c>
      <c r="F783" s="284">
        <f t="shared" ca="1" si="24"/>
        <v>0.17903262217438254</v>
      </c>
      <c r="G783" s="74">
        <v>38.861579716043778</v>
      </c>
      <c r="H783" s="74">
        <f t="shared" si="25"/>
        <v>1.6328206272887442</v>
      </c>
    </row>
    <row r="784" spans="5:8" ht="15.6">
      <c r="E784" s="279" t="s">
        <v>1110</v>
      </c>
      <c r="F784" s="284">
        <f t="shared" ca="1" si="24"/>
        <v>0.5633480952770672</v>
      </c>
      <c r="G784" s="74">
        <v>39.242623881543459</v>
      </c>
      <c r="H784" s="74">
        <f t="shared" si="25"/>
        <v>1.2517764617890634</v>
      </c>
    </row>
    <row r="785" spans="5:8" ht="15.6">
      <c r="E785" s="279" t="s">
        <v>1111</v>
      </c>
      <c r="F785" s="284">
        <f t="shared" ca="1" si="24"/>
        <v>0.91015135828742622</v>
      </c>
      <c r="G785" s="74">
        <v>35.400299110556738</v>
      </c>
      <c r="H785" s="74">
        <f t="shared" si="25"/>
        <v>5.0941012327757846</v>
      </c>
    </row>
    <row r="786" spans="5:8" ht="15.6">
      <c r="E786" s="279" t="s">
        <v>1112</v>
      </c>
      <c r="F786" s="284">
        <f t="shared" ca="1" si="24"/>
        <v>4.9526600155360478E-2</v>
      </c>
      <c r="G786" s="74">
        <v>38.872906561973998</v>
      </c>
      <c r="H786" s="74">
        <f t="shared" si="25"/>
        <v>1.6214937813585237</v>
      </c>
    </row>
    <row r="787" spans="5:8" ht="15.6">
      <c r="E787" s="279" t="s">
        <v>1113</v>
      </c>
      <c r="F787" s="284">
        <f t="shared" ca="1" si="24"/>
        <v>0.64772047012320011</v>
      </c>
      <c r="G787" s="74">
        <v>44.227504703956832</v>
      </c>
      <c r="H787" s="74">
        <f t="shared" si="25"/>
        <v>-3.7331043606243099</v>
      </c>
    </row>
    <row r="788" spans="5:8" ht="15.6">
      <c r="E788" s="279" t="s">
        <v>1114</v>
      </c>
      <c r="F788" s="284">
        <f t="shared" ca="1" si="24"/>
        <v>0.46568300163652099</v>
      </c>
      <c r="G788" s="74">
        <v>36.568308511019701</v>
      </c>
      <c r="H788" s="74">
        <f t="shared" si="25"/>
        <v>3.9260918323128209</v>
      </c>
    </row>
    <row r="789" spans="5:8" ht="15.6">
      <c r="E789" s="279" t="s">
        <v>1115</v>
      </c>
      <c r="F789" s="284">
        <f t="shared" ca="1" si="24"/>
        <v>0.57443021598741872</v>
      </c>
      <c r="G789" s="74">
        <v>38.761684770114591</v>
      </c>
      <c r="H789" s="74">
        <f t="shared" si="25"/>
        <v>1.7327155732179307</v>
      </c>
    </row>
    <row r="790" spans="5:8" ht="15.6">
      <c r="E790" s="279" t="s">
        <v>1116</v>
      </c>
      <c r="F790" s="284">
        <f t="shared" ca="1" si="24"/>
        <v>0.153401591765152</v>
      </c>
      <c r="G790" s="74">
        <v>34.927623723993982</v>
      </c>
      <c r="H790" s="74">
        <f t="shared" si="25"/>
        <v>5.5667766193385404</v>
      </c>
    </row>
    <row r="791" spans="5:8" ht="15.6">
      <c r="E791" s="279" t="s">
        <v>1117</v>
      </c>
      <c r="F791" s="284">
        <f t="shared" ca="1" si="24"/>
        <v>0.4948906795008654</v>
      </c>
      <c r="G791" s="74">
        <v>41.332503180092324</v>
      </c>
      <c r="H791" s="74">
        <f t="shared" si="25"/>
        <v>-0.83810283675980202</v>
      </c>
    </row>
    <row r="792" spans="5:8" ht="15.6">
      <c r="E792" s="279" t="s">
        <v>1118</v>
      </c>
      <c r="F792" s="284">
        <f t="shared" ca="1" si="24"/>
        <v>0.46370903872490643</v>
      </c>
      <c r="G792" s="74">
        <v>38.941722398981582</v>
      </c>
      <c r="H792" s="74">
        <f t="shared" si="25"/>
        <v>1.5526779443509398</v>
      </c>
    </row>
    <row r="793" spans="5:8" ht="15.6">
      <c r="E793" s="279" t="s">
        <v>1119</v>
      </c>
      <c r="F793" s="284">
        <f t="shared" ca="1" si="24"/>
        <v>0.39587855632279523</v>
      </c>
      <c r="G793" s="74">
        <v>40.073496174633256</v>
      </c>
      <c r="H793" s="74">
        <f t="shared" si="25"/>
        <v>0.42090416869926628</v>
      </c>
    </row>
    <row r="794" spans="5:8" ht="15.6">
      <c r="E794" s="279" t="s">
        <v>1120</v>
      </c>
      <c r="F794" s="284">
        <f t="shared" ca="1" si="24"/>
        <v>8.9809195257760654E-2</v>
      </c>
      <c r="G794" s="74">
        <v>37.490851486143896</v>
      </c>
      <c r="H794" s="74">
        <f t="shared" si="25"/>
        <v>3.0035488571886262</v>
      </c>
    </row>
    <row r="795" spans="5:8" ht="15.6">
      <c r="E795" s="279" t="s">
        <v>1121</v>
      </c>
      <c r="F795" s="284">
        <f t="shared" ca="1" si="24"/>
        <v>0.25242447205457674</v>
      </c>
      <c r="G795" s="74">
        <v>41.656217940543307</v>
      </c>
      <c r="H795" s="74">
        <f t="shared" si="25"/>
        <v>-1.1618175972107849</v>
      </c>
    </row>
    <row r="796" spans="5:8" ht="15.6">
      <c r="E796" s="279" t="s">
        <v>1122</v>
      </c>
      <c r="F796" s="284">
        <f t="shared" ca="1" si="24"/>
        <v>0.37213851787704921</v>
      </c>
      <c r="G796" s="74">
        <v>38.533498168391951</v>
      </c>
      <c r="H796" s="74">
        <f t="shared" si="25"/>
        <v>1.9609021749405713</v>
      </c>
    </row>
    <row r="797" spans="5:8" ht="15.6">
      <c r="E797" s="279" t="s">
        <v>1123</v>
      </c>
      <c r="F797" s="284">
        <f t="shared" ca="1" si="24"/>
        <v>0.16050151841657556</v>
      </c>
      <c r="G797" s="74">
        <v>37.177919178648793</v>
      </c>
      <c r="H797" s="74">
        <f t="shared" si="25"/>
        <v>3.3164811646837293</v>
      </c>
    </row>
    <row r="798" spans="5:8" ht="15.6">
      <c r="E798" s="279" t="s">
        <v>1124</v>
      </c>
      <c r="F798" s="284">
        <f t="shared" ca="1" si="24"/>
        <v>0.6767208264568626</v>
      </c>
      <c r="G798" s="74">
        <v>35.902907116474232</v>
      </c>
      <c r="H798" s="74">
        <f t="shared" si="25"/>
        <v>4.5914932268582902</v>
      </c>
    </row>
    <row r="799" spans="5:8" ht="15.6">
      <c r="E799" s="279" t="s">
        <v>1125</v>
      </c>
      <c r="F799" s="284">
        <f t="shared" ca="1" si="24"/>
        <v>0.74237919309162392</v>
      </c>
      <c r="G799" s="74">
        <v>39.677150864806187</v>
      </c>
      <c r="H799" s="74">
        <f t="shared" si="25"/>
        <v>0.81724947852633534</v>
      </c>
    </row>
    <row r="800" spans="5:8" ht="15.6">
      <c r="E800" s="279" t="s">
        <v>1126</v>
      </c>
      <c r="F800" s="284">
        <f t="shared" ca="1" si="24"/>
        <v>0.47650345518734716</v>
      </c>
      <c r="G800" s="74">
        <v>39.950642563763296</v>
      </c>
      <c r="H800" s="74">
        <f t="shared" si="25"/>
        <v>0.54375777956922633</v>
      </c>
    </row>
    <row r="801" spans="5:8" ht="15.6">
      <c r="E801" s="279" t="s">
        <v>1127</v>
      </c>
      <c r="F801" s="284">
        <f t="shared" ca="1" si="24"/>
        <v>0.76232442129190026</v>
      </c>
      <c r="G801" s="74">
        <v>42.917337779624866</v>
      </c>
      <c r="H801" s="74">
        <f t="shared" si="25"/>
        <v>-2.4229374362923437</v>
      </c>
    </row>
    <row r="802" spans="5:8" ht="15.6">
      <c r="E802" s="279" t="s">
        <v>1128</v>
      </c>
      <c r="F802" s="284">
        <f t="shared" ca="1" si="24"/>
        <v>0.79573098235880602</v>
      </c>
      <c r="G802" s="74">
        <v>40.550865635613356</v>
      </c>
      <c r="H802" s="74">
        <f t="shared" si="25"/>
        <v>-5.6465292280833523E-2</v>
      </c>
    </row>
    <row r="803" spans="5:8" ht="15.6">
      <c r="E803" s="279" t="s">
        <v>1129</v>
      </c>
      <c r="F803" s="284">
        <f t="shared" ca="1" si="24"/>
        <v>0.22384446747968045</v>
      </c>
      <c r="G803" s="74">
        <v>40.151176209057617</v>
      </c>
      <c r="H803" s="74">
        <f t="shared" si="25"/>
        <v>0.34322413427490517</v>
      </c>
    </row>
    <row r="804" spans="5:8" ht="15.6">
      <c r="E804" s="279" t="s">
        <v>1130</v>
      </c>
      <c r="F804" s="284">
        <f t="shared" ca="1" si="24"/>
        <v>0.11408003441855441</v>
      </c>
      <c r="G804" s="74">
        <v>39.691347222235237</v>
      </c>
      <c r="H804" s="74">
        <f t="shared" si="25"/>
        <v>0.80305312109728533</v>
      </c>
    </row>
    <row r="805" spans="5:8" ht="15.6">
      <c r="E805" s="279" t="s">
        <v>1131</v>
      </c>
      <c r="F805" s="284">
        <f t="shared" ca="1" si="24"/>
        <v>0.64993965926463071</v>
      </c>
      <c r="G805" s="74">
        <v>34.373267357167677</v>
      </c>
      <c r="H805" s="74">
        <f t="shared" si="25"/>
        <v>6.1211329861648451</v>
      </c>
    </row>
    <row r="806" spans="5:8" ht="15.6">
      <c r="E806" s="279" t="s">
        <v>1132</v>
      </c>
      <c r="F806" s="284">
        <f t="shared" ca="1" si="24"/>
        <v>0.72810314156918254</v>
      </c>
      <c r="G806" s="74">
        <v>40.509654543293941</v>
      </c>
      <c r="H806" s="74">
        <f t="shared" si="25"/>
        <v>-1.5254199961418635E-2</v>
      </c>
    </row>
    <row r="807" spans="5:8" ht="15.6">
      <c r="E807" s="279" t="s">
        <v>1133</v>
      </c>
      <c r="F807" s="284">
        <f t="shared" ca="1" si="24"/>
        <v>0.88470388462994187</v>
      </c>
      <c r="G807" s="74">
        <v>40.881813855652297</v>
      </c>
      <c r="H807" s="74">
        <f t="shared" si="25"/>
        <v>-0.38741351231977461</v>
      </c>
    </row>
    <row r="808" spans="5:8" ht="15.6">
      <c r="E808" s="279" t="s">
        <v>1134</v>
      </c>
      <c r="F808" s="284">
        <f t="shared" ca="1" si="24"/>
        <v>0.73869143343041088</v>
      </c>
      <c r="G808" s="74">
        <v>34.997155015134872</v>
      </c>
      <c r="H808" s="74">
        <f t="shared" si="25"/>
        <v>5.4972453281976499</v>
      </c>
    </row>
    <row r="809" spans="5:8" ht="15.6">
      <c r="E809" s="279" t="s">
        <v>1135</v>
      </c>
      <c r="F809" s="284">
        <f t="shared" ca="1" si="24"/>
        <v>1.9139085498727226E-2</v>
      </c>
      <c r="G809" s="74">
        <v>44.756456170537341</v>
      </c>
      <c r="H809" s="74">
        <f t="shared" si="25"/>
        <v>-4.2620558272048186</v>
      </c>
    </row>
    <row r="810" spans="5:8" ht="15.6">
      <c r="E810" s="279" t="s">
        <v>1136</v>
      </c>
      <c r="F810" s="284">
        <f t="shared" ca="1" si="24"/>
        <v>0.74812998210766157</v>
      </c>
      <c r="G810" s="74">
        <v>41.859667055567726</v>
      </c>
      <c r="H810" s="74">
        <f t="shared" si="25"/>
        <v>-1.3652667122352042</v>
      </c>
    </row>
    <row r="811" spans="5:8" ht="15.6">
      <c r="E811" s="279" t="s">
        <v>1137</v>
      </c>
      <c r="F811" s="284">
        <f t="shared" ca="1" si="24"/>
        <v>0.78106753993965272</v>
      </c>
      <c r="G811" s="74">
        <v>40.977422442319295</v>
      </c>
      <c r="H811" s="74">
        <f t="shared" si="25"/>
        <v>-0.48302209898677262</v>
      </c>
    </row>
    <row r="812" spans="5:8" ht="15.6">
      <c r="E812" s="279" t="s">
        <v>1138</v>
      </c>
      <c r="F812" s="284">
        <f t="shared" ca="1" si="24"/>
        <v>0.46130908839046902</v>
      </c>
      <c r="G812" s="74">
        <v>38.926833989895925</v>
      </c>
      <c r="H812" s="74">
        <f t="shared" si="25"/>
        <v>1.5675663534365967</v>
      </c>
    </row>
    <row r="813" spans="5:8" ht="15.6">
      <c r="E813" s="279" t="s">
        <v>1139</v>
      </c>
      <c r="F813" s="284">
        <f t="shared" ca="1" si="24"/>
        <v>0.66908339611294487</v>
      </c>
      <c r="G813" s="74">
        <v>40.013191918036689</v>
      </c>
      <c r="H813" s="74">
        <f t="shared" si="25"/>
        <v>0.48120842529583285</v>
      </c>
    </row>
    <row r="814" spans="5:8" ht="15.6">
      <c r="E814" s="279" t="s">
        <v>1140</v>
      </c>
      <c r="F814" s="284">
        <f t="shared" ca="1" si="24"/>
        <v>3.2730756355302648E-2</v>
      </c>
      <c r="G814" s="74">
        <v>40.420497849240917</v>
      </c>
      <c r="H814" s="74">
        <f t="shared" si="25"/>
        <v>7.390249409160532E-2</v>
      </c>
    </row>
    <row r="815" spans="5:8" ht="15.6">
      <c r="E815" s="279" t="s">
        <v>1141</v>
      </c>
      <c r="F815" s="284">
        <f t="shared" ca="1" si="24"/>
        <v>0.79329632404158879</v>
      </c>
      <c r="G815" s="74">
        <v>42.953955891220978</v>
      </c>
      <c r="H815" s="74">
        <f t="shared" si="25"/>
        <v>-2.4595555478884563</v>
      </c>
    </row>
    <row r="816" spans="5:8" ht="15.6">
      <c r="E816" s="279" t="s">
        <v>1142</v>
      </c>
      <c r="F816" s="284">
        <f t="shared" ca="1" si="24"/>
        <v>0.33102464677718879</v>
      </c>
      <c r="G816" s="74">
        <v>34.431360799644651</v>
      </c>
      <c r="H816" s="74">
        <f t="shared" si="25"/>
        <v>6.0630395436878715</v>
      </c>
    </row>
    <row r="817" spans="5:8" ht="15.6">
      <c r="E817" s="279" t="s">
        <v>1143</v>
      </c>
      <c r="F817" s="284">
        <f t="shared" ca="1" si="24"/>
        <v>0.72651298777441087</v>
      </c>
      <c r="G817" s="74">
        <v>36.67235866447087</v>
      </c>
      <c r="H817" s="74">
        <f t="shared" si="25"/>
        <v>3.8220416788616518</v>
      </c>
    </row>
    <row r="818" spans="5:8" ht="15.6">
      <c r="E818" s="279" t="s">
        <v>1144</v>
      </c>
      <c r="F818" s="284">
        <f t="shared" ca="1" si="24"/>
        <v>0.25277991363339736</v>
      </c>
      <c r="G818" s="74">
        <v>37.481999376256823</v>
      </c>
      <c r="H818" s="74">
        <f t="shared" si="25"/>
        <v>3.012400967075699</v>
      </c>
    </row>
    <row r="819" spans="5:8" ht="15.6">
      <c r="E819" s="279" t="s">
        <v>1145</v>
      </c>
      <c r="F819" s="284">
        <f t="shared" ca="1" si="24"/>
        <v>0.71856578950736549</v>
      </c>
      <c r="G819" s="74">
        <v>42.049369844939818</v>
      </c>
      <c r="H819" s="74">
        <f t="shared" si="25"/>
        <v>-1.554969501607296</v>
      </c>
    </row>
    <row r="820" spans="5:8" ht="15.6">
      <c r="E820" s="279" t="s">
        <v>1146</v>
      </c>
      <c r="F820" s="284">
        <f t="shared" ca="1" si="24"/>
        <v>0.31064268977918508</v>
      </c>
      <c r="G820" s="74">
        <v>40.85215416052538</v>
      </c>
      <c r="H820" s="74">
        <f t="shared" si="25"/>
        <v>-0.35775381719285804</v>
      </c>
    </row>
    <row r="821" spans="5:8" ht="15.6">
      <c r="E821" s="279" t="s">
        <v>1147</v>
      </c>
      <c r="F821" s="284">
        <f t="shared" ca="1" si="24"/>
        <v>0.29533175984297011</v>
      </c>
      <c r="G821" s="74">
        <v>39.981711405110481</v>
      </c>
      <c r="H821" s="74">
        <f t="shared" si="25"/>
        <v>0.5126889382220412</v>
      </c>
    </row>
    <row r="822" spans="5:8" ht="15.6">
      <c r="E822" s="279" t="s">
        <v>1148</v>
      </c>
      <c r="F822" s="284">
        <f t="shared" ca="1" si="24"/>
        <v>0.65051647618846309</v>
      </c>
      <c r="G822" s="74">
        <v>36.653216509812815</v>
      </c>
      <c r="H822" s="74">
        <f t="shared" si="25"/>
        <v>3.8411838335197075</v>
      </c>
    </row>
    <row r="823" spans="5:8" ht="15.6">
      <c r="E823" s="279" t="s">
        <v>1149</v>
      </c>
      <c r="F823" s="284">
        <f t="shared" ca="1" si="24"/>
        <v>0.44061024185364983</v>
      </c>
      <c r="G823" s="74">
        <v>39.209209011218142</v>
      </c>
      <c r="H823" s="74">
        <f t="shared" si="25"/>
        <v>1.2851913321143797</v>
      </c>
    </row>
    <row r="824" spans="5:8" ht="15.6">
      <c r="E824" s="279" t="s">
        <v>1150</v>
      </c>
      <c r="F824" s="284">
        <f t="shared" ca="1" si="24"/>
        <v>0.53036163507473866</v>
      </c>
      <c r="G824" s="74">
        <v>39.292339997211805</v>
      </c>
      <c r="H824" s="74">
        <f t="shared" si="25"/>
        <v>1.2020603461207173</v>
      </c>
    </row>
    <row r="825" spans="5:8" ht="15.6">
      <c r="E825" s="279" t="s">
        <v>1151</v>
      </c>
      <c r="F825" s="284">
        <f t="shared" ca="1" si="24"/>
        <v>0.2598122942211416</v>
      </c>
      <c r="G825" s="74">
        <v>39.542805988465084</v>
      </c>
      <c r="H825" s="74">
        <f t="shared" si="25"/>
        <v>0.9515943548674386</v>
      </c>
    </row>
    <row r="826" spans="5:8" ht="15.6">
      <c r="E826" s="279" t="s">
        <v>1152</v>
      </c>
      <c r="F826" s="284">
        <f t="shared" ca="1" si="24"/>
        <v>0.21210856555663249</v>
      </c>
      <c r="G826" s="74">
        <v>42.437915283367246</v>
      </c>
      <c r="H826" s="74">
        <f t="shared" si="25"/>
        <v>-1.9435149400347242</v>
      </c>
    </row>
    <row r="827" spans="5:8" ht="15.6">
      <c r="E827" s="279" t="s">
        <v>1153</v>
      </c>
      <c r="F827" s="284">
        <f t="shared" ca="1" si="24"/>
        <v>0.62590224579339648</v>
      </c>
      <c r="G827" s="74">
        <v>36.141411436094728</v>
      </c>
      <c r="H827" s="74">
        <f t="shared" si="25"/>
        <v>4.3529889072377941</v>
      </c>
    </row>
    <row r="828" spans="5:8" ht="15.6">
      <c r="E828" s="279" t="s">
        <v>1154</v>
      </c>
      <c r="F828" s="284">
        <f t="shared" ca="1" si="24"/>
        <v>0.13978284508347583</v>
      </c>
      <c r="G828" s="74">
        <v>39.111159118916021</v>
      </c>
      <c r="H828" s="74">
        <f t="shared" si="25"/>
        <v>1.3832412244165013</v>
      </c>
    </row>
    <row r="829" spans="5:8" ht="15.6">
      <c r="E829" s="279" t="s">
        <v>1155</v>
      </c>
      <c r="F829" s="284">
        <f t="shared" ca="1" si="24"/>
        <v>0.32649712040064371</v>
      </c>
      <c r="G829" s="74">
        <v>44.0814416110317</v>
      </c>
      <c r="H829" s="74">
        <f t="shared" si="25"/>
        <v>-3.5870412676991776</v>
      </c>
    </row>
    <row r="830" spans="5:8" ht="15.6">
      <c r="E830" s="279" t="s">
        <v>1156</v>
      </c>
      <c r="F830" s="284">
        <f t="shared" ca="1" si="24"/>
        <v>0.7472601145272556</v>
      </c>
      <c r="G830" s="74">
        <v>38.690131658840237</v>
      </c>
      <c r="H830" s="74">
        <f t="shared" si="25"/>
        <v>1.8042686844922855</v>
      </c>
    </row>
    <row r="831" spans="5:8" ht="15.6">
      <c r="E831" s="279" t="s">
        <v>1157</v>
      </c>
      <c r="F831" s="284">
        <f t="shared" ca="1" si="24"/>
        <v>0.86355683423933793</v>
      </c>
      <c r="G831" s="74">
        <v>35.361094305856966</v>
      </c>
      <c r="H831" s="74">
        <f t="shared" si="25"/>
        <v>5.1333060374755561</v>
      </c>
    </row>
    <row r="832" spans="5:8" ht="15.6">
      <c r="E832" s="279" t="s">
        <v>1158</v>
      </c>
      <c r="F832" s="284">
        <f t="shared" ca="1" si="24"/>
        <v>0.29938164371675557</v>
      </c>
      <c r="G832" s="74">
        <v>38.411677804847749</v>
      </c>
      <c r="H832" s="74">
        <f t="shared" si="25"/>
        <v>2.0827225384847736</v>
      </c>
    </row>
    <row r="833" spans="5:8" ht="15.6">
      <c r="E833" s="279" t="s">
        <v>1159</v>
      </c>
      <c r="F833" s="284">
        <f t="shared" ca="1" si="24"/>
        <v>0.30113622451519229</v>
      </c>
      <c r="G833" s="74">
        <v>40.715523954577293</v>
      </c>
      <c r="H833" s="74">
        <f t="shared" si="25"/>
        <v>-0.22112361124477076</v>
      </c>
    </row>
    <row r="834" spans="5:8" ht="15.6">
      <c r="E834" s="279" t="s">
        <v>1160</v>
      </c>
      <c r="F834" s="284">
        <f t="shared" ca="1" si="24"/>
        <v>6.1556357742056145E-2</v>
      </c>
      <c r="G834" s="74">
        <v>38.040161321498125</v>
      </c>
      <c r="H834" s="74">
        <f t="shared" si="25"/>
        <v>2.4542390218343968</v>
      </c>
    </row>
    <row r="835" spans="5:8" ht="15.6">
      <c r="E835" s="279" t="s">
        <v>1161</v>
      </c>
      <c r="F835" s="284">
        <f t="shared" ca="1" si="24"/>
        <v>0.99051037117486407</v>
      </c>
      <c r="G835" s="74">
        <v>40.794077757886029</v>
      </c>
      <c r="H835" s="74">
        <f t="shared" si="25"/>
        <v>-0.29967741455350705</v>
      </c>
    </row>
    <row r="836" spans="5:8" ht="15.6">
      <c r="E836" s="279" t="s">
        <v>1162</v>
      </c>
      <c r="F836" s="284">
        <f t="shared" ca="1" si="24"/>
        <v>0.55161279002032437</v>
      </c>
      <c r="G836" s="74">
        <v>43.486784800046863</v>
      </c>
      <c r="H836" s="74">
        <f t="shared" si="25"/>
        <v>-2.9923844567143405</v>
      </c>
    </row>
    <row r="837" spans="5:8" ht="15.6">
      <c r="E837" s="279" t="s">
        <v>1163</v>
      </c>
      <c r="F837" s="284">
        <f t="shared" ca="1" si="24"/>
        <v>0.63849022502575903</v>
      </c>
      <c r="G837" s="74">
        <v>43.410100128486626</v>
      </c>
      <c r="H837" s="74">
        <f t="shared" si="25"/>
        <v>-2.9156997851541036</v>
      </c>
    </row>
    <row r="838" spans="5:8" ht="15.6">
      <c r="E838" s="279" t="s">
        <v>1164</v>
      </c>
      <c r="F838" s="284">
        <f t="shared" ca="1" si="24"/>
        <v>0.8144110789071396</v>
      </c>
      <c r="G838" s="74">
        <v>38.66145486516934</v>
      </c>
      <c r="H838" s="74">
        <f t="shared" si="25"/>
        <v>1.8329454781631824</v>
      </c>
    </row>
    <row r="839" spans="5:8" ht="15.6">
      <c r="E839" s="279" t="s">
        <v>1165</v>
      </c>
      <c r="F839" s="284">
        <f t="shared" ca="1" si="24"/>
        <v>0.73598113437297663</v>
      </c>
      <c r="G839" s="74">
        <v>38.461851519904556</v>
      </c>
      <c r="H839" s="74">
        <f t="shared" si="25"/>
        <v>2.0325488234279661</v>
      </c>
    </row>
    <row r="840" spans="5:8" ht="15.6">
      <c r="E840" s="279" t="s">
        <v>1166</v>
      </c>
      <c r="F840" s="284">
        <f t="shared" ca="1" si="24"/>
        <v>0.28347181985069714</v>
      </c>
      <c r="G840" s="74">
        <v>36.923311982985481</v>
      </c>
      <c r="H840" s="74">
        <f t="shared" si="25"/>
        <v>3.5710883603470407</v>
      </c>
    </row>
    <row r="841" spans="5:8" ht="15.6">
      <c r="E841" s="279" t="s">
        <v>1167</v>
      </c>
      <c r="F841" s="284">
        <f t="shared" ca="1" si="24"/>
        <v>0.97734365663457767</v>
      </c>
      <c r="G841" s="74">
        <v>38.39574887235748</v>
      </c>
      <c r="H841" s="74">
        <f t="shared" si="25"/>
        <v>2.0986514709750423</v>
      </c>
    </row>
    <row r="842" spans="5:8" ht="15.6">
      <c r="E842" s="279" t="s">
        <v>1168</v>
      </c>
      <c r="F842" s="284">
        <f t="shared" ca="1" si="24"/>
        <v>0.32817496939388213</v>
      </c>
      <c r="G842" s="74">
        <v>39.929976791503599</v>
      </c>
      <c r="H842" s="74">
        <f t="shared" si="25"/>
        <v>0.56442355182892356</v>
      </c>
    </row>
    <row r="843" spans="5:8" ht="15.6">
      <c r="E843" s="279" t="s">
        <v>1169</v>
      </c>
      <c r="F843" s="284">
        <f t="shared" ca="1" si="24"/>
        <v>0.92689077140160758</v>
      </c>
      <c r="G843" s="74">
        <v>40.442146537014303</v>
      </c>
      <c r="H843" s="74">
        <f t="shared" si="25"/>
        <v>5.2253806318219631E-2</v>
      </c>
    </row>
    <row r="844" spans="5:8" ht="15.6">
      <c r="E844" s="279" t="s">
        <v>1170</v>
      </c>
      <c r="F844" s="284">
        <f t="shared" ref="F844:F907" ca="1" si="26">RAND()</f>
        <v>0.81467159236690312</v>
      </c>
      <c r="G844" s="74">
        <v>38.752580669648459</v>
      </c>
      <c r="H844" s="74">
        <f t="shared" ref="H844:H907" si="27">$D$2-G844</f>
        <v>1.7418196736840628</v>
      </c>
    </row>
    <row r="845" spans="5:8" ht="15.6">
      <c r="E845" s="279" t="s">
        <v>1171</v>
      </c>
      <c r="F845" s="284">
        <f t="shared" ca="1" si="26"/>
        <v>0.83375470327599799</v>
      </c>
      <c r="G845" s="74">
        <v>39.034104979545162</v>
      </c>
      <c r="H845" s="74">
        <f t="shared" si="27"/>
        <v>1.4602953637873597</v>
      </c>
    </row>
    <row r="846" spans="5:8" ht="15.6">
      <c r="E846" s="279" t="s">
        <v>1172</v>
      </c>
      <c r="F846" s="284">
        <f t="shared" ca="1" si="26"/>
        <v>0.26769660197108103</v>
      </c>
      <c r="G846" s="74">
        <v>39.476648989375711</v>
      </c>
      <c r="H846" s="74">
        <f t="shared" si="27"/>
        <v>1.017751353956811</v>
      </c>
    </row>
    <row r="847" spans="5:8" ht="15.6">
      <c r="E847" s="279" t="s">
        <v>1173</v>
      </c>
      <c r="F847" s="284">
        <f t="shared" ca="1" si="26"/>
        <v>0.42325046502425046</v>
      </c>
      <c r="G847" s="74">
        <v>39.597340454319969</v>
      </c>
      <c r="H847" s="74">
        <f t="shared" si="27"/>
        <v>0.89705988901255296</v>
      </c>
    </row>
    <row r="848" spans="5:8" ht="15.6">
      <c r="E848" s="279" t="s">
        <v>1174</v>
      </c>
      <c r="F848" s="284">
        <f t="shared" ca="1" si="26"/>
        <v>4.4047491377793513E-2</v>
      </c>
      <c r="G848" s="74">
        <v>37.481840495717805</v>
      </c>
      <c r="H848" s="74">
        <f t="shared" si="27"/>
        <v>3.0125598476147175</v>
      </c>
    </row>
    <row r="849" spans="5:8" ht="15.6">
      <c r="E849" s="279" t="s">
        <v>1175</v>
      </c>
      <c r="F849" s="284">
        <f t="shared" ca="1" si="26"/>
        <v>0.72960152590949323</v>
      </c>
      <c r="G849" s="74">
        <v>40.530373051485014</v>
      </c>
      <c r="H849" s="74">
        <f t="shared" si="27"/>
        <v>-3.5972708152492316E-2</v>
      </c>
    </row>
    <row r="850" spans="5:8" ht="15.6">
      <c r="E850" s="279" t="s">
        <v>1176</v>
      </c>
      <c r="F850" s="284">
        <f t="shared" ca="1" si="26"/>
        <v>0.86761043474161725</v>
      </c>
      <c r="G850" s="74">
        <v>41.518174567744204</v>
      </c>
      <c r="H850" s="74">
        <f t="shared" si="27"/>
        <v>-1.0237742244116816</v>
      </c>
    </row>
    <row r="851" spans="5:8" ht="15.6">
      <c r="E851" s="279" t="s">
        <v>1177</v>
      </c>
      <c r="F851" s="284">
        <f t="shared" ca="1" si="26"/>
        <v>0.91619109586431613</v>
      </c>
      <c r="G851" s="74">
        <v>37.128704065778727</v>
      </c>
      <c r="H851" s="74">
        <f t="shared" si="27"/>
        <v>3.3656962775537949</v>
      </c>
    </row>
    <row r="852" spans="5:8" ht="15.6">
      <c r="E852" s="279" t="s">
        <v>1178</v>
      </c>
      <c r="F852" s="284">
        <f t="shared" ca="1" si="26"/>
        <v>0.60988763004435131</v>
      </c>
      <c r="G852" s="74">
        <v>38.455897028193654</v>
      </c>
      <c r="H852" s="74">
        <f t="shared" si="27"/>
        <v>2.0385033151388683</v>
      </c>
    </row>
    <row r="853" spans="5:8" ht="15.6">
      <c r="E853" s="279" t="s">
        <v>1179</v>
      </c>
      <c r="F853" s="284">
        <f t="shared" ca="1" si="26"/>
        <v>0.54161561970194239</v>
      </c>
      <c r="G853" s="74">
        <v>35.657937694943087</v>
      </c>
      <c r="H853" s="74">
        <f t="shared" si="27"/>
        <v>4.8364626483894355</v>
      </c>
    </row>
    <row r="854" spans="5:8" ht="15.6">
      <c r="E854" s="279" t="s">
        <v>1180</v>
      </c>
      <c r="F854" s="284">
        <f t="shared" ca="1" si="26"/>
        <v>0.19453230512441266</v>
      </c>
      <c r="G854" s="74">
        <v>39.020380593254082</v>
      </c>
      <c r="H854" s="74">
        <f t="shared" si="27"/>
        <v>1.4740197500784404</v>
      </c>
    </row>
    <row r="855" spans="5:8" ht="15.6">
      <c r="E855" s="279" t="s">
        <v>1181</v>
      </c>
      <c r="F855" s="284">
        <f t="shared" ca="1" si="26"/>
        <v>0.19444587147973103</v>
      </c>
      <c r="G855" s="74">
        <v>40.078705245546708</v>
      </c>
      <c r="H855" s="74">
        <f t="shared" si="27"/>
        <v>0.41569509778581448</v>
      </c>
    </row>
    <row r="856" spans="5:8" ht="15.6">
      <c r="E856" s="279" t="s">
        <v>1182</v>
      </c>
      <c r="F856" s="284">
        <f t="shared" ca="1" si="26"/>
        <v>0.43838780234770647</v>
      </c>
      <c r="G856" s="74">
        <v>42.076622846168725</v>
      </c>
      <c r="H856" s="74">
        <f t="shared" si="27"/>
        <v>-1.5822225028362027</v>
      </c>
    </row>
    <row r="857" spans="5:8" ht="15.6">
      <c r="E857" s="279" t="s">
        <v>1183</v>
      </c>
      <c r="F857" s="284">
        <f t="shared" ca="1" si="26"/>
        <v>0.68072812596734633</v>
      </c>
      <c r="G857" s="74">
        <v>40.423068671893205</v>
      </c>
      <c r="H857" s="74">
        <f t="shared" si="27"/>
        <v>7.133167143931729E-2</v>
      </c>
    </row>
    <row r="858" spans="5:8" ht="15.6">
      <c r="E858" s="279" t="s">
        <v>1184</v>
      </c>
      <c r="F858" s="284">
        <f t="shared" ca="1" si="26"/>
        <v>0.47460145560002187</v>
      </c>
      <c r="G858" s="74">
        <v>37.396547075772745</v>
      </c>
      <c r="H858" s="74">
        <f t="shared" si="27"/>
        <v>3.0978532675597776</v>
      </c>
    </row>
    <row r="859" spans="5:8" ht="15.6">
      <c r="E859" s="279" t="s">
        <v>1185</v>
      </c>
      <c r="F859" s="284">
        <f t="shared" ca="1" si="26"/>
        <v>0.39896261364995633</v>
      </c>
      <c r="G859" s="74">
        <v>39.591272499359576</v>
      </c>
      <c r="H859" s="74">
        <f t="shared" si="27"/>
        <v>0.90312784397294621</v>
      </c>
    </row>
    <row r="860" spans="5:8" ht="15.6">
      <c r="E860" s="279" t="s">
        <v>1186</v>
      </c>
      <c r="F860" s="284">
        <f t="shared" ca="1" si="26"/>
        <v>4.6405048502198953E-2</v>
      </c>
      <c r="G860" s="74">
        <v>38.768929198150886</v>
      </c>
      <c r="H860" s="74">
        <f t="shared" si="27"/>
        <v>1.7254711451816362</v>
      </c>
    </row>
    <row r="861" spans="5:8" ht="15.6">
      <c r="E861" s="279" t="s">
        <v>1187</v>
      </c>
      <c r="F861" s="284">
        <f t="shared" ca="1" si="26"/>
        <v>6.722550234436353E-3</v>
      </c>
      <c r="G861" s="74">
        <v>38.649174572607613</v>
      </c>
      <c r="H861" s="74">
        <f t="shared" si="27"/>
        <v>1.8452257707249089</v>
      </c>
    </row>
    <row r="862" spans="5:8" ht="15.6">
      <c r="E862" s="279" t="s">
        <v>1188</v>
      </c>
      <c r="F862" s="284">
        <f t="shared" ca="1" si="26"/>
        <v>0.95812028595150645</v>
      </c>
      <c r="G862" s="74">
        <v>35.742805936333433</v>
      </c>
      <c r="H862" s="74">
        <f t="shared" si="27"/>
        <v>4.7515944069990894</v>
      </c>
    </row>
    <row r="863" spans="5:8" ht="15.6">
      <c r="E863" s="279" t="s">
        <v>1189</v>
      </c>
      <c r="F863" s="284">
        <f t="shared" ca="1" si="26"/>
        <v>0.40116599580826562</v>
      </c>
      <c r="G863" s="74">
        <v>40.140563284823514</v>
      </c>
      <c r="H863" s="74">
        <f t="shared" si="27"/>
        <v>0.35383705850900782</v>
      </c>
    </row>
    <row r="864" spans="5:8" ht="15.6">
      <c r="E864" s="279" t="s">
        <v>1190</v>
      </c>
      <c r="F864" s="284">
        <f t="shared" ca="1" si="26"/>
        <v>0.44287056386217971</v>
      </c>
      <c r="G864" s="74">
        <v>39.457522351165125</v>
      </c>
      <c r="H864" s="74">
        <f t="shared" si="27"/>
        <v>1.0368779921673976</v>
      </c>
    </row>
    <row r="865" spans="5:8" ht="15.6">
      <c r="E865" s="279" t="s">
        <v>1191</v>
      </c>
      <c r="F865" s="284">
        <f t="shared" ca="1" si="26"/>
        <v>0.50432657320253493</v>
      </c>
      <c r="G865" s="74">
        <v>40.709245513169925</v>
      </c>
      <c r="H865" s="74">
        <f t="shared" si="27"/>
        <v>-0.2148451698374032</v>
      </c>
    </row>
    <row r="866" spans="5:8" ht="15.6">
      <c r="E866" s="279" t="s">
        <v>1192</v>
      </c>
      <c r="F866" s="284">
        <f t="shared" ca="1" si="26"/>
        <v>3.3785552904093352E-2</v>
      </c>
      <c r="G866" s="74">
        <v>36.334293260396208</v>
      </c>
      <c r="H866" s="74">
        <f t="shared" si="27"/>
        <v>4.1601070829363138</v>
      </c>
    </row>
    <row r="867" spans="5:8" ht="15.6">
      <c r="E867" s="279" t="s">
        <v>1193</v>
      </c>
      <c r="F867" s="284">
        <f t="shared" ca="1" si="26"/>
        <v>0.82388669690944649</v>
      </c>
      <c r="G867" s="74">
        <v>41.874335348053215</v>
      </c>
      <c r="H867" s="74">
        <f t="shared" si="27"/>
        <v>-1.3799350047206929</v>
      </c>
    </row>
    <row r="868" spans="5:8" ht="15.6">
      <c r="E868" s="279" t="s">
        <v>1194</v>
      </c>
      <c r="F868" s="284">
        <f t="shared" ca="1" si="26"/>
        <v>0.55099619699198765</v>
      </c>
      <c r="G868" s="74">
        <v>36.910946837749741</v>
      </c>
      <c r="H868" s="74">
        <f t="shared" si="27"/>
        <v>3.5834535055827814</v>
      </c>
    </row>
    <row r="869" spans="5:8" ht="15.6">
      <c r="E869" s="279" t="s">
        <v>1195</v>
      </c>
      <c r="F869" s="284">
        <f t="shared" ca="1" si="26"/>
        <v>2.3077831373656932E-2</v>
      </c>
      <c r="G869" s="74">
        <v>37.18820148865683</v>
      </c>
      <c r="H869" s="74">
        <f t="shared" si="27"/>
        <v>3.3061988546756922</v>
      </c>
    </row>
    <row r="870" spans="5:8" ht="15.6">
      <c r="E870" s="279" t="s">
        <v>1196</v>
      </c>
      <c r="F870" s="284">
        <f t="shared" ca="1" si="26"/>
        <v>0.86644900621997534</v>
      </c>
      <c r="G870" s="74">
        <v>35.344732496414871</v>
      </c>
      <c r="H870" s="74">
        <f t="shared" si="27"/>
        <v>5.1496678469176516</v>
      </c>
    </row>
    <row r="871" spans="5:8" ht="15.6">
      <c r="E871" s="279" t="s">
        <v>1197</v>
      </c>
      <c r="F871" s="284">
        <f t="shared" ca="1" si="26"/>
        <v>4.4254542760977622E-2</v>
      </c>
      <c r="G871" s="74">
        <v>39.701473064452934</v>
      </c>
      <c r="H871" s="74">
        <f t="shared" si="27"/>
        <v>0.79292727887958847</v>
      </c>
    </row>
    <row r="872" spans="5:8" ht="15.6">
      <c r="E872" s="279" t="s">
        <v>1198</v>
      </c>
      <c r="F872" s="284">
        <f t="shared" ca="1" si="26"/>
        <v>8.3619704190572519E-2</v>
      </c>
      <c r="G872" s="74">
        <v>36.133520921166131</v>
      </c>
      <c r="H872" s="74">
        <f t="shared" si="27"/>
        <v>4.3608794221663914</v>
      </c>
    </row>
    <row r="873" spans="5:8" ht="15.6">
      <c r="E873" s="279" t="s">
        <v>1199</v>
      </c>
      <c r="F873" s="284">
        <f t="shared" ca="1" si="26"/>
        <v>0.84669965578407258</v>
      </c>
      <c r="G873" s="74">
        <v>40.934437257203463</v>
      </c>
      <c r="H873" s="74">
        <f t="shared" si="27"/>
        <v>-0.44003691387094079</v>
      </c>
    </row>
    <row r="874" spans="5:8" ht="15.6">
      <c r="E874" s="279" t="s">
        <v>1200</v>
      </c>
      <c r="F874" s="284">
        <f t="shared" ca="1" si="26"/>
        <v>0.231121243482594</v>
      </c>
      <c r="G874" s="74">
        <v>36.263873290823483</v>
      </c>
      <c r="H874" s="74">
        <f t="shared" si="27"/>
        <v>4.2305270525090393</v>
      </c>
    </row>
    <row r="875" spans="5:8" ht="15.6">
      <c r="E875" s="279" t="s">
        <v>1201</v>
      </c>
      <c r="F875" s="284">
        <f t="shared" ca="1" si="26"/>
        <v>0.26796518750313725</v>
      </c>
      <c r="G875" s="74">
        <v>37.502065179117302</v>
      </c>
      <c r="H875" s="74">
        <f t="shared" si="27"/>
        <v>2.9923351642152198</v>
      </c>
    </row>
    <row r="876" spans="5:8" ht="15.6">
      <c r="E876" s="279" t="s">
        <v>1202</v>
      </c>
      <c r="F876" s="284">
        <f t="shared" ca="1" si="26"/>
        <v>0.71827300024729746</v>
      </c>
      <c r="G876" s="74">
        <v>38.258440057342575</v>
      </c>
      <c r="H876" s="74">
        <f t="shared" si="27"/>
        <v>2.2359602859899468</v>
      </c>
    </row>
    <row r="877" spans="5:8" ht="15.6">
      <c r="E877" s="279" t="s">
        <v>1203</v>
      </c>
      <c r="F877" s="284">
        <f t="shared" ca="1" si="26"/>
        <v>0.37466664534316019</v>
      </c>
      <c r="G877" s="74">
        <v>37.431882613753054</v>
      </c>
      <c r="H877" s="74">
        <f t="shared" si="27"/>
        <v>3.0625177295794686</v>
      </c>
    </row>
    <row r="878" spans="5:8" ht="15.6">
      <c r="E878" s="279" t="s">
        <v>1204</v>
      </c>
      <c r="F878" s="284">
        <f t="shared" ca="1" si="26"/>
        <v>0.36472120961350341</v>
      </c>
      <c r="G878" s="74">
        <v>40.930188813194029</v>
      </c>
      <c r="H878" s="74">
        <f t="shared" si="27"/>
        <v>-0.43578846986150666</v>
      </c>
    </row>
    <row r="879" spans="5:8" ht="15.6">
      <c r="E879" s="279" t="s">
        <v>1205</v>
      </c>
      <c r="F879" s="284">
        <f t="shared" ca="1" si="26"/>
        <v>2.3360935242339731E-2</v>
      </c>
      <c r="G879" s="74">
        <v>43.153554031788779</v>
      </c>
      <c r="H879" s="74">
        <f t="shared" si="27"/>
        <v>-2.6591536884562572</v>
      </c>
    </row>
    <row r="880" spans="5:8" ht="15.6">
      <c r="E880" s="279" t="s">
        <v>1206</v>
      </c>
      <c r="F880" s="284">
        <f t="shared" ca="1" si="26"/>
        <v>0.59599207495856732</v>
      </c>
      <c r="G880" s="74">
        <v>38.748921697927521</v>
      </c>
      <c r="H880" s="74">
        <f t="shared" si="27"/>
        <v>1.7454786454050009</v>
      </c>
    </row>
    <row r="881" spans="5:8" ht="15.6">
      <c r="E881" s="279" t="s">
        <v>1207</v>
      </c>
      <c r="F881" s="284">
        <f t="shared" ca="1" si="26"/>
        <v>0.41689882305459147</v>
      </c>
      <c r="G881" s="74">
        <v>38.647278843491591</v>
      </c>
      <c r="H881" s="74">
        <f t="shared" si="27"/>
        <v>1.8471214998409309</v>
      </c>
    </row>
    <row r="882" spans="5:8" ht="15.6">
      <c r="E882" s="279" t="s">
        <v>1208</v>
      </c>
      <c r="F882" s="284">
        <f t="shared" ca="1" si="26"/>
        <v>0.76884763588234584</v>
      </c>
      <c r="G882" s="74">
        <v>42.201950478765745</v>
      </c>
      <c r="H882" s="74">
        <f t="shared" si="27"/>
        <v>-1.7075501354332232</v>
      </c>
    </row>
    <row r="883" spans="5:8" ht="15.6">
      <c r="E883" s="279" t="s">
        <v>1209</v>
      </c>
      <c r="F883" s="284">
        <f t="shared" ca="1" si="26"/>
        <v>9.8395247540473352E-2</v>
      </c>
      <c r="G883" s="74">
        <v>38.753065071279167</v>
      </c>
      <c r="H883" s="74">
        <f t="shared" si="27"/>
        <v>1.7413352720533553</v>
      </c>
    </row>
    <row r="884" spans="5:8" ht="15.6">
      <c r="E884" s="279" t="s">
        <v>1210</v>
      </c>
      <c r="F884" s="284">
        <f t="shared" ca="1" si="26"/>
        <v>0.72710802246902151</v>
      </c>
      <c r="G884" s="74">
        <v>35.256396807808507</v>
      </c>
      <c r="H884" s="74">
        <f t="shared" si="27"/>
        <v>5.2380035355240153</v>
      </c>
    </row>
    <row r="885" spans="5:8" ht="15.6">
      <c r="E885" s="279" t="s">
        <v>1211</v>
      </c>
      <c r="F885" s="284">
        <f t="shared" ca="1" si="26"/>
        <v>0.6772122280242201</v>
      </c>
      <c r="G885" s="74">
        <v>39.935730652693401</v>
      </c>
      <c r="H885" s="74">
        <f t="shared" si="27"/>
        <v>0.55866969063912109</v>
      </c>
    </row>
    <row r="886" spans="5:8" ht="15.6">
      <c r="E886" s="279" t="s">
        <v>1212</v>
      </c>
      <c r="F886" s="284">
        <f t="shared" ca="1" si="26"/>
        <v>0.92079068942958309</v>
      </c>
      <c r="G886" s="74">
        <v>40.139813433274476</v>
      </c>
      <c r="H886" s="74">
        <f t="shared" si="27"/>
        <v>0.3545869100580461</v>
      </c>
    </row>
    <row r="887" spans="5:8" ht="15.6">
      <c r="E887" s="279" t="s">
        <v>1213</v>
      </c>
      <c r="F887" s="284">
        <f t="shared" ca="1" si="26"/>
        <v>0.89543125540483903</v>
      </c>
      <c r="G887" s="74">
        <v>41.113788514717939</v>
      </c>
      <c r="H887" s="74">
        <f t="shared" si="27"/>
        <v>-0.6193881713854168</v>
      </c>
    </row>
    <row r="888" spans="5:8" ht="15.6">
      <c r="E888" s="279" t="s">
        <v>1214</v>
      </c>
      <c r="F888" s="284">
        <f t="shared" ca="1" si="26"/>
        <v>0.34510986793220222</v>
      </c>
      <c r="G888" s="74">
        <v>33.787778566425075</v>
      </c>
      <c r="H888" s="74">
        <f t="shared" si="27"/>
        <v>6.706621776907447</v>
      </c>
    </row>
    <row r="889" spans="5:8" ht="15.6">
      <c r="E889" s="279" t="s">
        <v>1215</v>
      </c>
      <c r="F889" s="284">
        <f t="shared" ca="1" si="26"/>
        <v>0.69548199792100796</v>
      </c>
      <c r="G889" s="74">
        <v>42.087557094621424</v>
      </c>
      <c r="H889" s="74">
        <f t="shared" si="27"/>
        <v>-1.5931567512889018</v>
      </c>
    </row>
    <row r="890" spans="5:8" ht="15.6">
      <c r="E890" s="279" t="s">
        <v>1216</v>
      </c>
      <c r="F890" s="284">
        <f t="shared" ca="1" si="26"/>
        <v>0.58194249685487986</v>
      </c>
      <c r="G890" s="74">
        <v>42.896009923751222</v>
      </c>
      <c r="H890" s="74">
        <f t="shared" si="27"/>
        <v>-2.4016095804187003</v>
      </c>
    </row>
    <row r="891" spans="5:8" ht="15.6">
      <c r="E891" s="279" t="s">
        <v>1217</v>
      </c>
      <c r="F891" s="284">
        <f t="shared" ca="1" si="26"/>
        <v>0.4307117765767331</v>
      </c>
      <c r="G891" s="74">
        <v>40.190119986146826</v>
      </c>
      <c r="H891" s="74">
        <f t="shared" si="27"/>
        <v>0.30428035718569646</v>
      </c>
    </row>
    <row r="892" spans="5:8" ht="15.6">
      <c r="E892" s="279" t="s">
        <v>1218</v>
      </c>
      <c r="F892" s="284">
        <f t="shared" ca="1" si="26"/>
        <v>0.66079469492115639</v>
      </c>
      <c r="G892" s="74">
        <v>41.035071142270958</v>
      </c>
      <c r="H892" s="74">
        <f t="shared" si="27"/>
        <v>-0.54067079893843584</v>
      </c>
    </row>
    <row r="893" spans="5:8" ht="15.6">
      <c r="E893" s="279" t="s">
        <v>1219</v>
      </c>
      <c r="F893" s="284">
        <f t="shared" ca="1" si="26"/>
        <v>0.57768171935484713</v>
      </c>
      <c r="G893" s="74">
        <v>36.892463525739124</v>
      </c>
      <c r="H893" s="74">
        <f t="shared" si="27"/>
        <v>3.6019368175933977</v>
      </c>
    </row>
    <row r="894" spans="5:8" ht="15.6">
      <c r="E894" s="279" t="s">
        <v>1220</v>
      </c>
      <c r="F894" s="284">
        <f t="shared" ca="1" si="26"/>
        <v>0.53054341694791363</v>
      </c>
      <c r="G894" s="74">
        <v>41.581351367136755</v>
      </c>
      <c r="H894" s="74">
        <f t="shared" si="27"/>
        <v>-1.0869510238042324</v>
      </c>
    </row>
    <row r="895" spans="5:8" ht="15.6">
      <c r="E895" s="279" t="s">
        <v>1221</v>
      </c>
      <c r="F895" s="284">
        <f t="shared" ca="1" si="26"/>
        <v>0.43932172523590995</v>
      </c>
      <c r="G895" s="74">
        <v>38.490524188269539</v>
      </c>
      <c r="H895" s="74">
        <f t="shared" si="27"/>
        <v>2.0038761550629829</v>
      </c>
    </row>
    <row r="896" spans="5:8" ht="15.6">
      <c r="E896" s="279" t="s">
        <v>1222</v>
      </c>
      <c r="F896" s="284">
        <f t="shared" ca="1" si="26"/>
        <v>0.48385928941879142</v>
      </c>
      <c r="G896" s="74">
        <v>44.050358599632858</v>
      </c>
      <c r="H896" s="74">
        <f t="shared" si="27"/>
        <v>-3.555958256300336</v>
      </c>
    </row>
    <row r="897" spans="5:8" ht="15.6">
      <c r="E897" s="279" t="s">
        <v>1223</v>
      </c>
      <c r="F897" s="284">
        <f t="shared" ca="1" si="26"/>
        <v>0.46505202473992779</v>
      </c>
      <c r="G897" s="74">
        <v>43.347510197498963</v>
      </c>
      <c r="H897" s="74">
        <f t="shared" si="27"/>
        <v>-2.8531098541664406</v>
      </c>
    </row>
    <row r="898" spans="5:8" ht="15.6">
      <c r="E898" s="279" t="s">
        <v>1224</v>
      </c>
      <c r="F898" s="284">
        <f t="shared" ca="1" si="26"/>
        <v>0.16349573767812497</v>
      </c>
      <c r="G898" s="74">
        <v>35.440358814885016</v>
      </c>
      <c r="H898" s="74">
        <f t="shared" si="27"/>
        <v>5.054041528447506</v>
      </c>
    </row>
    <row r="899" spans="5:8" ht="15.6">
      <c r="E899" s="279" t="s">
        <v>1225</v>
      </c>
      <c r="F899" s="284">
        <f t="shared" ca="1" si="26"/>
        <v>0.21628457815362723</v>
      </c>
      <c r="G899" s="74">
        <v>39.245174644715355</v>
      </c>
      <c r="H899" s="74">
        <f t="shared" si="27"/>
        <v>1.2492256986171668</v>
      </c>
    </row>
    <row r="900" spans="5:8" ht="15.6">
      <c r="E900" s="279" t="s">
        <v>1226</v>
      </c>
      <c r="F900" s="284">
        <f t="shared" ca="1" si="26"/>
        <v>0.80046218246400802</v>
      </c>
      <c r="G900" s="74">
        <v>32.200252499441035</v>
      </c>
      <c r="H900" s="74">
        <f t="shared" si="27"/>
        <v>8.2941478438914871</v>
      </c>
    </row>
    <row r="901" spans="5:8" ht="15.6">
      <c r="E901" s="279" t="s">
        <v>1227</v>
      </c>
      <c r="F901" s="284">
        <f t="shared" ca="1" si="26"/>
        <v>0.39292212515722069</v>
      </c>
      <c r="G901" s="74">
        <v>36.896751766739456</v>
      </c>
      <c r="H901" s="74">
        <f t="shared" si="27"/>
        <v>3.5976485765930661</v>
      </c>
    </row>
    <row r="902" spans="5:8" ht="15.6">
      <c r="E902" s="279" t="s">
        <v>1228</v>
      </c>
      <c r="F902" s="284">
        <f t="shared" ca="1" si="26"/>
        <v>0.35768509528254611</v>
      </c>
      <c r="G902" s="74">
        <v>35.726491795019776</v>
      </c>
      <c r="H902" s="74">
        <f t="shared" si="27"/>
        <v>4.7679085483127466</v>
      </c>
    </row>
    <row r="903" spans="5:8" ht="15.6">
      <c r="E903" s="279" t="s">
        <v>1229</v>
      </c>
      <c r="F903" s="284">
        <f t="shared" ca="1" si="26"/>
        <v>0.84312775735236845</v>
      </c>
      <c r="G903" s="74">
        <v>36.041265093135308</v>
      </c>
      <c r="H903" s="74">
        <f t="shared" si="27"/>
        <v>4.4531352501972137</v>
      </c>
    </row>
    <row r="904" spans="5:8" ht="15.6">
      <c r="E904" s="279" t="s">
        <v>1230</v>
      </c>
      <c r="F904" s="284">
        <f t="shared" ca="1" si="26"/>
        <v>7.9311993499912026E-2</v>
      </c>
      <c r="G904" s="74">
        <v>41.287333831888596</v>
      </c>
      <c r="H904" s="74">
        <f t="shared" si="27"/>
        <v>-0.79293348855607348</v>
      </c>
    </row>
    <row r="905" spans="5:8" ht="15.6">
      <c r="E905" s="279" t="s">
        <v>1231</v>
      </c>
      <c r="F905" s="284">
        <f t="shared" ca="1" si="26"/>
        <v>0.51603375739319657</v>
      </c>
      <c r="G905" s="74">
        <v>41.777526769094614</v>
      </c>
      <c r="H905" s="74">
        <f t="shared" si="27"/>
        <v>-1.2831264257620916</v>
      </c>
    </row>
    <row r="906" spans="5:8" ht="15.6">
      <c r="E906" s="279" t="s">
        <v>1232</v>
      </c>
      <c r="F906" s="284">
        <f t="shared" ca="1" si="26"/>
        <v>0.50850193737020377</v>
      </c>
      <c r="G906" s="74">
        <v>36.086515679819748</v>
      </c>
      <c r="H906" s="74">
        <f t="shared" si="27"/>
        <v>4.4078846635127746</v>
      </c>
    </row>
    <row r="907" spans="5:8" ht="15.6">
      <c r="E907" s="279" t="s">
        <v>1233</v>
      </c>
      <c r="F907" s="284">
        <f t="shared" ca="1" si="26"/>
        <v>0.61648128318484652</v>
      </c>
      <c r="G907" s="74">
        <v>40.200342590450902</v>
      </c>
      <c r="H907" s="74">
        <f t="shared" si="27"/>
        <v>0.29405775288162062</v>
      </c>
    </row>
    <row r="908" spans="5:8" ht="15.6">
      <c r="E908" s="279" t="s">
        <v>1234</v>
      </c>
      <c r="F908" s="284">
        <f t="shared" ref="F908:F971" ca="1" si="28">RAND()</f>
        <v>0.58101686564077271</v>
      </c>
      <c r="G908" s="74">
        <v>43.801983130186223</v>
      </c>
      <c r="H908" s="74">
        <f t="shared" ref="H908:H971" si="29">$D$2-G908</f>
        <v>-3.3075827868537004</v>
      </c>
    </row>
    <row r="909" spans="5:8" ht="15.6">
      <c r="E909" s="279" t="s">
        <v>1235</v>
      </c>
      <c r="F909" s="284">
        <f t="shared" ca="1" si="28"/>
        <v>0.19666421784175359</v>
      </c>
      <c r="G909" s="74">
        <v>37.392829490277968</v>
      </c>
      <c r="H909" s="74">
        <f t="shared" si="29"/>
        <v>3.1015708530545538</v>
      </c>
    </row>
    <row r="910" spans="5:8" ht="15.6">
      <c r="E910" s="279" t="s">
        <v>1236</v>
      </c>
      <c r="F910" s="284">
        <f t="shared" ca="1" si="28"/>
        <v>0.62012305437432402</v>
      </c>
      <c r="G910" s="74">
        <v>43.77847778848497</v>
      </c>
      <c r="H910" s="74">
        <f t="shared" si="29"/>
        <v>-3.2840774451524481</v>
      </c>
    </row>
    <row r="911" spans="5:8" ht="15.6">
      <c r="E911" s="279" t="s">
        <v>1237</v>
      </c>
      <c r="F911" s="284">
        <f t="shared" ca="1" si="28"/>
        <v>6.4536337716145642E-3</v>
      </c>
      <c r="G911" s="74">
        <v>42.590725672786022</v>
      </c>
      <c r="H911" s="74">
        <f t="shared" si="29"/>
        <v>-2.0963253294534994</v>
      </c>
    </row>
    <row r="912" spans="5:8" ht="15.6">
      <c r="E912" s="279" t="s">
        <v>1238</v>
      </c>
      <c r="F912" s="284">
        <f t="shared" ca="1" si="28"/>
        <v>0.4507965783879283</v>
      </c>
      <c r="G912" s="74">
        <v>44.521044788189158</v>
      </c>
      <c r="H912" s="74">
        <f t="shared" si="29"/>
        <v>-4.0266444448566361</v>
      </c>
    </row>
    <row r="913" spans="5:8" ht="15.6">
      <c r="E913" s="279" t="s">
        <v>1239</v>
      </c>
      <c r="F913" s="284">
        <f t="shared" ca="1" si="28"/>
        <v>0.47288604668538636</v>
      </c>
      <c r="G913" s="74">
        <v>37.539488878596863</v>
      </c>
      <c r="H913" s="74">
        <f t="shared" si="29"/>
        <v>2.9549114647356589</v>
      </c>
    </row>
    <row r="914" spans="5:8" ht="15.6">
      <c r="E914" s="279" t="s">
        <v>1240</v>
      </c>
      <c r="F914" s="284">
        <f t="shared" ca="1" si="28"/>
        <v>0.59014348947361295</v>
      </c>
      <c r="G914" s="74">
        <v>40.073068648454942</v>
      </c>
      <c r="H914" s="74">
        <f t="shared" si="29"/>
        <v>0.42133169487757982</v>
      </c>
    </row>
    <row r="915" spans="5:8" ht="15.6">
      <c r="E915" s="279" t="s">
        <v>1241</v>
      </c>
      <c r="F915" s="284">
        <f t="shared" ca="1" si="28"/>
        <v>0.25092644964587674</v>
      </c>
      <c r="G915" s="74">
        <v>41.089339139984887</v>
      </c>
      <c r="H915" s="74">
        <f t="shared" si="29"/>
        <v>-0.59493879665236449</v>
      </c>
    </row>
    <row r="916" spans="5:8" ht="15.6">
      <c r="E916" s="279" t="s">
        <v>1242</v>
      </c>
      <c r="F916" s="284">
        <f t="shared" ca="1" si="28"/>
        <v>3.6885480145719129E-2</v>
      </c>
      <c r="G916" s="74">
        <v>37.469481180268076</v>
      </c>
      <c r="H916" s="74">
        <f t="shared" si="29"/>
        <v>3.0249191630644461</v>
      </c>
    </row>
    <row r="917" spans="5:8" ht="15.6">
      <c r="E917" s="279" t="s">
        <v>1243</v>
      </c>
      <c r="F917" s="284">
        <f t="shared" ca="1" si="28"/>
        <v>0.15829056003236364</v>
      </c>
      <c r="G917" s="74">
        <v>38.227174971522317</v>
      </c>
      <c r="H917" s="74">
        <f t="shared" si="29"/>
        <v>2.2672253718102056</v>
      </c>
    </row>
    <row r="918" spans="5:8" ht="15.6">
      <c r="E918" s="279" t="s">
        <v>1244</v>
      </c>
      <c r="F918" s="284">
        <f t="shared" ca="1" si="28"/>
        <v>0.7371942161037639</v>
      </c>
      <c r="G918" s="74">
        <v>39.596374393485682</v>
      </c>
      <c r="H918" s="74">
        <f t="shared" si="29"/>
        <v>0.89802594984683992</v>
      </c>
    </row>
    <row r="919" spans="5:8" ht="15.6">
      <c r="E919" s="279" t="s">
        <v>1245</v>
      </c>
      <c r="F919" s="284">
        <f t="shared" ca="1" si="28"/>
        <v>7.7366157697029925E-2</v>
      </c>
      <c r="G919" s="74">
        <v>40.27411663468051</v>
      </c>
      <c r="H919" s="74">
        <f t="shared" si="29"/>
        <v>0.22028370865201197</v>
      </c>
    </row>
    <row r="920" spans="5:8" ht="15.6">
      <c r="E920" s="279" t="s">
        <v>1246</v>
      </c>
      <c r="F920" s="284">
        <f t="shared" ca="1" si="28"/>
        <v>0.22514356555485926</v>
      </c>
      <c r="G920" s="74">
        <v>41.360688315933203</v>
      </c>
      <c r="H920" s="74">
        <f t="shared" si="29"/>
        <v>-0.86628797260068069</v>
      </c>
    </row>
    <row r="921" spans="5:8" ht="15.6">
      <c r="E921" s="279" t="s">
        <v>1247</v>
      </c>
      <c r="F921" s="284">
        <f t="shared" ca="1" si="28"/>
        <v>0.51284171973345072</v>
      </c>
      <c r="G921" s="74">
        <v>41.350293092907819</v>
      </c>
      <c r="H921" s="74">
        <f t="shared" si="29"/>
        <v>-0.85589274957529682</v>
      </c>
    </row>
    <row r="922" spans="5:8" ht="15.6">
      <c r="E922" s="279" t="s">
        <v>1248</v>
      </c>
      <c r="F922" s="284">
        <f t="shared" ca="1" si="28"/>
        <v>0.38100497171507264</v>
      </c>
      <c r="G922" s="74">
        <v>39.372136566708491</v>
      </c>
      <c r="H922" s="74">
        <f t="shared" si="29"/>
        <v>1.1222637766240311</v>
      </c>
    </row>
    <row r="923" spans="5:8" ht="15.6">
      <c r="E923" s="279" t="s">
        <v>1249</v>
      </c>
      <c r="F923" s="284">
        <f t="shared" ca="1" si="28"/>
        <v>0.55593619815835782</v>
      </c>
      <c r="G923" s="74">
        <v>38.945134309543477</v>
      </c>
      <c r="H923" s="74">
        <f t="shared" si="29"/>
        <v>1.5492660337890456</v>
      </c>
    </row>
    <row r="924" spans="5:8" ht="15.6">
      <c r="E924" s="279" t="s">
        <v>1250</v>
      </c>
      <c r="F924" s="284">
        <f t="shared" ca="1" si="28"/>
        <v>0.584326937005198</v>
      </c>
      <c r="G924" s="74">
        <v>40.369473805154612</v>
      </c>
      <c r="H924" s="74">
        <f t="shared" si="29"/>
        <v>0.12492653817790966</v>
      </c>
    </row>
    <row r="925" spans="5:8" ht="15.6">
      <c r="E925" s="279" t="s">
        <v>1251</v>
      </c>
      <c r="F925" s="284">
        <f t="shared" ca="1" si="28"/>
        <v>2.2189780955473859E-2</v>
      </c>
      <c r="G925" s="74">
        <v>40.331060534319569</v>
      </c>
      <c r="H925" s="74">
        <f t="shared" si="29"/>
        <v>0.1633398090129532</v>
      </c>
    </row>
    <row r="926" spans="5:8" ht="15.6">
      <c r="E926" s="279" t="s">
        <v>1252</v>
      </c>
      <c r="F926" s="284">
        <f t="shared" ca="1" si="28"/>
        <v>0.63322947653322037</v>
      </c>
      <c r="G926" s="74">
        <v>43.02832908729259</v>
      </c>
      <c r="H926" s="74">
        <f t="shared" si="29"/>
        <v>-2.5339287439600682</v>
      </c>
    </row>
    <row r="927" spans="5:8" ht="15.6">
      <c r="E927" s="279" t="s">
        <v>1253</v>
      </c>
      <c r="F927" s="284">
        <f t="shared" ca="1" si="28"/>
        <v>0.96935030141986867</v>
      </c>
      <c r="G927" s="74">
        <v>42.05308412157364</v>
      </c>
      <c r="H927" s="74">
        <f t="shared" si="29"/>
        <v>-1.558683778241118</v>
      </c>
    </row>
    <row r="928" spans="5:8" ht="15.6">
      <c r="E928" s="279" t="s">
        <v>1254</v>
      </c>
      <c r="F928" s="284">
        <f t="shared" ca="1" si="28"/>
        <v>2.6490603475011087E-2</v>
      </c>
      <c r="G928" s="74">
        <v>41.389102269329335</v>
      </c>
      <c r="H928" s="74">
        <f t="shared" si="29"/>
        <v>-0.89470192599681297</v>
      </c>
    </row>
    <row r="929" spans="5:8" ht="15.6">
      <c r="E929" s="279" t="s">
        <v>1255</v>
      </c>
      <c r="F929" s="284">
        <f t="shared" ca="1" si="28"/>
        <v>0.75083952639478757</v>
      </c>
      <c r="G929" s="74">
        <v>36.746437324369182</v>
      </c>
      <c r="H929" s="74">
        <f t="shared" si="29"/>
        <v>3.7479630189633397</v>
      </c>
    </row>
    <row r="930" spans="5:8" ht="15.6">
      <c r="E930" s="279" t="s">
        <v>1256</v>
      </c>
      <c r="F930" s="284">
        <f t="shared" ca="1" si="28"/>
        <v>0.45465914129972074</v>
      </c>
      <c r="G930" s="74">
        <v>36.120841088624999</v>
      </c>
      <c r="H930" s="74">
        <f t="shared" si="29"/>
        <v>4.3735592547075228</v>
      </c>
    </row>
    <row r="931" spans="5:8" ht="15.6">
      <c r="E931" s="279" t="s">
        <v>1257</v>
      </c>
      <c r="F931" s="284">
        <f t="shared" ca="1" si="28"/>
        <v>0.52941408874054086</v>
      </c>
      <c r="G931" s="74">
        <v>38.723857324939715</v>
      </c>
      <c r="H931" s="74">
        <f t="shared" si="29"/>
        <v>1.7705430183928073</v>
      </c>
    </row>
    <row r="932" spans="5:8" ht="15.6">
      <c r="E932" s="279" t="s">
        <v>1258</v>
      </c>
      <c r="F932" s="284">
        <f t="shared" ca="1" si="28"/>
        <v>0.2078296681351981</v>
      </c>
      <c r="G932" s="74">
        <v>43.750861778086112</v>
      </c>
      <c r="H932" s="74">
        <f t="shared" si="29"/>
        <v>-3.2564614347535894</v>
      </c>
    </row>
    <row r="933" spans="5:8" ht="15.6">
      <c r="E933" s="279" t="s">
        <v>1259</v>
      </c>
      <c r="F933" s="284">
        <f t="shared" ca="1" si="28"/>
        <v>0.3923622429980762</v>
      </c>
      <c r="G933" s="74">
        <v>41.217589442755958</v>
      </c>
      <c r="H933" s="74">
        <f t="shared" si="29"/>
        <v>-0.72318909942343623</v>
      </c>
    </row>
    <row r="934" spans="5:8" ht="15.6">
      <c r="E934" s="279" t="s">
        <v>1260</v>
      </c>
      <c r="F934" s="284">
        <f t="shared" ca="1" si="28"/>
        <v>0.52522584472263389</v>
      </c>
      <c r="G934" s="74">
        <v>38.180842629017</v>
      </c>
      <c r="H934" s="74">
        <f t="shared" si="29"/>
        <v>2.3135577143155217</v>
      </c>
    </row>
    <row r="935" spans="5:8" ht="15.6">
      <c r="E935" s="279" t="s">
        <v>1261</v>
      </c>
      <c r="F935" s="284">
        <f t="shared" ca="1" si="28"/>
        <v>0.77930078211665277</v>
      </c>
      <c r="G935" s="74">
        <v>38.719629552618855</v>
      </c>
      <c r="H935" s="74">
        <f t="shared" si="29"/>
        <v>1.7747707907136672</v>
      </c>
    </row>
    <row r="936" spans="5:8" ht="15.6">
      <c r="E936" s="279" t="s">
        <v>1262</v>
      </c>
      <c r="F936" s="284">
        <f t="shared" ca="1" si="28"/>
        <v>0.97876491840135671</v>
      </c>
      <c r="G936" s="74">
        <v>42.204961737677884</v>
      </c>
      <c r="H936" s="74">
        <f t="shared" si="29"/>
        <v>-1.7105613943453619</v>
      </c>
    </row>
    <row r="937" spans="5:8" ht="15.6">
      <c r="E937" s="279" t="s">
        <v>1263</v>
      </c>
      <c r="F937" s="284">
        <f t="shared" ca="1" si="28"/>
        <v>0.91850380705859536</v>
      </c>
      <c r="G937" s="74">
        <v>41.42503915886293</v>
      </c>
      <c r="H937" s="74">
        <f t="shared" si="29"/>
        <v>-0.93063881553040773</v>
      </c>
    </row>
    <row r="938" spans="5:8" ht="15.6">
      <c r="E938" s="279" t="s">
        <v>1264</v>
      </c>
      <c r="F938" s="284">
        <f t="shared" ca="1" si="28"/>
        <v>0.81023881861483371</v>
      </c>
      <c r="G938" s="74">
        <v>39.493633476823689</v>
      </c>
      <c r="H938" s="74">
        <f t="shared" si="29"/>
        <v>1.0007668665088332</v>
      </c>
    </row>
    <row r="939" spans="5:8" ht="15.6">
      <c r="E939" s="279" t="s">
        <v>1265</v>
      </c>
      <c r="F939" s="284">
        <f t="shared" ca="1" si="28"/>
        <v>0.66184964672028723</v>
      </c>
      <c r="G939" s="74">
        <v>40.408561285478257</v>
      </c>
      <c r="H939" s="74">
        <f t="shared" si="29"/>
        <v>8.5839057854265377E-2</v>
      </c>
    </row>
    <row r="940" spans="5:8" ht="15.6">
      <c r="E940" s="279" t="s">
        <v>1266</v>
      </c>
      <c r="F940" s="284">
        <f t="shared" ca="1" si="28"/>
        <v>0.81193980763543128</v>
      </c>
      <c r="G940" s="74">
        <v>43.588501343074164</v>
      </c>
      <c r="H940" s="74">
        <f t="shared" si="29"/>
        <v>-3.0941009997416415</v>
      </c>
    </row>
    <row r="941" spans="5:8" ht="15.6">
      <c r="E941" s="279" t="s">
        <v>1267</v>
      </c>
      <c r="F941" s="284">
        <f t="shared" ca="1" si="28"/>
        <v>0.92381676415356018</v>
      </c>
      <c r="G941" s="74">
        <v>40.128576508349823</v>
      </c>
      <c r="H941" s="74">
        <f t="shared" si="29"/>
        <v>0.36582383498269877</v>
      </c>
    </row>
    <row r="942" spans="5:8" ht="15.6">
      <c r="E942" s="279" t="s">
        <v>1268</v>
      </c>
      <c r="F942" s="284">
        <f t="shared" ca="1" si="28"/>
        <v>0.94684868324619953</v>
      </c>
      <c r="G942" s="74">
        <v>41.506966653379564</v>
      </c>
      <c r="H942" s="74">
        <f t="shared" si="29"/>
        <v>-1.0125663100470419</v>
      </c>
    </row>
    <row r="943" spans="5:8" ht="15.6">
      <c r="E943" s="279" t="s">
        <v>1269</v>
      </c>
      <c r="F943" s="284">
        <f t="shared" ca="1" si="28"/>
        <v>0.44604237221235166</v>
      </c>
      <c r="G943" s="74">
        <v>41.913911113190714</v>
      </c>
      <c r="H943" s="74">
        <f t="shared" si="29"/>
        <v>-1.4195107698581921</v>
      </c>
    </row>
    <row r="944" spans="5:8" ht="15.6">
      <c r="E944" s="279" t="s">
        <v>1270</v>
      </c>
      <c r="F944" s="284">
        <f t="shared" ca="1" si="28"/>
        <v>0.21235268645380512</v>
      </c>
      <c r="G944" s="74">
        <v>39.748181050557342</v>
      </c>
      <c r="H944" s="74">
        <f t="shared" si="29"/>
        <v>0.74621929277518007</v>
      </c>
    </row>
    <row r="945" spans="5:8" ht="15.6">
      <c r="E945" s="279" t="s">
        <v>1271</v>
      </c>
      <c r="F945" s="284">
        <f t="shared" ca="1" si="28"/>
        <v>0.77338022343896451</v>
      </c>
      <c r="G945" s="74">
        <v>37.362726551885132</v>
      </c>
      <c r="H945" s="74">
        <f t="shared" si="29"/>
        <v>3.1316737914473904</v>
      </c>
    </row>
    <row r="946" spans="5:8" ht="15.6">
      <c r="E946" s="279" t="s">
        <v>1272</v>
      </c>
      <c r="F946" s="284">
        <f t="shared" ca="1" si="28"/>
        <v>0.53489046921239047</v>
      </c>
      <c r="G946" s="74">
        <v>38.876566167404697</v>
      </c>
      <c r="H946" s="74">
        <f t="shared" si="29"/>
        <v>1.6178341759278254</v>
      </c>
    </row>
    <row r="947" spans="5:8" ht="15.6">
      <c r="E947" s="279" t="s">
        <v>1273</v>
      </c>
      <c r="F947" s="284">
        <f t="shared" ca="1" si="28"/>
        <v>0.86677325264207461</v>
      </c>
      <c r="G947" s="74">
        <v>35.952234697697897</v>
      </c>
      <c r="H947" s="74">
        <f t="shared" si="29"/>
        <v>4.5421656456346255</v>
      </c>
    </row>
    <row r="948" spans="5:8" ht="15.6">
      <c r="E948" s="279" t="s">
        <v>1274</v>
      </c>
      <c r="F948" s="284">
        <f t="shared" ca="1" si="28"/>
        <v>0.32805997315883062</v>
      </c>
      <c r="G948" s="74">
        <v>38.040312449513358</v>
      </c>
      <c r="H948" s="74">
        <f t="shared" si="29"/>
        <v>2.4540878938191639</v>
      </c>
    </row>
    <row r="949" spans="5:8" ht="15.6">
      <c r="E949" s="279" t="s">
        <v>1275</v>
      </c>
      <c r="F949" s="284">
        <f t="shared" ca="1" si="28"/>
        <v>0.99316720720651896</v>
      </c>
      <c r="G949" s="74">
        <v>40.720395831674182</v>
      </c>
      <c r="H949" s="74">
        <f t="shared" si="29"/>
        <v>-0.22599548834165972</v>
      </c>
    </row>
    <row r="950" spans="5:8" ht="15.6">
      <c r="E950" s="279" t="s">
        <v>1276</v>
      </c>
      <c r="F950" s="284">
        <f t="shared" ca="1" si="28"/>
        <v>0.52967304454823017</v>
      </c>
      <c r="G950" s="74">
        <v>35.51398044514071</v>
      </c>
      <c r="H950" s="74">
        <f t="shared" si="29"/>
        <v>4.980419898191812</v>
      </c>
    </row>
    <row r="951" spans="5:8" ht="15.6">
      <c r="E951" s="279" t="s">
        <v>1277</v>
      </c>
      <c r="F951" s="284">
        <f t="shared" ca="1" si="28"/>
        <v>0.9534445537606886</v>
      </c>
      <c r="G951" s="74">
        <v>38.131688131894194</v>
      </c>
      <c r="H951" s="74">
        <f t="shared" si="29"/>
        <v>2.3627122114383283</v>
      </c>
    </row>
    <row r="952" spans="5:8" ht="15.6">
      <c r="E952" s="279" t="s">
        <v>1278</v>
      </c>
      <c r="F952" s="284">
        <f t="shared" ca="1" si="28"/>
        <v>0.7401697548096331</v>
      </c>
      <c r="G952" s="74">
        <v>38.804013925014118</v>
      </c>
      <c r="H952" s="74">
        <f t="shared" si="29"/>
        <v>1.6903864183184041</v>
      </c>
    </row>
    <row r="953" spans="5:8" ht="15.6">
      <c r="E953" s="279" t="s">
        <v>1279</v>
      </c>
      <c r="F953" s="284">
        <f t="shared" ca="1" si="28"/>
        <v>0.1821589321885051</v>
      </c>
      <c r="G953" s="74">
        <v>41.101681958636185</v>
      </c>
      <c r="H953" s="74">
        <f t="shared" si="29"/>
        <v>-0.60728161530366265</v>
      </c>
    </row>
    <row r="954" spans="5:8" ht="15.6">
      <c r="E954" s="279" t="s">
        <v>1280</v>
      </c>
      <c r="F954" s="284">
        <f t="shared" ca="1" si="28"/>
        <v>0.64850259451022518</v>
      </c>
      <c r="G954" s="74">
        <v>39.007438077103878</v>
      </c>
      <c r="H954" s="74">
        <f t="shared" si="29"/>
        <v>1.4869622662286446</v>
      </c>
    </row>
    <row r="955" spans="5:8" ht="15.6">
      <c r="E955" s="279" t="s">
        <v>1281</v>
      </c>
      <c r="F955" s="284">
        <f t="shared" ca="1" si="28"/>
        <v>0.82782238039562295</v>
      </c>
      <c r="G955" s="74">
        <v>38.476104525389893</v>
      </c>
      <c r="H955" s="74">
        <f t="shared" si="29"/>
        <v>2.0182958179426294</v>
      </c>
    </row>
    <row r="956" spans="5:8" ht="15.6">
      <c r="E956" s="279" t="s">
        <v>1282</v>
      </c>
      <c r="F956" s="284">
        <f t="shared" ca="1" si="28"/>
        <v>0.50595333749292348</v>
      </c>
      <c r="G956" s="74">
        <v>40.992456027029966</v>
      </c>
      <c r="H956" s="74">
        <f t="shared" si="29"/>
        <v>-0.49805568369744435</v>
      </c>
    </row>
    <row r="957" spans="5:8" ht="15.6">
      <c r="E957" s="279" t="s">
        <v>1283</v>
      </c>
      <c r="F957" s="284">
        <f t="shared" ca="1" si="28"/>
        <v>4.3448649144980145E-2</v>
      </c>
      <c r="G957" s="74">
        <v>41.71872276189935</v>
      </c>
      <c r="H957" s="74">
        <f t="shared" si="29"/>
        <v>-1.2243224185668282</v>
      </c>
    </row>
    <row r="958" spans="5:8" ht="15.6">
      <c r="E958" s="279" t="s">
        <v>1284</v>
      </c>
      <c r="F958" s="284">
        <f t="shared" ca="1" si="28"/>
        <v>0.18545610185241845</v>
      </c>
      <c r="G958" s="74">
        <v>40.403132759746782</v>
      </c>
      <c r="H958" s="74">
        <f t="shared" si="29"/>
        <v>9.1267583585739942E-2</v>
      </c>
    </row>
    <row r="959" spans="5:8" ht="15.6">
      <c r="E959" s="279" t="s">
        <v>1285</v>
      </c>
      <c r="F959" s="284">
        <f t="shared" ca="1" si="28"/>
        <v>0.58944475643587624</v>
      </c>
      <c r="G959" s="74">
        <v>36.726165624704066</v>
      </c>
      <c r="H959" s="74">
        <f t="shared" si="29"/>
        <v>3.7682347186284559</v>
      </c>
    </row>
    <row r="960" spans="5:8" ht="15.6">
      <c r="E960" s="279" t="s">
        <v>1286</v>
      </c>
      <c r="F960" s="284">
        <f t="shared" ca="1" si="28"/>
        <v>0.69303550180686935</v>
      </c>
      <c r="G960" s="74">
        <v>37.313078073077094</v>
      </c>
      <c r="H960" s="74">
        <f t="shared" si="29"/>
        <v>3.1813222702554285</v>
      </c>
    </row>
    <row r="961" spans="5:8" ht="15.6">
      <c r="E961" s="279" t="s">
        <v>1287</v>
      </c>
      <c r="F961" s="284">
        <f t="shared" ca="1" si="28"/>
        <v>0.21911181898506782</v>
      </c>
      <c r="G961" s="74">
        <v>36.867846274433965</v>
      </c>
      <c r="H961" s="74">
        <f t="shared" si="29"/>
        <v>3.6265540688985567</v>
      </c>
    </row>
    <row r="962" spans="5:8" ht="15.6">
      <c r="E962" s="279" t="s">
        <v>1288</v>
      </c>
      <c r="F962" s="284">
        <f t="shared" ca="1" si="28"/>
        <v>0.7787590542773406</v>
      </c>
      <c r="G962" s="74">
        <v>40.06754750003482</v>
      </c>
      <c r="H962" s="74">
        <f t="shared" si="29"/>
        <v>0.42685284329770212</v>
      </c>
    </row>
    <row r="963" spans="5:8" ht="15.6">
      <c r="E963" s="279" t="s">
        <v>1289</v>
      </c>
      <c r="F963" s="284">
        <f t="shared" ca="1" si="28"/>
        <v>0.27301666920593148</v>
      </c>
      <c r="G963" s="74">
        <v>37.196216648701331</v>
      </c>
      <c r="H963" s="74">
        <f t="shared" si="29"/>
        <v>3.2981836946311915</v>
      </c>
    </row>
    <row r="964" spans="5:8" ht="15.6">
      <c r="E964" s="279" t="s">
        <v>1290</v>
      </c>
      <c r="F964" s="284">
        <f t="shared" ca="1" si="28"/>
        <v>0.66523321752775233</v>
      </c>
      <c r="G964" s="74">
        <v>38.730725501384022</v>
      </c>
      <c r="H964" s="74">
        <f t="shared" si="29"/>
        <v>1.7636748419485002</v>
      </c>
    </row>
    <row r="965" spans="5:8" ht="15.6">
      <c r="E965" s="279" t="s">
        <v>1291</v>
      </c>
      <c r="F965" s="284">
        <f t="shared" ca="1" si="28"/>
        <v>5.7528466475029072E-2</v>
      </c>
      <c r="G965" s="74">
        <v>39.33077439283489</v>
      </c>
      <c r="H965" s="74">
        <f t="shared" si="29"/>
        <v>1.1636259504976323</v>
      </c>
    </row>
    <row r="966" spans="5:8" ht="15.6">
      <c r="E966" s="279" t="s">
        <v>1292</v>
      </c>
      <c r="F966" s="284">
        <f t="shared" ca="1" si="28"/>
        <v>0.37129071650533807</v>
      </c>
      <c r="G966" s="74">
        <v>43.143810727964272</v>
      </c>
      <c r="H966" s="74">
        <f t="shared" si="29"/>
        <v>-2.64941038463175</v>
      </c>
    </row>
    <row r="967" spans="5:8" ht="15.6">
      <c r="E967" s="279" t="s">
        <v>1293</v>
      </c>
      <c r="F967" s="284">
        <f t="shared" ca="1" si="28"/>
        <v>0.92409537946572706</v>
      </c>
      <c r="G967" s="74">
        <v>42.709257491737432</v>
      </c>
      <c r="H967" s="74">
        <f t="shared" si="29"/>
        <v>-2.21485714840491</v>
      </c>
    </row>
    <row r="968" spans="5:8" ht="15.6">
      <c r="E968" s="279" t="s">
        <v>1294</v>
      </c>
      <c r="F968" s="284">
        <f t="shared" ca="1" si="28"/>
        <v>3.70839372134254E-2</v>
      </c>
      <c r="G968" s="74">
        <v>37.277719207280967</v>
      </c>
      <c r="H968" s="74">
        <f t="shared" si="29"/>
        <v>3.2166811360515553</v>
      </c>
    </row>
    <row r="969" spans="5:8" ht="15.6">
      <c r="E969" s="279" t="s">
        <v>1295</v>
      </c>
      <c r="F969" s="284">
        <f t="shared" ca="1" si="28"/>
        <v>0.15626955968335676</v>
      </c>
      <c r="G969" s="74">
        <v>36.020107994538819</v>
      </c>
      <c r="H969" s="74">
        <f t="shared" si="29"/>
        <v>4.4742923487937034</v>
      </c>
    </row>
    <row r="970" spans="5:8" ht="15.6">
      <c r="E970" s="279" t="s">
        <v>1296</v>
      </c>
      <c r="F970" s="284">
        <f t="shared" ca="1" si="28"/>
        <v>0.99190916129008144</v>
      </c>
      <c r="G970" s="74">
        <v>36.465271777359682</v>
      </c>
      <c r="H970" s="74">
        <f t="shared" si="29"/>
        <v>4.0291285659728402</v>
      </c>
    </row>
    <row r="971" spans="5:8" ht="15.6">
      <c r="E971" s="279" t="s">
        <v>1297</v>
      </c>
      <c r="F971" s="284">
        <f t="shared" ca="1" si="28"/>
        <v>0.29697174954896199</v>
      </c>
      <c r="G971" s="74">
        <v>42.603977040947441</v>
      </c>
      <c r="H971" s="74">
        <f t="shared" si="29"/>
        <v>-2.1095766976149193</v>
      </c>
    </row>
    <row r="972" spans="5:8" ht="15.6">
      <c r="E972" s="279" t="s">
        <v>1298</v>
      </c>
      <c r="F972" s="284">
        <f t="shared" ref="F972:F1035" ca="1" si="30">RAND()</f>
        <v>0.56824025102120612</v>
      </c>
      <c r="G972" s="74">
        <v>38.357186993479957</v>
      </c>
      <c r="H972" s="74">
        <f t="shared" ref="H972:H1035" si="31">$D$2-G972</f>
        <v>2.1372133498525656</v>
      </c>
    </row>
    <row r="973" spans="5:8" ht="15.6">
      <c r="E973" s="279" t="s">
        <v>1299</v>
      </c>
      <c r="F973" s="284">
        <f t="shared" ca="1" si="30"/>
        <v>0.23473923021416565</v>
      </c>
      <c r="G973" s="74">
        <v>41.487340689872461</v>
      </c>
      <c r="H973" s="74">
        <f t="shared" si="31"/>
        <v>-0.9929403465399389</v>
      </c>
    </row>
    <row r="974" spans="5:8" ht="15.6">
      <c r="E974" s="279" t="s">
        <v>1300</v>
      </c>
      <c r="F974" s="284">
        <f t="shared" ca="1" si="30"/>
        <v>0.16602940725066961</v>
      </c>
      <c r="G974" s="74">
        <v>39.155487600753354</v>
      </c>
      <c r="H974" s="74">
        <f t="shared" si="31"/>
        <v>1.3389127425791685</v>
      </c>
    </row>
    <row r="975" spans="5:8" ht="15.6">
      <c r="E975" s="279" t="s">
        <v>1301</v>
      </c>
      <c r="F975" s="284">
        <f t="shared" ca="1" si="30"/>
        <v>0.61724164981120011</v>
      </c>
      <c r="G975" s="74">
        <v>39.205521197244146</v>
      </c>
      <c r="H975" s="74">
        <f t="shared" si="31"/>
        <v>1.2888791460883766</v>
      </c>
    </row>
    <row r="976" spans="5:8" ht="15.6">
      <c r="E976" s="279" t="s">
        <v>1302</v>
      </c>
      <c r="F976" s="284">
        <f t="shared" ca="1" si="30"/>
        <v>0.39458734921302452</v>
      </c>
      <c r="G976" s="74">
        <v>40.21578824804822</v>
      </c>
      <c r="H976" s="74">
        <f t="shared" si="31"/>
        <v>0.27861209528430209</v>
      </c>
    </row>
    <row r="977" spans="5:8" ht="15.6">
      <c r="E977" s="279" t="s">
        <v>1303</v>
      </c>
      <c r="F977" s="284">
        <f t="shared" ca="1" si="30"/>
        <v>0.29414509465914462</v>
      </c>
      <c r="G977" s="74">
        <v>40.547779436294157</v>
      </c>
      <c r="H977" s="74">
        <f t="shared" si="31"/>
        <v>-5.3379092961634456E-2</v>
      </c>
    </row>
    <row r="978" spans="5:8" ht="15.6">
      <c r="E978" s="279" t="s">
        <v>1304</v>
      </c>
      <c r="F978" s="284">
        <f t="shared" ca="1" si="30"/>
        <v>0.25475030903757445</v>
      </c>
      <c r="G978" s="74">
        <v>39.122542893801182</v>
      </c>
      <c r="H978" s="74">
        <f t="shared" si="31"/>
        <v>1.3718574495313405</v>
      </c>
    </row>
    <row r="979" spans="5:8" ht="15.6">
      <c r="E979" s="279" t="s">
        <v>1305</v>
      </c>
      <c r="F979" s="284">
        <f t="shared" ca="1" si="30"/>
        <v>0.57885425618944819</v>
      </c>
      <c r="G979" s="74">
        <v>38.929636278806505</v>
      </c>
      <c r="H979" s="74">
        <f t="shared" si="31"/>
        <v>1.5647640645260168</v>
      </c>
    </row>
    <row r="980" spans="5:8" ht="15.6">
      <c r="E980" s="279" t="s">
        <v>1306</v>
      </c>
      <c r="F980" s="284">
        <f t="shared" ca="1" si="30"/>
        <v>0.42914272864701797</v>
      </c>
      <c r="G980" s="74">
        <v>41.110562991277476</v>
      </c>
      <c r="H980" s="74">
        <f t="shared" si="31"/>
        <v>-0.61616264794495379</v>
      </c>
    </row>
    <row r="981" spans="5:8" ht="15.6">
      <c r="E981" s="279" t="s">
        <v>1307</v>
      </c>
      <c r="F981" s="284">
        <f t="shared" ca="1" si="30"/>
        <v>0.10223157778796166</v>
      </c>
      <c r="G981" s="74">
        <v>39.180656302090235</v>
      </c>
      <c r="H981" s="74">
        <f t="shared" si="31"/>
        <v>1.3137440412422876</v>
      </c>
    </row>
    <row r="982" spans="5:8" ht="15.6">
      <c r="E982" s="279" t="s">
        <v>1308</v>
      </c>
      <c r="F982" s="284">
        <f t="shared" ca="1" si="30"/>
        <v>0.34788859229885138</v>
      </c>
      <c r="G982" s="74">
        <v>37.852925104391453</v>
      </c>
      <c r="H982" s="74">
        <f t="shared" si="31"/>
        <v>2.6414752389410694</v>
      </c>
    </row>
    <row r="983" spans="5:8" ht="15.6">
      <c r="E983" s="279" t="s">
        <v>1309</v>
      </c>
      <c r="F983" s="284">
        <f t="shared" ca="1" si="30"/>
        <v>0.77001752945818491</v>
      </c>
      <c r="G983" s="74">
        <v>38.193512380038314</v>
      </c>
      <c r="H983" s="74">
        <f t="shared" si="31"/>
        <v>2.3008879632942083</v>
      </c>
    </row>
    <row r="984" spans="5:8" ht="15.6">
      <c r="E984" s="279" t="s">
        <v>1310</v>
      </c>
      <c r="F984" s="284">
        <f t="shared" ca="1" si="30"/>
        <v>0.23164937083872517</v>
      </c>
      <c r="G984" s="74">
        <v>37.632365837538735</v>
      </c>
      <c r="H984" s="74">
        <f t="shared" si="31"/>
        <v>2.8620345057937868</v>
      </c>
    </row>
    <row r="985" spans="5:8" ht="15.6">
      <c r="E985" s="279" t="s">
        <v>1311</v>
      </c>
      <c r="F985" s="284">
        <f t="shared" ca="1" si="30"/>
        <v>0.29799027068803896</v>
      </c>
      <c r="G985" s="74">
        <v>41.857381980792077</v>
      </c>
      <c r="H985" s="74">
        <f t="shared" si="31"/>
        <v>-1.3629816374595549</v>
      </c>
    </row>
    <row r="986" spans="5:8" ht="15.6">
      <c r="E986" s="279" t="s">
        <v>1312</v>
      </c>
      <c r="F986" s="284">
        <f t="shared" ca="1" si="30"/>
        <v>8.1462037895507877E-2</v>
      </c>
      <c r="G986" s="74">
        <v>37.55641636134424</v>
      </c>
      <c r="H986" s="74">
        <f t="shared" si="31"/>
        <v>2.9379839819882818</v>
      </c>
    </row>
    <row r="987" spans="5:8" ht="15.6">
      <c r="E987" s="279" t="s">
        <v>1313</v>
      </c>
      <c r="F987" s="284">
        <f t="shared" ca="1" si="30"/>
        <v>0.39083477352210261</v>
      </c>
      <c r="G987" s="74">
        <v>36.634397712975804</v>
      </c>
      <c r="H987" s="74">
        <f t="shared" si="31"/>
        <v>3.8600026303567176</v>
      </c>
    </row>
    <row r="988" spans="5:8" ht="15.6">
      <c r="E988" s="279" t="s">
        <v>1314</v>
      </c>
      <c r="F988" s="284">
        <f t="shared" ca="1" si="30"/>
        <v>0.94287571075074739</v>
      </c>
      <c r="G988" s="74">
        <v>40.519161745998183</v>
      </c>
      <c r="H988" s="74">
        <f t="shared" si="31"/>
        <v>-2.4761402665660626E-2</v>
      </c>
    </row>
    <row r="989" spans="5:8" ht="15.6">
      <c r="E989" s="279" t="s">
        <v>1315</v>
      </c>
      <c r="F989" s="284">
        <f t="shared" ca="1" si="30"/>
        <v>0.995214350645926</v>
      </c>
      <c r="G989" s="74">
        <v>41.387979370082356</v>
      </c>
      <c r="H989" s="74">
        <f t="shared" si="31"/>
        <v>-0.89357902674983336</v>
      </c>
    </row>
    <row r="990" spans="5:8" ht="15.6">
      <c r="E990" s="279" t="s">
        <v>1316</v>
      </c>
      <c r="F990" s="284">
        <f t="shared" ca="1" si="30"/>
        <v>6.8637716529073245E-2</v>
      </c>
      <c r="G990" s="74">
        <v>42.776408483957717</v>
      </c>
      <c r="H990" s="74">
        <f t="shared" si="31"/>
        <v>-2.2820081406251944</v>
      </c>
    </row>
    <row r="991" spans="5:8" ht="15.6">
      <c r="E991" s="279" t="s">
        <v>1317</v>
      </c>
      <c r="F991" s="284">
        <f t="shared" ca="1" si="30"/>
        <v>0.90180204968632149</v>
      </c>
      <c r="G991" s="74">
        <v>36.365960810843561</v>
      </c>
      <c r="H991" s="74">
        <f t="shared" si="31"/>
        <v>4.1284395324889616</v>
      </c>
    </row>
    <row r="992" spans="5:8" ht="15.6">
      <c r="E992" s="279" t="s">
        <v>1318</v>
      </c>
      <c r="F992" s="284">
        <f t="shared" ca="1" si="30"/>
        <v>0.21836543777738737</v>
      </c>
      <c r="G992" s="74">
        <v>40.807011499063513</v>
      </c>
      <c r="H992" s="74">
        <f t="shared" si="31"/>
        <v>-0.31261115573099119</v>
      </c>
    </row>
    <row r="993" spans="5:8" ht="15.6">
      <c r="E993" s="279" t="s">
        <v>1319</v>
      </c>
      <c r="F993" s="284">
        <f t="shared" ca="1" si="30"/>
        <v>0.87951275480102886</v>
      </c>
      <c r="G993" s="74">
        <v>37.921372996947419</v>
      </c>
      <c r="H993" s="74">
        <f t="shared" si="31"/>
        <v>2.5730273463851034</v>
      </c>
    </row>
    <row r="994" spans="5:8" ht="15.6">
      <c r="E994" s="279" t="s">
        <v>1320</v>
      </c>
      <c r="F994" s="284">
        <f t="shared" ca="1" si="30"/>
        <v>0.82519686540099679</v>
      </c>
      <c r="G994" s="74">
        <v>36.388309290798269</v>
      </c>
      <c r="H994" s="74">
        <f t="shared" si="31"/>
        <v>4.1060910525342535</v>
      </c>
    </row>
    <row r="995" spans="5:8" ht="15.6">
      <c r="E995" s="279" t="s">
        <v>1321</v>
      </c>
      <c r="F995" s="284">
        <f t="shared" ca="1" si="30"/>
        <v>0.23900023684075888</v>
      </c>
      <c r="G995" s="74">
        <v>46.080896601664975</v>
      </c>
      <c r="H995" s="74">
        <f t="shared" si="31"/>
        <v>-5.5864962583324527</v>
      </c>
    </row>
    <row r="996" spans="5:8" ht="15.6">
      <c r="E996" s="279" t="s">
        <v>1322</v>
      </c>
      <c r="F996" s="284">
        <f t="shared" ca="1" si="30"/>
        <v>0.95194982785177296</v>
      </c>
      <c r="G996" s="74">
        <v>43.680422225841419</v>
      </c>
      <c r="H996" s="74">
        <f t="shared" si="31"/>
        <v>-3.1860218825088964</v>
      </c>
    </row>
    <row r="997" spans="5:8" ht="15.6">
      <c r="E997" s="279" t="s">
        <v>1323</v>
      </c>
      <c r="F997" s="284">
        <f t="shared" ca="1" si="30"/>
        <v>0.60963252598797679</v>
      </c>
      <c r="G997" s="74">
        <v>39.96043521991772</v>
      </c>
      <c r="H997" s="74">
        <f t="shared" si="31"/>
        <v>0.53396512341480218</v>
      </c>
    </row>
    <row r="998" spans="5:8" ht="15.6">
      <c r="E998" s="279" t="s">
        <v>1324</v>
      </c>
      <c r="F998" s="284">
        <f t="shared" ca="1" si="30"/>
        <v>0.90797585118657564</v>
      </c>
      <c r="G998" s="74">
        <v>43.431538889798325</v>
      </c>
      <c r="H998" s="74">
        <f t="shared" si="31"/>
        <v>-2.9371385464658033</v>
      </c>
    </row>
    <row r="999" spans="5:8" ht="15.6">
      <c r="E999" s="279" t="s">
        <v>1325</v>
      </c>
      <c r="F999" s="284">
        <f t="shared" ca="1" si="30"/>
        <v>0.69674392868687995</v>
      </c>
      <c r="G999" s="74">
        <v>39.605180203254257</v>
      </c>
      <c r="H999" s="74">
        <f t="shared" si="31"/>
        <v>0.88922014007826533</v>
      </c>
    </row>
    <row r="1000" spans="5:8" ht="15.6">
      <c r="E1000" s="279" t="s">
        <v>1326</v>
      </c>
      <c r="F1000" s="284">
        <f t="shared" ca="1" si="30"/>
        <v>0.47827128214305004</v>
      </c>
      <c r="G1000" s="74">
        <v>39.039350310472109</v>
      </c>
      <c r="H1000" s="74">
        <f t="shared" si="31"/>
        <v>1.455050032860413</v>
      </c>
    </row>
    <row r="1001" spans="5:8" ht="15.6">
      <c r="E1001" s="279" t="s">
        <v>1327</v>
      </c>
      <c r="F1001" s="284">
        <f t="shared" ca="1" si="30"/>
        <v>0.78155990548031706</v>
      </c>
      <c r="G1001" s="74">
        <v>40.065143690457148</v>
      </c>
      <c r="H1001" s="74">
        <f t="shared" si="31"/>
        <v>0.42925665287537385</v>
      </c>
    </row>
    <row r="1002" spans="5:8" ht="15.6">
      <c r="E1002" s="279" t="s">
        <v>1328</v>
      </c>
      <c r="F1002" s="284">
        <f t="shared" ca="1" si="30"/>
        <v>0.61566247335067581</v>
      </c>
      <c r="G1002" s="74">
        <v>38.805636138111971</v>
      </c>
      <c r="H1002" s="74">
        <f t="shared" si="31"/>
        <v>1.6887642052205507</v>
      </c>
    </row>
    <row r="1003" spans="5:8" ht="15.6">
      <c r="E1003" s="279" t="s">
        <v>1329</v>
      </c>
      <c r="F1003" s="284">
        <f t="shared" ca="1" si="30"/>
        <v>0.69083704566783166</v>
      </c>
      <c r="G1003" s="74">
        <v>39.6532633895755</v>
      </c>
      <c r="H1003" s="74">
        <f t="shared" si="31"/>
        <v>0.84113695375702235</v>
      </c>
    </row>
    <row r="1004" spans="5:8" ht="15.6">
      <c r="E1004" s="279" t="s">
        <v>1330</v>
      </c>
      <c r="F1004" s="284">
        <f t="shared" ca="1" si="30"/>
        <v>0.9011227932033844</v>
      </c>
      <c r="G1004" s="74">
        <v>40.45040721989286</v>
      </c>
      <c r="H1004" s="74">
        <f t="shared" si="31"/>
        <v>4.399312343966244E-2</v>
      </c>
    </row>
    <row r="1005" spans="5:8" ht="15.6">
      <c r="E1005" s="279" t="s">
        <v>1331</v>
      </c>
      <c r="F1005" s="284">
        <f t="shared" ca="1" si="30"/>
        <v>0.9706870461949848</v>
      </c>
      <c r="G1005" s="74">
        <v>34.913822998624418</v>
      </c>
      <c r="H1005" s="74">
        <f t="shared" si="31"/>
        <v>5.5805773447081037</v>
      </c>
    </row>
    <row r="1006" spans="5:8" ht="15.6">
      <c r="E1006" s="279" t="s">
        <v>1332</v>
      </c>
      <c r="F1006" s="284">
        <f t="shared" ca="1" si="30"/>
        <v>0.27014935535484608</v>
      </c>
      <c r="G1006" s="74">
        <v>39.957906666032883</v>
      </c>
      <c r="H1006" s="74">
        <f t="shared" si="31"/>
        <v>0.5364936772996387</v>
      </c>
    </row>
    <row r="1007" spans="5:8" ht="15.6">
      <c r="E1007" s="279" t="s">
        <v>1333</v>
      </c>
      <c r="F1007" s="284">
        <f t="shared" ca="1" si="30"/>
        <v>0.806497952688777</v>
      </c>
      <c r="G1007" s="74">
        <v>41.041857824012411</v>
      </c>
      <c r="H1007" s="74">
        <f t="shared" si="31"/>
        <v>-0.54745748067988842</v>
      </c>
    </row>
    <row r="1008" spans="5:8" ht="15.6">
      <c r="E1008" s="279" t="s">
        <v>1334</v>
      </c>
      <c r="F1008" s="284">
        <f t="shared" ca="1" si="30"/>
        <v>0.52826440144751741</v>
      </c>
      <c r="G1008" s="74">
        <v>37.009146480874129</v>
      </c>
      <c r="H1008" s="74">
        <f t="shared" si="31"/>
        <v>3.4852538624583929</v>
      </c>
    </row>
    <row r="1009" spans="5:8" ht="15.6">
      <c r="E1009" s="279" t="s">
        <v>1335</v>
      </c>
      <c r="F1009" s="284">
        <f t="shared" ca="1" si="30"/>
        <v>0.89958936615972385</v>
      </c>
      <c r="G1009" s="74">
        <v>39.589323319957018</v>
      </c>
      <c r="H1009" s="74">
        <f t="shared" si="31"/>
        <v>0.90507702337550455</v>
      </c>
    </row>
    <row r="1010" spans="5:8" ht="15.6">
      <c r="E1010" s="279" t="s">
        <v>1336</v>
      </c>
      <c r="F1010" s="284">
        <f t="shared" ca="1" si="30"/>
        <v>0.75021797604943241</v>
      </c>
      <c r="G1010" s="74">
        <v>40.50737293886624</v>
      </c>
      <c r="H1010" s="74">
        <f t="shared" si="31"/>
        <v>-1.2972595533717879E-2</v>
      </c>
    </row>
    <row r="1011" spans="5:8" ht="15.6">
      <c r="E1011" s="279" t="s">
        <v>1337</v>
      </c>
      <c r="F1011" s="284">
        <f t="shared" ca="1" si="30"/>
        <v>0.80871003752228288</v>
      </c>
      <c r="G1011" s="74">
        <v>38.557029456700562</v>
      </c>
      <c r="H1011" s="74">
        <f t="shared" si="31"/>
        <v>1.9373708866319603</v>
      </c>
    </row>
    <row r="1012" spans="5:8" ht="15.6">
      <c r="E1012" s="279" t="s">
        <v>1338</v>
      </c>
      <c r="F1012" s="284">
        <f t="shared" ca="1" si="30"/>
        <v>0.45542545675261059</v>
      </c>
      <c r="G1012" s="74">
        <v>38.591838395700812</v>
      </c>
      <c r="H1012" s="74">
        <f t="shared" si="31"/>
        <v>1.9025619476317104</v>
      </c>
    </row>
    <row r="1013" spans="5:8" ht="15.6">
      <c r="E1013" s="279" t="s">
        <v>1339</v>
      </c>
      <c r="F1013" s="284">
        <f t="shared" ca="1" si="30"/>
        <v>0.64107738066026188</v>
      </c>
      <c r="G1013" s="74">
        <v>36.200900890642473</v>
      </c>
      <c r="H1013" s="74">
        <f t="shared" si="31"/>
        <v>4.2934994526900496</v>
      </c>
    </row>
    <row r="1014" spans="5:8" ht="15.6">
      <c r="E1014" s="279" t="s">
        <v>1340</v>
      </c>
      <c r="F1014" s="284">
        <f t="shared" ca="1" si="30"/>
        <v>0.72974031951293572</v>
      </c>
      <c r="G1014" s="74">
        <v>39.290367480718913</v>
      </c>
      <c r="H1014" s="74">
        <f t="shared" si="31"/>
        <v>1.2040328626136088</v>
      </c>
    </row>
    <row r="1015" spans="5:8" ht="15.6">
      <c r="E1015" s="279" t="s">
        <v>1341</v>
      </c>
      <c r="F1015" s="284">
        <f t="shared" ca="1" si="30"/>
        <v>0.80150523535994445</v>
      </c>
      <c r="G1015" s="74">
        <v>41.373952822368494</v>
      </c>
      <c r="H1015" s="74">
        <f t="shared" si="31"/>
        <v>-0.87955247903597211</v>
      </c>
    </row>
    <row r="1016" spans="5:8" ht="15.6">
      <c r="E1016" s="279" t="s">
        <v>1342</v>
      </c>
      <c r="F1016" s="284">
        <f t="shared" ca="1" si="30"/>
        <v>0.749639575630761</v>
      </c>
      <c r="G1016" s="74">
        <v>36.866988776544694</v>
      </c>
      <c r="H1016" s="74">
        <f t="shared" si="31"/>
        <v>3.6274115667878277</v>
      </c>
    </row>
    <row r="1017" spans="5:8" ht="15.6">
      <c r="E1017" s="279" t="s">
        <v>1343</v>
      </c>
      <c r="F1017" s="284">
        <f t="shared" ca="1" si="30"/>
        <v>0.15353505601849515</v>
      </c>
      <c r="G1017" s="74">
        <v>39.533947586791413</v>
      </c>
      <c r="H1017" s="74">
        <f t="shared" si="31"/>
        <v>0.96045275654110895</v>
      </c>
    </row>
    <row r="1018" spans="5:8" ht="15.6">
      <c r="E1018" s="279" t="s">
        <v>1344</v>
      </c>
      <c r="F1018" s="284">
        <f t="shared" ca="1" si="30"/>
        <v>0.37724701829702345</v>
      </c>
      <c r="G1018" s="74">
        <v>39.205004618794142</v>
      </c>
      <c r="H1018" s="74">
        <f t="shared" si="31"/>
        <v>1.2893957245383803</v>
      </c>
    </row>
    <row r="1019" spans="5:8" ht="15.6">
      <c r="E1019" s="279" t="s">
        <v>1345</v>
      </c>
      <c r="F1019" s="284">
        <f t="shared" ca="1" si="30"/>
        <v>0.3164176983254513</v>
      </c>
      <c r="G1019" s="74">
        <v>43.410852824494448</v>
      </c>
      <c r="H1019" s="74">
        <f t="shared" si="31"/>
        <v>-2.9164524811619259</v>
      </c>
    </row>
    <row r="1020" spans="5:8" ht="15.6">
      <c r="E1020" s="279" t="s">
        <v>1346</v>
      </c>
      <c r="F1020" s="284">
        <f t="shared" ca="1" si="30"/>
        <v>0.51992828800125035</v>
      </c>
      <c r="G1020" s="74">
        <v>39.067638182048192</v>
      </c>
      <c r="H1020" s="74">
        <f t="shared" si="31"/>
        <v>1.42676216128433</v>
      </c>
    </row>
    <row r="1021" spans="5:8" ht="15.6">
      <c r="E1021" s="279" t="s">
        <v>1347</v>
      </c>
      <c r="F1021" s="284">
        <f t="shared" ca="1" si="30"/>
        <v>0.77366862635175337</v>
      </c>
      <c r="G1021" s="74">
        <v>31.398039264749926</v>
      </c>
      <c r="H1021" s="74">
        <f t="shared" si="31"/>
        <v>9.0963610785825963</v>
      </c>
    </row>
    <row r="1022" spans="5:8" ht="15.6">
      <c r="E1022" s="279" t="s">
        <v>1348</v>
      </c>
      <c r="F1022" s="284">
        <f t="shared" ca="1" si="30"/>
        <v>0.41430319074959698</v>
      </c>
      <c r="G1022" s="74">
        <v>41.739740708044543</v>
      </c>
      <c r="H1022" s="74">
        <f t="shared" si="31"/>
        <v>-1.2453403647120211</v>
      </c>
    </row>
    <row r="1023" spans="5:8" ht="15.6">
      <c r="E1023" s="279" t="s">
        <v>1349</v>
      </c>
      <c r="F1023" s="284">
        <f t="shared" ca="1" si="30"/>
        <v>0.47771103034332196</v>
      </c>
      <c r="G1023" s="74">
        <v>42.894229086195423</v>
      </c>
      <c r="H1023" s="74">
        <f t="shared" si="31"/>
        <v>-2.3998287428629013</v>
      </c>
    </row>
    <row r="1024" spans="5:8" ht="15.6">
      <c r="E1024" s="279" t="s">
        <v>1350</v>
      </c>
      <c r="F1024" s="284">
        <f t="shared" ca="1" si="30"/>
        <v>0.45758625215090853</v>
      </c>
      <c r="G1024" s="74">
        <v>42.777440412102209</v>
      </c>
      <c r="H1024" s="74">
        <f t="shared" si="31"/>
        <v>-2.2830400687696866</v>
      </c>
    </row>
    <row r="1025" spans="5:8" ht="15.6">
      <c r="E1025" s="279" t="s">
        <v>1351</v>
      </c>
      <c r="F1025" s="284">
        <f t="shared" ca="1" si="30"/>
        <v>0.30576467800843099</v>
      </c>
      <c r="G1025" s="74">
        <v>43.899421865806183</v>
      </c>
      <c r="H1025" s="74">
        <f t="shared" si="31"/>
        <v>-3.4050215224736604</v>
      </c>
    </row>
    <row r="1026" spans="5:8" ht="15.6">
      <c r="E1026" s="279" t="s">
        <v>1352</v>
      </c>
      <c r="F1026" s="284">
        <f t="shared" ca="1" si="30"/>
        <v>0.10588311231958047</v>
      </c>
      <c r="G1026" s="74">
        <v>37.002954745938055</v>
      </c>
      <c r="H1026" s="74">
        <f t="shared" si="31"/>
        <v>3.4914455973944669</v>
      </c>
    </row>
    <row r="1027" spans="5:8" ht="15.6">
      <c r="E1027" s="279" t="s">
        <v>1353</v>
      </c>
      <c r="F1027" s="284">
        <f t="shared" ca="1" si="30"/>
        <v>0.18913091433191931</v>
      </c>
      <c r="G1027" s="74">
        <v>39.341476078756209</v>
      </c>
      <c r="H1027" s="74">
        <f t="shared" si="31"/>
        <v>1.1529242645763134</v>
      </c>
    </row>
    <row r="1028" spans="5:8" ht="15.6">
      <c r="E1028" s="279" t="s">
        <v>1354</v>
      </c>
      <c r="F1028" s="284">
        <f t="shared" ca="1" si="30"/>
        <v>0.11281928869572111</v>
      </c>
      <c r="G1028" s="74">
        <v>36.501045409087538</v>
      </c>
      <c r="H1028" s="74">
        <f t="shared" si="31"/>
        <v>3.9933549342449837</v>
      </c>
    </row>
    <row r="1029" spans="5:8" ht="15.6">
      <c r="E1029" s="279" t="s">
        <v>1355</v>
      </c>
      <c r="F1029" s="284">
        <f t="shared" ca="1" si="30"/>
        <v>4.9521863961314749E-2</v>
      </c>
      <c r="G1029" s="74">
        <v>34.452437560340812</v>
      </c>
      <c r="H1029" s="74">
        <f t="shared" si="31"/>
        <v>6.0419627829917104</v>
      </c>
    </row>
    <row r="1030" spans="5:8" ht="15.6">
      <c r="E1030" s="279" t="s">
        <v>1356</v>
      </c>
      <c r="F1030" s="284">
        <f t="shared" ca="1" si="30"/>
        <v>0.44820423110790242</v>
      </c>
      <c r="G1030" s="74">
        <v>40.003813262033013</v>
      </c>
      <c r="H1030" s="74">
        <f t="shared" si="31"/>
        <v>0.49058708129950901</v>
      </c>
    </row>
    <row r="1031" spans="5:8" ht="15.6">
      <c r="E1031" s="279" t="s">
        <v>1357</v>
      </c>
      <c r="F1031" s="284">
        <f t="shared" ca="1" si="30"/>
        <v>0.45540515990630881</v>
      </c>
      <c r="G1031" s="74">
        <v>39.636675017372845</v>
      </c>
      <c r="H1031" s="74">
        <f t="shared" si="31"/>
        <v>0.85772532595967732</v>
      </c>
    </row>
    <row r="1032" spans="5:8" ht="15.6">
      <c r="E1032" s="279" t="s">
        <v>1358</v>
      </c>
      <c r="F1032" s="284">
        <f t="shared" ca="1" si="30"/>
        <v>0.98184754510267414</v>
      </c>
      <c r="G1032" s="74">
        <v>37.384815502770984</v>
      </c>
      <c r="H1032" s="74">
        <f t="shared" si="31"/>
        <v>3.1095848405615385</v>
      </c>
    </row>
    <row r="1033" spans="5:8" ht="15.6">
      <c r="E1033" s="279" t="s">
        <v>1359</v>
      </c>
      <c r="F1033" s="284">
        <f t="shared" ca="1" si="30"/>
        <v>0.68280693675776483</v>
      </c>
      <c r="G1033" s="74">
        <v>38.221635919078196</v>
      </c>
      <c r="H1033" s="74">
        <f t="shared" si="31"/>
        <v>2.2727644242543263</v>
      </c>
    </row>
    <row r="1034" spans="5:8" ht="15.6">
      <c r="E1034" s="279" t="s">
        <v>1360</v>
      </c>
      <c r="F1034" s="284">
        <f t="shared" ca="1" si="30"/>
        <v>0.97831279578778918</v>
      </c>
      <c r="G1034" s="74">
        <v>38.998547298298256</v>
      </c>
      <c r="H1034" s="74">
        <f t="shared" si="31"/>
        <v>1.4958530450342664</v>
      </c>
    </row>
    <row r="1035" spans="5:8" ht="15.6">
      <c r="E1035" s="279" t="s">
        <v>1361</v>
      </c>
      <c r="F1035" s="284">
        <f t="shared" ca="1" si="30"/>
        <v>0.37542492653899173</v>
      </c>
      <c r="G1035" s="74">
        <v>40.310256138464624</v>
      </c>
      <c r="H1035" s="74">
        <f t="shared" si="31"/>
        <v>0.18414420486789851</v>
      </c>
    </row>
    <row r="1036" spans="5:8" ht="15.6">
      <c r="E1036" s="279" t="s">
        <v>1362</v>
      </c>
      <c r="F1036" s="284">
        <f t="shared" ref="F1036:F1099" ca="1" si="32">RAND()</f>
        <v>0.31198780745081345</v>
      </c>
      <c r="G1036" s="74">
        <v>39.109564376445235</v>
      </c>
      <c r="H1036" s="74">
        <f t="shared" ref="H1036:H1099" si="33">$D$2-G1036</f>
        <v>1.3848359668872874</v>
      </c>
    </row>
    <row r="1037" spans="5:8" ht="15.6">
      <c r="E1037" s="279" t="s">
        <v>1363</v>
      </c>
      <c r="F1037" s="284">
        <f t="shared" ca="1" si="32"/>
        <v>0.22472795013934899</v>
      </c>
      <c r="G1037" s="74">
        <v>39.588617373601451</v>
      </c>
      <c r="H1037" s="74">
        <f t="shared" si="33"/>
        <v>0.90578296973107086</v>
      </c>
    </row>
    <row r="1038" spans="5:8" ht="15.6">
      <c r="E1038" s="279" t="s">
        <v>1364</v>
      </c>
      <c r="F1038" s="284">
        <f t="shared" ca="1" si="32"/>
        <v>0.3905336740081975</v>
      </c>
      <c r="G1038" s="74">
        <v>36.811696122678029</v>
      </c>
      <c r="H1038" s="74">
        <f t="shared" si="33"/>
        <v>3.6827042206544931</v>
      </c>
    </row>
    <row r="1039" spans="5:8" ht="15.6">
      <c r="E1039" s="279" t="s">
        <v>1365</v>
      </c>
      <c r="F1039" s="284">
        <f t="shared" ca="1" si="32"/>
        <v>0.64854048375277018</v>
      </c>
      <c r="G1039" s="74">
        <v>40.376492061325131</v>
      </c>
      <c r="H1039" s="74">
        <f t="shared" si="33"/>
        <v>0.11790828200739156</v>
      </c>
    </row>
    <row r="1040" spans="5:8" ht="15.6">
      <c r="E1040" s="279" t="s">
        <v>1366</v>
      </c>
      <c r="F1040" s="284">
        <f t="shared" ca="1" si="32"/>
        <v>0.89059011194105286</v>
      </c>
      <c r="G1040" s="74">
        <v>37.336409270382134</v>
      </c>
      <c r="H1040" s="74">
        <f t="shared" si="33"/>
        <v>3.1579910729503879</v>
      </c>
    </row>
    <row r="1041" spans="5:8" ht="15.6">
      <c r="E1041" s="279" t="s">
        <v>1367</v>
      </c>
      <c r="F1041" s="284">
        <f t="shared" ca="1" si="32"/>
        <v>0.22508145457191453</v>
      </c>
      <c r="G1041" s="74">
        <v>39.801529055658392</v>
      </c>
      <c r="H1041" s="74">
        <f t="shared" si="33"/>
        <v>0.69287128767413009</v>
      </c>
    </row>
    <row r="1042" spans="5:8" ht="15.6">
      <c r="E1042" s="279" t="s">
        <v>1368</v>
      </c>
      <c r="F1042" s="284">
        <f t="shared" ca="1" si="32"/>
        <v>0.22876845878550112</v>
      </c>
      <c r="G1042" s="74">
        <v>38.860603797425455</v>
      </c>
      <c r="H1042" s="74">
        <f t="shared" si="33"/>
        <v>1.6337965459070674</v>
      </c>
    </row>
    <row r="1043" spans="5:8" ht="15.6">
      <c r="E1043" s="279" t="s">
        <v>1369</v>
      </c>
      <c r="F1043" s="284">
        <f t="shared" ca="1" si="32"/>
        <v>0.94374574230095187</v>
      </c>
      <c r="G1043" s="74">
        <v>36.886876318182125</v>
      </c>
      <c r="H1043" s="74">
        <f t="shared" si="33"/>
        <v>3.6075240251503971</v>
      </c>
    </row>
    <row r="1044" spans="5:8" ht="15.6">
      <c r="E1044" s="279" t="s">
        <v>1370</v>
      </c>
      <c r="F1044" s="284">
        <f t="shared" ca="1" si="32"/>
        <v>0.63324740138454982</v>
      </c>
      <c r="G1044" s="74">
        <v>40.41533769810237</v>
      </c>
      <c r="H1044" s="74">
        <f t="shared" si="33"/>
        <v>7.9062645230152384E-2</v>
      </c>
    </row>
    <row r="1045" spans="5:8" ht="15.6">
      <c r="E1045" s="279" t="s">
        <v>1371</v>
      </c>
      <c r="F1045" s="284">
        <f t="shared" ca="1" si="32"/>
        <v>0.28611292177472047</v>
      </c>
      <c r="G1045" s="74">
        <v>41.04936281234</v>
      </c>
      <c r="H1045" s="74">
        <f t="shared" si="33"/>
        <v>-0.55496246900747792</v>
      </c>
    </row>
    <row r="1046" spans="5:8" ht="15.6">
      <c r="E1046" s="279" t="s">
        <v>1372</v>
      </c>
      <c r="F1046" s="284">
        <f t="shared" ca="1" si="32"/>
        <v>0.45047981733364395</v>
      </c>
      <c r="G1046" s="74">
        <v>42.450523137796942</v>
      </c>
      <c r="H1046" s="74">
        <f t="shared" si="33"/>
        <v>-1.9561227944644202</v>
      </c>
    </row>
    <row r="1047" spans="5:8" ht="15.6">
      <c r="E1047" s="279" t="s">
        <v>1373</v>
      </c>
      <c r="F1047" s="284">
        <f t="shared" ca="1" si="32"/>
        <v>0.62793955660048739</v>
      </c>
      <c r="G1047" s="74">
        <v>39.312266372575856</v>
      </c>
      <c r="H1047" s="74">
        <f t="shared" si="33"/>
        <v>1.1821339707566665</v>
      </c>
    </row>
    <row r="1048" spans="5:8" ht="15.6">
      <c r="E1048" s="279" t="s">
        <v>1374</v>
      </c>
      <c r="F1048" s="284">
        <f t="shared" ca="1" si="32"/>
        <v>0.2534867957028939</v>
      </c>
      <c r="G1048" s="74">
        <v>42.004490936812786</v>
      </c>
      <c r="H1048" s="74">
        <f t="shared" si="33"/>
        <v>-1.510090593480264</v>
      </c>
    </row>
    <row r="1049" spans="5:8" ht="15.6">
      <c r="E1049" s="279" t="s">
        <v>1375</v>
      </c>
      <c r="F1049" s="284">
        <f t="shared" ca="1" si="32"/>
        <v>0.41126357635266797</v>
      </c>
      <c r="G1049" s="74">
        <v>33.851200105059661</v>
      </c>
      <c r="H1049" s="74">
        <f t="shared" si="33"/>
        <v>6.6432002382728612</v>
      </c>
    </row>
    <row r="1050" spans="5:8" ht="15.6">
      <c r="E1050" s="279" t="s">
        <v>1376</v>
      </c>
      <c r="F1050" s="284">
        <f t="shared" ca="1" si="32"/>
        <v>0.42656351059504916</v>
      </c>
      <c r="G1050" s="74">
        <v>40.586931358449682</v>
      </c>
      <c r="H1050" s="74">
        <f t="shared" si="33"/>
        <v>-9.2531015117160109E-2</v>
      </c>
    </row>
    <row r="1051" spans="5:8" ht="15.6">
      <c r="E1051" s="279" t="s">
        <v>1377</v>
      </c>
      <c r="F1051" s="284">
        <f t="shared" ca="1" si="32"/>
        <v>0.45275668117873336</v>
      </c>
      <c r="G1051" s="74">
        <v>43.680741590160515</v>
      </c>
      <c r="H1051" s="74">
        <f t="shared" si="33"/>
        <v>-3.1863412468279932</v>
      </c>
    </row>
    <row r="1052" spans="5:8" ht="15.6">
      <c r="E1052" s="279" t="s">
        <v>1378</v>
      </c>
      <c r="F1052" s="284">
        <f t="shared" ca="1" si="32"/>
        <v>0.73812542264656145</v>
      </c>
      <c r="G1052" s="74">
        <v>41.480551563416107</v>
      </c>
      <c r="H1052" s="74">
        <f t="shared" si="33"/>
        <v>-0.98615122008358469</v>
      </c>
    </row>
    <row r="1053" spans="5:8" ht="15.6">
      <c r="E1053" s="279" t="s">
        <v>1379</v>
      </c>
      <c r="F1053" s="284">
        <f t="shared" ca="1" si="32"/>
        <v>0.76637360839790847</v>
      </c>
      <c r="G1053" s="74">
        <v>37.765926626320521</v>
      </c>
      <c r="H1053" s="74">
        <f t="shared" si="33"/>
        <v>2.728473717012001</v>
      </c>
    </row>
    <row r="1054" spans="5:8" ht="15.6">
      <c r="E1054" s="279" t="s">
        <v>1380</v>
      </c>
      <c r="F1054" s="284">
        <f t="shared" ca="1" si="32"/>
        <v>0.22944912378425286</v>
      </c>
      <c r="G1054" s="74">
        <v>40.695281081966655</v>
      </c>
      <c r="H1054" s="74">
        <f t="shared" si="33"/>
        <v>-0.20088073863413314</v>
      </c>
    </row>
    <row r="1055" spans="5:8" ht="15.6">
      <c r="E1055" s="279" t="s">
        <v>1381</v>
      </c>
      <c r="F1055" s="284">
        <f t="shared" ca="1" si="32"/>
        <v>0.6685669417322887</v>
      </c>
      <c r="G1055" s="74">
        <v>38.238434555783364</v>
      </c>
      <c r="H1055" s="74">
        <f t="shared" si="33"/>
        <v>2.2559657875491581</v>
      </c>
    </row>
    <row r="1056" spans="5:8" ht="15.6">
      <c r="E1056" s="279" t="s">
        <v>1382</v>
      </c>
      <c r="F1056" s="284">
        <f t="shared" ca="1" si="32"/>
        <v>0.55219517986158051</v>
      </c>
      <c r="G1056" s="74">
        <v>42.089893999286438</v>
      </c>
      <c r="H1056" s="74">
        <f t="shared" si="33"/>
        <v>-1.5954936559539163</v>
      </c>
    </row>
    <row r="1057" spans="5:8" ht="15.6">
      <c r="E1057" s="279" t="s">
        <v>1383</v>
      </c>
      <c r="F1057" s="284">
        <f t="shared" ca="1" si="32"/>
        <v>0.41027015647917164</v>
      </c>
      <c r="G1057" s="74">
        <v>37.026099298278403</v>
      </c>
      <c r="H1057" s="74">
        <f t="shared" si="33"/>
        <v>3.468301045054119</v>
      </c>
    </row>
    <row r="1058" spans="5:8" ht="15.6">
      <c r="E1058" s="279" t="s">
        <v>1384</v>
      </c>
      <c r="F1058" s="284">
        <f t="shared" ca="1" si="32"/>
        <v>0.52699681377233609</v>
      </c>
      <c r="G1058" s="74">
        <v>37.411472037865536</v>
      </c>
      <c r="H1058" s="74">
        <f t="shared" si="33"/>
        <v>3.0829283054669858</v>
      </c>
    </row>
    <row r="1059" spans="5:8" ht="15.6">
      <c r="E1059" s="279" t="s">
        <v>1385</v>
      </c>
      <c r="F1059" s="284">
        <f t="shared" ca="1" si="32"/>
        <v>7.7689933488971574E-2</v>
      </c>
      <c r="G1059" s="74">
        <v>36.891017241521411</v>
      </c>
      <c r="H1059" s="74">
        <f t="shared" si="33"/>
        <v>3.6033831018111115</v>
      </c>
    </row>
    <row r="1060" spans="5:8" ht="15.6">
      <c r="E1060" s="279" t="s">
        <v>1386</v>
      </c>
      <c r="F1060" s="284">
        <f t="shared" ca="1" si="32"/>
        <v>0.36976478308758265</v>
      </c>
      <c r="G1060" s="74">
        <v>33.042061394812734</v>
      </c>
      <c r="H1060" s="74">
        <f t="shared" si="33"/>
        <v>7.4523389485197882</v>
      </c>
    </row>
    <row r="1061" spans="5:8" ht="15.6">
      <c r="E1061" s="279" t="s">
        <v>1387</v>
      </c>
      <c r="F1061" s="284">
        <f t="shared" ca="1" si="32"/>
        <v>0.20620846496069645</v>
      </c>
      <c r="G1061" s="74">
        <v>35.647071996538344</v>
      </c>
      <c r="H1061" s="74">
        <f t="shared" si="33"/>
        <v>4.8473283467941783</v>
      </c>
    </row>
    <row r="1062" spans="5:8" ht="15.6">
      <c r="E1062" s="279" t="s">
        <v>1388</v>
      </c>
      <c r="F1062" s="284">
        <f t="shared" ca="1" si="32"/>
        <v>0.46856867934215851</v>
      </c>
      <c r="G1062" s="74">
        <v>38.463120113505809</v>
      </c>
      <c r="H1062" s="74">
        <f t="shared" si="33"/>
        <v>2.031280229826713</v>
      </c>
    </row>
    <row r="1063" spans="5:8" ht="15.6">
      <c r="E1063" s="279" t="s">
        <v>1389</v>
      </c>
      <c r="F1063" s="284">
        <f t="shared" ca="1" si="32"/>
        <v>0.64409498744468963</v>
      </c>
      <c r="G1063" s="74">
        <v>38.239477446224676</v>
      </c>
      <c r="H1063" s="74">
        <f t="shared" si="33"/>
        <v>2.2549228971078463</v>
      </c>
    </row>
    <row r="1064" spans="5:8" ht="15.6">
      <c r="E1064" s="279" t="s">
        <v>1390</v>
      </c>
      <c r="F1064" s="284">
        <f t="shared" ca="1" si="32"/>
        <v>0.89487687007057493</v>
      </c>
      <c r="G1064" s="74">
        <v>37.679347184026724</v>
      </c>
      <c r="H1064" s="74">
        <f t="shared" si="33"/>
        <v>2.8150531593057977</v>
      </c>
    </row>
    <row r="1065" spans="5:8" ht="15.6">
      <c r="E1065" s="279" t="s">
        <v>1391</v>
      </c>
      <c r="F1065" s="284">
        <f t="shared" ca="1" si="32"/>
        <v>0.42474114140537467</v>
      </c>
      <c r="G1065" s="74">
        <v>35.565392848397913</v>
      </c>
      <c r="H1065" s="74">
        <f t="shared" si="33"/>
        <v>4.9290074949346092</v>
      </c>
    </row>
    <row r="1066" spans="5:8" ht="15.6">
      <c r="E1066" s="279" t="s">
        <v>1392</v>
      </c>
      <c r="F1066" s="284">
        <f t="shared" ca="1" si="32"/>
        <v>0.39314654211717048</v>
      </c>
      <c r="G1066" s="74">
        <v>43.09381903975077</v>
      </c>
      <c r="H1066" s="74">
        <f t="shared" si="33"/>
        <v>-2.5994186964182475</v>
      </c>
    </row>
    <row r="1067" spans="5:8" ht="15.6">
      <c r="E1067" s="279" t="s">
        <v>1393</v>
      </c>
      <c r="F1067" s="284">
        <f t="shared" ca="1" si="32"/>
        <v>0.29488068339041851</v>
      </c>
      <c r="G1067" s="74">
        <v>43.50419987624899</v>
      </c>
      <c r="H1067" s="74">
        <f t="shared" si="33"/>
        <v>-3.0097995329164675</v>
      </c>
    </row>
    <row r="1068" spans="5:8" ht="15.6">
      <c r="E1068" s="279" t="s">
        <v>1394</v>
      </c>
      <c r="F1068" s="284">
        <f t="shared" ca="1" si="32"/>
        <v>7.0834657707991577E-2</v>
      </c>
      <c r="G1068" s="74">
        <v>38.097952527982962</v>
      </c>
      <c r="H1068" s="74">
        <f t="shared" si="33"/>
        <v>2.3964478153495605</v>
      </c>
    </row>
    <row r="1069" spans="5:8" ht="15.6">
      <c r="E1069" s="279" t="s">
        <v>1395</v>
      </c>
      <c r="F1069" s="284">
        <f t="shared" ca="1" si="32"/>
        <v>0.41786949951859698</v>
      </c>
      <c r="G1069" s="74">
        <v>36.107885308944716</v>
      </c>
      <c r="H1069" s="74">
        <f t="shared" si="33"/>
        <v>4.3865150343878057</v>
      </c>
    </row>
    <row r="1070" spans="5:8" ht="15.6">
      <c r="E1070" s="279" t="s">
        <v>1396</v>
      </c>
      <c r="F1070" s="284">
        <f t="shared" ca="1" si="32"/>
        <v>0.63011146406030372</v>
      </c>
      <c r="G1070" s="74">
        <v>43.715925414244694</v>
      </c>
      <c r="H1070" s="74">
        <f t="shared" si="33"/>
        <v>-3.2215250709121719</v>
      </c>
    </row>
    <row r="1071" spans="5:8" ht="15.6">
      <c r="E1071" s="279" t="s">
        <v>1397</v>
      </c>
      <c r="F1071" s="284">
        <f t="shared" ca="1" si="32"/>
        <v>0.78229084447750052</v>
      </c>
      <c r="G1071" s="74">
        <v>37.292128514149496</v>
      </c>
      <c r="H1071" s="74">
        <f t="shared" si="33"/>
        <v>3.2022718291830259</v>
      </c>
    </row>
    <row r="1072" spans="5:8" ht="15.6">
      <c r="E1072" s="279" t="s">
        <v>1398</v>
      </c>
      <c r="F1072" s="284">
        <f t="shared" ca="1" si="32"/>
        <v>0.20849632359775871</v>
      </c>
      <c r="G1072" s="74">
        <v>38.646436922747483</v>
      </c>
      <c r="H1072" s="74">
        <f t="shared" si="33"/>
        <v>1.8479634205850388</v>
      </c>
    </row>
    <row r="1073" spans="5:8" ht="15.6">
      <c r="E1073" s="279" t="s">
        <v>1399</v>
      </c>
      <c r="F1073" s="284">
        <f t="shared" ca="1" si="32"/>
        <v>0.82525840482274782</v>
      </c>
      <c r="G1073" s="74">
        <v>39.471610973344312</v>
      </c>
      <c r="H1073" s="74">
        <f t="shared" si="33"/>
        <v>1.0227893699882102</v>
      </c>
    </row>
    <row r="1074" spans="5:8" ht="15.6">
      <c r="E1074" s="279" t="s">
        <v>1400</v>
      </c>
      <c r="F1074" s="284">
        <f t="shared" ca="1" si="32"/>
        <v>0.24935640905088807</v>
      </c>
      <c r="G1074" s="74">
        <v>32.559688337424809</v>
      </c>
      <c r="H1074" s="74">
        <f t="shared" si="33"/>
        <v>7.9347120059077128</v>
      </c>
    </row>
    <row r="1075" spans="5:8" ht="15.6">
      <c r="E1075" s="279" t="s">
        <v>1401</v>
      </c>
      <c r="F1075" s="284">
        <f t="shared" ca="1" si="32"/>
        <v>8.5451550108226471E-2</v>
      </c>
      <c r="G1075" s="74">
        <v>37.370717591264551</v>
      </c>
      <c r="H1075" s="74">
        <f t="shared" si="33"/>
        <v>3.1236827520679711</v>
      </c>
    </row>
    <row r="1076" spans="5:8" ht="15.6">
      <c r="E1076" s="279" t="s">
        <v>1402</v>
      </c>
      <c r="F1076" s="284">
        <f t="shared" ca="1" si="32"/>
        <v>0.33544149808163359</v>
      </c>
      <c r="G1076" s="74">
        <v>39.664711926647875</v>
      </c>
      <c r="H1076" s="74">
        <f t="shared" si="33"/>
        <v>0.82968841668464677</v>
      </c>
    </row>
    <row r="1077" spans="5:8" ht="15.6">
      <c r="E1077" s="279" t="s">
        <v>1403</v>
      </c>
      <c r="F1077" s="284">
        <f t="shared" ca="1" si="32"/>
        <v>0.98007004477493875</v>
      </c>
      <c r="G1077" s="74">
        <v>37.504707981916155</v>
      </c>
      <c r="H1077" s="74">
        <f t="shared" si="33"/>
        <v>2.9896923614163669</v>
      </c>
    </row>
    <row r="1078" spans="5:8" ht="15.6">
      <c r="E1078" s="279" t="s">
        <v>1404</v>
      </c>
      <c r="F1078" s="284">
        <f t="shared" ca="1" si="32"/>
        <v>0.56277823076029543</v>
      </c>
      <c r="G1078" s="74">
        <v>33.295940083934966</v>
      </c>
      <c r="H1078" s="74">
        <f t="shared" si="33"/>
        <v>7.1984602593975566</v>
      </c>
    </row>
    <row r="1079" spans="5:8" ht="15.6">
      <c r="E1079" s="279" t="s">
        <v>1405</v>
      </c>
      <c r="F1079" s="284">
        <f t="shared" ca="1" si="32"/>
        <v>0.6866985187768182</v>
      </c>
      <c r="G1079" s="74">
        <v>39.305471785479824</v>
      </c>
      <c r="H1079" s="74">
        <f t="shared" si="33"/>
        <v>1.188928557852698</v>
      </c>
    </row>
    <row r="1080" spans="5:8" ht="15.6">
      <c r="E1080" s="279" t="s">
        <v>1406</v>
      </c>
      <c r="F1080" s="284">
        <f t="shared" ca="1" si="32"/>
        <v>0.68018192853371995</v>
      </c>
      <c r="G1080" s="74">
        <v>38.312263914273487</v>
      </c>
      <c r="H1080" s="74">
        <f t="shared" si="33"/>
        <v>2.1821364290590353</v>
      </c>
    </row>
    <row r="1081" spans="5:8" ht="15.6">
      <c r="E1081" s="279" t="s">
        <v>1407</v>
      </c>
      <c r="F1081" s="284">
        <f t="shared" ca="1" si="32"/>
        <v>0.86687120466891421</v>
      </c>
      <c r="G1081" s="74">
        <v>36.160252742782809</v>
      </c>
      <c r="H1081" s="74">
        <f t="shared" si="33"/>
        <v>4.3341476005497128</v>
      </c>
    </row>
    <row r="1082" spans="5:8" ht="15.6">
      <c r="E1082" s="279" t="s">
        <v>1408</v>
      </c>
      <c r="F1082" s="284">
        <f t="shared" ca="1" si="32"/>
        <v>0.83883637206713579</v>
      </c>
      <c r="G1082" s="74">
        <v>40.394419835822497</v>
      </c>
      <c r="H1082" s="74">
        <f t="shared" si="33"/>
        <v>9.9980507510025518E-2</v>
      </c>
    </row>
    <row r="1083" spans="5:8" ht="15.6">
      <c r="E1083" s="279" t="s">
        <v>1409</v>
      </c>
      <c r="F1083" s="284">
        <f t="shared" ca="1" si="32"/>
        <v>0.28214224317044478</v>
      </c>
      <c r="G1083" s="74">
        <v>38.678185078569591</v>
      </c>
      <c r="H1083" s="74">
        <f t="shared" si="33"/>
        <v>1.8162152647629313</v>
      </c>
    </row>
    <row r="1084" spans="5:8" ht="15.6">
      <c r="E1084" s="279" t="s">
        <v>1410</v>
      </c>
      <c r="F1084" s="284">
        <f t="shared" ca="1" si="32"/>
        <v>0.97617939792765385</v>
      </c>
      <c r="G1084" s="74">
        <v>37.707296361670871</v>
      </c>
      <c r="H1084" s="74">
        <f t="shared" si="33"/>
        <v>2.7871039816616516</v>
      </c>
    </row>
    <row r="1085" spans="5:8" ht="15.6">
      <c r="E1085" s="279" t="s">
        <v>1411</v>
      </c>
      <c r="F1085" s="284">
        <f t="shared" ca="1" si="32"/>
        <v>0.8448849183486048</v>
      </c>
      <c r="G1085" s="74">
        <v>42.982636181293614</v>
      </c>
      <c r="H1085" s="74">
        <f t="shared" si="33"/>
        <v>-2.488235837961092</v>
      </c>
    </row>
    <row r="1086" spans="5:8" ht="15.6">
      <c r="E1086" s="279" t="s">
        <v>1412</v>
      </c>
      <c r="F1086" s="284">
        <f t="shared" ca="1" si="32"/>
        <v>0.44577098686361305</v>
      </c>
      <c r="G1086" s="74">
        <v>40.562860250311758</v>
      </c>
      <c r="H1086" s="74">
        <f t="shared" si="33"/>
        <v>-6.8459906979235541E-2</v>
      </c>
    </row>
    <row r="1087" spans="5:8" ht="15.6">
      <c r="E1087" s="279" t="s">
        <v>1413</v>
      </c>
      <c r="F1087" s="284">
        <f t="shared" ca="1" si="32"/>
        <v>0.68370171788794842</v>
      </c>
      <c r="G1087" s="74">
        <v>41.433866163820305</v>
      </c>
      <c r="H1087" s="74">
        <f t="shared" si="33"/>
        <v>-0.93946582048778282</v>
      </c>
    </row>
    <row r="1088" spans="5:8" ht="15.6">
      <c r="E1088" s="279" t="s">
        <v>1414</v>
      </c>
      <c r="F1088" s="284">
        <f t="shared" ca="1" si="32"/>
        <v>0.70438560839432152</v>
      </c>
      <c r="G1088" s="74">
        <v>40.36096066448637</v>
      </c>
      <c r="H1088" s="74">
        <f t="shared" si="33"/>
        <v>0.13343967884615182</v>
      </c>
    </row>
    <row r="1089" spans="5:8" ht="15.6">
      <c r="E1089" s="279" t="s">
        <v>1415</v>
      </c>
      <c r="F1089" s="284">
        <f t="shared" ca="1" si="32"/>
        <v>0.98218336308964993</v>
      </c>
      <c r="G1089" s="74">
        <v>38.412006007373549</v>
      </c>
      <c r="H1089" s="74">
        <f t="shared" si="33"/>
        <v>2.0823943359589734</v>
      </c>
    </row>
    <row r="1090" spans="5:8" ht="15.6">
      <c r="E1090" s="279" t="s">
        <v>1416</v>
      </c>
      <c r="F1090" s="284">
        <f t="shared" ca="1" si="32"/>
        <v>0.29530146040785277</v>
      </c>
      <c r="G1090" s="74">
        <v>40.530223323240314</v>
      </c>
      <c r="H1090" s="74">
        <f t="shared" si="33"/>
        <v>-3.5822979907791819E-2</v>
      </c>
    </row>
    <row r="1091" spans="5:8" ht="15.6">
      <c r="E1091" s="279" t="s">
        <v>1417</v>
      </c>
      <c r="F1091" s="284">
        <f t="shared" ca="1" si="32"/>
        <v>0.23525296630074155</v>
      </c>
      <c r="G1091" s="74">
        <v>42.734002480993524</v>
      </c>
      <c r="H1091" s="74">
        <f t="shared" si="33"/>
        <v>-2.2396021376610022</v>
      </c>
    </row>
    <row r="1092" spans="5:8" ht="15.6">
      <c r="E1092" s="279" t="s">
        <v>1418</v>
      </c>
      <c r="F1092" s="284">
        <f t="shared" ca="1" si="32"/>
        <v>0.7471651127454455</v>
      </c>
      <c r="G1092" s="74">
        <v>38.658160294636623</v>
      </c>
      <c r="H1092" s="74">
        <f t="shared" si="33"/>
        <v>1.836240048695899</v>
      </c>
    </row>
    <row r="1093" spans="5:8" ht="15.6">
      <c r="E1093" s="279" t="s">
        <v>1419</v>
      </c>
      <c r="F1093" s="284">
        <f t="shared" ca="1" si="32"/>
        <v>0.141052087335928</v>
      </c>
      <c r="G1093" s="74">
        <v>40.491385709748904</v>
      </c>
      <c r="H1093" s="74">
        <f t="shared" si="33"/>
        <v>3.014633583617865E-3</v>
      </c>
    </row>
    <row r="1094" spans="5:8" ht="15.6">
      <c r="E1094" s="279" t="s">
        <v>1420</v>
      </c>
      <c r="F1094" s="284">
        <f t="shared" ca="1" si="32"/>
        <v>8.6002620150442355E-2</v>
      </c>
      <c r="G1094" s="74">
        <v>35.254861695844369</v>
      </c>
      <c r="H1094" s="74">
        <f t="shared" si="33"/>
        <v>5.2395386474881533</v>
      </c>
    </row>
    <row r="1095" spans="5:8" ht="15.6">
      <c r="E1095" s="279" t="s">
        <v>1421</v>
      </c>
      <c r="F1095" s="284">
        <f t="shared" ca="1" si="32"/>
        <v>0.45712129344511798</v>
      </c>
      <c r="G1095" s="74">
        <v>41.027219043538466</v>
      </c>
      <c r="H1095" s="74">
        <f t="shared" si="33"/>
        <v>-0.53281870020594368</v>
      </c>
    </row>
    <row r="1096" spans="5:8" ht="15.6">
      <c r="E1096" s="279" t="s">
        <v>1422</v>
      </c>
      <c r="F1096" s="284">
        <f t="shared" ca="1" si="32"/>
        <v>0.15586114591001488</v>
      </c>
      <c r="G1096" s="74">
        <v>36.353115835239301</v>
      </c>
      <c r="H1096" s="74">
        <f t="shared" si="33"/>
        <v>4.1412845080932215</v>
      </c>
    </row>
    <row r="1097" spans="5:8" ht="15.6">
      <c r="E1097" s="279" t="s">
        <v>1423</v>
      </c>
      <c r="F1097" s="284">
        <f t="shared" ca="1" si="32"/>
        <v>0.44896791764156119</v>
      </c>
      <c r="G1097" s="74">
        <v>37.488259023337228</v>
      </c>
      <c r="H1097" s="74">
        <f t="shared" si="33"/>
        <v>3.0061413199952938</v>
      </c>
    </row>
    <row r="1098" spans="5:8" ht="15.6">
      <c r="E1098" s="279" t="s">
        <v>1424</v>
      </c>
      <c r="F1098" s="284">
        <f t="shared" ca="1" si="32"/>
        <v>0.94901374806025018</v>
      </c>
      <c r="G1098" s="74">
        <v>37.999495919348618</v>
      </c>
      <c r="H1098" s="74">
        <f t="shared" si="33"/>
        <v>2.494904423983904</v>
      </c>
    </row>
    <row r="1099" spans="5:8" ht="15.6">
      <c r="E1099" s="279" t="s">
        <v>1425</v>
      </c>
      <c r="F1099" s="284">
        <f t="shared" ca="1" si="32"/>
        <v>2.0471360365120317E-2</v>
      </c>
      <c r="G1099" s="74">
        <v>38.117831893671614</v>
      </c>
      <c r="H1099" s="74">
        <f t="shared" si="33"/>
        <v>2.3765684496609083</v>
      </c>
    </row>
    <row r="1100" spans="5:8" ht="15.6">
      <c r="E1100" s="279" t="s">
        <v>1426</v>
      </c>
      <c r="F1100" s="284">
        <f t="shared" ref="F1100:F1163" ca="1" si="34">RAND()</f>
        <v>0.68593676740699283</v>
      </c>
      <c r="G1100" s="74">
        <v>42.57925721451592</v>
      </c>
      <c r="H1100" s="74">
        <f t="shared" ref="H1100:H1163" si="35">$D$2-G1100</f>
        <v>-2.0848568711833977</v>
      </c>
    </row>
    <row r="1101" spans="5:8" ht="15.6">
      <c r="E1101" s="279" t="s">
        <v>1427</v>
      </c>
      <c r="F1101" s="284">
        <f t="shared" ca="1" si="34"/>
        <v>0.32056346647447309</v>
      </c>
      <c r="G1101" s="74">
        <v>40.994539508163335</v>
      </c>
      <c r="H1101" s="74">
        <f t="shared" si="35"/>
        <v>-0.50013916483081289</v>
      </c>
    </row>
    <row r="1102" spans="5:8" ht="15.6">
      <c r="E1102" s="279" t="s">
        <v>1428</v>
      </c>
      <c r="F1102" s="284">
        <f t="shared" ca="1" si="34"/>
        <v>0.37818011728204171</v>
      </c>
      <c r="G1102" s="74">
        <v>34.64642305203126</v>
      </c>
      <c r="H1102" s="74">
        <f t="shared" si="35"/>
        <v>5.8479772913012624</v>
      </c>
    </row>
    <row r="1103" spans="5:8" ht="15.6">
      <c r="E1103" s="279" t="s">
        <v>1429</v>
      </c>
      <c r="F1103" s="284">
        <f t="shared" ca="1" si="34"/>
        <v>0.88342599213131145</v>
      </c>
      <c r="G1103" s="74">
        <v>34.908432126119777</v>
      </c>
      <c r="H1103" s="74">
        <f t="shared" si="35"/>
        <v>5.5859682172127449</v>
      </c>
    </row>
    <row r="1104" spans="5:8" ht="15.6">
      <c r="E1104" s="279" t="s">
        <v>1430</v>
      </c>
      <c r="F1104" s="284">
        <f t="shared" ca="1" si="34"/>
        <v>0.25366548753793039</v>
      </c>
      <c r="G1104" s="74">
        <v>39.375114856111168</v>
      </c>
      <c r="H1104" s="74">
        <f t="shared" si="35"/>
        <v>1.1192854872213545</v>
      </c>
    </row>
    <row r="1105" spans="5:8" ht="15.6">
      <c r="E1105" s="279" t="s">
        <v>1431</v>
      </c>
      <c r="F1105" s="284">
        <f t="shared" ca="1" si="34"/>
        <v>0.8916650812860869</v>
      </c>
      <c r="G1105" s="74">
        <v>43.730498636213312</v>
      </c>
      <c r="H1105" s="74">
        <f t="shared" si="35"/>
        <v>-3.23609829288079</v>
      </c>
    </row>
    <row r="1106" spans="5:8" ht="15.6">
      <c r="E1106" s="279" t="s">
        <v>1432</v>
      </c>
      <c r="F1106" s="284">
        <f t="shared" ca="1" si="34"/>
        <v>0.24389780883285073</v>
      </c>
      <c r="G1106" s="74">
        <v>37.948999290150674</v>
      </c>
      <c r="H1106" s="74">
        <f t="shared" si="35"/>
        <v>2.5454010531818483</v>
      </c>
    </row>
    <row r="1107" spans="5:8" ht="15.6">
      <c r="E1107" s="279" t="s">
        <v>1433</v>
      </c>
      <c r="F1107" s="284">
        <f t="shared" ca="1" si="34"/>
        <v>0.92290067542534759</v>
      </c>
      <c r="G1107" s="74">
        <v>36.019676079310074</v>
      </c>
      <c r="H1107" s="74">
        <f t="shared" si="35"/>
        <v>4.4747242640224485</v>
      </c>
    </row>
    <row r="1108" spans="5:8" ht="15.6">
      <c r="E1108" s="279" t="s">
        <v>1434</v>
      </c>
      <c r="F1108" s="284">
        <f t="shared" ca="1" si="34"/>
        <v>0.26107707311465478</v>
      </c>
      <c r="G1108" s="74">
        <v>40.737177062378308</v>
      </c>
      <c r="H1108" s="74">
        <f t="shared" si="35"/>
        <v>-0.24277671904578568</v>
      </c>
    </row>
    <row r="1109" spans="5:8" ht="15.6">
      <c r="E1109" s="279" t="s">
        <v>1435</v>
      </c>
      <c r="F1109" s="284">
        <f t="shared" ca="1" si="34"/>
        <v>0.58942526107372828</v>
      </c>
      <c r="G1109" s="74">
        <v>36.244317826398863</v>
      </c>
      <c r="H1109" s="74">
        <f t="shared" si="35"/>
        <v>4.2500825169336593</v>
      </c>
    </row>
    <row r="1110" spans="5:8" ht="15.6">
      <c r="E1110" s="279" t="s">
        <v>1436</v>
      </c>
      <c r="F1110" s="284">
        <f t="shared" ca="1" si="34"/>
        <v>0.97028729695985994</v>
      </c>
      <c r="G1110" s="74">
        <v>39.520276531677318</v>
      </c>
      <c r="H1110" s="74">
        <f t="shared" si="35"/>
        <v>0.97412381165520401</v>
      </c>
    </row>
    <row r="1111" spans="5:8" ht="15.6">
      <c r="E1111" s="279" t="s">
        <v>1437</v>
      </c>
      <c r="F1111" s="284">
        <f t="shared" ca="1" si="34"/>
        <v>0.13784223701097087</v>
      </c>
      <c r="G1111" s="74">
        <v>37.534350892809194</v>
      </c>
      <c r="H1111" s="74">
        <f t="shared" si="35"/>
        <v>2.9600494505233286</v>
      </c>
    </row>
    <row r="1112" spans="5:8" ht="15.6">
      <c r="E1112" s="279" t="s">
        <v>1438</v>
      </c>
      <c r="F1112" s="284">
        <f t="shared" ca="1" si="34"/>
        <v>0.1241982805331322</v>
      </c>
      <c r="G1112" s="74">
        <v>40.210852065806691</v>
      </c>
      <c r="H1112" s="74">
        <f t="shared" si="35"/>
        <v>0.28354827752583134</v>
      </c>
    </row>
    <row r="1113" spans="5:8" ht="15.6">
      <c r="E1113" s="279" t="s">
        <v>1439</v>
      </c>
      <c r="F1113" s="284">
        <f t="shared" ca="1" si="34"/>
        <v>0.52153682707621773</v>
      </c>
      <c r="G1113" s="74">
        <v>38.904814567335663</v>
      </c>
      <c r="H1113" s="74">
        <f t="shared" si="35"/>
        <v>1.5895857759968592</v>
      </c>
    </row>
    <row r="1114" spans="5:8" ht="15.6">
      <c r="E1114" s="279" t="s">
        <v>1440</v>
      </c>
      <c r="F1114" s="284">
        <f t="shared" ca="1" si="34"/>
        <v>0.35439477831631472</v>
      </c>
      <c r="G1114" s="74">
        <v>38.447895753312807</v>
      </c>
      <c r="H1114" s="74">
        <f t="shared" si="35"/>
        <v>2.0465045900197154</v>
      </c>
    </row>
    <row r="1115" spans="5:8" ht="15.6">
      <c r="E1115" s="279" t="s">
        <v>1441</v>
      </c>
      <c r="F1115" s="284">
        <f t="shared" ca="1" si="34"/>
        <v>0.25268574826579704</v>
      </c>
      <c r="G1115" s="74">
        <v>33.670278272692741</v>
      </c>
      <c r="H1115" s="74">
        <f t="shared" si="35"/>
        <v>6.8241220706397812</v>
      </c>
    </row>
    <row r="1116" spans="5:8" ht="15.6">
      <c r="E1116" s="279" t="s">
        <v>1442</v>
      </c>
      <c r="F1116" s="284">
        <f t="shared" ca="1" si="34"/>
        <v>0.53216934145300954</v>
      </c>
      <c r="G1116" s="74">
        <v>37.331184386119723</v>
      </c>
      <c r="H1116" s="74">
        <f t="shared" si="35"/>
        <v>3.1632159572127989</v>
      </c>
    </row>
    <row r="1117" spans="5:8" ht="15.6">
      <c r="E1117" s="279" t="s">
        <v>1443</v>
      </c>
      <c r="F1117" s="284">
        <f t="shared" ca="1" si="34"/>
        <v>0.79601309660753006</v>
      </c>
      <c r="G1117" s="74">
        <v>40.949146462412799</v>
      </c>
      <c r="H1117" s="74">
        <f t="shared" si="35"/>
        <v>-0.4547461190802764</v>
      </c>
    </row>
    <row r="1118" spans="5:8" ht="15.6">
      <c r="E1118" s="279" t="s">
        <v>1444</v>
      </c>
      <c r="F1118" s="284">
        <f t="shared" ca="1" si="34"/>
        <v>2.224486476339127E-2</v>
      </c>
      <c r="G1118" s="74">
        <v>42.465793388068882</v>
      </c>
      <c r="H1118" s="74">
        <f t="shared" si="35"/>
        <v>-1.9713930447363595</v>
      </c>
    </row>
    <row r="1119" spans="5:8" ht="15.6">
      <c r="E1119" s="279" t="s">
        <v>1445</v>
      </c>
      <c r="F1119" s="284">
        <f t="shared" ca="1" si="34"/>
        <v>0.1142085361019497</v>
      </c>
      <c r="G1119" s="74">
        <v>35.513896943909543</v>
      </c>
      <c r="H1119" s="74">
        <f t="shared" si="35"/>
        <v>4.9805033994229788</v>
      </c>
    </row>
    <row r="1120" spans="5:8" ht="15.6">
      <c r="E1120" s="279" t="s">
        <v>1446</v>
      </c>
      <c r="F1120" s="284">
        <f t="shared" ca="1" si="34"/>
        <v>0.44366243620165324</v>
      </c>
      <c r="G1120" s="74">
        <v>38.540164395138099</v>
      </c>
      <c r="H1120" s="74">
        <f t="shared" si="35"/>
        <v>1.9542359481944231</v>
      </c>
    </row>
    <row r="1121" spans="5:8" ht="15.6">
      <c r="E1121" s="279" t="s">
        <v>1447</v>
      </c>
      <c r="F1121" s="284">
        <f t="shared" ca="1" si="34"/>
        <v>0.24658410560658761</v>
      </c>
      <c r="G1121" s="74">
        <v>42.60997028611343</v>
      </c>
      <c r="H1121" s="74">
        <f t="shared" si="35"/>
        <v>-2.1155699427809083</v>
      </c>
    </row>
    <row r="1122" spans="5:8" ht="15.6">
      <c r="E1122" s="279" t="s">
        <v>1448</v>
      </c>
      <c r="F1122" s="284">
        <f t="shared" ca="1" si="34"/>
        <v>6.3851050059968273E-2</v>
      </c>
      <c r="G1122" s="74">
        <v>39.249971437096136</v>
      </c>
      <c r="H1122" s="74">
        <f t="shared" si="35"/>
        <v>1.2444289062363865</v>
      </c>
    </row>
    <row r="1123" spans="5:8" ht="15.6">
      <c r="E1123" s="279" t="s">
        <v>1449</v>
      </c>
      <c r="F1123" s="284">
        <f t="shared" ca="1" si="34"/>
        <v>0.81085971010142488</v>
      </c>
      <c r="G1123" s="74">
        <v>37.145744284192489</v>
      </c>
      <c r="H1123" s="74">
        <f t="shared" si="35"/>
        <v>3.3486560591400334</v>
      </c>
    </row>
    <row r="1124" spans="5:8" ht="15.6">
      <c r="E1124" s="279" t="s">
        <v>1450</v>
      </c>
      <c r="F1124" s="284">
        <f t="shared" ca="1" si="34"/>
        <v>0.77675266240447038</v>
      </c>
      <c r="G1124" s="74">
        <v>37.570333031419629</v>
      </c>
      <c r="H1124" s="74">
        <f t="shared" si="35"/>
        <v>2.9240673119128928</v>
      </c>
    </row>
    <row r="1125" spans="5:8" ht="15.6">
      <c r="E1125" s="279" t="s">
        <v>1451</v>
      </c>
      <c r="F1125" s="284">
        <f t="shared" ca="1" si="34"/>
        <v>0.90829105489675999</v>
      </c>
      <c r="G1125" s="74">
        <v>34.340997751750386</v>
      </c>
      <c r="H1125" s="74">
        <f t="shared" si="35"/>
        <v>6.153402591582136</v>
      </c>
    </row>
    <row r="1126" spans="5:8" ht="15.6">
      <c r="E1126" s="279" t="s">
        <v>1452</v>
      </c>
      <c r="F1126" s="284">
        <f t="shared" ca="1" si="34"/>
        <v>8.2632747790174266E-2</v>
      </c>
      <c r="G1126" s="74">
        <v>41.050697278151837</v>
      </c>
      <c r="H1126" s="74">
        <f t="shared" si="35"/>
        <v>-0.55629693481931497</v>
      </c>
    </row>
    <row r="1127" spans="5:8" ht="15.6">
      <c r="E1127" s="279" t="s">
        <v>1453</v>
      </c>
      <c r="F1127" s="284">
        <f t="shared" ca="1" si="34"/>
        <v>0.82710596771246547</v>
      </c>
      <c r="G1127" s="74">
        <v>41.735889145379907</v>
      </c>
      <c r="H1127" s="74">
        <f t="shared" si="35"/>
        <v>-1.2414888020473853</v>
      </c>
    </row>
    <row r="1128" spans="5:8" ht="15.6">
      <c r="E1128" s="279" t="s">
        <v>1454</v>
      </c>
      <c r="F1128" s="284">
        <f t="shared" ca="1" si="34"/>
        <v>0.49664228539553079</v>
      </c>
      <c r="G1128" s="74">
        <v>40.994270477021082</v>
      </c>
      <c r="H1128" s="74">
        <f t="shared" si="35"/>
        <v>-0.49987013368856026</v>
      </c>
    </row>
    <row r="1129" spans="5:8" ht="15.6">
      <c r="E1129" s="279" t="s">
        <v>1455</v>
      </c>
      <c r="F1129" s="284">
        <f t="shared" ca="1" si="34"/>
        <v>0.25002658743590234</v>
      </c>
      <c r="G1129" s="74">
        <v>38.506576019788824</v>
      </c>
      <c r="H1129" s="74">
        <f t="shared" si="35"/>
        <v>1.9878243235436983</v>
      </c>
    </row>
    <row r="1130" spans="5:8" ht="15.6">
      <c r="E1130" s="279" t="s">
        <v>1456</v>
      </c>
      <c r="F1130" s="284">
        <f t="shared" ca="1" si="34"/>
        <v>0.13489747083627435</v>
      </c>
      <c r="G1130" s="74">
        <v>35.145750964819001</v>
      </c>
      <c r="H1130" s="74">
        <f t="shared" si="35"/>
        <v>5.348649378513521</v>
      </c>
    </row>
    <row r="1131" spans="5:8" ht="15.6">
      <c r="E1131" s="279" t="s">
        <v>1457</v>
      </c>
      <c r="F1131" s="284">
        <f t="shared" ca="1" si="34"/>
        <v>0.66337719525225736</v>
      </c>
      <c r="G1131" s="74">
        <v>38.225343114227748</v>
      </c>
      <c r="H1131" s="74">
        <f t="shared" si="35"/>
        <v>2.2690572291047744</v>
      </c>
    </row>
    <row r="1132" spans="5:8" ht="15.6">
      <c r="E1132" s="279" t="s">
        <v>1458</v>
      </c>
      <c r="F1132" s="284">
        <f t="shared" ca="1" si="34"/>
        <v>0.71719519356725037</v>
      </c>
      <c r="G1132" s="74">
        <v>44.251226965943466</v>
      </c>
      <c r="H1132" s="74">
        <f t="shared" si="35"/>
        <v>-3.7568266226109444</v>
      </c>
    </row>
    <row r="1133" spans="5:8" ht="15.6">
      <c r="E1133" s="279" t="s">
        <v>1459</v>
      </c>
      <c r="F1133" s="284">
        <f t="shared" ca="1" si="34"/>
        <v>7.1952588113181726E-2</v>
      </c>
      <c r="G1133" s="74">
        <v>41.289410984318842</v>
      </c>
      <c r="H1133" s="74">
        <f t="shared" si="35"/>
        <v>-0.79501064098631957</v>
      </c>
    </row>
    <row r="1134" spans="5:8" ht="15.6">
      <c r="E1134" s="279" t="s">
        <v>1460</v>
      </c>
      <c r="F1134" s="284">
        <f t="shared" ca="1" si="34"/>
        <v>0.2533547069776253</v>
      </c>
      <c r="G1134" s="74">
        <v>37.536318982044662</v>
      </c>
      <c r="H1134" s="74">
        <f t="shared" si="35"/>
        <v>2.95808136128786</v>
      </c>
    </row>
    <row r="1135" spans="5:8" ht="15.6">
      <c r="E1135" s="279" t="s">
        <v>1461</v>
      </c>
      <c r="F1135" s="284">
        <f t="shared" ca="1" si="34"/>
        <v>0.51594547078639763</v>
      </c>
      <c r="G1135" s="74">
        <v>40.66075653156328</v>
      </c>
      <c r="H1135" s="74">
        <f t="shared" si="35"/>
        <v>-0.1663561882307576</v>
      </c>
    </row>
    <row r="1136" spans="5:8" ht="15.6">
      <c r="E1136" s="279" t="s">
        <v>1462</v>
      </c>
      <c r="F1136" s="284">
        <f t="shared" ca="1" si="34"/>
        <v>0.91827677862400703</v>
      </c>
      <c r="G1136" s="74">
        <v>40.351646559391291</v>
      </c>
      <c r="H1136" s="74">
        <f t="shared" si="35"/>
        <v>0.14275378394123095</v>
      </c>
    </row>
    <row r="1137" spans="5:8" ht="15.6">
      <c r="E1137" s="279" t="s">
        <v>1463</v>
      </c>
      <c r="F1137" s="284">
        <f t="shared" ca="1" si="34"/>
        <v>0.77348366348827058</v>
      </c>
      <c r="G1137" s="74">
        <v>41.576175279495686</v>
      </c>
      <c r="H1137" s="74">
        <f t="shared" si="35"/>
        <v>-1.0817749361631641</v>
      </c>
    </row>
    <row r="1138" spans="5:8" ht="15.6">
      <c r="E1138" s="279" t="s">
        <v>1464</v>
      </c>
      <c r="F1138" s="284">
        <f t="shared" ca="1" si="34"/>
        <v>0.68741092336796705</v>
      </c>
      <c r="G1138" s="74">
        <v>39.437503432258431</v>
      </c>
      <c r="H1138" s="74">
        <f t="shared" si="35"/>
        <v>1.0568969110740909</v>
      </c>
    </row>
    <row r="1139" spans="5:8" ht="15.6">
      <c r="E1139" s="279" t="s">
        <v>1465</v>
      </c>
      <c r="F1139" s="284">
        <f t="shared" ca="1" si="34"/>
        <v>0.91854393377433186</v>
      </c>
      <c r="G1139" s="74">
        <v>37.183877607454839</v>
      </c>
      <c r="H1139" s="74">
        <f t="shared" si="35"/>
        <v>3.310522735877683</v>
      </c>
    </row>
    <row r="1140" spans="5:8" ht="15.6">
      <c r="E1140" s="279" t="s">
        <v>1466</v>
      </c>
      <c r="F1140" s="284">
        <f t="shared" ca="1" si="34"/>
        <v>4.4325030611399585E-3</v>
      </c>
      <c r="G1140" s="74">
        <v>33.182091293781021</v>
      </c>
      <c r="H1140" s="74">
        <f t="shared" si="35"/>
        <v>7.3123090495515015</v>
      </c>
    </row>
    <row r="1141" spans="5:8" ht="15.6">
      <c r="E1141" s="279" t="s">
        <v>1467</v>
      </c>
      <c r="F1141" s="284">
        <f t="shared" ca="1" si="34"/>
        <v>0.11433676697060013</v>
      </c>
      <c r="G1141" s="74">
        <v>38.212119041678946</v>
      </c>
      <c r="H1141" s="74">
        <f t="shared" si="35"/>
        <v>2.2822813016535761</v>
      </c>
    </row>
    <row r="1142" spans="5:8" ht="15.6">
      <c r="E1142" s="279" t="s">
        <v>1468</v>
      </c>
      <c r="F1142" s="284">
        <f t="shared" ca="1" si="34"/>
        <v>0.64955312260843601</v>
      </c>
      <c r="G1142" s="74">
        <v>40.232519842921008</v>
      </c>
      <c r="H1142" s="74">
        <f t="shared" si="35"/>
        <v>0.26188050041151456</v>
      </c>
    </row>
    <row r="1143" spans="5:8" ht="15.6">
      <c r="E1143" s="279" t="s">
        <v>1469</v>
      </c>
      <c r="F1143" s="284">
        <f t="shared" ca="1" si="34"/>
        <v>0.15709143042410811</v>
      </c>
      <c r="G1143" s="74">
        <v>38.906853491781767</v>
      </c>
      <c r="H1143" s="74">
        <f t="shared" si="35"/>
        <v>1.5875468515507549</v>
      </c>
    </row>
    <row r="1144" spans="5:8" ht="15.6">
      <c r="E1144" s="279" t="s">
        <v>1470</v>
      </c>
      <c r="F1144" s="284">
        <f t="shared" ca="1" si="34"/>
        <v>0.65894722370723102</v>
      </c>
      <c r="G1144" s="74">
        <v>41.809412784239719</v>
      </c>
      <c r="H1144" s="74">
        <f t="shared" si="35"/>
        <v>-1.3150124409071964</v>
      </c>
    </row>
    <row r="1145" spans="5:8" ht="15.6">
      <c r="E1145" s="279" t="s">
        <v>1471</v>
      </c>
      <c r="F1145" s="284">
        <f t="shared" ca="1" si="34"/>
        <v>0.87393480507647292</v>
      </c>
      <c r="G1145" s="74">
        <v>37.740906817092061</v>
      </c>
      <c r="H1145" s="74">
        <f t="shared" si="35"/>
        <v>2.7534935262404616</v>
      </c>
    </row>
    <row r="1146" spans="5:8" ht="15.6">
      <c r="E1146" s="279" t="s">
        <v>1472</v>
      </c>
      <c r="F1146" s="284">
        <f t="shared" ca="1" si="34"/>
        <v>0.12484077938286264</v>
      </c>
      <c r="G1146" s="74">
        <v>37.712240169310071</v>
      </c>
      <c r="H1146" s="74">
        <f t="shared" si="35"/>
        <v>2.7821601740224509</v>
      </c>
    </row>
    <row r="1147" spans="5:8" ht="15.6">
      <c r="E1147" s="279" t="s">
        <v>1473</v>
      </c>
      <c r="F1147" s="284">
        <f t="shared" ca="1" si="34"/>
        <v>1.808355575758247E-2</v>
      </c>
      <c r="G1147" s="74">
        <v>39.368927614957023</v>
      </c>
      <c r="H1147" s="74">
        <f t="shared" si="35"/>
        <v>1.1254727283754988</v>
      </c>
    </row>
    <row r="1148" spans="5:8" ht="15.6">
      <c r="E1148" s="279" t="s">
        <v>1474</v>
      </c>
      <c r="F1148" s="284">
        <f t="shared" ca="1" si="34"/>
        <v>0.75377607887943432</v>
      </c>
      <c r="G1148" s="74">
        <v>41.901635037255531</v>
      </c>
      <c r="H1148" s="74">
        <f t="shared" si="35"/>
        <v>-1.4072346939230087</v>
      </c>
    </row>
    <row r="1149" spans="5:8" ht="15.6">
      <c r="E1149" s="279" t="s">
        <v>1475</v>
      </c>
      <c r="F1149" s="284">
        <f t="shared" ca="1" si="34"/>
        <v>0.5090589525674809</v>
      </c>
      <c r="G1149" s="74">
        <v>38.023753623719628</v>
      </c>
      <c r="H1149" s="74">
        <f t="shared" si="35"/>
        <v>2.4706467196128941</v>
      </c>
    </row>
    <row r="1150" spans="5:8" ht="15.6">
      <c r="E1150" s="279" t="s">
        <v>1476</v>
      </c>
      <c r="F1150" s="284">
        <f t="shared" ca="1" si="34"/>
        <v>0.31045038991118679</v>
      </c>
      <c r="G1150" s="74">
        <v>38.144682417493627</v>
      </c>
      <c r="H1150" s="74">
        <f t="shared" si="35"/>
        <v>2.3497179258388954</v>
      </c>
    </row>
    <row r="1151" spans="5:8" ht="15.6">
      <c r="E1151" s="279" t="s">
        <v>1477</v>
      </c>
      <c r="F1151" s="284">
        <f t="shared" ca="1" si="34"/>
        <v>0.99308913208058891</v>
      </c>
      <c r="G1151" s="74">
        <v>43.581430222556158</v>
      </c>
      <c r="H1151" s="74">
        <f t="shared" si="35"/>
        <v>-3.0870298792236355</v>
      </c>
    </row>
    <row r="1152" spans="5:8" ht="15.6">
      <c r="E1152" s="279" t="s">
        <v>1478</v>
      </c>
      <c r="F1152" s="284">
        <f t="shared" ca="1" si="34"/>
        <v>0.62972677984703707</v>
      </c>
      <c r="G1152" s="74">
        <v>40.065437681174139</v>
      </c>
      <c r="H1152" s="74">
        <f t="shared" si="35"/>
        <v>0.42896266215838352</v>
      </c>
    </row>
    <row r="1153" spans="5:8" ht="15.6">
      <c r="E1153" s="279" t="s">
        <v>1479</v>
      </c>
      <c r="F1153" s="284">
        <f t="shared" ca="1" si="34"/>
        <v>0.98663825031150798</v>
      </c>
      <c r="G1153" s="74">
        <v>38.276743231502572</v>
      </c>
      <c r="H1153" s="74">
        <f t="shared" si="35"/>
        <v>2.2176571118299506</v>
      </c>
    </row>
    <row r="1154" spans="5:8" ht="15.6">
      <c r="E1154" s="279" t="s">
        <v>1480</v>
      </c>
      <c r="F1154" s="284">
        <f t="shared" ca="1" si="34"/>
        <v>0.82874831338985588</v>
      </c>
      <c r="G1154" s="74">
        <v>35.320717593532706</v>
      </c>
      <c r="H1154" s="74">
        <f t="shared" si="35"/>
        <v>5.1736827497998163</v>
      </c>
    </row>
    <row r="1155" spans="5:8" ht="15.6">
      <c r="E1155" s="279" t="s">
        <v>1481</v>
      </c>
      <c r="F1155" s="284">
        <f t="shared" ca="1" si="34"/>
        <v>0.18507942334623084</v>
      </c>
      <c r="G1155" s="74">
        <v>35.901148353587331</v>
      </c>
      <c r="H1155" s="74">
        <f t="shared" si="35"/>
        <v>4.5932519897451911</v>
      </c>
    </row>
    <row r="1156" spans="5:8" ht="15.6">
      <c r="E1156" s="279" t="s">
        <v>1482</v>
      </c>
      <c r="F1156" s="284">
        <f t="shared" ca="1" si="34"/>
        <v>0.21438125483234294</v>
      </c>
      <c r="G1156" s="74">
        <v>38.669781200488451</v>
      </c>
      <c r="H1156" s="74">
        <f t="shared" si="35"/>
        <v>1.824619142844071</v>
      </c>
    </row>
    <row r="1157" spans="5:8" ht="15.6">
      <c r="E1157" s="279" t="s">
        <v>1483</v>
      </c>
      <c r="F1157" s="284">
        <f t="shared" ca="1" si="34"/>
        <v>0.1680259454045322</v>
      </c>
      <c r="G1157" s="74">
        <v>41.138127798853631</v>
      </c>
      <c r="H1157" s="74">
        <f t="shared" si="35"/>
        <v>-0.64372745552110899</v>
      </c>
    </row>
    <row r="1158" spans="5:8" ht="15.6">
      <c r="E1158" s="279" t="s">
        <v>1484</v>
      </c>
      <c r="F1158" s="284">
        <f t="shared" ca="1" si="34"/>
        <v>0.64141280390411004</v>
      </c>
      <c r="G1158" s="74">
        <v>40.295954522651492</v>
      </c>
      <c r="H1158" s="74">
        <f t="shared" si="35"/>
        <v>0.19844582068103023</v>
      </c>
    </row>
    <row r="1159" spans="5:8" ht="15.6">
      <c r="E1159" s="279" t="s">
        <v>1485</v>
      </c>
      <c r="F1159" s="284">
        <f t="shared" ca="1" si="34"/>
        <v>0.44411556251466056</v>
      </c>
      <c r="G1159" s="74">
        <v>40.715514068922893</v>
      </c>
      <c r="H1159" s="74">
        <f t="shared" si="35"/>
        <v>-0.22111372559037079</v>
      </c>
    </row>
    <row r="1160" spans="5:8" ht="15.6">
      <c r="E1160" s="279" t="s">
        <v>1486</v>
      </c>
      <c r="F1160" s="284">
        <f t="shared" ca="1" si="34"/>
        <v>0.26123780001996777</v>
      </c>
      <c r="G1160" s="74">
        <v>35.782924722275617</v>
      </c>
      <c r="H1160" s="74">
        <f t="shared" si="35"/>
        <v>4.7114756210569055</v>
      </c>
    </row>
    <row r="1161" spans="5:8" ht="15.6">
      <c r="E1161" s="279" t="s">
        <v>1487</v>
      </c>
      <c r="F1161" s="284">
        <f t="shared" ca="1" si="34"/>
        <v>1.1299267630229259E-2</v>
      </c>
      <c r="G1161" s="74">
        <v>45.622435719621166</v>
      </c>
      <c r="H1161" s="74">
        <f t="shared" si="35"/>
        <v>-5.1280353762886435</v>
      </c>
    </row>
    <row r="1162" spans="5:8" ht="15.6">
      <c r="E1162" s="279" t="s">
        <v>1488</v>
      </c>
      <c r="F1162" s="284">
        <f t="shared" ca="1" si="34"/>
        <v>0.97218195566010002</v>
      </c>
      <c r="G1162" s="74">
        <v>39.87142306842177</v>
      </c>
      <c r="H1162" s="74">
        <f t="shared" si="35"/>
        <v>0.6229772749107525</v>
      </c>
    </row>
    <row r="1163" spans="5:8" ht="15.6">
      <c r="E1163" s="279" t="s">
        <v>1489</v>
      </c>
      <c r="F1163" s="284">
        <f t="shared" ca="1" si="34"/>
        <v>0.57819788500176283</v>
      </c>
      <c r="G1163" s="74">
        <v>34.900379727329806</v>
      </c>
      <c r="H1163" s="74">
        <f t="shared" si="35"/>
        <v>5.5940206160027159</v>
      </c>
    </row>
    <row r="1164" spans="5:8" ht="15.6">
      <c r="E1164" s="279" t="s">
        <v>1490</v>
      </c>
      <c r="F1164" s="284">
        <f t="shared" ref="F1164:F1227" ca="1" si="36">RAND()</f>
        <v>0.93267473566989267</v>
      </c>
      <c r="G1164" s="74">
        <v>42.08078631547658</v>
      </c>
      <c r="H1164" s="74">
        <f t="shared" ref="H1164:H1227" si="37">$D$2-G1164</f>
        <v>-1.5863859721440576</v>
      </c>
    </row>
    <row r="1165" spans="5:8" ht="15.6">
      <c r="E1165" s="279" t="s">
        <v>1491</v>
      </c>
      <c r="F1165" s="284">
        <f t="shared" ca="1" si="36"/>
        <v>0.83277836464567123</v>
      </c>
      <c r="G1165" s="74">
        <v>41.333599515647336</v>
      </c>
      <c r="H1165" s="74">
        <f t="shared" si="37"/>
        <v>-0.83919917231481378</v>
      </c>
    </row>
    <row r="1166" spans="5:8" ht="15.6">
      <c r="E1166" s="279" t="s">
        <v>1492</v>
      </c>
      <c r="F1166" s="284">
        <f t="shared" ca="1" si="36"/>
        <v>0.2865453770245352</v>
      </c>
      <c r="G1166" s="74">
        <v>40.540775473150838</v>
      </c>
      <c r="H1166" s="74">
        <f t="shared" si="37"/>
        <v>-4.6375129818315486E-2</v>
      </c>
    </row>
    <row r="1167" spans="5:8" ht="15.6">
      <c r="E1167" s="279" t="s">
        <v>1493</v>
      </c>
      <c r="F1167" s="284">
        <f t="shared" ca="1" si="36"/>
        <v>0.37458984921719896</v>
      </c>
      <c r="G1167" s="74">
        <v>42.779429220004786</v>
      </c>
      <c r="H1167" s="74">
        <f t="shared" si="37"/>
        <v>-2.2850288766722642</v>
      </c>
    </row>
    <row r="1168" spans="5:8" ht="15.6">
      <c r="E1168" s="279" t="s">
        <v>1494</v>
      </c>
      <c r="F1168" s="284">
        <f t="shared" ca="1" si="36"/>
        <v>0.21047902604813384</v>
      </c>
      <c r="G1168" s="74">
        <v>43.423774905343556</v>
      </c>
      <c r="H1168" s="74">
        <f t="shared" si="37"/>
        <v>-2.9293745620110343</v>
      </c>
    </row>
    <row r="1169" spans="5:8" ht="15.6">
      <c r="E1169" s="279" t="s">
        <v>1495</v>
      </c>
      <c r="F1169" s="284">
        <f t="shared" ca="1" si="36"/>
        <v>0.61803040431194822</v>
      </c>
      <c r="G1169" s="74">
        <v>39.434487493615464</v>
      </c>
      <c r="H1169" s="74">
        <f t="shared" si="37"/>
        <v>1.0599128497170582</v>
      </c>
    </row>
    <row r="1170" spans="5:8" ht="15.6">
      <c r="E1170" s="279" t="s">
        <v>1496</v>
      </c>
      <c r="F1170" s="284">
        <f t="shared" ca="1" si="36"/>
        <v>0.60954485008087944</v>
      </c>
      <c r="G1170" s="74">
        <v>37.852825880879955</v>
      </c>
      <c r="H1170" s="74">
        <f t="shared" si="37"/>
        <v>2.6415744624525672</v>
      </c>
    </row>
    <row r="1171" spans="5:8" ht="15.6">
      <c r="E1171" s="279" t="s">
        <v>1497</v>
      </c>
      <c r="F1171" s="284">
        <f t="shared" ca="1" si="36"/>
        <v>0.99626459618873031</v>
      </c>
      <c r="G1171" s="74">
        <v>35.731736582720607</v>
      </c>
      <c r="H1171" s="74">
        <f t="shared" si="37"/>
        <v>4.7626637606119147</v>
      </c>
    </row>
    <row r="1172" spans="5:8" ht="15.6">
      <c r="E1172" s="279" t="s">
        <v>1498</v>
      </c>
      <c r="F1172" s="284">
        <f t="shared" ca="1" si="36"/>
        <v>0.98897798160886841</v>
      </c>
      <c r="G1172" s="74">
        <v>39.590197721041392</v>
      </c>
      <c r="H1172" s="74">
        <f t="shared" si="37"/>
        <v>0.90420262229113035</v>
      </c>
    </row>
    <row r="1173" spans="5:8" ht="15.6">
      <c r="E1173" s="279" t="s">
        <v>1499</v>
      </c>
      <c r="F1173" s="284">
        <f t="shared" ca="1" si="36"/>
        <v>1.5234569945352661E-2</v>
      </c>
      <c r="G1173" s="74">
        <v>38.584296018737163</v>
      </c>
      <c r="H1173" s="74">
        <f t="shared" si="37"/>
        <v>1.9101043245953591</v>
      </c>
    </row>
    <row r="1174" spans="5:8" ht="15.6">
      <c r="E1174" s="279" t="s">
        <v>1500</v>
      </c>
      <c r="F1174" s="284">
        <f t="shared" ca="1" si="36"/>
        <v>0.29635750604308986</v>
      </c>
      <c r="G1174" s="74">
        <v>37.048574833479194</v>
      </c>
      <c r="H1174" s="74">
        <f t="shared" si="37"/>
        <v>3.4458255098533286</v>
      </c>
    </row>
    <row r="1175" spans="5:8" ht="15.6">
      <c r="E1175" s="279" t="s">
        <v>1501</v>
      </c>
      <c r="F1175" s="284">
        <f t="shared" ca="1" si="36"/>
        <v>0.78871926596645603</v>
      </c>
      <c r="G1175" s="74">
        <v>37.441252547850539</v>
      </c>
      <c r="H1175" s="74">
        <f t="shared" si="37"/>
        <v>3.0531477954819835</v>
      </c>
    </row>
    <row r="1176" spans="5:8" ht="15.6">
      <c r="E1176" s="279" t="s">
        <v>1502</v>
      </c>
      <c r="F1176" s="284">
        <f t="shared" ca="1" si="36"/>
        <v>0.39911413428739229</v>
      </c>
      <c r="G1176" s="74">
        <v>40.269124890017125</v>
      </c>
      <c r="H1176" s="74">
        <f t="shared" si="37"/>
        <v>0.22527545331539756</v>
      </c>
    </row>
    <row r="1177" spans="5:8" ht="15.6">
      <c r="E1177" s="279" t="s">
        <v>1503</v>
      </c>
      <c r="F1177" s="284">
        <f t="shared" ca="1" si="36"/>
        <v>0.15811581046800227</v>
      </c>
      <c r="G1177" s="74">
        <v>41.502664685715885</v>
      </c>
      <c r="H1177" s="74">
        <f t="shared" si="37"/>
        <v>-1.008264342383363</v>
      </c>
    </row>
    <row r="1178" spans="5:8" ht="15.6">
      <c r="E1178" s="279" t="s">
        <v>1504</v>
      </c>
      <c r="F1178" s="284">
        <f t="shared" ca="1" si="36"/>
        <v>0.33133128555949043</v>
      </c>
      <c r="G1178" s="74">
        <v>37.40032373524302</v>
      </c>
      <c r="H1178" s="74">
        <f t="shared" si="37"/>
        <v>3.0940766080895017</v>
      </c>
    </row>
    <row r="1179" spans="5:8" ht="15.6">
      <c r="E1179" s="279" t="s">
        <v>1505</v>
      </c>
      <c r="F1179" s="284">
        <f t="shared" ca="1" si="36"/>
        <v>0.85671092085216416</v>
      </c>
      <c r="G1179" s="74">
        <v>36.272635754143948</v>
      </c>
      <c r="H1179" s="74">
        <f t="shared" si="37"/>
        <v>4.2217645891885738</v>
      </c>
    </row>
    <row r="1180" spans="5:8" ht="15.6">
      <c r="E1180" s="279" t="s">
        <v>1506</v>
      </c>
      <c r="F1180" s="284">
        <f t="shared" ca="1" si="36"/>
        <v>0.82599250408999525</v>
      </c>
      <c r="G1180" s="74">
        <v>40.280087679901307</v>
      </c>
      <c r="H1180" s="74">
        <f t="shared" si="37"/>
        <v>0.21431266343121536</v>
      </c>
    </row>
    <row r="1181" spans="5:8" ht="15.6">
      <c r="E1181" s="279" t="s">
        <v>1507</v>
      </c>
      <c r="F1181" s="284">
        <f t="shared" ca="1" si="36"/>
        <v>0.52468941512088418</v>
      </c>
      <c r="G1181" s="74">
        <v>38.666533661751764</v>
      </c>
      <c r="H1181" s="74">
        <f t="shared" si="37"/>
        <v>1.8278666815807583</v>
      </c>
    </row>
    <row r="1182" spans="5:8" ht="15.6">
      <c r="E1182" s="279" t="s">
        <v>1508</v>
      </c>
      <c r="F1182" s="284">
        <f t="shared" ca="1" si="36"/>
        <v>2.6637409097226783E-2</v>
      </c>
      <c r="G1182" s="74">
        <v>37.962380128276656</v>
      </c>
      <c r="H1182" s="74">
        <f t="shared" si="37"/>
        <v>2.5320202150558657</v>
      </c>
    </row>
    <row r="1183" spans="5:8" ht="15.6">
      <c r="E1183" s="279" t="s">
        <v>1509</v>
      </c>
      <c r="F1183" s="284">
        <f t="shared" ca="1" si="36"/>
        <v>2.6370772685169741E-2</v>
      </c>
      <c r="G1183" s="74">
        <v>44.490806830740411</v>
      </c>
      <c r="H1183" s="74">
        <f t="shared" si="37"/>
        <v>-3.9964064874078886</v>
      </c>
    </row>
    <row r="1184" spans="5:8" ht="15.6">
      <c r="E1184" s="279" t="s">
        <v>1510</v>
      </c>
      <c r="F1184" s="284">
        <f t="shared" ca="1" si="36"/>
        <v>0.63220510216666681</v>
      </c>
      <c r="G1184" s="74">
        <v>39.594941487829722</v>
      </c>
      <c r="H1184" s="74">
        <f t="shared" si="37"/>
        <v>0.89945885550280025</v>
      </c>
    </row>
    <row r="1185" spans="5:8" ht="15.6">
      <c r="E1185" s="279" t="s">
        <v>1511</v>
      </c>
      <c r="F1185" s="284">
        <f t="shared" ca="1" si="36"/>
        <v>3.2045116904558801E-2</v>
      </c>
      <c r="G1185" s="74">
        <v>39.453821987578948</v>
      </c>
      <c r="H1185" s="74">
        <f t="shared" si="37"/>
        <v>1.0405783557535742</v>
      </c>
    </row>
    <row r="1186" spans="5:8" ht="15.6">
      <c r="E1186" s="279" t="s">
        <v>1512</v>
      </c>
      <c r="F1186" s="284">
        <f t="shared" ca="1" si="36"/>
        <v>0.61558242818842157</v>
      </c>
      <c r="G1186" s="74">
        <v>34.551613310185346</v>
      </c>
      <c r="H1186" s="74">
        <f t="shared" si="37"/>
        <v>5.9427870331471766</v>
      </c>
    </row>
    <row r="1187" spans="5:8" ht="15.6">
      <c r="E1187" s="279" t="s">
        <v>1513</v>
      </c>
      <c r="F1187" s="284">
        <f t="shared" ca="1" si="36"/>
        <v>0.77430577823054969</v>
      </c>
      <c r="G1187" s="74">
        <v>41.103667684830683</v>
      </c>
      <c r="H1187" s="74">
        <f t="shared" si="37"/>
        <v>-0.60926734149816042</v>
      </c>
    </row>
    <row r="1188" spans="5:8" ht="15.6">
      <c r="E1188" s="279" t="s">
        <v>1514</v>
      </c>
      <c r="F1188" s="284">
        <f t="shared" ca="1" si="36"/>
        <v>0.82046518267539148</v>
      </c>
      <c r="G1188" s="74">
        <v>37.201784763209552</v>
      </c>
      <c r="H1188" s="74">
        <f t="shared" si="37"/>
        <v>3.2926155801229697</v>
      </c>
    </row>
    <row r="1189" spans="5:8" ht="15.6">
      <c r="E1189" s="279" t="s">
        <v>1515</v>
      </c>
      <c r="F1189" s="284">
        <f t="shared" ca="1" si="36"/>
        <v>3.0905564353652659E-3</v>
      </c>
      <c r="G1189" s="74">
        <v>38.472919723463598</v>
      </c>
      <c r="H1189" s="74">
        <f t="shared" si="37"/>
        <v>2.0214806198689246</v>
      </c>
    </row>
    <row r="1190" spans="5:8" ht="15.6">
      <c r="E1190" s="279" t="s">
        <v>1516</v>
      </c>
      <c r="F1190" s="284">
        <f t="shared" ca="1" si="36"/>
        <v>0.91621367647401253</v>
      </c>
      <c r="G1190" s="74">
        <v>42.790847369787301</v>
      </c>
      <c r="H1190" s="74">
        <f t="shared" si="37"/>
        <v>-2.2964470264547785</v>
      </c>
    </row>
    <row r="1191" spans="5:8" ht="15.6">
      <c r="E1191" s="279" t="s">
        <v>1517</v>
      </c>
      <c r="F1191" s="284">
        <f t="shared" ca="1" si="36"/>
        <v>0.33196899985128991</v>
      </c>
      <c r="G1191" s="74">
        <v>35.78275075674425</v>
      </c>
      <c r="H1191" s="74">
        <f t="shared" si="37"/>
        <v>4.7116495865882726</v>
      </c>
    </row>
    <row r="1192" spans="5:8" ht="15.6">
      <c r="E1192" s="279" t="s">
        <v>1518</v>
      </c>
      <c r="F1192" s="284">
        <f t="shared" ca="1" si="36"/>
        <v>0.11898327312646728</v>
      </c>
      <c r="G1192" s="74">
        <v>39.898296105680572</v>
      </c>
      <c r="H1192" s="74">
        <f t="shared" si="37"/>
        <v>0.59610423765195009</v>
      </c>
    </row>
    <row r="1193" spans="5:8" ht="15.6">
      <c r="E1193" s="279" t="s">
        <v>1519</v>
      </c>
      <c r="F1193" s="284">
        <f t="shared" ca="1" si="36"/>
        <v>0.95295040529090158</v>
      </c>
      <c r="G1193" s="74">
        <v>40.040297421560986</v>
      </c>
      <c r="H1193" s="74">
        <f t="shared" si="37"/>
        <v>0.45410292177153622</v>
      </c>
    </row>
    <row r="1194" spans="5:8" ht="15.6">
      <c r="E1194" s="279" t="s">
        <v>1520</v>
      </c>
      <c r="F1194" s="284">
        <f t="shared" ca="1" si="36"/>
        <v>0.2892884066882766</v>
      </c>
      <c r="G1194" s="74">
        <v>38.87135803516103</v>
      </c>
      <c r="H1194" s="74">
        <f t="shared" si="37"/>
        <v>1.6230423081714918</v>
      </c>
    </row>
    <row r="1195" spans="5:8" ht="15.6">
      <c r="E1195" s="279" t="s">
        <v>1521</v>
      </c>
      <c r="F1195" s="284">
        <f t="shared" ca="1" si="36"/>
        <v>0.78929516410859746</v>
      </c>
      <c r="G1195" s="74">
        <v>36.286429857961451</v>
      </c>
      <c r="H1195" s="74">
        <f t="shared" si="37"/>
        <v>4.2079704853710709</v>
      </c>
    </row>
    <row r="1196" spans="5:8" ht="15.6">
      <c r="E1196" s="279" t="s">
        <v>1522</v>
      </c>
      <c r="F1196" s="284">
        <f t="shared" ca="1" si="36"/>
        <v>0.11472949748494432</v>
      </c>
      <c r="G1196" s="74">
        <v>38.52146409671348</v>
      </c>
      <c r="H1196" s="74">
        <f t="shared" si="37"/>
        <v>1.9729362466190423</v>
      </c>
    </row>
    <row r="1197" spans="5:8" ht="15.6">
      <c r="E1197" s="279" t="s">
        <v>1523</v>
      </c>
      <c r="F1197" s="284">
        <f t="shared" ca="1" si="36"/>
        <v>0.98744278571738209</v>
      </c>
      <c r="G1197" s="74">
        <v>42.148709066874986</v>
      </c>
      <c r="H1197" s="74">
        <f t="shared" si="37"/>
        <v>-1.6543087235424636</v>
      </c>
    </row>
    <row r="1198" spans="5:8" ht="15.6">
      <c r="E1198" s="279" t="s">
        <v>1524</v>
      </c>
      <c r="F1198" s="284">
        <f t="shared" ca="1" si="36"/>
        <v>0.86290588230063092</v>
      </c>
      <c r="G1198" s="74">
        <v>39.404201114216448</v>
      </c>
      <c r="H1198" s="74">
        <f t="shared" si="37"/>
        <v>1.0901992291160738</v>
      </c>
    </row>
    <row r="1199" spans="5:8" ht="15.6">
      <c r="E1199" s="279" t="s">
        <v>1525</v>
      </c>
      <c r="F1199" s="284">
        <f t="shared" ca="1" si="36"/>
        <v>0.8937617097147611</v>
      </c>
      <c r="G1199" s="74">
        <v>38.429282287059905</v>
      </c>
      <c r="H1199" s="74">
        <f t="shared" si="37"/>
        <v>2.0651180562726168</v>
      </c>
    </row>
    <row r="1200" spans="5:8" ht="15.6">
      <c r="E1200" s="279" t="s">
        <v>1526</v>
      </c>
      <c r="F1200" s="284">
        <f t="shared" ca="1" si="36"/>
        <v>6.4752505929427828E-2</v>
      </c>
      <c r="G1200" s="74">
        <v>41.559781142090038</v>
      </c>
      <c r="H1200" s="74">
        <f t="shared" si="37"/>
        <v>-1.0653807987575163</v>
      </c>
    </row>
    <row r="1201" spans="5:8" ht="15.6">
      <c r="E1201" s="279" t="s">
        <v>1527</v>
      </c>
      <c r="F1201" s="284">
        <f t="shared" ca="1" si="36"/>
        <v>0.91816146600077186</v>
      </c>
      <c r="G1201" s="74">
        <v>38.077644231513197</v>
      </c>
      <c r="H1201" s="74">
        <f t="shared" si="37"/>
        <v>2.4167561118193248</v>
      </c>
    </row>
    <row r="1202" spans="5:8" ht="15.6">
      <c r="E1202" s="279" t="s">
        <v>1528</v>
      </c>
      <c r="F1202" s="284">
        <f t="shared" ca="1" si="36"/>
        <v>5.7613510473969343E-2</v>
      </c>
      <c r="G1202" s="74">
        <v>36.30503266206933</v>
      </c>
      <c r="H1202" s="74">
        <f t="shared" si="37"/>
        <v>4.1893676812631924</v>
      </c>
    </row>
    <row r="1203" spans="5:8" ht="15.6">
      <c r="E1203" s="279" t="s">
        <v>1529</v>
      </c>
      <c r="F1203" s="284">
        <f t="shared" ca="1" si="36"/>
        <v>0.93279498555369833</v>
      </c>
      <c r="G1203" s="74">
        <v>43.244391122309089</v>
      </c>
      <c r="H1203" s="74">
        <f t="shared" si="37"/>
        <v>-2.7499907789765672</v>
      </c>
    </row>
    <row r="1204" spans="5:8" ht="15.6">
      <c r="E1204" s="279" t="s">
        <v>1530</v>
      </c>
      <c r="F1204" s="284">
        <f t="shared" ca="1" si="36"/>
        <v>0.41580880173715751</v>
      </c>
      <c r="G1204" s="74">
        <v>39.705680304341804</v>
      </c>
      <c r="H1204" s="74">
        <f t="shared" si="37"/>
        <v>0.78872003899071785</v>
      </c>
    </row>
    <row r="1205" spans="5:8" ht="15.6">
      <c r="E1205" s="279" t="s">
        <v>1531</v>
      </c>
      <c r="F1205" s="284">
        <f t="shared" ca="1" si="36"/>
        <v>0.20772227024780854</v>
      </c>
      <c r="G1205" s="74">
        <v>35.966113884627333</v>
      </c>
      <c r="H1205" s="74">
        <f t="shared" si="37"/>
        <v>4.528286458705189</v>
      </c>
    </row>
    <row r="1206" spans="5:8" ht="15.6">
      <c r="E1206" s="279" t="s">
        <v>1532</v>
      </c>
      <c r="F1206" s="284">
        <f t="shared" ca="1" si="36"/>
        <v>0.21992058910863788</v>
      </c>
      <c r="G1206" s="74">
        <v>38.659646965772723</v>
      </c>
      <c r="H1206" s="74">
        <f t="shared" si="37"/>
        <v>1.8347533775597995</v>
      </c>
    </row>
    <row r="1207" spans="5:8" ht="15.6">
      <c r="E1207" s="279" t="s">
        <v>1533</v>
      </c>
      <c r="F1207" s="284">
        <f t="shared" ca="1" si="36"/>
        <v>0.24081734353836226</v>
      </c>
      <c r="G1207" s="74">
        <v>40.249972377720439</v>
      </c>
      <c r="H1207" s="74">
        <f t="shared" si="37"/>
        <v>0.24442796561208269</v>
      </c>
    </row>
    <row r="1208" spans="5:8" ht="15.6">
      <c r="E1208" s="279" t="s">
        <v>1534</v>
      </c>
      <c r="F1208" s="284">
        <f t="shared" ca="1" si="36"/>
        <v>0.77736000996344101</v>
      </c>
      <c r="G1208" s="74">
        <v>41.197526393886207</v>
      </c>
      <c r="H1208" s="74">
        <f t="shared" si="37"/>
        <v>-0.70312605055368493</v>
      </c>
    </row>
    <row r="1209" spans="5:8" ht="15.6">
      <c r="E1209" s="279" t="s">
        <v>1535</v>
      </c>
      <c r="F1209" s="284">
        <f t="shared" ca="1" si="36"/>
        <v>0.63495249713466995</v>
      </c>
      <c r="G1209" s="74">
        <v>34.418763344744832</v>
      </c>
      <c r="H1209" s="74">
        <f t="shared" si="37"/>
        <v>6.0756369985876901</v>
      </c>
    </row>
    <row r="1210" spans="5:8" ht="15.6">
      <c r="E1210" s="279" t="s">
        <v>1536</v>
      </c>
      <c r="F1210" s="284">
        <f t="shared" ca="1" si="36"/>
        <v>0.69253282510550118</v>
      </c>
      <c r="G1210" s="74">
        <v>38.015721943873693</v>
      </c>
      <c r="H1210" s="74">
        <f t="shared" si="37"/>
        <v>2.4786783994588291</v>
      </c>
    </row>
    <row r="1211" spans="5:8" ht="15.6">
      <c r="E1211" s="279" t="s">
        <v>1537</v>
      </c>
      <c r="F1211" s="284">
        <f t="shared" ca="1" si="36"/>
        <v>0.73143272897586897</v>
      </c>
      <c r="G1211" s="74">
        <v>37.319467413184981</v>
      </c>
      <c r="H1211" s="74">
        <f t="shared" si="37"/>
        <v>3.1749329301475413</v>
      </c>
    </row>
    <row r="1212" spans="5:8" ht="15.6">
      <c r="E1212" s="279" t="s">
        <v>1538</v>
      </c>
      <c r="F1212" s="284">
        <f t="shared" ca="1" si="36"/>
        <v>9.7002331014883425E-2</v>
      </c>
      <c r="G1212" s="74">
        <v>37.155792978829872</v>
      </c>
      <c r="H1212" s="74">
        <f t="shared" si="37"/>
        <v>3.3386073645026499</v>
      </c>
    </row>
    <row r="1213" spans="5:8" ht="15.6">
      <c r="E1213" s="279" t="s">
        <v>1539</v>
      </c>
      <c r="F1213" s="284">
        <f t="shared" ca="1" si="36"/>
        <v>0.89768620041837233</v>
      </c>
      <c r="G1213" s="74">
        <v>38.123690978162124</v>
      </c>
      <c r="H1213" s="74">
        <f t="shared" si="37"/>
        <v>2.3707093651703985</v>
      </c>
    </row>
    <row r="1214" spans="5:8" ht="15.6">
      <c r="E1214" s="279" t="s">
        <v>1540</v>
      </c>
      <c r="F1214" s="284">
        <f t="shared" ca="1" si="36"/>
        <v>0.36827975108029709</v>
      </c>
      <c r="G1214" s="74">
        <v>36.923603968604056</v>
      </c>
      <c r="H1214" s="74">
        <f t="shared" si="37"/>
        <v>3.5707963747284666</v>
      </c>
    </row>
    <row r="1215" spans="5:8" ht="15.6">
      <c r="E1215" s="279" t="s">
        <v>1541</v>
      </c>
      <c r="F1215" s="284">
        <f t="shared" ca="1" si="36"/>
        <v>0.10997198305985267</v>
      </c>
      <c r="G1215" s="74">
        <v>40.782083290734846</v>
      </c>
      <c r="H1215" s="74">
        <f t="shared" si="37"/>
        <v>-0.28768294740232392</v>
      </c>
    </row>
    <row r="1216" spans="5:8" ht="15.6">
      <c r="E1216" s="279" t="s">
        <v>1542</v>
      </c>
      <c r="F1216" s="284">
        <f t="shared" ca="1" si="36"/>
        <v>0.1666675081648471</v>
      </c>
      <c r="G1216" s="74">
        <v>42.247544409934626</v>
      </c>
      <c r="H1216" s="74">
        <f t="shared" si="37"/>
        <v>-1.7531440666021041</v>
      </c>
    </row>
    <row r="1217" spans="5:8" ht="15.6">
      <c r="E1217" s="279" t="s">
        <v>1543</v>
      </c>
      <c r="F1217" s="284">
        <f t="shared" ca="1" si="36"/>
        <v>0.30268175936539665</v>
      </c>
      <c r="G1217" s="74">
        <v>45.103429028754363</v>
      </c>
      <c r="H1217" s="74">
        <f t="shared" si="37"/>
        <v>-4.6090286854218405</v>
      </c>
    </row>
    <row r="1218" spans="5:8" ht="15.6">
      <c r="E1218" s="279" t="s">
        <v>1544</v>
      </c>
      <c r="F1218" s="284">
        <f t="shared" ca="1" si="36"/>
        <v>0.25845808091995304</v>
      </c>
      <c r="G1218" s="74">
        <v>40.584637925862253</v>
      </c>
      <c r="H1218" s="74">
        <f t="shared" si="37"/>
        <v>-9.0237582529731242E-2</v>
      </c>
    </row>
    <row r="1219" spans="5:8" ht="15.6">
      <c r="E1219" s="279" t="s">
        <v>1545</v>
      </c>
      <c r="F1219" s="284">
        <f t="shared" ca="1" si="36"/>
        <v>0.65448389045680078</v>
      </c>
      <c r="G1219" s="74">
        <v>37.879229372349052</v>
      </c>
      <c r="H1219" s="74">
        <f t="shared" si="37"/>
        <v>2.6151709709834705</v>
      </c>
    </row>
    <row r="1220" spans="5:8" ht="15.6">
      <c r="E1220" s="279" t="s">
        <v>1546</v>
      </c>
      <c r="F1220" s="284">
        <f t="shared" ca="1" si="36"/>
        <v>0.60248895353335419</v>
      </c>
      <c r="G1220" s="74">
        <v>43.112039888844407</v>
      </c>
      <c r="H1220" s="74">
        <f t="shared" si="37"/>
        <v>-2.617639545511885</v>
      </c>
    </row>
    <row r="1221" spans="5:8" ht="15.6">
      <c r="E1221" s="279" t="s">
        <v>1547</v>
      </c>
      <c r="F1221" s="284">
        <f t="shared" ca="1" si="36"/>
        <v>0.29015480569775454</v>
      </c>
      <c r="G1221" s="74">
        <v>35.979765987183136</v>
      </c>
      <c r="H1221" s="74">
        <f t="shared" si="37"/>
        <v>4.5146343561493865</v>
      </c>
    </row>
    <row r="1222" spans="5:8" ht="15.6">
      <c r="E1222" s="279" t="s">
        <v>1548</v>
      </c>
      <c r="F1222" s="284">
        <f t="shared" ca="1" si="36"/>
        <v>0.32487485429904062</v>
      </c>
      <c r="G1222" s="74">
        <v>38.863340061223816</v>
      </c>
      <c r="H1222" s="74">
        <f t="shared" si="37"/>
        <v>1.6310602821087059</v>
      </c>
    </row>
    <row r="1223" spans="5:8" ht="15.6">
      <c r="E1223" s="279" t="s">
        <v>1549</v>
      </c>
      <c r="F1223" s="284">
        <f t="shared" ca="1" si="36"/>
        <v>0.47384048191409633</v>
      </c>
      <c r="G1223" s="74">
        <v>43.36329884978835</v>
      </c>
      <c r="H1223" s="74">
        <f t="shared" si="37"/>
        <v>-2.8688985064558281</v>
      </c>
    </row>
    <row r="1224" spans="5:8" ht="15.6">
      <c r="E1224" s="279" t="s">
        <v>1550</v>
      </c>
      <c r="F1224" s="284">
        <f t="shared" ca="1" si="36"/>
        <v>0.58794879849903547</v>
      </c>
      <c r="G1224" s="74">
        <v>39.152134277581844</v>
      </c>
      <c r="H1224" s="74">
        <f t="shared" si="37"/>
        <v>1.3422660657506782</v>
      </c>
    </row>
    <row r="1225" spans="5:8" ht="15.6">
      <c r="E1225" s="279" t="s">
        <v>1551</v>
      </c>
      <c r="F1225" s="284">
        <f t="shared" ca="1" si="36"/>
        <v>0.39662864770810868</v>
      </c>
      <c r="G1225" s="74">
        <v>35.935293265290298</v>
      </c>
      <c r="H1225" s="74">
        <f t="shared" si="37"/>
        <v>4.5591070780422243</v>
      </c>
    </row>
    <row r="1226" spans="5:8" ht="15.6">
      <c r="E1226" s="279" t="s">
        <v>1552</v>
      </c>
      <c r="F1226" s="284">
        <f t="shared" ca="1" si="36"/>
        <v>5.4299838779471976E-2</v>
      </c>
      <c r="G1226" s="74">
        <v>41.505395167190741</v>
      </c>
      <c r="H1226" s="74">
        <f t="shared" si="37"/>
        <v>-1.0109948238582191</v>
      </c>
    </row>
    <row r="1227" spans="5:8" ht="15.6">
      <c r="E1227" s="279" t="s">
        <v>1553</v>
      </c>
      <c r="F1227" s="284">
        <f t="shared" ca="1" si="36"/>
        <v>0.63582599147236896</v>
      </c>
      <c r="G1227" s="74">
        <v>40.942728041293044</v>
      </c>
      <c r="H1227" s="74">
        <f t="shared" si="37"/>
        <v>-0.44832769796052219</v>
      </c>
    </row>
    <row r="1228" spans="5:8" ht="15.6">
      <c r="E1228" s="279" t="s">
        <v>1554</v>
      </c>
      <c r="F1228" s="284">
        <f t="shared" ref="F1228:F1291" ca="1" si="38">RAND()</f>
        <v>0.29479941628668582</v>
      </c>
      <c r="G1228" s="74">
        <v>39.004470778024086</v>
      </c>
      <c r="H1228" s="74">
        <f t="shared" ref="H1228:H1291" si="39">$D$2-G1228</f>
        <v>1.4899295653084366</v>
      </c>
    </row>
    <row r="1229" spans="5:8" ht="15.6">
      <c r="E1229" s="279" t="s">
        <v>1555</v>
      </c>
      <c r="F1229" s="284">
        <f t="shared" ca="1" si="38"/>
        <v>0.26940696921516749</v>
      </c>
      <c r="G1229" s="74">
        <v>44.003628699119169</v>
      </c>
      <c r="H1229" s="74">
        <f t="shared" si="39"/>
        <v>-3.5092283557866466</v>
      </c>
    </row>
    <row r="1230" spans="5:8" ht="15.6">
      <c r="E1230" s="279" t="s">
        <v>1556</v>
      </c>
      <c r="F1230" s="284">
        <f t="shared" ca="1" si="38"/>
        <v>5.4352714246732603E-2</v>
      </c>
      <c r="G1230" s="74">
        <v>35.904785000895245</v>
      </c>
      <c r="H1230" s="74">
        <f t="shared" si="39"/>
        <v>4.589615342437277</v>
      </c>
    </row>
    <row r="1231" spans="5:8" ht="15.6">
      <c r="E1231" s="279" t="s">
        <v>1557</v>
      </c>
      <c r="F1231" s="284">
        <f t="shared" ca="1" si="38"/>
        <v>0.31712660418820882</v>
      </c>
      <c r="G1231" s="74">
        <v>39.650967745972757</v>
      </c>
      <c r="H1231" s="74">
        <f t="shared" si="39"/>
        <v>0.84343259735976517</v>
      </c>
    </row>
    <row r="1232" spans="5:8" ht="15.6">
      <c r="E1232" s="279" t="s">
        <v>1558</v>
      </c>
      <c r="F1232" s="284">
        <f t="shared" ca="1" si="38"/>
        <v>0.39763981948427751</v>
      </c>
      <c r="G1232" s="74">
        <v>41.639194064308981</v>
      </c>
      <c r="H1232" s="74">
        <f t="shared" si="39"/>
        <v>-1.1447937209764589</v>
      </c>
    </row>
    <row r="1233" spans="5:8" ht="15.6">
      <c r="E1233" s="279" t="s">
        <v>1559</v>
      </c>
      <c r="F1233" s="284">
        <f t="shared" ca="1" si="38"/>
        <v>0.92883571626361416</v>
      </c>
      <c r="G1233" s="74">
        <v>40.199554023903808</v>
      </c>
      <c r="H1233" s="74">
        <f t="shared" si="39"/>
        <v>0.29484631942871431</v>
      </c>
    </row>
    <row r="1234" spans="5:8" ht="15.6">
      <c r="E1234" s="279" t="s">
        <v>1560</v>
      </c>
      <c r="F1234" s="284">
        <f t="shared" ca="1" si="38"/>
        <v>0.40598477172783953</v>
      </c>
      <c r="G1234" s="74">
        <v>38.933680327603895</v>
      </c>
      <c r="H1234" s="74">
        <f t="shared" si="39"/>
        <v>1.5607200157286272</v>
      </c>
    </row>
    <row r="1235" spans="5:8" ht="15.6">
      <c r="E1235" s="279" t="s">
        <v>1561</v>
      </c>
      <c r="F1235" s="284">
        <f t="shared" ca="1" si="38"/>
        <v>0.3322858526078597</v>
      </c>
      <c r="G1235" s="74">
        <v>40.294916909445291</v>
      </c>
      <c r="H1235" s="74">
        <f t="shared" si="39"/>
        <v>0.19948343388723089</v>
      </c>
    </row>
    <row r="1236" spans="5:8" ht="15.6">
      <c r="E1236" s="279" t="s">
        <v>1562</v>
      </c>
      <c r="F1236" s="284">
        <f t="shared" ca="1" si="38"/>
        <v>0.49461023464132103</v>
      </c>
      <c r="G1236" s="74">
        <v>39.864145583435828</v>
      </c>
      <c r="H1236" s="74">
        <f t="shared" si="39"/>
        <v>0.63025475989669388</v>
      </c>
    </row>
    <row r="1237" spans="5:8" ht="15.6">
      <c r="E1237" s="279" t="s">
        <v>1563</v>
      </c>
      <c r="F1237" s="284">
        <f t="shared" ca="1" si="38"/>
        <v>0.80059937245150237</v>
      </c>
      <c r="G1237" s="74">
        <v>39.90141296445362</v>
      </c>
      <c r="H1237" s="74">
        <f t="shared" si="39"/>
        <v>0.5929873788789024</v>
      </c>
    </row>
    <row r="1238" spans="5:8" ht="15.6">
      <c r="E1238" s="279" t="s">
        <v>1564</v>
      </c>
      <c r="F1238" s="284">
        <f t="shared" ca="1" si="38"/>
        <v>4.594072383979686E-3</v>
      </c>
      <c r="G1238" s="74">
        <v>42.177582857733057</v>
      </c>
      <c r="H1238" s="74">
        <f t="shared" si="39"/>
        <v>-1.683182514400535</v>
      </c>
    </row>
    <row r="1239" spans="5:8" ht="15.6">
      <c r="E1239" s="279" t="s">
        <v>1565</v>
      </c>
      <c r="F1239" s="284">
        <f t="shared" ca="1" si="38"/>
        <v>0.76304137529687277</v>
      </c>
      <c r="G1239" s="74">
        <v>37.165072285169281</v>
      </c>
      <c r="H1239" s="74">
        <f t="shared" si="39"/>
        <v>3.3293280581632416</v>
      </c>
    </row>
    <row r="1240" spans="5:8" ht="15.6">
      <c r="E1240" s="279" t="s">
        <v>1566</v>
      </c>
      <c r="F1240" s="284">
        <f t="shared" ca="1" si="38"/>
        <v>0.63340769952022169</v>
      </c>
      <c r="G1240" s="74">
        <v>42.801751780598991</v>
      </c>
      <c r="H1240" s="74">
        <f t="shared" si="39"/>
        <v>-2.307351437266469</v>
      </c>
    </row>
    <row r="1241" spans="5:8" ht="15.6">
      <c r="E1241" s="279" t="s">
        <v>1567</v>
      </c>
      <c r="F1241" s="284">
        <f t="shared" ca="1" si="38"/>
        <v>0.97365077378929221</v>
      </c>
      <c r="G1241" s="74">
        <v>39.512300450952274</v>
      </c>
      <c r="H1241" s="74">
        <f t="shared" si="39"/>
        <v>0.98209989238024775</v>
      </c>
    </row>
    <row r="1242" spans="5:8" ht="15.6">
      <c r="E1242" s="279" t="s">
        <v>1568</v>
      </c>
      <c r="F1242" s="284">
        <f t="shared" ca="1" si="38"/>
        <v>0.21924056517723201</v>
      </c>
      <c r="G1242" s="74">
        <v>38.522604057877224</v>
      </c>
      <c r="H1242" s="74">
        <f t="shared" si="39"/>
        <v>1.9717962854552979</v>
      </c>
    </row>
    <row r="1243" spans="5:8" ht="15.6">
      <c r="E1243" s="279" t="s">
        <v>1569</v>
      </c>
      <c r="F1243" s="284">
        <f t="shared" ca="1" si="38"/>
        <v>0.13717168002831259</v>
      </c>
      <c r="G1243" s="74">
        <v>40.692400447790895</v>
      </c>
      <c r="H1243" s="74">
        <f t="shared" si="39"/>
        <v>-0.19800010445837302</v>
      </c>
    </row>
    <row r="1244" spans="5:8" ht="15.6">
      <c r="E1244" s="279" t="s">
        <v>1570</v>
      </c>
      <c r="F1244" s="284">
        <f t="shared" ca="1" si="38"/>
        <v>0.71944012222745912</v>
      </c>
      <c r="G1244" s="74">
        <v>34.209100116147475</v>
      </c>
      <c r="H1244" s="74">
        <f t="shared" si="39"/>
        <v>6.2853002271850471</v>
      </c>
    </row>
    <row r="1245" spans="5:8" ht="15.6">
      <c r="E1245" s="279" t="s">
        <v>1571</v>
      </c>
      <c r="F1245" s="284">
        <f t="shared" ca="1" si="38"/>
        <v>0.81269205122164612</v>
      </c>
      <c r="G1245" s="74">
        <v>39.677389234960437</v>
      </c>
      <c r="H1245" s="74">
        <f t="shared" si="39"/>
        <v>0.81701110837208546</v>
      </c>
    </row>
    <row r="1246" spans="5:8" ht="15.6">
      <c r="E1246" s="279" t="s">
        <v>1572</v>
      </c>
      <c r="F1246" s="284">
        <f t="shared" ca="1" si="38"/>
        <v>0.73811931621233529</v>
      </c>
      <c r="G1246" s="74">
        <v>38.578690933523248</v>
      </c>
      <c r="H1246" s="74">
        <f t="shared" si="39"/>
        <v>1.9157094098092742</v>
      </c>
    </row>
    <row r="1247" spans="5:8" ht="15.6">
      <c r="E1247" s="279" t="s">
        <v>1573</v>
      </c>
      <c r="F1247" s="284">
        <f t="shared" ca="1" si="38"/>
        <v>0.82492670064750673</v>
      </c>
      <c r="G1247" s="74">
        <v>37.754864243071665</v>
      </c>
      <c r="H1247" s="74">
        <f t="shared" si="39"/>
        <v>2.7395361002608567</v>
      </c>
    </row>
    <row r="1248" spans="5:8" ht="15.6">
      <c r="E1248" s="279" t="s">
        <v>1574</v>
      </c>
      <c r="F1248" s="284">
        <f t="shared" ca="1" si="38"/>
        <v>0.53783398078308764</v>
      </c>
      <c r="G1248" s="74">
        <v>37.930529477663761</v>
      </c>
      <c r="H1248" s="74">
        <f t="shared" si="39"/>
        <v>2.5638708656687612</v>
      </c>
    </row>
    <row r="1249" spans="5:8" ht="15.6">
      <c r="E1249" s="279" t="s">
        <v>1575</v>
      </c>
      <c r="F1249" s="284">
        <f t="shared" ca="1" si="38"/>
        <v>0.53668379701745395</v>
      </c>
      <c r="G1249" s="74">
        <v>37.84447591372399</v>
      </c>
      <c r="H1249" s="74">
        <f t="shared" si="39"/>
        <v>2.6499244296085323</v>
      </c>
    </row>
    <row r="1250" spans="5:8" ht="15.6">
      <c r="E1250" s="279" t="s">
        <v>1576</v>
      </c>
      <c r="F1250" s="284">
        <f t="shared" ca="1" si="38"/>
        <v>1.1857416366446549E-2</v>
      </c>
      <c r="G1250" s="74">
        <v>37.865207119927867</v>
      </c>
      <c r="H1250" s="74">
        <f t="shared" si="39"/>
        <v>2.6291932234046556</v>
      </c>
    </row>
    <row r="1251" spans="5:8" ht="15.6">
      <c r="E1251" s="279" t="s">
        <v>1577</v>
      </c>
      <c r="F1251" s="284">
        <f t="shared" ca="1" si="38"/>
        <v>0.46864675462030903</v>
      </c>
      <c r="G1251" s="74">
        <v>40.384170600624962</v>
      </c>
      <c r="H1251" s="74">
        <f t="shared" si="39"/>
        <v>0.11022974270755981</v>
      </c>
    </row>
    <row r="1252" spans="5:8" ht="15.6">
      <c r="E1252" s="279" t="s">
        <v>1578</v>
      </c>
      <c r="F1252" s="284">
        <f t="shared" ca="1" si="38"/>
        <v>0.52662896242907875</v>
      </c>
      <c r="G1252" s="74">
        <v>38.645604485765759</v>
      </c>
      <c r="H1252" s="74">
        <f t="shared" si="39"/>
        <v>1.8487958575667633</v>
      </c>
    </row>
    <row r="1253" spans="5:8" ht="15.6">
      <c r="E1253" s="279" t="s">
        <v>1579</v>
      </c>
      <c r="F1253" s="284">
        <f t="shared" ca="1" si="38"/>
        <v>0.68164150930198375</v>
      </c>
      <c r="G1253" s="74">
        <v>38.282137755157578</v>
      </c>
      <c r="H1253" s="74">
        <f t="shared" si="39"/>
        <v>2.2122625881749443</v>
      </c>
    </row>
    <row r="1254" spans="5:8" ht="15.6">
      <c r="E1254" s="279" t="s">
        <v>1580</v>
      </c>
      <c r="F1254" s="284">
        <f t="shared" ca="1" si="38"/>
        <v>0.96570080379157752</v>
      </c>
      <c r="G1254" s="74">
        <v>37.571360129919292</v>
      </c>
      <c r="H1254" s="74">
        <f t="shared" si="39"/>
        <v>2.9230402134132305</v>
      </c>
    </row>
    <row r="1255" spans="5:8" ht="15.6">
      <c r="E1255" s="279" t="s">
        <v>1581</v>
      </c>
      <c r="F1255" s="284">
        <f t="shared" ca="1" si="38"/>
        <v>0.89545173491851693</v>
      </c>
      <c r="G1255" s="74">
        <v>44.280336495583519</v>
      </c>
      <c r="H1255" s="74">
        <f t="shared" si="39"/>
        <v>-3.7859361522509971</v>
      </c>
    </row>
    <row r="1256" spans="5:8" ht="15.6">
      <c r="E1256" s="279" t="s">
        <v>1582</v>
      </c>
      <c r="F1256" s="284">
        <f t="shared" ca="1" si="38"/>
        <v>4.8013060095769333E-2</v>
      </c>
      <c r="G1256" s="74">
        <v>39.608335889008892</v>
      </c>
      <c r="H1256" s="74">
        <f t="shared" si="39"/>
        <v>0.88606445432363046</v>
      </c>
    </row>
    <row r="1257" spans="5:8" ht="15.6">
      <c r="E1257" s="279" t="s">
        <v>1583</v>
      </c>
      <c r="F1257" s="284">
        <f t="shared" ca="1" si="38"/>
        <v>0.31224736721858959</v>
      </c>
      <c r="G1257" s="74">
        <v>33.913555024992121</v>
      </c>
      <c r="H1257" s="74">
        <f t="shared" si="39"/>
        <v>6.5808453183404012</v>
      </c>
    </row>
    <row r="1258" spans="5:8" ht="15.6">
      <c r="E1258" s="279" t="s">
        <v>1584</v>
      </c>
      <c r="F1258" s="284">
        <f t="shared" ca="1" si="38"/>
        <v>0.99286931288288593</v>
      </c>
      <c r="G1258" s="74">
        <v>42.090678964312993</v>
      </c>
      <c r="H1258" s="74">
        <f t="shared" si="39"/>
        <v>-1.5962786209804705</v>
      </c>
    </row>
    <row r="1259" spans="5:8" ht="15.6">
      <c r="E1259" s="279" t="s">
        <v>1585</v>
      </c>
      <c r="F1259" s="284">
        <f t="shared" ca="1" si="38"/>
        <v>0.26576060397932799</v>
      </c>
      <c r="G1259" s="74">
        <v>38.379031289725177</v>
      </c>
      <c r="H1259" s="74">
        <f t="shared" si="39"/>
        <v>2.1153690536073455</v>
      </c>
    </row>
    <row r="1260" spans="5:8" ht="15.6">
      <c r="E1260" s="279" t="s">
        <v>1586</v>
      </c>
      <c r="F1260" s="284">
        <f t="shared" ca="1" si="38"/>
        <v>4.7879566167068344E-3</v>
      </c>
      <c r="G1260" s="74">
        <v>37.492957497127655</v>
      </c>
      <c r="H1260" s="74">
        <f t="shared" si="39"/>
        <v>3.001442846204867</v>
      </c>
    </row>
    <row r="1261" spans="5:8" ht="15.6">
      <c r="E1261" s="279" t="s">
        <v>1587</v>
      </c>
      <c r="F1261" s="284">
        <f t="shared" ca="1" si="38"/>
        <v>0.8053257123311226</v>
      </c>
      <c r="G1261" s="74">
        <v>37.000134766641722</v>
      </c>
      <c r="H1261" s="74">
        <f t="shared" si="39"/>
        <v>3.4942655766908004</v>
      </c>
    </row>
    <row r="1262" spans="5:8" ht="15.6">
      <c r="E1262" s="279" t="s">
        <v>1588</v>
      </c>
      <c r="F1262" s="284">
        <f t="shared" ca="1" si="38"/>
        <v>0.7028460654682519</v>
      </c>
      <c r="G1262" s="74">
        <v>43.106806424088305</v>
      </c>
      <c r="H1262" s="74">
        <f t="shared" si="39"/>
        <v>-2.6124060807557825</v>
      </c>
    </row>
    <row r="1263" spans="5:8" ht="15.6">
      <c r="E1263" s="279" t="s">
        <v>1589</v>
      </c>
      <c r="F1263" s="284">
        <f t="shared" ca="1" si="38"/>
        <v>0.64556675956850451</v>
      </c>
      <c r="G1263" s="74">
        <v>41.305879040065577</v>
      </c>
      <c r="H1263" s="74">
        <f t="shared" si="39"/>
        <v>-0.81147869673305451</v>
      </c>
    </row>
    <row r="1264" spans="5:8" ht="15.6">
      <c r="E1264" s="279" t="s">
        <v>1590</v>
      </c>
      <c r="F1264" s="284">
        <f t="shared" ca="1" si="38"/>
        <v>3.6688631139572325E-2</v>
      </c>
      <c r="G1264" s="74">
        <v>37.501153070786579</v>
      </c>
      <c r="H1264" s="74">
        <f t="shared" si="39"/>
        <v>2.9932472725459434</v>
      </c>
    </row>
    <row r="1265" spans="5:8" ht="15.6">
      <c r="E1265" s="279" t="s">
        <v>1591</v>
      </c>
      <c r="F1265" s="284">
        <f t="shared" ca="1" si="38"/>
        <v>0.51295806391125642</v>
      </c>
      <c r="G1265" s="74">
        <v>36.090468452857138</v>
      </c>
      <c r="H1265" s="74">
        <f t="shared" si="39"/>
        <v>4.4039318904753841</v>
      </c>
    </row>
    <row r="1266" spans="5:8" ht="15.6">
      <c r="E1266" s="279" t="s">
        <v>1592</v>
      </c>
      <c r="F1266" s="284">
        <f t="shared" ca="1" si="38"/>
        <v>0.87566879784026286</v>
      </c>
      <c r="G1266" s="74">
        <v>39.568769645658826</v>
      </c>
      <c r="H1266" s="74">
        <f t="shared" si="39"/>
        <v>0.92563069767369655</v>
      </c>
    </row>
    <row r="1267" spans="5:8" ht="15.6">
      <c r="E1267" s="279" t="s">
        <v>1593</v>
      </c>
      <c r="F1267" s="284">
        <f t="shared" ca="1" si="38"/>
        <v>0.58815364859496322</v>
      </c>
      <c r="G1267" s="74">
        <v>41.426827157906501</v>
      </c>
      <c r="H1267" s="74">
        <f t="shared" si="39"/>
        <v>-0.93242681457397936</v>
      </c>
    </row>
    <row r="1268" spans="5:8" ht="15.6">
      <c r="E1268" s="279" t="s">
        <v>1594</v>
      </c>
      <c r="F1268" s="284">
        <f t="shared" ca="1" si="38"/>
        <v>8.4508360548915751E-2</v>
      </c>
      <c r="G1268" s="74">
        <v>39.246257591413752</v>
      </c>
      <c r="H1268" s="74">
        <f t="shared" si="39"/>
        <v>1.2481427519187704</v>
      </c>
    </row>
    <row r="1269" spans="5:8" ht="15.6">
      <c r="E1269" s="279" t="s">
        <v>1595</v>
      </c>
      <c r="F1269" s="284">
        <f t="shared" ca="1" si="38"/>
        <v>0.26472571533321165</v>
      </c>
      <c r="G1269" s="74">
        <v>41.641614596998068</v>
      </c>
      <c r="H1269" s="74">
        <f t="shared" si="39"/>
        <v>-1.1472142536655454</v>
      </c>
    </row>
    <row r="1270" spans="5:8" ht="15.6">
      <c r="E1270" s="279" t="s">
        <v>1596</v>
      </c>
      <c r="F1270" s="284">
        <f t="shared" ca="1" si="38"/>
        <v>0.16088994560373127</v>
      </c>
      <c r="G1270" s="74">
        <v>33.512933806238934</v>
      </c>
      <c r="H1270" s="74">
        <f t="shared" si="39"/>
        <v>6.9814665370935884</v>
      </c>
    </row>
    <row r="1271" spans="5:8" ht="15.6">
      <c r="E1271" s="279" t="s">
        <v>1597</v>
      </c>
      <c r="F1271" s="284">
        <f t="shared" ca="1" si="38"/>
        <v>0.35706206361142767</v>
      </c>
      <c r="G1271" s="74">
        <v>42.988807476155536</v>
      </c>
      <c r="H1271" s="74">
        <f t="shared" si="39"/>
        <v>-2.4944071328230137</v>
      </c>
    </row>
    <row r="1272" spans="5:8" ht="15.6">
      <c r="E1272" s="279" t="s">
        <v>1598</v>
      </c>
      <c r="F1272" s="284">
        <f t="shared" ca="1" si="38"/>
        <v>0.65333415092388381</v>
      </c>
      <c r="G1272" s="74">
        <v>46.264141117849334</v>
      </c>
      <c r="H1272" s="74">
        <f t="shared" si="39"/>
        <v>-5.7697407745168121</v>
      </c>
    </row>
    <row r="1273" spans="5:8" ht="15.6">
      <c r="E1273" s="279" t="s">
        <v>1599</v>
      </c>
      <c r="F1273" s="284">
        <f t="shared" ca="1" si="38"/>
        <v>0.48611823927670617</v>
      </c>
      <c r="G1273" s="74">
        <v>40.38736555618803</v>
      </c>
      <c r="H1273" s="74">
        <f t="shared" si="39"/>
        <v>0.10703478714449233</v>
      </c>
    </row>
    <row r="1274" spans="5:8" ht="15.6">
      <c r="E1274" s="279" t="s">
        <v>1600</v>
      </c>
      <c r="F1274" s="284">
        <f t="shared" ca="1" si="38"/>
        <v>0.6274160517009767</v>
      </c>
      <c r="G1274" s="74">
        <v>37.012455539080882</v>
      </c>
      <c r="H1274" s="74">
        <f t="shared" si="39"/>
        <v>3.4819448042516399</v>
      </c>
    </row>
    <row r="1275" spans="5:8" ht="15.6">
      <c r="E1275" s="279" t="s">
        <v>1601</v>
      </c>
      <c r="F1275" s="284">
        <f t="shared" ca="1" si="38"/>
        <v>0.54079952150567545</v>
      </c>
      <c r="G1275" s="74">
        <v>39.241401561526708</v>
      </c>
      <c r="H1275" s="74">
        <f t="shared" si="39"/>
        <v>1.2529987818058146</v>
      </c>
    </row>
    <row r="1276" spans="5:8" ht="15.6">
      <c r="E1276" s="279" t="s">
        <v>1602</v>
      </c>
      <c r="F1276" s="284">
        <f t="shared" ca="1" si="38"/>
        <v>8.519407962183545E-2</v>
      </c>
      <c r="G1276" s="74">
        <v>42.111866140614701</v>
      </c>
      <c r="H1276" s="74">
        <f t="shared" si="39"/>
        <v>-1.6174657972821791</v>
      </c>
    </row>
    <row r="1277" spans="5:8" ht="15.6">
      <c r="E1277" s="279" t="s">
        <v>1603</v>
      </c>
      <c r="F1277" s="284">
        <f t="shared" ca="1" si="38"/>
        <v>0.71924975397040392</v>
      </c>
      <c r="G1277" s="74">
        <v>37.535491333212526</v>
      </c>
      <c r="H1277" s="74">
        <f t="shared" si="39"/>
        <v>2.9589090101199957</v>
      </c>
    </row>
    <row r="1278" spans="5:8" ht="15.6">
      <c r="E1278" s="279" t="s">
        <v>1604</v>
      </c>
      <c r="F1278" s="284">
        <f t="shared" ca="1" si="38"/>
        <v>0.17587800249328001</v>
      </c>
      <c r="G1278" s="74">
        <v>32.40623379315327</v>
      </c>
      <c r="H1278" s="74">
        <f t="shared" si="39"/>
        <v>8.0881665501792526</v>
      </c>
    </row>
    <row r="1279" spans="5:8" ht="15.6">
      <c r="E1279" s="279" t="s">
        <v>1605</v>
      </c>
      <c r="F1279" s="284">
        <f t="shared" ca="1" si="38"/>
        <v>0.58630507269830512</v>
      </c>
      <c r="G1279" s="74">
        <v>42.29840800529653</v>
      </c>
      <c r="H1279" s="74">
        <f t="shared" si="39"/>
        <v>-1.8040076619640075</v>
      </c>
    </row>
    <row r="1280" spans="5:8" ht="15.6">
      <c r="E1280" s="279" t="s">
        <v>1606</v>
      </c>
      <c r="F1280" s="284">
        <f t="shared" ca="1" si="38"/>
        <v>0.68513688766084646</v>
      </c>
      <c r="G1280" s="74">
        <v>38.953483667330019</v>
      </c>
      <c r="H1280" s="74">
        <f t="shared" si="39"/>
        <v>1.540916676002503</v>
      </c>
    </row>
    <row r="1281" spans="5:8" ht="15.6">
      <c r="E1281" s="279" t="s">
        <v>1607</v>
      </c>
      <c r="F1281" s="284">
        <f t="shared" ca="1" si="38"/>
        <v>0.76807012096898331</v>
      </c>
      <c r="G1281" s="74">
        <v>36.267113122984036</v>
      </c>
      <c r="H1281" s="74">
        <f t="shared" si="39"/>
        <v>4.2272872203484866</v>
      </c>
    </row>
    <row r="1282" spans="5:8" ht="15.6">
      <c r="E1282" s="279" t="s">
        <v>1608</v>
      </c>
      <c r="F1282" s="284">
        <f t="shared" ca="1" si="38"/>
        <v>0.12133182210211313</v>
      </c>
      <c r="G1282" s="74">
        <v>36.435501849878847</v>
      </c>
      <c r="H1282" s="74">
        <f t="shared" si="39"/>
        <v>4.0588984934536754</v>
      </c>
    </row>
    <row r="1283" spans="5:8" ht="15.6">
      <c r="E1283" s="279" t="s">
        <v>1609</v>
      </c>
      <c r="F1283" s="284">
        <f t="shared" ca="1" si="38"/>
        <v>0.54373438041253208</v>
      </c>
      <c r="G1283" s="74">
        <v>42.351647853773279</v>
      </c>
      <c r="H1283" s="74">
        <f t="shared" si="39"/>
        <v>-1.8572475104407573</v>
      </c>
    </row>
    <row r="1284" spans="5:8" ht="15.6">
      <c r="E1284" s="279" t="s">
        <v>1610</v>
      </c>
      <c r="F1284" s="284">
        <f t="shared" ca="1" si="38"/>
        <v>0.84025309299369788</v>
      </c>
      <c r="G1284" s="74">
        <v>41.036298003421813</v>
      </c>
      <c r="H1284" s="74">
        <f t="shared" si="39"/>
        <v>-0.54189766008929041</v>
      </c>
    </row>
    <row r="1285" spans="5:8" ht="15.6">
      <c r="E1285" s="279" t="s">
        <v>1611</v>
      </c>
      <c r="F1285" s="284">
        <f t="shared" ca="1" si="38"/>
        <v>0.6708960539536154</v>
      </c>
      <c r="G1285" s="74">
        <v>34.394201348511686</v>
      </c>
      <c r="H1285" s="74">
        <f t="shared" si="39"/>
        <v>6.1001989948208362</v>
      </c>
    </row>
    <row r="1286" spans="5:8" ht="15.6">
      <c r="E1286" s="279" t="s">
        <v>1612</v>
      </c>
      <c r="F1286" s="284">
        <f t="shared" ca="1" si="38"/>
        <v>0.70373204818208712</v>
      </c>
      <c r="G1286" s="74">
        <v>41.225396661393944</v>
      </c>
      <c r="H1286" s="74">
        <f t="shared" si="39"/>
        <v>-0.73099631806142185</v>
      </c>
    </row>
    <row r="1287" spans="5:8" ht="15.6">
      <c r="E1287" s="279" t="s">
        <v>1613</v>
      </c>
      <c r="F1287" s="284">
        <f t="shared" ca="1" si="38"/>
        <v>0.69076515248429182</v>
      </c>
      <c r="G1287" s="74">
        <v>38.579421678638944</v>
      </c>
      <c r="H1287" s="74">
        <f t="shared" si="39"/>
        <v>1.914978664693578</v>
      </c>
    </row>
    <row r="1288" spans="5:8" ht="15.6">
      <c r="E1288" s="279" t="s">
        <v>1614</v>
      </c>
      <c r="F1288" s="284">
        <f t="shared" ca="1" si="38"/>
        <v>0.54006909895819033</v>
      </c>
      <c r="G1288" s="74">
        <v>39.630252194066799</v>
      </c>
      <c r="H1288" s="74">
        <f t="shared" si="39"/>
        <v>0.86414814926572348</v>
      </c>
    </row>
    <row r="1289" spans="5:8" ht="15.6">
      <c r="E1289" s="279" t="s">
        <v>1615</v>
      </c>
      <c r="F1289" s="284">
        <f t="shared" ca="1" si="38"/>
        <v>0.91439592313013285</v>
      </c>
      <c r="G1289" s="74">
        <v>40.354756034925991</v>
      </c>
      <c r="H1289" s="74">
        <f t="shared" si="39"/>
        <v>0.13964430840653108</v>
      </c>
    </row>
    <row r="1290" spans="5:8" ht="15.6">
      <c r="E1290" s="279" t="s">
        <v>1616</v>
      </c>
      <c r="F1290" s="284">
        <f t="shared" ca="1" si="38"/>
        <v>0.42312410756438756</v>
      </c>
      <c r="G1290" s="74">
        <v>37.969735747643881</v>
      </c>
      <c r="H1290" s="74">
        <f t="shared" si="39"/>
        <v>2.5246645956886411</v>
      </c>
    </row>
    <row r="1291" spans="5:8" ht="15.6">
      <c r="E1291" s="279" t="s">
        <v>1617</v>
      </c>
      <c r="F1291" s="284">
        <f t="shared" ca="1" si="38"/>
        <v>0.40669481821010534</v>
      </c>
      <c r="G1291" s="74">
        <v>35.19073721803327</v>
      </c>
      <c r="H1291" s="74">
        <f t="shared" si="39"/>
        <v>5.3036631252992521</v>
      </c>
    </row>
    <row r="1292" spans="5:8" ht="15.6">
      <c r="E1292" s="279" t="s">
        <v>1618</v>
      </c>
      <c r="F1292" s="284">
        <f t="shared" ref="F1292:F1355" ca="1" si="40">RAND()</f>
        <v>0.59433258383517884</v>
      </c>
      <c r="G1292" s="74">
        <v>40.875006107404189</v>
      </c>
      <c r="H1292" s="74">
        <f t="shared" ref="H1292:H1355" si="41">$D$2-G1292</f>
        <v>-0.38060576407166735</v>
      </c>
    </row>
    <row r="1293" spans="5:8" ht="15.6">
      <c r="E1293" s="279" t="s">
        <v>1619</v>
      </c>
      <c r="F1293" s="284">
        <f t="shared" ca="1" si="40"/>
        <v>0.67381483772777362</v>
      </c>
      <c r="G1293" s="74">
        <v>37.546298964207736</v>
      </c>
      <c r="H1293" s="74">
        <f t="shared" si="41"/>
        <v>2.9481013791247861</v>
      </c>
    </row>
    <row r="1294" spans="5:8" ht="15.6">
      <c r="E1294" s="279" t="s">
        <v>1620</v>
      </c>
      <c r="F1294" s="284">
        <f t="shared" ca="1" si="40"/>
        <v>0.14881151234904022</v>
      </c>
      <c r="G1294" s="74">
        <v>41.227054478866528</v>
      </c>
      <c r="H1294" s="74">
        <f t="shared" si="41"/>
        <v>-0.73265413553400549</v>
      </c>
    </row>
    <row r="1295" spans="5:8" ht="15.6">
      <c r="E1295" s="279" t="s">
        <v>1621</v>
      </c>
      <c r="F1295" s="284">
        <f t="shared" ca="1" si="40"/>
        <v>0.47599550998124074</v>
      </c>
      <c r="G1295" s="74">
        <v>42.827432074506866</v>
      </c>
      <c r="H1295" s="74">
        <f t="shared" si="41"/>
        <v>-2.3330317311743443</v>
      </c>
    </row>
    <row r="1296" spans="5:8" ht="15.6">
      <c r="E1296" s="279" t="s">
        <v>1622</v>
      </c>
      <c r="F1296" s="284">
        <f t="shared" ca="1" si="40"/>
        <v>0.46948485174631283</v>
      </c>
      <c r="G1296" s="74">
        <v>39.557109705297457</v>
      </c>
      <c r="H1296" s="74">
        <f t="shared" si="41"/>
        <v>0.93729063803506563</v>
      </c>
    </row>
    <row r="1297" spans="5:8" ht="15.6">
      <c r="E1297" s="279" t="s">
        <v>1623</v>
      </c>
      <c r="F1297" s="284">
        <f t="shared" ca="1" si="40"/>
        <v>0.39014415716562822</v>
      </c>
      <c r="G1297" s="74">
        <v>40.875223681156974</v>
      </c>
      <c r="H1297" s="74">
        <f t="shared" si="41"/>
        <v>-0.38082333782445232</v>
      </c>
    </row>
    <row r="1298" spans="5:8" ht="15.6">
      <c r="E1298" s="279" t="s">
        <v>1624</v>
      </c>
      <c r="F1298" s="284">
        <f t="shared" ca="1" si="40"/>
        <v>0.7181349210115503</v>
      </c>
      <c r="G1298" s="74">
        <v>37.163974779472042</v>
      </c>
      <c r="H1298" s="74">
        <f t="shared" si="41"/>
        <v>3.3304255638604801</v>
      </c>
    </row>
    <row r="1299" spans="5:8" ht="15.6">
      <c r="E1299" s="279" t="s">
        <v>1625</v>
      </c>
      <c r="F1299" s="284">
        <f t="shared" ca="1" si="40"/>
        <v>0.49976403415111958</v>
      </c>
      <c r="G1299" s="74">
        <v>37.86800478390473</v>
      </c>
      <c r="H1299" s="74">
        <f t="shared" si="41"/>
        <v>2.6263955594277917</v>
      </c>
    </row>
    <row r="1300" spans="5:8" ht="15.6">
      <c r="E1300" s="279" t="s">
        <v>1626</v>
      </c>
      <c r="F1300" s="284">
        <f t="shared" ca="1" si="40"/>
        <v>3.6633518023344469E-2</v>
      </c>
      <c r="G1300" s="74">
        <v>37.729789817904873</v>
      </c>
      <c r="H1300" s="74">
        <f t="shared" si="41"/>
        <v>2.7646105254276492</v>
      </c>
    </row>
    <row r="1301" spans="5:8" ht="15.6">
      <c r="E1301" s="279" t="s">
        <v>1627</v>
      </c>
      <c r="F1301" s="284">
        <f t="shared" ca="1" si="40"/>
        <v>0.3216077536521319</v>
      </c>
      <c r="G1301" s="74">
        <v>42.415162908131222</v>
      </c>
      <c r="H1301" s="74">
        <f t="shared" si="41"/>
        <v>-1.9207625647987001</v>
      </c>
    </row>
    <row r="1302" spans="5:8" ht="15.6">
      <c r="E1302" s="279" t="s">
        <v>1628</v>
      </c>
      <c r="F1302" s="284">
        <f t="shared" ca="1" si="40"/>
        <v>0.17230462031502958</v>
      </c>
      <c r="G1302" s="74">
        <v>38.739555265316895</v>
      </c>
      <c r="H1302" s="74">
        <f t="shared" si="41"/>
        <v>1.7548450780156273</v>
      </c>
    </row>
    <row r="1303" spans="5:8" ht="15.6">
      <c r="E1303" s="279" t="s">
        <v>1629</v>
      </c>
      <c r="F1303" s="284">
        <f t="shared" ca="1" si="40"/>
        <v>0.7424858033924131</v>
      </c>
      <c r="G1303" s="74">
        <v>37.106580386821996</v>
      </c>
      <c r="H1303" s="74">
        <f t="shared" si="41"/>
        <v>3.3878199565105263</v>
      </c>
    </row>
    <row r="1304" spans="5:8" ht="15.6">
      <c r="E1304" s="279" t="s">
        <v>1630</v>
      </c>
      <c r="F1304" s="284">
        <f t="shared" ca="1" si="40"/>
        <v>1.9182349830143663E-2</v>
      </c>
      <c r="G1304" s="74">
        <v>36.783232421048879</v>
      </c>
      <c r="H1304" s="74">
        <f t="shared" si="41"/>
        <v>3.7111679222836429</v>
      </c>
    </row>
    <row r="1305" spans="5:8" ht="15.6">
      <c r="E1305" s="279" t="s">
        <v>1631</v>
      </c>
      <c r="F1305" s="284">
        <f t="shared" ca="1" si="40"/>
        <v>0.34590826406085462</v>
      </c>
      <c r="G1305" s="74">
        <v>38.968140813791933</v>
      </c>
      <c r="H1305" s="74">
        <f t="shared" si="41"/>
        <v>1.5262595295405887</v>
      </c>
    </row>
    <row r="1306" spans="5:8" ht="15.6">
      <c r="E1306" s="279" t="s">
        <v>1632</v>
      </c>
      <c r="F1306" s="284">
        <f t="shared" ca="1" si="40"/>
        <v>4.4171404681732307E-2</v>
      </c>
      <c r="G1306" s="74">
        <v>36.440524626268392</v>
      </c>
      <c r="H1306" s="74">
        <f t="shared" si="41"/>
        <v>4.0538757170641304</v>
      </c>
    </row>
    <row r="1307" spans="5:8" ht="15.6">
      <c r="E1307" s="279" t="s">
        <v>1633</v>
      </c>
      <c r="F1307" s="284">
        <f t="shared" ca="1" si="40"/>
        <v>0.28276956789477781</v>
      </c>
      <c r="G1307" s="74">
        <v>39.317176151201913</v>
      </c>
      <c r="H1307" s="74">
        <f t="shared" si="41"/>
        <v>1.177224192130609</v>
      </c>
    </row>
    <row r="1308" spans="5:8" ht="15.6">
      <c r="E1308" s="279" t="s">
        <v>1634</v>
      </c>
      <c r="F1308" s="284">
        <f t="shared" ca="1" si="40"/>
        <v>0.67597147365318633</v>
      </c>
      <c r="G1308" s="74">
        <v>39.37439653468163</v>
      </c>
      <c r="H1308" s="74">
        <f t="shared" si="41"/>
        <v>1.1200038086508926</v>
      </c>
    </row>
    <row r="1309" spans="5:8" ht="15.6">
      <c r="E1309" s="279" t="s">
        <v>1635</v>
      </c>
      <c r="F1309" s="284">
        <f t="shared" ca="1" si="40"/>
        <v>0.79875642171802697</v>
      </c>
      <c r="G1309" s="74">
        <v>39.071498382398708</v>
      </c>
      <c r="H1309" s="74">
        <f t="shared" si="41"/>
        <v>1.4229019609338138</v>
      </c>
    </row>
    <row r="1310" spans="5:8" ht="15.6">
      <c r="E1310" s="279" t="s">
        <v>1636</v>
      </c>
      <c r="F1310" s="284">
        <f t="shared" ca="1" si="40"/>
        <v>0.76618396288698254</v>
      </c>
      <c r="G1310" s="74">
        <v>38.880515959719673</v>
      </c>
      <c r="H1310" s="74">
        <f t="shared" si="41"/>
        <v>1.6138843836128487</v>
      </c>
    </row>
    <row r="1311" spans="5:8" ht="15.6">
      <c r="E1311" s="279" t="s">
        <v>1637</v>
      </c>
      <c r="F1311" s="284">
        <f t="shared" ca="1" si="40"/>
        <v>0.14709081472534258</v>
      </c>
      <c r="G1311" s="74">
        <v>38.474612972380811</v>
      </c>
      <c r="H1311" s="74">
        <f t="shared" si="41"/>
        <v>2.0197873709517111</v>
      </c>
    </row>
    <row r="1312" spans="5:8" ht="15.6">
      <c r="E1312" s="279" t="s">
        <v>1638</v>
      </c>
      <c r="F1312" s="284">
        <f t="shared" ca="1" si="40"/>
        <v>0.40363285918781644</v>
      </c>
      <c r="G1312" s="74">
        <v>38.721375985886638</v>
      </c>
      <c r="H1312" s="74">
        <f t="shared" si="41"/>
        <v>1.7730243574458839</v>
      </c>
    </row>
    <row r="1313" spans="5:8" ht="15.6">
      <c r="E1313" s="279" t="s">
        <v>1639</v>
      </c>
      <c r="F1313" s="284">
        <f t="shared" ca="1" si="40"/>
        <v>0.49163058082870337</v>
      </c>
      <c r="G1313" s="74">
        <v>39.769369131162755</v>
      </c>
      <c r="H1313" s="74">
        <f t="shared" si="41"/>
        <v>0.72503121216976751</v>
      </c>
    </row>
    <row r="1314" spans="5:8" ht="15.6">
      <c r="E1314" s="279" t="s">
        <v>1640</v>
      </c>
      <c r="F1314" s="284">
        <f t="shared" ca="1" si="40"/>
        <v>0.47690013733306602</v>
      </c>
      <c r="G1314" s="74">
        <v>38.457529141400038</v>
      </c>
      <c r="H1314" s="74">
        <f t="shared" si="41"/>
        <v>2.0368712019324846</v>
      </c>
    </row>
    <row r="1315" spans="5:8" ht="15.6">
      <c r="E1315" s="279" t="s">
        <v>1641</v>
      </c>
      <c r="F1315" s="284">
        <f t="shared" ca="1" si="40"/>
        <v>0.22094015359897545</v>
      </c>
      <c r="G1315" s="74">
        <v>36.478034450958972</v>
      </c>
      <c r="H1315" s="74">
        <f t="shared" si="41"/>
        <v>4.0163658923735497</v>
      </c>
    </row>
    <row r="1316" spans="5:8" ht="15.6">
      <c r="E1316" s="279" t="s">
        <v>1642</v>
      </c>
      <c r="F1316" s="284">
        <f t="shared" ca="1" si="40"/>
        <v>0.40601005908654852</v>
      </c>
      <c r="G1316" s="74">
        <v>44.838249423732663</v>
      </c>
      <c r="H1316" s="74">
        <f t="shared" si="41"/>
        <v>-4.3438490804001404</v>
      </c>
    </row>
    <row r="1317" spans="5:8" ht="15.6">
      <c r="E1317" s="279" t="s">
        <v>1643</v>
      </c>
      <c r="F1317" s="284">
        <f t="shared" ca="1" si="40"/>
        <v>0.77685738312068997</v>
      </c>
      <c r="G1317" s="74">
        <v>41.024961545655771</v>
      </c>
      <c r="H1317" s="74">
        <f t="shared" si="41"/>
        <v>-0.53056120232324844</v>
      </c>
    </row>
    <row r="1318" spans="5:8" ht="15.6">
      <c r="E1318" s="279" t="s">
        <v>1644</v>
      </c>
      <c r="F1318" s="284">
        <f t="shared" ca="1" si="40"/>
        <v>0.25658684774259732</v>
      </c>
      <c r="G1318" s="74">
        <v>41.046165415416809</v>
      </c>
      <c r="H1318" s="74">
        <f t="shared" si="41"/>
        <v>-0.5517650720842866</v>
      </c>
    </row>
    <row r="1319" spans="5:8" ht="15.6">
      <c r="E1319" s="279" t="s">
        <v>1645</v>
      </c>
      <c r="F1319" s="284">
        <f t="shared" ca="1" si="40"/>
        <v>0.37884216137081694</v>
      </c>
      <c r="G1319" s="74">
        <v>42.08432383233361</v>
      </c>
      <c r="H1319" s="74">
        <f t="shared" si="41"/>
        <v>-1.5899234890010874</v>
      </c>
    </row>
    <row r="1320" spans="5:8" ht="15.6">
      <c r="E1320" s="279" t="s">
        <v>1646</v>
      </c>
      <c r="F1320" s="284">
        <f t="shared" ca="1" si="40"/>
        <v>0.11471937548377531</v>
      </c>
      <c r="G1320" s="74">
        <v>41.669287887376271</v>
      </c>
      <c r="H1320" s="74">
        <f t="shared" si="41"/>
        <v>-1.1748875440437487</v>
      </c>
    </row>
    <row r="1321" spans="5:8" ht="15.6">
      <c r="E1321" s="279" t="s">
        <v>1647</v>
      </c>
      <c r="F1321" s="284">
        <f t="shared" ca="1" si="40"/>
        <v>0.3570017024268457</v>
      </c>
      <c r="G1321" s="74">
        <v>38.823447600976067</v>
      </c>
      <c r="H1321" s="74">
        <f t="shared" si="41"/>
        <v>1.6709527423564552</v>
      </c>
    </row>
    <row r="1322" spans="5:8" ht="15.6">
      <c r="E1322" s="279" t="s">
        <v>1648</v>
      </c>
      <c r="F1322" s="284">
        <f t="shared" ca="1" si="40"/>
        <v>0.70056364674608518</v>
      </c>
      <c r="G1322" s="74">
        <v>38.291782162441869</v>
      </c>
      <c r="H1322" s="74">
        <f t="shared" si="41"/>
        <v>2.2026181808906529</v>
      </c>
    </row>
    <row r="1323" spans="5:8" ht="15.6">
      <c r="E1323" s="279" t="s">
        <v>1649</v>
      </c>
      <c r="F1323" s="284">
        <f t="shared" ca="1" si="40"/>
        <v>0.92171660231388786</v>
      </c>
      <c r="G1323" s="74">
        <v>40.127220353185848</v>
      </c>
      <c r="H1323" s="74">
        <f t="shared" si="41"/>
        <v>0.36717999014667413</v>
      </c>
    </row>
    <row r="1324" spans="5:8" ht="15.6">
      <c r="E1324" s="279" t="s">
        <v>1650</v>
      </c>
      <c r="F1324" s="284">
        <f t="shared" ca="1" si="40"/>
        <v>0.22772987361765018</v>
      </c>
      <c r="G1324" s="74">
        <v>36.686528683224324</v>
      </c>
      <c r="H1324" s="74">
        <f t="shared" si="41"/>
        <v>3.8078716601081979</v>
      </c>
    </row>
    <row r="1325" spans="5:8" ht="15.6">
      <c r="E1325" s="279" t="s">
        <v>1651</v>
      </c>
      <c r="F1325" s="284">
        <f t="shared" ca="1" si="40"/>
        <v>0.68323328495585445</v>
      </c>
      <c r="G1325" s="74">
        <v>36.057751634381795</v>
      </c>
      <c r="H1325" s="74">
        <f t="shared" si="41"/>
        <v>4.4366487089507274</v>
      </c>
    </row>
    <row r="1326" spans="5:8" ht="15.6">
      <c r="E1326" s="279" t="s">
        <v>1652</v>
      </c>
      <c r="F1326" s="284">
        <f t="shared" ca="1" si="40"/>
        <v>0.13256112960714617</v>
      </c>
      <c r="G1326" s="74">
        <v>39.610882426511054</v>
      </c>
      <c r="H1326" s="74">
        <f t="shared" si="41"/>
        <v>0.88351791682146796</v>
      </c>
    </row>
    <row r="1327" spans="5:8" ht="15.6">
      <c r="E1327" s="279" t="s">
        <v>1653</v>
      </c>
      <c r="F1327" s="284">
        <f t="shared" ca="1" si="40"/>
        <v>0.48297549745175805</v>
      </c>
      <c r="G1327" s="74">
        <v>37.6855070040044</v>
      </c>
      <c r="H1327" s="74">
        <f t="shared" si="41"/>
        <v>2.8088933393281224</v>
      </c>
    </row>
    <row r="1328" spans="5:8" ht="15.6">
      <c r="E1328" s="279" t="s">
        <v>1654</v>
      </c>
      <c r="F1328" s="284">
        <f t="shared" ca="1" si="40"/>
        <v>0.47888585748773016</v>
      </c>
      <c r="G1328" s="74">
        <v>37.263726209352022</v>
      </c>
      <c r="H1328" s="74">
        <f t="shared" si="41"/>
        <v>3.2306741339805001</v>
      </c>
    </row>
    <row r="1329" spans="5:8" ht="15.6">
      <c r="E1329" s="279" t="s">
        <v>1655</v>
      </c>
      <c r="F1329" s="284">
        <f t="shared" ca="1" si="40"/>
        <v>0.73431655386553629</v>
      </c>
      <c r="G1329" s="74">
        <v>35.871343080689158</v>
      </c>
      <c r="H1329" s="74">
        <f t="shared" si="41"/>
        <v>4.6230572626433641</v>
      </c>
    </row>
    <row r="1330" spans="5:8" ht="15.6">
      <c r="E1330" s="279" t="s">
        <v>1656</v>
      </c>
      <c r="F1330" s="284">
        <f t="shared" ca="1" si="40"/>
        <v>0.95351829360515461</v>
      </c>
      <c r="G1330" s="74">
        <v>38.993993909604342</v>
      </c>
      <c r="H1330" s="74">
        <f t="shared" si="41"/>
        <v>1.5004064337281804</v>
      </c>
    </row>
    <row r="1331" spans="5:8" ht="15.6">
      <c r="E1331" s="279" t="s">
        <v>1657</v>
      </c>
      <c r="F1331" s="284">
        <f t="shared" ca="1" si="40"/>
        <v>0.17868446492375012</v>
      </c>
      <c r="G1331" s="74">
        <v>35.313161263229063</v>
      </c>
      <c r="H1331" s="74">
        <f t="shared" si="41"/>
        <v>5.1812390801034596</v>
      </c>
    </row>
    <row r="1332" spans="5:8" ht="15.6">
      <c r="E1332" s="279" t="s">
        <v>1658</v>
      </c>
      <c r="F1332" s="284">
        <f t="shared" ca="1" si="40"/>
        <v>0.37973666730980327</v>
      </c>
      <c r="G1332" s="74">
        <v>33.161260539630923</v>
      </c>
      <c r="H1332" s="74">
        <f t="shared" si="41"/>
        <v>7.3331398037015987</v>
      </c>
    </row>
    <row r="1333" spans="5:8" ht="15.6">
      <c r="E1333" s="279" t="s">
        <v>1659</v>
      </c>
      <c r="F1333" s="284">
        <f t="shared" ca="1" si="40"/>
        <v>0.10466944870733619</v>
      </c>
      <c r="G1333" s="74">
        <v>42.035209649700896</v>
      </c>
      <c r="H1333" s="74">
        <f t="shared" si="41"/>
        <v>-1.5408093063683737</v>
      </c>
    </row>
    <row r="1334" spans="5:8" ht="15.6">
      <c r="E1334" s="279" t="s">
        <v>1660</v>
      </c>
      <c r="F1334" s="284">
        <f t="shared" ca="1" si="40"/>
        <v>0.33674587680971568</v>
      </c>
      <c r="G1334" s="74">
        <v>42.004058070426218</v>
      </c>
      <c r="H1334" s="74">
        <f t="shared" si="41"/>
        <v>-1.5096577270936962</v>
      </c>
    </row>
    <row r="1335" spans="5:8" ht="15.6">
      <c r="E1335" s="279" t="s">
        <v>1661</v>
      </c>
      <c r="F1335" s="284">
        <f t="shared" ca="1" si="40"/>
        <v>0.31183685533265471</v>
      </c>
      <c r="G1335" s="74">
        <v>37.638775138267221</v>
      </c>
      <c r="H1335" s="74">
        <f t="shared" si="41"/>
        <v>2.8556252050653015</v>
      </c>
    </row>
    <row r="1336" spans="5:8" ht="15.6">
      <c r="E1336" s="279" t="s">
        <v>1662</v>
      </c>
      <c r="F1336" s="284">
        <f t="shared" ca="1" si="40"/>
        <v>0.96146570779834128</v>
      </c>
      <c r="G1336" s="74">
        <v>38.179974017080802</v>
      </c>
      <c r="H1336" s="74">
        <f t="shared" si="41"/>
        <v>2.31442632625172</v>
      </c>
    </row>
    <row r="1337" spans="5:8" ht="15.6">
      <c r="E1337" s="279" t="s">
        <v>1663</v>
      </c>
      <c r="F1337" s="284">
        <f t="shared" ca="1" si="40"/>
        <v>0.84910169542396163</v>
      </c>
      <c r="G1337" s="74">
        <v>40.481738081523133</v>
      </c>
      <c r="H1337" s="74">
        <f t="shared" si="41"/>
        <v>1.2662261809389008E-2</v>
      </c>
    </row>
    <row r="1338" spans="5:8" ht="15.6">
      <c r="E1338" s="279" t="s">
        <v>1664</v>
      </c>
      <c r="F1338" s="284">
        <f t="shared" ca="1" si="40"/>
        <v>0.82113456171408217</v>
      </c>
      <c r="G1338" s="74">
        <v>36.410164899325537</v>
      </c>
      <c r="H1338" s="74">
        <f t="shared" si="41"/>
        <v>4.0842354440069855</v>
      </c>
    </row>
    <row r="1339" spans="5:8" ht="15.6">
      <c r="E1339" s="279" t="s">
        <v>1665</v>
      </c>
      <c r="F1339" s="284">
        <f t="shared" ca="1" si="40"/>
        <v>0.34753809137452618</v>
      </c>
      <c r="G1339" s="74">
        <v>40.82232569975303</v>
      </c>
      <c r="H1339" s="74">
        <f t="shared" si="41"/>
        <v>-0.3279253564205078</v>
      </c>
    </row>
    <row r="1340" spans="5:8" ht="15.6">
      <c r="E1340" s="279" t="s">
        <v>1666</v>
      </c>
      <c r="F1340" s="284">
        <f t="shared" ca="1" si="40"/>
        <v>0.54013838680465709</v>
      </c>
      <c r="G1340" s="74">
        <v>38.129471659176559</v>
      </c>
      <c r="H1340" s="74">
        <f t="shared" si="41"/>
        <v>2.3649286841559629</v>
      </c>
    </row>
    <row r="1341" spans="5:8" ht="15.6">
      <c r="E1341" s="279" t="s">
        <v>1667</v>
      </c>
      <c r="F1341" s="284">
        <f t="shared" ca="1" si="40"/>
        <v>0.69404563269442598</v>
      </c>
      <c r="G1341" s="74">
        <v>34.382161680591693</v>
      </c>
      <c r="H1341" s="74">
        <f t="shared" si="41"/>
        <v>6.1122386627408289</v>
      </c>
    </row>
    <row r="1342" spans="5:8" ht="15.6">
      <c r="E1342" s="279" t="s">
        <v>1668</v>
      </c>
      <c r="F1342" s="284">
        <f t="shared" ca="1" si="40"/>
        <v>0.28845291623271707</v>
      </c>
      <c r="G1342" s="74">
        <v>38.17168895776777</v>
      </c>
      <c r="H1342" s="74">
        <f t="shared" si="41"/>
        <v>2.3227113855647517</v>
      </c>
    </row>
    <row r="1343" spans="5:8" ht="15.6">
      <c r="E1343" s="279" t="s">
        <v>1669</v>
      </c>
      <c r="F1343" s="284">
        <f t="shared" ca="1" si="40"/>
        <v>0.33577697727665168</v>
      </c>
      <c r="G1343" s="74">
        <v>42.940752685599712</v>
      </c>
      <c r="H1343" s="74">
        <f t="shared" si="41"/>
        <v>-2.4463523422671898</v>
      </c>
    </row>
    <row r="1344" spans="5:8" ht="15.6">
      <c r="E1344" s="279" t="s">
        <v>1670</v>
      </c>
      <c r="F1344" s="284">
        <f t="shared" ca="1" si="40"/>
        <v>0.33674744703235338</v>
      </c>
      <c r="G1344" s="74">
        <v>43.373814529467595</v>
      </c>
      <c r="H1344" s="74">
        <f t="shared" si="41"/>
        <v>-2.8794141861350724</v>
      </c>
    </row>
    <row r="1345" spans="5:8" ht="15.6">
      <c r="E1345" s="279" t="s">
        <v>1671</v>
      </c>
      <c r="F1345" s="284">
        <f t="shared" ca="1" si="40"/>
        <v>4.8061942886115094E-3</v>
      </c>
      <c r="G1345" s="74">
        <v>41.040907692951357</v>
      </c>
      <c r="H1345" s="74">
        <f t="shared" si="41"/>
        <v>-0.54650734961883529</v>
      </c>
    </row>
    <row r="1346" spans="5:8" ht="15.6">
      <c r="E1346" s="279" t="s">
        <v>1672</v>
      </c>
      <c r="F1346" s="284">
        <f t="shared" ca="1" si="40"/>
        <v>0.2407683988550714</v>
      </c>
      <c r="G1346" s="74">
        <v>34.347055160911189</v>
      </c>
      <c r="H1346" s="74">
        <f t="shared" si="41"/>
        <v>6.1473451824213328</v>
      </c>
    </row>
    <row r="1347" spans="5:8" ht="15.6">
      <c r="E1347" s="279" t="s">
        <v>1673</v>
      </c>
      <c r="F1347" s="284">
        <f t="shared" ca="1" si="40"/>
        <v>0.62588882397369616</v>
      </c>
      <c r="G1347" s="74">
        <v>36.776313468273798</v>
      </c>
      <c r="H1347" s="74">
        <f t="shared" si="41"/>
        <v>3.7180868750587237</v>
      </c>
    </row>
    <row r="1348" spans="5:8" ht="15.6">
      <c r="E1348" s="279" t="s">
        <v>1674</v>
      </c>
      <c r="F1348" s="284">
        <f t="shared" ca="1" si="40"/>
        <v>0.87727407079843434</v>
      </c>
      <c r="G1348" s="74">
        <v>42.084872250082164</v>
      </c>
      <c r="H1348" s="74">
        <f t="shared" si="41"/>
        <v>-1.5904719067496416</v>
      </c>
    </row>
    <row r="1349" spans="5:8" ht="15.6">
      <c r="E1349" s="279" t="s">
        <v>1675</v>
      </c>
      <c r="F1349" s="284">
        <f t="shared" ca="1" si="40"/>
        <v>1.2018073763528481E-2</v>
      </c>
      <c r="G1349" s="74">
        <v>35.158394183920251</v>
      </c>
      <c r="H1349" s="74">
        <f t="shared" si="41"/>
        <v>5.3360061594122712</v>
      </c>
    </row>
    <row r="1350" spans="5:8" ht="15.6">
      <c r="E1350" s="279" t="s">
        <v>1676</v>
      </c>
      <c r="F1350" s="284">
        <f t="shared" ca="1" si="40"/>
        <v>0.66516388316575159</v>
      </c>
      <c r="G1350" s="74">
        <v>42.946995791473071</v>
      </c>
      <c r="H1350" s="74">
        <f t="shared" si="41"/>
        <v>-2.4525954481405492</v>
      </c>
    </row>
    <row r="1351" spans="5:8" ht="15.6">
      <c r="E1351" s="279" t="s">
        <v>1677</v>
      </c>
      <c r="F1351" s="284">
        <f t="shared" ca="1" si="40"/>
        <v>0.92238440327747573</v>
      </c>
      <c r="G1351" s="74">
        <v>44.977506524161178</v>
      </c>
      <c r="H1351" s="74">
        <f t="shared" si="41"/>
        <v>-4.4831061808286563</v>
      </c>
    </row>
    <row r="1352" spans="5:8" ht="15.6">
      <c r="E1352" s="279" t="s">
        <v>1678</v>
      </c>
      <c r="F1352" s="284">
        <f t="shared" ca="1" si="40"/>
        <v>0.50730440951959677</v>
      </c>
      <c r="G1352" s="74">
        <v>40.415374196354705</v>
      </c>
      <c r="H1352" s="74">
        <f t="shared" si="41"/>
        <v>7.9026146977817291E-2</v>
      </c>
    </row>
    <row r="1353" spans="5:8" ht="15.6">
      <c r="E1353" s="279" t="s">
        <v>1679</v>
      </c>
      <c r="F1353" s="284">
        <f t="shared" ca="1" si="40"/>
        <v>0.61053803497536852</v>
      </c>
      <c r="G1353" s="74">
        <v>37.462278730603828</v>
      </c>
      <c r="H1353" s="74">
        <f t="shared" si="41"/>
        <v>3.0321216127286945</v>
      </c>
    </row>
    <row r="1354" spans="5:8" ht="15.6">
      <c r="E1354" s="279" t="s">
        <v>1680</v>
      </c>
      <c r="F1354" s="284">
        <f t="shared" ca="1" si="40"/>
        <v>9.9503503937264148E-2</v>
      </c>
      <c r="G1354" s="74">
        <v>37.411589348332932</v>
      </c>
      <c r="H1354" s="74">
        <f t="shared" si="41"/>
        <v>3.0828109949995905</v>
      </c>
    </row>
    <row r="1355" spans="5:8" ht="15.6">
      <c r="E1355" s="279" t="s">
        <v>1681</v>
      </c>
      <c r="F1355" s="284">
        <f t="shared" ca="1" si="40"/>
        <v>0.24377119283824822</v>
      </c>
      <c r="G1355" s="74">
        <v>40.051062506699608</v>
      </c>
      <c r="H1355" s="74">
        <f t="shared" si="41"/>
        <v>0.44333783663291371</v>
      </c>
    </row>
    <row r="1356" spans="5:8" ht="15.6">
      <c r="E1356" s="279" t="s">
        <v>1682</v>
      </c>
      <c r="F1356" s="284">
        <f t="shared" ref="F1356:F1419" ca="1" si="42">RAND()</f>
        <v>0.37103958446120966</v>
      </c>
      <c r="G1356" s="74">
        <v>40.185230449028907</v>
      </c>
      <c r="H1356" s="74">
        <f t="shared" ref="H1356:H1419" si="43">$D$2-G1356</f>
        <v>0.30916989430361497</v>
      </c>
    </row>
    <row r="1357" spans="5:8" ht="15.6">
      <c r="E1357" s="279" t="s">
        <v>1683</v>
      </c>
      <c r="F1357" s="284">
        <f t="shared" ca="1" si="42"/>
        <v>0.85983431764391705</v>
      </c>
      <c r="G1357" s="74">
        <v>36.809072576607583</v>
      </c>
      <c r="H1357" s="74">
        <f t="shared" si="43"/>
        <v>3.6853277667249387</v>
      </c>
    </row>
    <row r="1358" spans="5:8" ht="15.6">
      <c r="E1358" s="279" t="s">
        <v>1684</v>
      </c>
      <c r="F1358" s="284">
        <f t="shared" ca="1" si="42"/>
        <v>0.39979632296962408</v>
      </c>
      <c r="G1358" s="74">
        <v>43.472248473434604</v>
      </c>
      <c r="H1358" s="74">
        <f t="shared" si="43"/>
        <v>-2.9778481301020818</v>
      </c>
    </row>
    <row r="1359" spans="5:8" ht="15.6">
      <c r="E1359" s="279" t="s">
        <v>1685</v>
      </c>
      <c r="F1359" s="284">
        <f t="shared" ca="1" si="42"/>
        <v>0.1882195214268918</v>
      </c>
      <c r="G1359" s="74">
        <v>38.632405551907965</v>
      </c>
      <c r="H1359" s="74">
        <f t="shared" si="43"/>
        <v>1.8619947914245571</v>
      </c>
    </row>
    <row r="1360" spans="5:8" ht="15.6">
      <c r="E1360" s="279" t="s">
        <v>1686</v>
      </c>
      <c r="F1360" s="284">
        <f t="shared" ca="1" si="42"/>
        <v>0.78912285875590593</v>
      </c>
      <c r="G1360" s="74">
        <v>40.158689901546488</v>
      </c>
      <c r="H1360" s="74">
        <f t="shared" si="43"/>
        <v>0.33571044178603415</v>
      </c>
    </row>
    <row r="1361" spans="5:8" ht="15.6">
      <c r="E1361" s="279" t="s">
        <v>1687</v>
      </c>
      <c r="F1361" s="284">
        <f t="shared" ca="1" si="42"/>
        <v>0.86571395414368246</v>
      </c>
      <c r="G1361" s="74">
        <v>38.999583048386626</v>
      </c>
      <c r="H1361" s="74">
        <f t="shared" si="43"/>
        <v>1.4948172949458964</v>
      </c>
    </row>
    <row r="1362" spans="5:8" ht="15.6">
      <c r="E1362" s="279" t="s">
        <v>1688</v>
      </c>
      <c r="F1362" s="284">
        <f t="shared" ca="1" si="42"/>
        <v>0.77314223324507703</v>
      </c>
      <c r="G1362" s="74">
        <v>40.581054068288388</v>
      </c>
      <c r="H1362" s="74">
        <f t="shared" si="43"/>
        <v>-8.6653724955866096E-2</v>
      </c>
    </row>
    <row r="1363" spans="5:8" ht="15.6">
      <c r="E1363" s="279" t="s">
        <v>1689</v>
      </c>
      <c r="F1363" s="284">
        <f t="shared" ca="1" si="42"/>
        <v>0.93727798275664231</v>
      </c>
      <c r="G1363" s="74">
        <v>37.643692357281573</v>
      </c>
      <c r="H1363" s="74">
        <f t="shared" si="43"/>
        <v>2.8507079860509492</v>
      </c>
    </row>
    <row r="1364" spans="5:8" ht="15.6">
      <c r="E1364" s="279" t="s">
        <v>1690</v>
      </c>
      <c r="F1364" s="284">
        <f t="shared" ca="1" si="42"/>
        <v>0.2327629073285411</v>
      </c>
      <c r="G1364" s="74">
        <v>39.833885890540095</v>
      </c>
      <c r="H1364" s="74">
        <f t="shared" si="43"/>
        <v>0.66051445279242671</v>
      </c>
    </row>
    <row r="1365" spans="5:8" ht="15.6">
      <c r="E1365" s="279" t="s">
        <v>1691</v>
      </c>
      <c r="F1365" s="284">
        <f t="shared" ca="1" si="42"/>
        <v>0.66960663547378807</v>
      </c>
      <c r="G1365" s="74">
        <v>38.593111689625786</v>
      </c>
      <c r="H1365" s="74">
        <f t="shared" si="43"/>
        <v>1.9012886537067359</v>
      </c>
    </row>
    <row r="1366" spans="5:8" ht="15.6">
      <c r="E1366" s="279" t="s">
        <v>1692</v>
      </c>
      <c r="F1366" s="284">
        <f t="shared" ca="1" si="42"/>
        <v>0.20303803998191494</v>
      </c>
      <c r="G1366" s="74">
        <v>37.466237392901803</v>
      </c>
      <c r="H1366" s="74">
        <f t="shared" si="43"/>
        <v>3.028162950430719</v>
      </c>
    </row>
    <row r="1367" spans="5:8" ht="15.6">
      <c r="E1367" s="279" t="s">
        <v>1693</v>
      </c>
      <c r="F1367" s="284">
        <f t="shared" ca="1" si="42"/>
        <v>0.6100363561590576</v>
      </c>
      <c r="G1367" s="74">
        <v>37.756930282833629</v>
      </c>
      <c r="H1367" s="74">
        <f t="shared" si="43"/>
        <v>2.7374700604988931</v>
      </c>
    </row>
    <row r="1368" spans="5:8" ht="15.6">
      <c r="E1368" s="279" t="s">
        <v>1694</v>
      </c>
      <c r="F1368" s="284">
        <f t="shared" ca="1" si="42"/>
        <v>0.70419320947177555</v>
      </c>
      <c r="G1368" s="74">
        <v>40.392405253121616</v>
      </c>
      <c r="H1368" s="74">
        <f t="shared" si="43"/>
        <v>0.10199509021090591</v>
      </c>
    </row>
    <row r="1369" spans="5:8" ht="15.6">
      <c r="E1369" s="279" t="s">
        <v>1695</v>
      </c>
      <c r="F1369" s="284">
        <f t="shared" ca="1" si="42"/>
        <v>6.1587202729252333E-2</v>
      </c>
      <c r="G1369" s="74">
        <v>39.402947207274593</v>
      </c>
      <c r="H1369" s="74">
        <f t="shared" si="43"/>
        <v>1.0914531360579289</v>
      </c>
    </row>
    <row r="1370" spans="5:8" ht="15.6">
      <c r="E1370" s="279" t="s">
        <v>1696</v>
      </c>
      <c r="F1370" s="284">
        <f t="shared" ca="1" si="42"/>
        <v>0.76892539260866533</v>
      </c>
      <c r="G1370" s="74">
        <v>35.894536539585616</v>
      </c>
      <c r="H1370" s="74">
        <f t="shared" si="43"/>
        <v>4.5998638037469064</v>
      </c>
    </row>
    <row r="1371" spans="5:8" ht="15.6">
      <c r="E1371" s="279" t="s">
        <v>1697</v>
      </c>
      <c r="F1371" s="284">
        <f t="shared" ca="1" si="42"/>
        <v>0.27745657490069564</v>
      </c>
      <c r="G1371" s="74">
        <v>38.098041080754449</v>
      </c>
      <c r="H1371" s="74">
        <f t="shared" si="43"/>
        <v>2.3963592625780734</v>
      </c>
    </row>
    <row r="1372" spans="5:8" ht="15.6">
      <c r="E1372" s="279" t="s">
        <v>1698</v>
      </c>
      <c r="F1372" s="284">
        <f t="shared" ca="1" si="42"/>
        <v>0.92109684939418712</v>
      </c>
      <c r="G1372" s="74">
        <v>36.300442754254924</v>
      </c>
      <c r="H1372" s="74">
        <f t="shared" si="43"/>
        <v>4.1939575890775984</v>
      </c>
    </row>
    <row r="1373" spans="5:8" ht="15.6">
      <c r="E1373" s="279" t="s">
        <v>1699</v>
      </c>
      <c r="F1373" s="284">
        <f t="shared" ca="1" si="42"/>
        <v>9.1997267426062734E-3</v>
      </c>
      <c r="G1373" s="74">
        <v>43.15022742967934</v>
      </c>
      <c r="H1373" s="74">
        <f t="shared" si="43"/>
        <v>-2.6558270863468181</v>
      </c>
    </row>
    <row r="1374" spans="5:8" ht="15.6">
      <c r="E1374" s="279" t="s">
        <v>1700</v>
      </c>
      <c r="F1374" s="284">
        <f t="shared" ca="1" si="42"/>
        <v>0.23549977254674082</v>
      </c>
      <c r="G1374" s="74">
        <v>38.307990461415805</v>
      </c>
      <c r="H1374" s="74">
        <f t="shared" si="43"/>
        <v>2.1864098819167168</v>
      </c>
    </row>
    <row r="1375" spans="5:8" ht="15.6">
      <c r="E1375" s="279" t="s">
        <v>1701</v>
      </c>
      <c r="F1375" s="284">
        <f t="shared" ca="1" si="42"/>
        <v>0.22869130896584722</v>
      </c>
      <c r="G1375" s="74">
        <v>42.323721666844463</v>
      </c>
      <c r="H1375" s="74">
        <f t="shared" si="43"/>
        <v>-1.829321323511941</v>
      </c>
    </row>
    <row r="1376" spans="5:8" ht="15.6">
      <c r="E1376" s="279" t="s">
        <v>1702</v>
      </c>
      <c r="F1376" s="284">
        <f t="shared" ca="1" si="42"/>
        <v>3.2669261513431191E-2</v>
      </c>
      <c r="G1376" s="74">
        <v>34.320946122208753</v>
      </c>
      <c r="H1376" s="74">
        <f t="shared" si="43"/>
        <v>6.1734542211237695</v>
      </c>
    </row>
    <row r="1377" spans="5:8" ht="15.6">
      <c r="E1377" s="279" t="s">
        <v>1703</v>
      </c>
      <c r="F1377" s="284">
        <f t="shared" ca="1" si="42"/>
        <v>0.10125137309210963</v>
      </c>
      <c r="G1377" s="74">
        <v>36.811044595116257</v>
      </c>
      <c r="H1377" s="74">
        <f t="shared" si="43"/>
        <v>3.6833557482162647</v>
      </c>
    </row>
    <row r="1378" spans="5:8" ht="15.6">
      <c r="E1378" s="279" t="s">
        <v>1704</v>
      </c>
      <c r="F1378" s="284">
        <f t="shared" ca="1" si="42"/>
        <v>6.8395355872845509E-2</v>
      </c>
      <c r="G1378" s="74">
        <v>41.096571204713122</v>
      </c>
      <c r="H1378" s="74">
        <f t="shared" si="43"/>
        <v>-0.60217086138059983</v>
      </c>
    </row>
    <row r="1379" spans="5:8" ht="15.6">
      <c r="E1379" s="279" t="s">
        <v>1705</v>
      </c>
      <c r="F1379" s="284">
        <f t="shared" ca="1" si="42"/>
        <v>0.78224668091297345</v>
      </c>
      <c r="G1379" s="74">
        <v>34.442951684274639</v>
      </c>
      <c r="H1379" s="74">
        <f t="shared" si="43"/>
        <v>6.0514486590578827</v>
      </c>
    </row>
    <row r="1380" spans="5:8" ht="15.6">
      <c r="E1380" s="279" t="s">
        <v>1706</v>
      </c>
      <c r="F1380" s="284">
        <f t="shared" ca="1" si="42"/>
        <v>0.54571756071118194</v>
      </c>
      <c r="G1380" s="74">
        <v>41.501871105213034</v>
      </c>
      <c r="H1380" s="74">
        <f t="shared" si="43"/>
        <v>-1.0074707618805121</v>
      </c>
    </row>
    <row r="1381" spans="5:8" ht="15.6">
      <c r="E1381" s="279" t="s">
        <v>1707</v>
      </c>
      <c r="F1381" s="284">
        <f t="shared" ca="1" si="42"/>
        <v>0.41372190000779929</v>
      </c>
      <c r="G1381" s="74">
        <v>41.549394870037759</v>
      </c>
      <c r="H1381" s="74">
        <f t="shared" si="43"/>
        <v>-1.0549945267052365</v>
      </c>
    </row>
    <row r="1382" spans="5:8" ht="15.6">
      <c r="E1382" s="279" t="s">
        <v>1708</v>
      </c>
      <c r="F1382" s="284">
        <f t="shared" ca="1" si="42"/>
        <v>0.88393641595842021</v>
      </c>
      <c r="G1382" s="74">
        <v>40.625298512890339</v>
      </c>
      <c r="H1382" s="74">
        <f t="shared" si="43"/>
        <v>-0.13089816955781686</v>
      </c>
    </row>
    <row r="1383" spans="5:8" ht="15.6">
      <c r="E1383" s="279" t="s">
        <v>1709</v>
      </c>
      <c r="F1383" s="284">
        <f t="shared" ca="1" si="42"/>
        <v>0.97434713104107462</v>
      </c>
      <c r="G1383" s="74">
        <v>37.675093849049134</v>
      </c>
      <c r="H1383" s="74">
        <f t="shared" si="43"/>
        <v>2.8193064942833885</v>
      </c>
    </row>
    <row r="1384" spans="5:8" ht="15.6">
      <c r="E1384" s="279" t="s">
        <v>1710</v>
      </c>
      <c r="F1384" s="284">
        <f t="shared" ca="1" si="42"/>
        <v>0.71751673879674249</v>
      </c>
      <c r="G1384" s="74">
        <v>37.333885694301969</v>
      </c>
      <c r="H1384" s="74">
        <f t="shared" si="43"/>
        <v>3.1605146490305529</v>
      </c>
    </row>
    <row r="1385" spans="5:8" ht="15.6">
      <c r="E1385" s="279" t="s">
        <v>1711</v>
      </c>
      <c r="F1385" s="284">
        <f t="shared" ca="1" si="42"/>
        <v>0.64554648279237903</v>
      </c>
      <c r="G1385" s="74">
        <v>38.404013354599378</v>
      </c>
      <c r="H1385" s="74">
        <f t="shared" si="43"/>
        <v>2.0903869887331439</v>
      </c>
    </row>
    <row r="1386" spans="5:8" ht="15.6">
      <c r="E1386" s="279" t="s">
        <v>1712</v>
      </c>
      <c r="F1386" s="284">
        <f t="shared" ca="1" si="42"/>
        <v>0.37890514100127348</v>
      </c>
      <c r="G1386" s="74">
        <v>40.493737138401805</v>
      </c>
      <c r="H1386" s="74">
        <f t="shared" si="43"/>
        <v>6.6320493071714282E-4</v>
      </c>
    </row>
    <row r="1387" spans="5:8" ht="15.6">
      <c r="E1387" s="279" t="s">
        <v>1713</v>
      </c>
      <c r="F1387" s="284">
        <f t="shared" ca="1" si="42"/>
        <v>0.96266528848270028</v>
      </c>
      <c r="G1387" s="74">
        <v>43.480549091051941</v>
      </c>
      <c r="H1387" s="74">
        <f t="shared" si="43"/>
        <v>-2.9861487477194189</v>
      </c>
    </row>
    <row r="1388" spans="5:8" ht="15.6">
      <c r="E1388" s="279" t="s">
        <v>1714</v>
      </c>
      <c r="F1388" s="284">
        <f t="shared" ca="1" si="42"/>
        <v>0.1972142394438634</v>
      </c>
      <c r="G1388" s="74">
        <v>37.241612290175659</v>
      </c>
      <c r="H1388" s="74">
        <f t="shared" si="43"/>
        <v>3.2527880531568627</v>
      </c>
    </row>
    <row r="1389" spans="5:8" ht="15.6">
      <c r="E1389" s="279" t="s">
        <v>1715</v>
      </c>
      <c r="F1389" s="284">
        <f t="shared" ca="1" si="42"/>
        <v>0.60936655707661569</v>
      </c>
      <c r="G1389" s="74">
        <v>36.577137701907162</v>
      </c>
      <c r="H1389" s="74">
        <f t="shared" si="43"/>
        <v>3.91726264142536</v>
      </c>
    </row>
    <row r="1390" spans="5:8" ht="15.6">
      <c r="E1390" s="279" t="s">
        <v>1716</v>
      </c>
      <c r="F1390" s="284">
        <f t="shared" ca="1" si="42"/>
        <v>0.19808916670810794</v>
      </c>
      <c r="G1390" s="74">
        <v>40.752204116833475</v>
      </c>
      <c r="H1390" s="74">
        <f t="shared" si="43"/>
        <v>-0.25780377350095307</v>
      </c>
    </row>
    <row r="1391" spans="5:8" ht="15.6">
      <c r="E1391" s="279" t="s">
        <v>1717</v>
      </c>
      <c r="F1391" s="284">
        <f t="shared" ca="1" si="42"/>
        <v>0.695651958977901</v>
      </c>
      <c r="G1391" s="74">
        <v>38.349492378442129</v>
      </c>
      <c r="H1391" s="74">
        <f t="shared" si="43"/>
        <v>2.1449079648903933</v>
      </c>
    </row>
    <row r="1392" spans="5:8" ht="15.6">
      <c r="E1392" s="279" t="s">
        <v>1718</v>
      </c>
      <c r="F1392" s="284">
        <f t="shared" ca="1" si="42"/>
        <v>1.5167465948748848E-3</v>
      </c>
      <c r="G1392" s="74">
        <v>35.832703271598454</v>
      </c>
      <c r="H1392" s="74">
        <f t="shared" si="43"/>
        <v>4.6616970717340678</v>
      </c>
    </row>
    <row r="1393" spans="5:8" ht="15.6">
      <c r="E1393" s="279" t="s">
        <v>1719</v>
      </c>
      <c r="F1393" s="284">
        <f t="shared" ca="1" si="42"/>
        <v>0.85524043737470579</v>
      </c>
      <c r="G1393" s="74">
        <v>40.620678346314172</v>
      </c>
      <c r="H1393" s="74">
        <f t="shared" si="43"/>
        <v>-0.12627800298164971</v>
      </c>
    </row>
    <row r="1394" spans="5:8" ht="15.6">
      <c r="E1394" s="279" t="s">
        <v>1720</v>
      </c>
      <c r="F1394" s="284">
        <f t="shared" ca="1" si="42"/>
        <v>0.3711595166145969</v>
      </c>
      <c r="G1394" s="74">
        <v>38.448921015374708</v>
      </c>
      <c r="H1394" s="74">
        <f t="shared" si="43"/>
        <v>2.0454793279578141</v>
      </c>
    </row>
    <row r="1395" spans="5:8" ht="15.6">
      <c r="E1395" s="279" t="s">
        <v>1721</v>
      </c>
      <c r="F1395" s="284">
        <f t="shared" ca="1" si="42"/>
        <v>0.45895199883409998</v>
      </c>
      <c r="G1395" s="74">
        <v>36.849531601885047</v>
      </c>
      <c r="H1395" s="74">
        <f t="shared" si="43"/>
        <v>3.6448687414474747</v>
      </c>
    </row>
    <row r="1396" spans="5:8" ht="15.6">
      <c r="E1396" s="279" t="s">
        <v>1722</v>
      </c>
      <c r="F1396" s="284">
        <f t="shared" ca="1" si="42"/>
        <v>0.85470848810996891</v>
      </c>
      <c r="G1396" s="74">
        <v>40.342667246307087</v>
      </c>
      <c r="H1396" s="74">
        <f t="shared" si="43"/>
        <v>0.15173309702543492</v>
      </c>
    </row>
    <row r="1397" spans="5:8" ht="15.6">
      <c r="E1397" s="279" t="s">
        <v>1723</v>
      </c>
      <c r="F1397" s="284">
        <f t="shared" ca="1" si="42"/>
        <v>0.40266737586745083</v>
      </c>
      <c r="G1397" s="74">
        <v>36.341798959249381</v>
      </c>
      <c r="H1397" s="74">
        <f t="shared" si="43"/>
        <v>4.1526013840831411</v>
      </c>
    </row>
    <row r="1398" spans="5:8" ht="15.6">
      <c r="E1398" s="279" t="s">
        <v>1724</v>
      </c>
      <c r="F1398" s="284">
        <f t="shared" ca="1" si="42"/>
        <v>0.87865973200917902</v>
      </c>
      <c r="G1398" s="74">
        <v>43.454807456136201</v>
      </c>
      <c r="H1398" s="74">
        <f t="shared" si="43"/>
        <v>-2.9604071128036793</v>
      </c>
    </row>
    <row r="1399" spans="5:8" ht="15.6">
      <c r="E1399" s="279" t="s">
        <v>1725</v>
      </c>
      <c r="F1399" s="284">
        <f t="shared" ca="1" si="42"/>
        <v>6.8427667229948863E-3</v>
      </c>
      <c r="G1399" s="74">
        <v>37.953102321704705</v>
      </c>
      <c r="H1399" s="74">
        <f t="shared" si="43"/>
        <v>2.5412980216278171</v>
      </c>
    </row>
    <row r="1400" spans="5:8" ht="15.6">
      <c r="E1400" s="279" t="s">
        <v>1726</v>
      </c>
      <c r="F1400" s="284">
        <f t="shared" ca="1" si="42"/>
        <v>0.17029676666928173</v>
      </c>
      <c r="G1400" s="74">
        <v>35.900151308922474</v>
      </c>
      <c r="H1400" s="74">
        <f t="shared" si="43"/>
        <v>4.5942490344100477</v>
      </c>
    </row>
    <row r="1401" spans="5:8" ht="15.6">
      <c r="E1401" s="279" t="s">
        <v>1727</v>
      </c>
      <c r="F1401" s="284">
        <f t="shared" ca="1" si="42"/>
        <v>0.84693295657923784</v>
      </c>
      <c r="G1401" s="74">
        <v>41.665194706585929</v>
      </c>
      <c r="H1401" s="74">
        <f t="shared" si="43"/>
        <v>-1.1707943632534068</v>
      </c>
    </row>
    <row r="1402" spans="5:8" ht="15.6">
      <c r="E1402" s="279" t="s">
        <v>1728</v>
      </c>
      <c r="F1402" s="284">
        <f t="shared" ca="1" si="42"/>
        <v>0.4153105784428669</v>
      </c>
      <c r="G1402" s="74">
        <v>39.588632685725905</v>
      </c>
      <c r="H1402" s="74">
        <f t="shared" si="43"/>
        <v>0.90576765760661715</v>
      </c>
    </row>
    <row r="1403" spans="5:8" ht="15.6">
      <c r="E1403" s="279" t="s">
        <v>1729</v>
      </c>
      <c r="F1403" s="284">
        <f t="shared" ca="1" si="42"/>
        <v>0.93525668952943475</v>
      </c>
      <c r="G1403" s="74">
        <v>36.068985573706826</v>
      </c>
      <c r="H1403" s="74">
        <f t="shared" si="43"/>
        <v>4.4254147696256965</v>
      </c>
    </row>
    <row r="1404" spans="5:8" ht="15.6">
      <c r="E1404" s="279" t="s">
        <v>1730</v>
      </c>
      <c r="F1404" s="284">
        <f t="shared" ca="1" si="42"/>
        <v>0.67335080803435887</v>
      </c>
      <c r="G1404" s="74">
        <v>36.384640560953152</v>
      </c>
      <c r="H1404" s="74">
        <f t="shared" si="43"/>
        <v>4.1097597823793706</v>
      </c>
    </row>
    <row r="1405" spans="5:8" ht="15.6">
      <c r="E1405" s="279" t="s">
        <v>1731</v>
      </c>
      <c r="F1405" s="284">
        <f t="shared" ca="1" si="42"/>
        <v>0.54326119705855602</v>
      </c>
      <c r="G1405" s="74">
        <v>37.359807297244977</v>
      </c>
      <c r="H1405" s="74">
        <f t="shared" si="43"/>
        <v>3.1345930460875451</v>
      </c>
    </row>
    <row r="1406" spans="5:8" ht="15.6">
      <c r="E1406" s="279" t="s">
        <v>1732</v>
      </c>
      <c r="F1406" s="284">
        <f t="shared" ca="1" si="42"/>
        <v>0.49211864968516084</v>
      </c>
      <c r="G1406" s="74">
        <v>36.353656031153029</v>
      </c>
      <c r="H1406" s="74">
        <f t="shared" si="43"/>
        <v>4.1407443121794927</v>
      </c>
    </row>
    <row r="1407" spans="5:8" ht="15.6">
      <c r="E1407" s="279" t="s">
        <v>1733</v>
      </c>
      <c r="F1407" s="284">
        <f t="shared" ca="1" si="42"/>
        <v>0.11287933448493404</v>
      </c>
      <c r="G1407" s="74">
        <v>43.788128400828029</v>
      </c>
      <c r="H1407" s="74">
        <f t="shared" si="43"/>
        <v>-3.2937280574955068</v>
      </c>
    </row>
    <row r="1408" spans="5:8" ht="15.6">
      <c r="E1408" s="279" t="s">
        <v>1734</v>
      </c>
      <c r="F1408" s="284">
        <f t="shared" ca="1" si="42"/>
        <v>0.92017363805880081</v>
      </c>
      <c r="G1408" s="74">
        <v>35.040286704645482</v>
      </c>
      <c r="H1408" s="74">
        <f t="shared" si="43"/>
        <v>5.4541136386870406</v>
      </c>
    </row>
    <row r="1409" spans="5:8" ht="15.6">
      <c r="E1409" s="279" t="s">
        <v>1735</v>
      </c>
      <c r="F1409" s="284">
        <f t="shared" ca="1" si="42"/>
        <v>0.57833794484590451</v>
      </c>
      <c r="G1409" s="74">
        <v>36.971900072133934</v>
      </c>
      <c r="H1409" s="74">
        <f t="shared" si="43"/>
        <v>3.522500271198588</v>
      </c>
    </row>
    <row r="1410" spans="5:8" ht="15.6">
      <c r="E1410" s="279" t="s">
        <v>1736</v>
      </c>
      <c r="F1410" s="284">
        <f t="shared" ca="1" si="42"/>
        <v>0.4979520159430022</v>
      </c>
      <c r="G1410" s="74">
        <v>42.218081160865758</v>
      </c>
      <c r="H1410" s="74">
        <f t="shared" si="43"/>
        <v>-1.7236808175332357</v>
      </c>
    </row>
    <row r="1411" spans="5:8" ht="15.6">
      <c r="E1411" s="279" t="s">
        <v>1737</v>
      </c>
      <c r="F1411" s="284">
        <f t="shared" ca="1" si="42"/>
        <v>0.18050955233641353</v>
      </c>
      <c r="G1411" s="74">
        <v>37.971702757027813</v>
      </c>
      <c r="H1411" s="74">
        <f t="shared" si="43"/>
        <v>2.5226975863047088</v>
      </c>
    </row>
    <row r="1412" spans="5:8" ht="15.6">
      <c r="E1412" s="279" t="s">
        <v>1738</v>
      </c>
      <c r="F1412" s="284">
        <f t="shared" ca="1" si="42"/>
        <v>0.12087030865301174</v>
      </c>
      <c r="G1412" s="74">
        <v>37.405020465814765</v>
      </c>
      <c r="H1412" s="74">
        <f t="shared" si="43"/>
        <v>3.0893798775177572</v>
      </c>
    </row>
    <row r="1413" spans="5:8" ht="15.6">
      <c r="E1413" s="279" t="s">
        <v>1739</v>
      </c>
      <c r="F1413" s="284">
        <f t="shared" ca="1" si="42"/>
        <v>0.15538240914547974</v>
      </c>
      <c r="G1413" s="74">
        <v>38.329678279781106</v>
      </c>
      <c r="H1413" s="74">
        <f t="shared" si="43"/>
        <v>2.1647220635514159</v>
      </c>
    </row>
    <row r="1414" spans="5:8" ht="15.6">
      <c r="E1414" s="279" t="s">
        <v>1740</v>
      </c>
      <c r="F1414" s="284">
        <f t="shared" ca="1" si="42"/>
        <v>0.63517150075392104</v>
      </c>
      <c r="G1414" s="74">
        <v>39.59002659609191</v>
      </c>
      <c r="H1414" s="74">
        <f t="shared" si="43"/>
        <v>0.90437374724061215</v>
      </c>
    </row>
    <row r="1415" spans="5:8" ht="15.6">
      <c r="E1415" s="279" t="s">
        <v>1741</v>
      </c>
      <c r="F1415" s="284">
        <f t="shared" ca="1" si="42"/>
        <v>0.58988029598030112</v>
      </c>
      <c r="G1415" s="74">
        <v>37.711122549145536</v>
      </c>
      <c r="H1415" s="74">
        <f t="shared" si="43"/>
        <v>2.7832777941869864</v>
      </c>
    </row>
    <row r="1416" spans="5:8" ht="15.6">
      <c r="E1416" s="279" t="s">
        <v>1742</v>
      </c>
      <c r="F1416" s="284">
        <f t="shared" ca="1" si="42"/>
        <v>0.9532685060253161</v>
      </c>
      <c r="G1416" s="74">
        <v>34.757495769929967</v>
      </c>
      <c r="H1416" s="74">
        <f t="shared" si="43"/>
        <v>5.7369045734025548</v>
      </c>
    </row>
    <row r="1417" spans="5:8" ht="15.6">
      <c r="E1417" s="279" t="s">
        <v>1743</v>
      </c>
      <c r="F1417" s="284">
        <f t="shared" ca="1" si="42"/>
        <v>0.87896653670831282</v>
      </c>
      <c r="G1417" s="74">
        <v>40.125917903129377</v>
      </c>
      <c r="H1417" s="74">
        <f t="shared" si="43"/>
        <v>0.36848244020314525</v>
      </c>
    </row>
    <row r="1418" spans="5:8" ht="15.6">
      <c r="E1418" s="279" t="s">
        <v>1744</v>
      </c>
      <c r="F1418" s="284">
        <f t="shared" ca="1" si="42"/>
        <v>5.431358100796313E-3</v>
      </c>
      <c r="G1418" s="74">
        <v>41.999943354757178</v>
      </c>
      <c r="H1418" s="74">
        <f t="shared" si="43"/>
        <v>-1.5055430114246562</v>
      </c>
    </row>
    <row r="1419" spans="5:8" ht="15.6">
      <c r="E1419" s="279" t="s">
        <v>1745</v>
      </c>
      <c r="F1419" s="284">
        <f t="shared" ca="1" si="42"/>
        <v>0.99295940326313226</v>
      </c>
      <c r="G1419" s="74">
        <v>36.451625107464324</v>
      </c>
      <c r="H1419" s="74">
        <f t="shared" si="43"/>
        <v>4.0427752358681985</v>
      </c>
    </row>
    <row r="1420" spans="5:8" ht="15.6">
      <c r="E1420" s="279" t="s">
        <v>1746</v>
      </c>
      <c r="F1420" s="284">
        <f t="shared" ref="F1420:F1483" ca="1" si="44">RAND()</f>
        <v>0.44354224969192502</v>
      </c>
      <c r="G1420" s="74">
        <v>35.014665546037797</v>
      </c>
      <c r="H1420" s="74">
        <f t="shared" ref="H1420:H1483" si="45">$D$2-G1420</f>
        <v>5.479734797294725</v>
      </c>
    </row>
    <row r="1421" spans="5:8" ht="15.6">
      <c r="E1421" s="279" t="s">
        <v>1747</v>
      </c>
      <c r="F1421" s="284">
        <f t="shared" ca="1" si="44"/>
        <v>0.4649818748119815</v>
      </c>
      <c r="G1421" s="74">
        <v>38.675076436677521</v>
      </c>
      <c r="H1421" s="74">
        <f t="shared" si="45"/>
        <v>1.8193239066550007</v>
      </c>
    </row>
    <row r="1422" spans="5:8" ht="15.6">
      <c r="E1422" s="279" t="s">
        <v>1748</v>
      </c>
      <c r="F1422" s="284">
        <f t="shared" ca="1" si="44"/>
        <v>0.30996589191733226</v>
      </c>
      <c r="G1422" s="74">
        <v>40.062674473124517</v>
      </c>
      <c r="H1422" s="74">
        <f t="shared" si="45"/>
        <v>0.43172587020800535</v>
      </c>
    </row>
    <row r="1423" spans="5:8" ht="15.6">
      <c r="E1423" s="279" t="s">
        <v>1749</v>
      </c>
      <c r="F1423" s="284">
        <f t="shared" ca="1" si="44"/>
        <v>0.41804605119000315</v>
      </c>
      <c r="G1423" s="74">
        <v>40.961789813259493</v>
      </c>
      <c r="H1423" s="74">
        <f t="shared" si="45"/>
        <v>-0.46738946992697095</v>
      </c>
    </row>
    <row r="1424" spans="5:8" ht="15.6">
      <c r="E1424" s="279" t="s">
        <v>1750</v>
      </c>
      <c r="F1424" s="284">
        <f t="shared" ca="1" si="44"/>
        <v>0.94667760811679968</v>
      </c>
      <c r="G1424" s="74">
        <v>36.944219215275105</v>
      </c>
      <c r="H1424" s="74">
        <f t="shared" si="45"/>
        <v>3.5501811280574174</v>
      </c>
    </row>
    <row r="1425" spans="5:8" ht="15.6">
      <c r="E1425" s="279" t="s">
        <v>1751</v>
      </c>
      <c r="F1425" s="284">
        <f t="shared" ca="1" si="44"/>
        <v>0.38253708709387024</v>
      </c>
      <c r="G1425" s="74">
        <v>36.916757436213302</v>
      </c>
      <c r="H1425" s="74">
        <f t="shared" si="45"/>
        <v>3.5776429071192197</v>
      </c>
    </row>
    <row r="1426" spans="5:8" ht="15.6">
      <c r="E1426" s="279" t="s">
        <v>1752</v>
      </c>
      <c r="F1426" s="284">
        <f t="shared" ca="1" si="44"/>
        <v>0.98000982559870298</v>
      </c>
      <c r="G1426" s="74">
        <v>41.372189874938663</v>
      </c>
      <c r="H1426" s="74">
        <f t="shared" si="45"/>
        <v>-0.87778953160614037</v>
      </c>
    </row>
    <row r="1427" spans="5:8" ht="15.6">
      <c r="E1427" s="279" t="s">
        <v>1753</v>
      </c>
      <c r="F1427" s="284">
        <f t="shared" ca="1" si="44"/>
        <v>0.13351358564595672</v>
      </c>
      <c r="G1427" s="74">
        <v>38.058585398674602</v>
      </c>
      <c r="H1427" s="74">
        <f t="shared" si="45"/>
        <v>2.4358149446579205</v>
      </c>
    </row>
    <row r="1428" spans="5:8" ht="15.6">
      <c r="E1428" s="279" t="s">
        <v>1754</v>
      </c>
      <c r="F1428" s="284">
        <f t="shared" ca="1" si="44"/>
        <v>0.82055865020635099</v>
      </c>
      <c r="G1428" s="74">
        <v>34.480711105870192</v>
      </c>
      <c r="H1428" s="74">
        <f t="shared" si="45"/>
        <v>6.0136892374623301</v>
      </c>
    </row>
    <row r="1429" spans="5:8" ht="15.6">
      <c r="E1429" s="279" t="s">
        <v>1755</v>
      </c>
      <c r="F1429" s="284">
        <f t="shared" ca="1" si="44"/>
        <v>0.98927057022056497</v>
      </c>
      <c r="G1429" s="74">
        <v>37.860204114898515</v>
      </c>
      <c r="H1429" s="74">
        <f t="shared" si="45"/>
        <v>2.634196228434007</v>
      </c>
    </row>
    <row r="1430" spans="5:8" ht="15.6">
      <c r="E1430" s="279" t="s">
        <v>1756</v>
      </c>
      <c r="F1430" s="284">
        <f t="shared" ca="1" si="44"/>
        <v>0.86473422500932884</v>
      </c>
      <c r="G1430" s="74">
        <v>44.815858642621102</v>
      </c>
      <c r="H1430" s="74">
        <f t="shared" si="45"/>
        <v>-4.3214582992885795</v>
      </c>
    </row>
    <row r="1431" spans="5:8" ht="15.6">
      <c r="E1431" s="279" t="s">
        <v>1757</v>
      </c>
      <c r="F1431" s="284">
        <f t="shared" ca="1" si="44"/>
        <v>0.87095528367184838</v>
      </c>
      <c r="G1431" s="74">
        <v>39.435725840008487</v>
      </c>
      <c r="H1431" s="74">
        <f t="shared" si="45"/>
        <v>1.0586745033240348</v>
      </c>
    </row>
    <row r="1432" spans="5:8" ht="15.6">
      <c r="E1432" s="279" t="s">
        <v>1758</v>
      </c>
      <c r="F1432" s="284">
        <f t="shared" ca="1" si="44"/>
        <v>6.732004031786254E-2</v>
      </c>
      <c r="G1432" s="74">
        <v>35.309884243838205</v>
      </c>
      <c r="H1432" s="74">
        <f t="shared" si="45"/>
        <v>5.1845160994943171</v>
      </c>
    </row>
    <row r="1433" spans="5:8" ht="15.6">
      <c r="E1433" s="279" t="s">
        <v>1759</v>
      </c>
      <c r="F1433" s="284">
        <f t="shared" ca="1" si="44"/>
        <v>6.9132681577065536E-2</v>
      </c>
      <c r="G1433" s="74">
        <v>40.995283341842701</v>
      </c>
      <c r="H1433" s="74">
        <f t="shared" si="45"/>
        <v>-0.50088299851017837</v>
      </c>
    </row>
    <row r="1434" spans="5:8" ht="15.6">
      <c r="E1434" s="279" t="s">
        <v>1760</v>
      </c>
      <c r="F1434" s="284">
        <f t="shared" ca="1" si="44"/>
        <v>0.57864275208419735</v>
      </c>
      <c r="G1434" s="74">
        <v>43.138525053786914</v>
      </c>
      <c r="H1434" s="74">
        <f t="shared" si="45"/>
        <v>-2.6441247104543919</v>
      </c>
    </row>
    <row r="1435" spans="5:8" ht="15.6">
      <c r="E1435" s="279" t="s">
        <v>1761</v>
      </c>
      <c r="F1435" s="284">
        <f t="shared" ca="1" si="44"/>
        <v>0.46894591744849834</v>
      </c>
      <c r="G1435" s="74">
        <v>41.423637948395999</v>
      </c>
      <c r="H1435" s="74">
        <f t="shared" si="45"/>
        <v>-0.92923760506347719</v>
      </c>
    </row>
    <row r="1436" spans="5:8" ht="15.6">
      <c r="E1436" s="279" t="s">
        <v>1762</v>
      </c>
      <c r="F1436" s="284">
        <f t="shared" ca="1" si="44"/>
        <v>0.1912363563882058</v>
      </c>
      <c r="G1436" s="74">
        <v>40.420590828190825</v>
      </c>
      <c r="H1436" s="74">
        <f t="shared" si="45"/>
        <v>7.3809515141697091E-2</v>
      </c>
    </row>
    <row r="1437" spans="5:8" ht="15.6">
      <c r="E1437" s="279" t="s">
        <v>1763</v>
      </c>
      <c r="F1437" s="284">
        <f t="shared" ca="1" si="44"/>
        <v>0.56173120437180724</v>
      </c>
      <c r="G1437" s="74">
        <v>35.852580973479363</v>
      </c>
      <c r="H1437" s="74">
        <f t="shared" si="45"/>
        <v>4.6418193698531596</v>
      </c>
    </row>
    <row r="1438" spans="5:8" ht="15.6">
      <c r="E1438" s="279" t="s">
        <v>1764</v>
      </c>
      <c r="F1438" s="284">
        <f t="shared" ca="1" si="44"/>
        <v>0.36238078789715067</v>
      </c>
      <c r="G1438" s="74">
        <v>41.866225821204033</v>
      </c>
      <c r="H1438" s="74">
        <f t="shared" si="45"/>
        <v>-1.3718254778715107</v>
      </c>
    </row>
    <row r="1439" spans="5:8" ht="15.6">
      <c r="E1439" s="279" t="s">
        <v>1765</v>
      </c>
      <c r="F1439" s="284">
        <f t="shared" ca="1" si="44"/>
        <v>0.6180115080155848</v>
      </c>
      <c r="G1439" s="74">
        <v>37.131386766994304</v>
      </c>
      <c r="H1439" s="74">
        <f t="shared" si="45"/>
        <v>3.3630135763382185</v>
      </c>
    </row>
    <row r="1440" spans="5:8" ht="15.6">
      <c r="E1440" s="279" t="s">
        <v>1766</v>
      </c>
      <c r="F1440" s="284">
        <f t="shared" ca="1" si="44"/>
        <v>0.4819934386635244</v>
      </c>
      <c r="G1440" s="74">
        <v>40.240909525512862</v>
      </c>
      <c r="H1440" s="74">
        <f t="shared" si="45"/>
        <v>0.25349081781966021</v>
      </c>
    </row>
    <row r="1441" spans="5:8" ht="15.6">
      <c r="E1441" s="279" t="s">
        <v>1767</v>
      </c>
      <c r="F1441" s="284">
        <f t="shared" ca="1" si="44"/>
        <v>0.92700409991188704</v>
      </c>
      <c r="G1441" s="74">
        <v>39.600710810706218</v>
      </c>
      <c r="H1441" s="74">
        <f t="shared" si="45"/>
        <v>0.89368953262630413</v>
      </c>
    </row>
    <row r="1442" spans="5:8" ht="15.6">
      <c r="E1442" s="279" t="s">
        <v>1768</v>
      </c>
      <c r="F1442" s="284">
        <f t="shared" ca="1" si="44"/>
        <v>0.28258479255669222</v>
      </c>
      <c r="G1442" s="74">
        <v>38.147555314125206</v>
      </c>
      <c r="H1442" s="74">
        <f t="shared" si="45"/>
        <v>2.3468450292073157</v>
      </c>
    </row>
    <row r="1443" spans="5:8" ht="15.6">
      <c r="E1443" s="279" t="s">
        <v>1769</v>
      </c>
      <c r="F1443" s="284">
        <f t="shared" ca="1" si="44"/>
        <v>0.57904875044864612</v>
      </c>
      <c r="G1443" s="74">
        <v>41.090024266055821</v>
      </c>
      <c r="H1443" s="74">
        <f t="shared" si="45"/>
        <v>-0.59562392272329845</v>
      </c>
    </row>
    <row r="1444" spans="5:8" ht="15.6">
      <c r="E1444" s="279" t="s">
        <v>1770</v>
      </c>
      <c r="F1444" s="284">
        <f t="shared" ca="1" si="44"/>
        <v>0.59610194996695931</v>
      </c>
      <c r="G1444" s="74">
        <v>38.429257682962209</v>
      </c>
      <c r="H1444" s="74">
        <f t="shared" si="45"/>
        <v>2.0651426603703129</v>
      </c>
    </row>
    <row r="1445" spans="5:8" ht="15.6">
      <c r="E1445" s="279" t="s">
        <v>1771</v>
      </c>
      <c r="F1445" s="284">
        <f t="shared" ca="1" si="44"/>
        <v>0.30666001275978294</v>
      </c>
      <c r="G1445" s="74">
        <v>40.537761610085084</v>
      </c>
      <c r="H1445" s="74">
        <f t="shared" si="45"/>
        <v>-4.3361266752562244E-2</v>
      </c>
    </row>
    <row r="1446" spans="5:8" ht="15.6">
      <c r="E1446" s="279" t="s">
        <v>1772</v>
      </c>
      <c r="F1446" s="284">
        <f t="shared" ca="1" si="44"/>
        <v>4.8625240768772615E-2</v>
      </c>
      <c r="G1446" s="74">
        <v>44.332786804271713</v>
      </c>
      <c r="H1446" s="74">
        <f t="shared" si="45"/>
        <v>-3.8383864609391907</v>
      </c>
    </row>
    <row r="1447" spans="5:8" ht="15.6">
      <c r="E1447" s="279" t="s">
        <v>1773</v>
      </c>
      <c r="F1447" s="284">
        <f t="shared" ca="1" si="44"/>
        <v>0.53122616444737281</v>
      </c>
      <c r="G1447" s="74">
        <v>42.037182694147532</v>
      </c>
      <c r="H1447" s="74">
        <f t="shared" si="45"/>
        <v>-1.5427823508150098</v>
      </c>
    </row>
    <row r="1448" spans="5:8" ht="15.6">
      <c r="E1448" s="279" t="s">
        <v>1774</v>
      </c>
      <c r="F1448" s="284">
        <f t="shared" ca="1" si="44"/>
        <v>0.69743986556864679</v>
      </c>
      <c r="G1448" s="74">
        <v>37.555171766667243</v>
      </c>
      <c r="H1448" s="74">
        <f t="shared" si="45"/>
        <v>2.939228576665279</v>
      </c>
    </row>
    <row r="1449" spans="5:8" ht="15.6">
      <c r="E1449" s="279" t="s">
        <v>1775</v>
      </c>
      <c r="F1449" s="284">
        <f t="shared" ca="1" si="44"/>
        <v>0.33914353290913057</v>
      </c>
      <c r="G1449" s="74">
        <v>39.831134641471472</v>
      </c>
      <c r="H1449" s="74">
        <f t="shared" si="45"/>
        <v>0.66326570186105016</v>
      </c>
    </row>
    <row r="1450" spans="5:8" ht="15.6">
      <c r="E1450" s="279" t="s">
        <v>1776</v>
      </c>
      <c r="F1450" s="284">
        <f t="shared" ca="1" si="44"/>
        <v>0.37172499246271684</v>
      </c>
      <c r="G1450" s="74">
        <v>43.791319503326626</v>
      </c>
      <c r="H1450" s="74">
        <f t="shared" si="45"/>
        <v>-3.2969191599941041</v>
      </c>
    </row>
    <row r="1451" spans="5:8" ht="15.6">
      <c r="E1451" s="279" t="s">
        <v>1777</v>
      </c>
      <c r="F1451" s="284">
        <f t="shared" ca="1" si="44"/>
        <v>0.20877889452619802</v>
      </c>
      <c r="G1451" s="74">
        <v>39.407918508994157</v>
      </c>
      <c r="H1451" s="74">
        <f t="shared" si="45"/>
        <v>1.0864818343383646</v>
      </c>
    </row>
    <row r="1452" spans="5:8" ht="15.6">
      <c r="E1452" s="279" t="s">
        <v>1778</v>
      </c>
      <c r="F1452" s="284">
        <f t="shared" ca="1" si="44"/>
        <v>0.97553177647698142</v>
      </c>
      <c r="G1452" s="74">
        <v>44.803981945500468</v>
      </c>
      <c r="H1452" s="74">
        <f t="shared" si="45"/>
        <v>-4.3095816021679454</v>
      </c>
    </row>
    <row r="1453" spans="5:8" ht="15.6">
      <c r="E1453" s="279" t="s">
        <v>1779</v>
      </c>
      <c r="F1453" s="284">
        <f t="shared" ca="1" si="44"/>
        <v>0.49074329517164239</v>
      </c>
      <c r="G1453" s="74">
        <v>36.436943047803936</v>
      </c>
      <c r="H1453" s="74">
        <f t="shared" si="45"/>
        <v>4.0574572955285859</v>
      </c>
    </row>
    <row r="1454" spans="5:8" ht="15.6">
      <c r="E1454" s="279" t="s">
        <v>1780</v>
      </c>
      <c r="F1454" s="284">
        <f t="shared" ca="1" si="44"/>
        <v>0.58732949316804428</v>
      </c>
      <c r="G1454" s="74">
        <v>39.227430500948351</v>
      </c>
      <c r="H1454" s="74">
        <f t="shared" si="45"/>
        <v>1.2669698423841709</v>
      </c>
    </row>
    <row r="1455" spans="5:8" ht="15.6">
      <c r="E1455" s="279" t="s">
        <v>1781</v>
      </c>
      <c r="F1455" s="284">
        <f t="shared" ca="1" si="44"/>
        <v>0.72361031130050302</v>
      </c>
      <c r="G1455" s="74">
        <v>39.308162959404335</v>
      </c>
      <c r="H1455" s="74">
        <f t="shared" si="45"/>
        <v>1.1862373839281872</v>
      </c>
    </row>
    <row r="1456" spans="5:8" ht="15.6">
      <c r="E1456" s="279" t="s">
        <v>1782</v>
      </c>
      <c r="F1456" s="284">
        <f t="shared" ca="1" si="44"/>
        <v>2.9234701957570386E-2</v>
      </c>
      <c r="G1456" s="74">
        <v>37.743767661514603</v>
      </c>
      <c r="H1456" s="74">
        <f t="shared" si="45"/>
        <v>2.750632681817919</v>
      </c>
    </row>
    <row r="1457" spans="5:8" ht="15.6">
      <c r="E1457" s="279" t="s">
        <v>1783</v>
      </c>
      <c r="F1457" s="284">
        <f t="shared" ca="1" si="44"/>
        <v>0.27825988857348982</v>
      </c>
      <c r="G1457" s="74">
        <v>40.542031733679572</v>
      </c>
      <c r="H1457" s="74">
        <f t="shared" si="45"/>
        <v>-4.7631390347049773E-2</v>
      </c>
    </row>
    <row r="1458" spans="5:8" ht="15.6">
      <c r="E1458" s="279" t="s">
        <v>1784</v>
      </c>
      <c r="F1458" s="284">
        <f t="shared" ca="1" si="44"/>
        <v>0.65131204718903191</v>
      </c>
      <c r="G1458" s="74">
        <v>40.235437766739437</v>
      </c>
      <c r="H1458" s="74">
        <f t="shared" si="45"/>
        <v>0.25896257659308475</v>
      </c>
    </row>
    <row r="1459" spans="5:8" ht="15.6">
      <c r="E1459" s="279" t="s">
        <v>1785</v>
      </c>
      <c r="F1459" s="284">
        <f t="shared" ca="1" si="44"/>
        <v>0.74696509901609776</v>
      </c>
      <c r="G1459" s="74">
        <v>41.180479847818724</v>
      </c>
      <c r="H1459" s="74">
        <f t="shared" si="45"/>
        <v>-0.68607950448620159</v>
      </c>
    </row>
    <row r="1460" spans="5:8" ht="15.6">
      <c r="E1460" s="279" t="s">
        <v>1786</v>
      </c>
      <c r="F1460" s="284">
        <f t="shared" ca="1" si="44"/>
        <v>0.87741799963779188</v>
      </c>
      <c r="G1460" s="74">
        <v>39.387212730544256</v>
      </c>
      <c r="H1460" s="74">
        <f t="shared" si="45"/>
        <v>1.1071876127882661</v>
      </c>
    </row>
    <row r="1461" spans="5:8" ht="15.6">
      <c r="E1461" s="279" t="s">
        <v>1787</v>
      </c>
      <c r="F1461" s="284">
        <f t="shared" ca="1" si="44"/>
        <v>0.97244342869688538</v>
      </c>
      <c r="G1461" s="74">
        <v>36.541458291591482</v>
      </c>
      <c r="H1461" s="74">
        <f t="shared" si="45"/>
        <v>3.9529420517410401</v>
      </c>
    </row>
    <row r="1462" spans="5:8" ht="15.6">
      <c r="E1462" s="279" t="s">
        <v>1788</v>
      </c>
      <c r="F1462" s="284">
        <f t="shared" ca="1" si="44"/>
        <v>0.87239109963260963</v>
      </c>
      <c r="G1462" s="74">
        <v>38.87916025678031</v>
      </c>
      <c r="H1462" s="74">
        <f t="shared" si="45"/>
        <v>1.6152400865522125</v>
      </c>
    </row>
    <row r="1463" spans="5:8" ht="15.6">
      <c r="E1463" s="279" t="s">
        <v>1789</v>
      </c>
      <c r="F1463" s="284">
        <f t="shared" ca="1" si="44"/>
        <v>0.65012198008748756</v>
      </c>
      <c r="G1463" s="74">
        <v>36.243249316949139</v>
      </c>
      <c r="H1463" s="74">
        <f t="shared" si="45"/>
        <v>4.2511510263833827</v>
      </c>
    </row>
    <row r="1464" spans="5:8" ht="15.6">
      <c r="E1464" s="279" t="s">
        <v>1790</v>
      </c>
      <c r="F1464" s="284">
        <f t="shared" ca="1" si="44"/>
        <v>0.89324446565468707</v>
      </c>
      <c r="G1464" s="74">
        <v>40.345144088764172</v>
      </c>
      <c r="H1464" s="74">
        <f t="shared" si="45"/>
        <v>0.14925625456834979</v>
      </c>
    </row>
    <row r="1465" spans="5:8" ht="15.6">
      <c r="E1465" s="279" t="s">
        <v>1791</v>
      </c>
      <c r="F1465" s="284">
        <f t="shared" ca="1" si="44"/>
        <v>0.76262080526456355</v>
      </c>
      <c r="G1465" s="74">
        <v>42.533863158619205</v>
      </c>
      <c r="H1465" s="74">
        <f t="shared" si="45"/>
        <v>-2.0394628152866829</v>
      </c>
    </row>
    <row r="1466" spans="5:8" ht="15.6">
      <c r="E1466" s="279" t="s">
        <v>1792</v>
      </c>
      <c r="F1466" s="284">
        <f t="shared" ca="1" si="44"/>
        <v>0.92144881591477867</v>
      </c>
      <c r="G1466" s="74">
        <v>35.970868680329673</v>
      </c>
      <c r="H1466" s="74">
        <f t="shared" si="45"/>
        <v>4.5235316630028493</v>
      </c>
    </row>
    <row r="1467" spans="5:8" ht="15.6">
      <c r="E1467" s="279" t="s">
        <v>1793</v>
      </c>
      <c r="F1467" s="284">
        <f t="shared" ca="1" si="44"/>
        <v>0.89245059712919517</v>
      </c>
      <c r="G1467" s="74">
        <v>41.558499964986645</v>
      </c>
      <c r="H1467" s="74">
        <f t="shared" si="45"/>
        <v>-1.0640996216541225</v>
      </c>
    </row>
    <row r="1468" spans="5:8" ht="15.6">
      <c r="E1468" s="279" t="s">
        <v>1794</v>
      </c>
      <c r="F1468" s="284">
        <f t="shared" ca="1" si="44"/>
        <v>0.8180325710522417</v>
      </c>
      <c r="G1468" s="74">
        <v>37.9160362897805</v>
      </c>
      <c r="H1468" s="74">
        <f t="shared" si="45"/>
        <v>2.578364053552022</v>
      </c>
    </row>
    <row r="1469" spans="5:8" ht="15.6">
      <c r="E1469" s="279" t="s">
        <v>1795</v>
      </c>
      <c r="F1469" s="284">
        <f t="shared" ca="1" si="44"/>
        <v>5.921299774953992E-2</v>
      </c>
      <c r="G1469" s="74">
        <v>43.877249746240402</v>
      </c>
      <c r="H1469" s="74">
        <f t="shared" si="45"/>
        <v>-3.3828494029078797</v>
      </c>
    </row>
    <row r="1470" spans="5:8" ht="15.6">
      <c r="E1470" s="279" t="s">
        <v>1796</v>
      </c>
      <c r="F1470" s="284">
        <f t="shared" ca="1" si="44"/>
        <v>0.36605351127679819</v>
      </c>
      <c r="G1470" s="74">
        <v>37.014931879925065</v>
      </c>
      <c r="H1470" s="74">
        <f t="shared" si="45"/>
        <v>3.4794684634074571</v>
      </c>
    </row>
    <row r="1471" spans="5:8" ht="15.6">
      <c r="E1471" s="279" t="s">
        <v>1797</v>
      </c>
      <c r="F1471" s="284">
        <f t="shared" ca="1" si="44"/>
        <v>0.9548310674441951</v>
      </c>
      <c r="G1471" s="74">
        <v>41.407086812424559</v>
      </c>
      <c r="H1471" s="74">
        <f t="shared" si="45"/>
        <v>-0.9126864690920371</v>
      </c>
    </row>
    <row r="1472" spans="5:8" ht="15.6">
      <c r="E1472" s="279" t="s">
        <v>1798</v>
      </c>
      <c r="F1472" s="284">
        <f t="shared" ca="1" si="44"/>
        <v>0.90297075514403136</v>
      </c>
      <c r="G1472" s="74">
        <v>39.839527675672912</v>
      </c>
      <c r="H1472" s="74">
        <f t="shared" si="45"/>
        <v>0.65487266765961039</v>
      </c>
    </row>
    <row r="1473" spans="5:8" ht="15.6">
      <c r="E1473" s="279" t="s">
        <v>1799</v>
      </c>
      <c r="F1473" s="284">
        <f t="shared" ca="1" si="44"/>
        <v>0.50556771850077786</v>
      </c>
      <c r="G1473" s="74">
        <v>39.255616620026267</v>
      </c>
      <c r="H1473" s="74">
        <f t="shared" si="45"/>
        <v>1.2387837233062555</v>
      </c>
    </row>
    <row r="1474" spans="5:8" ht="15.6">
      <c r="E1474" s="279" t="s">
        <v>1800</v>
      </c>
      <c r="F1474" s="284">
        <f t="shared" ca="1" si="44"/>
        <v>0.39685443869213199</v>
      </c>
      <c r="G1474" s="74">
        <v>41.185776417689688</v>
      </c>
      <c r="H1474" s="74">
        <f t="shared" si="45"/>
        <v>-0.69137607435716575</v>
      </c>
    </row>
    <row r="1475" spans="5:8" ht="15.6">
      <c r="E1475" s="279" t="s">
        <v>1801</v>
      </c>
      <c r="F1475" s="284">
        <f t="shared" ca="1" si="44"/>
        <v>0.9248153663569435</v>
      </c>
      <c r="G1475" s="74">
        <v>38.859283541645809</v>
      </c>
      <c r="H1475" s="74">
        <f t="shared" si="45"/>
        <v>1.6351168016867135</v>
      </c>
    </row>
    <row r="1476" spans="5:8" ht="15.6">
      <c r="E1476" s="279" t="s">
        <v>1802</v>
      </c>
      <c r="F1476" s="284">
        <f t="shared" ca="1" si="44"/>
        <v>0.22702667596313852</v>
      </c>
      <c r="G1476" s="74">
        <v>40.792489596959989</v>
      </c>
      <c r="H1476" s="74">
        <f t="shared" si="45"/>
        <v>-0.29808925362746663</v>
      </c>
    </row>
    <row r="1477" spans="5:8" ht="15.6">
      <c r="E1477" s="279" t="s">
        <v>1803</v>
      </c>
      <c r="F1477" s="284">
        <f t="shared" ca="1" si="44"/>
        <v>0.95802791014037203</v>
      </c>
      <c r="G1477" s="74">
        <v>40.690032292706086</v>
      </c>
      <c r="H1477" s="74">
        <f t="shared" si="45"/>
        <v>-0.19563194937356343</v>
      </c>
    </row>
    <row r="1478" spans="5:8" ht="15.6">
      <c r="E1478" s="279" t="s">
        <v>1804</v>
      </c>
      <c r="F1478" s="284">
        <f t="shared" ca="1" si="44"/>
        <v>7.4510036126023138E-2</v>
      </c>
      <c r="G1478" s="74">
        <v>41.00545891563732</v>
      </c>
      <c r="H1478" s="74">
        <f t="shared" si="45"/>
        <v>-0.51105857230479756</v>
      </c>
    </row>
    <row r="1479" spans="5:8" ht="15.6">
      <c r="E1479" s="279" t="s">
        <v>1805</v>
      </c>
      <c r="F1479" s="284">
        <f t="shared" ca="1" si="44"/>
        <v>0.10581149537305845</v>
      </c>
      <c r="G1479" s="74">
        <v>37.715267763936239</v>
      </c>
      <c r="H1479" s="74">
        <f t="shared" si="45"/>
        <v>2.7791325793962827</v>
      </c>
    </row>
    <row r="1480" spans="5:8" ht="15.6">
      <c r="E1480" s="279" t="s">
        <v>1806</v>
      </c>
      <c r="F1480" s="284">
        <f t="shared" ca="1" si="44"/>
        <v>4.8144684483607536E-2</v>
      </c>
      <c r="G1480" s="74">
        <v>33.997514476088831</v>
      </c>
      <c r="H1480" s="74">
        <f t="shared" si="45"/>
        <v>6.4968858672436909</v>
      </c>
    </row>
    <row r="1481" spans="5:8" ht="15.6">
      <c r="E1481" s="279" t="s">
        <v>1807</v>
      </c>
      <c r="F1481" s="284">
        <f t="shared" ca="1" si="44"/>
        <v>0.64129570867089536</v>
      </c>
      <c r="G1481" s="74">
        <v>32.442968452779986</v>
      </c>
      <c r="H1481" s="74">
        <f t="shared" si="45"/>
        <v>8.0514318905525357</v>
      </c>
    </row>
    <row r="1482" spans="5:8" ht="15.6">
      <c r="E1482" s="279" t="s">
        <v>1808</v>
      </c>
      <c r="F1482" s="284">
        <f t="shared" ca="1" si="44"/>
        <v>0.33789241987474117</v>
      </c>
      <c r="G1482" s="74">
        <v>36.719898818342166</v>
      </c>
      <c r="H1482" s="74">
        <f t="shared" si="45"/>
        <v>3.774501524990356</v>
      </c>
    </row>
    <row r="1483" spans="5:8" ht="15.6">
      <c r="E1483" s="279" t="s">
        <v>1809</v>
      </c>
      <c r="F1483" s="284">
        <f t="shared" ca="1" si="44"/>
        <v>0.7399365096141336</v>
      </c>
      <c r="G1483" s="74">
        <v>35.543234406663629</v>
      </c>
      <c r="H1483" s="74">
        <f t="shared" si="45"/>
        <v>4.9511659366688932</v>
      </c>
    </row>
    <row r="1484" spans="5:8" ht="15.6">
      <c r="E1484" s="279" t="s">
        <v>1810</v>
      </c>
      <c r="F1484" s="284">
        <f t="shared" ref="F1484:F1547" ca="1" si="46">RAND()</f>
        <v>0.67535359570038722</v>
      </c>
      <c r="G1484" s="74">
        <v>41.359480529878255</v>
      </c>
      <c r="H1484" s="74">
        <f t="shared" ref="H1484:H1547" si="47">$D$2-G1484</f>
        <v>-0.86508018654573249</v>
      </c>
    </row>
    <row r="1485" spans="5:8" ht="15.6">
      <c r="E1485" s="279" t="s">
        <v>1811</v>
      </c>
      <c r="F1485" s="284">
        <f t="shared" ca="1" si="46"/>
        <v>0.94912652685509347</v>
      </c>
      <c r="G1485" s="74">
        <v>35.721191523897296</v>
      </c>
      <c r="H1485" s="74">
        <f t="shared" si="47"/>
        <v>4.7732088194352258</v>
      </c>
    </row>
    <row r="1486" spans="5:8" ht="15.6">
      <c r="E1486" s="279" t="s">
        <v>1812</v>
      </c>
      <c r="F1486" s="284">
        <f t="shared" ca="1" si="46"/>
        <v>0.73268086968682578</v>
      </c>
      <c r="G1486" s="74">
        <v>39.670341349309361</v>
      </c>
      <c r="H1486" s="74">
        <f t="shared" si="47"/>
        <v>0.82405899402316152</v>
      </c>
    </row>
    <row r="1487" spans="5:8" ht="15.6">
      <c r="E1487" s="279" t="s">
        <v>1813</v>
      </c>
      <c r="F1487" s="284">
        <f t="shared" ca="1" si="46"/>
        <v>0.26399555644804507</v>
      </c>
      <c r="G1487" s="74">
        <v>39.379293944032653</v>
      </c>
      <c r="H1487" s="74">
        <f t="shared" si="47"/>
        <v>1.1151063992998687</v>
      </c>
    </row>
    <row r="1488" spans="5:8" ht="15.6">
      <c r="E1488" s="279" t="s">
        <v>1814</v>
      </c>
      <c r="F1488" s="284">
        <f t="shared" ca="1" si="46"/>
        <v>0.52619234439836415</v>
      </c>
      <c r="G1488" s="74">
        <v>34.844738950332335</v>
      </c>
      <c r="H1488" s="74">
        <f t="shared" si="47"/>
        <v>5.6496613930001871</v>
      </c>
    </row>
    <row r="1489" spans="5:8" ht="15.6">
      <c r="E1489" s="279" t="s">
        <v>1815</v>
      </c>
      <c r="F1489" s="284">
        <f t="shared" ca="1" si="46"/>
        <v>0.55646924808510678</v>
      </c>
      <c r="G1489" s="74">
        <v>36.887607351760536</v>
      </c>
      <c r="H1489" s="74">
        <f t="shared" si="47"/>
        <v>3.6067929915719859</v>
      </c>
    </row>
    <row r="1490" spans="5:8" ht="15.6">
      <c r="E1490" s="279" t="s">
        <v>1816</v>
      </c>
      <c r="F1490" s="284">
        <f t="shared" ca="1" si="46"/>
        <v>0.45546798588045267</v>
      </c>
      <c r="G1490" s="74">
        <v>40.887021879883719</v>
      </c>
      <c r="H1490" s="74">
        <f t="shared" si="47"/>
        <v>-0.39262153655119647</v>
      </c>
    </row>
    <row r="1491" spans="5:8" ht="15.6">
      <c r="E1491" s="279" t="s">
        <v>1817</v>
      </c>
      <c r="F1491" s="284">
        <f t="shared" ca="1" si="46"/>
        <v>0.95974753686123049</v>
      </c>
      <c r="G1491" s="74">
        <v>42.884152390094449</v>
      </c>
      <c r="H1491" s="74">
        <f t="shared" si="47"/>
        <v>-2.3897520467619273</v>
      </c>
    </row>
    <row r="1492" spans="5:8" ht="15.6">
      <c r="E1492" s="279" t="s">
        <v>1818</v>
      </c>
      <c r="F1492" s="284">
        <f t="shared" ca="1" si="46"/>
        <v>0.79475069608777449</v>
      </c>
      <c r="G1492" s="74">
        <v>42.237068893250097</v>
      </c>
      <c r="H1492" s="74">
        <f t="shared" si="47"/>
        <v>-1.7426685499175747</v>
      </c>
    </row>
    <row r="1493" spans="5:8" ht="15.6">
      <c r="E1493" s="279" t="s">
        <v>1819</v>
      </c>
      <c r="F1493" s="284">
        <f t="shared" ca="1" si="46"/>
        <v>0.60221493962881012</v>
      </c>
      <c r="G1493" s="74">
        <v>41.525397326244828</v>
      </c>
      <c r="H1493" s="74">
        <f t="shared" si="47"/>
        <v>-1.0309969829123062</v>
      </c>
    </row>
    <row r="1494" spans="5:8" ht="15.6">
      <c r="E1494" s="279" t="s">
        <v>1820</v>
      </c>
      <c r="F1494" s="284">
        <f t="shared" ca="1" si="46"/>
        <v>0.73422399252891501</v>
      </c>
      <c r="G1494" s="74">
        <v>41.696943559615633</v>
      </c>
      <c r="H1494" s="74">
        <f t="shared" si="47"/>
        <v>-1.2025432162831109</v>
      </c>
    </row>
    <row r="1495" spans="5:8" ht="15.6">
      <c r="E1495" s="279" t="s">
        <v>1821</v>
      </c>
      <c r="F1495" s="284">
        <f t="shared" ca="1" si="46"/>
        <v>0.31864008036643188</v>
      </c>
      <c r="G1495" s="74">
        <v>39.646974089697032</v>
      </c>
      <c r="H1495" s="74">
        <f t="shared" si="47"/>
        <v>0.84742625363548996</v>
      </c>
    </row>
    <row r="1496" spans="5:8" ht="15.6">
      <c r="E1496" s="279" t="s">
        <v>1822</v>
      </c>
      <c r="F1496" s="284">
        <f t="shared" ca="1" si="46"/>
        <v>0.69621849886053966</v>
      </c>
      <c r="G1496" s="74">
        <v>44.494623031365208</v>
      </c>
      <c r="H1496" s="74">
        <f t="shared" si="47"/>
        <v>-4.0002226880326859</v>
      </c>
    </row>
    <row r="1497" spans="5:8" ht="15.6">
      <c r="E1497" s="279" t="s">
        <v>1823</v>
      </c>
      <c r="F1497" s="284">
        <f t="shared" ca="1" si="46"/>
        <v>0.25777234270775107</v>
      </c>
      <c r="G1497" s="74">
        <v>41.64366193962109</v>
      </c>
      <c r="H1497" s="74">
        <f t="shared" si="47"/>
        <v>-1.1492615962885679</v>
      </c>
    </row>
    <row r="1498" spans="5:8" ht="15.6">
      <c r="E1498" s="279" t="s">
        <v>1824</v>
      </c>
      <c r="F1498" s="284">
        <f t="shared" ca="1" si="46"/>
        <v>0.22755420450498898</v>
      </c>
      <c r="G1498" s="74">
        <v>43.732924554054485</v>
      </c>
      <c r="H1498" s="74">
        <f t="shared" si="47"/>
        <v>-3.2385242107219625</v>
      </c>
    </row>
    <row r="1499" spans="5:8" ht="15.6">
      <c r="E1499" s="279" t="s">
        <v>1825</v>
      </c>
      <c r="F1499" s="284">
        <f t="shared" ca="1" si="46"/>
        <v>0.12544850761711002</v>
      </c>
      <c r="G1499" s="74">
        <v>38.529669229302328</v>
      </c>
      <c r="H1499" s="74">
        <f t="shared" si="47"/>
        <v>1.9647311140301937</v>
      </c>
    </row>
    <row r="1500" spans="5:8" ht="15.6">
      <c r="E1500" s="279" t="s">
        <v>1826</v>
      </c>
      <c r="F1500" s="284">
        <f t="shared" ca="1" si="46"/>
        <v>0.74327894090279967</v>
      </c>
      <c r="G1500" s="74">
        <v>37.964661087995637</v>
      </c>
      <c r="H1500" s="74">
        <f t="shared" si="47"/>
        <v>2.5297392553368852</v>
      </c>
    </row>
    <row r="1501" spans="5:8" ht="15.6">
      <c r="E1501" s="279" t="s">
        <v>1827</v>
      </c>
      <c r="F1501" s="284">
        <f t="shared" ca="1" si="46"/>
        <v>0.15467305520663155</v>
      </c>
      <c r="G1501" s="74">
        <v>40.772601232378676</v>
      </c>
      <c r="H1501" s="74">
        <f t="shared" si="47"/>
        <v>-0.27820088904615403</v>
      </c>
    </row>
    <row r="1502" spans="5:8" ht="15.6">
      <c r="E1502" s="279" t="s">
        <v>1828</v>
      </c>
      <c r="F1502" s="284">
        <f t="shared" ca="1" si="46"/>
        <v>0.36974556724083052</v>
      </c>
      <c r="G1502" s="74">
        <v>37.331451199384937</v>
      </c>
      <c r="H1502" s="74">
        <f t="shared" si="47"/>
        <v>3.1629491439475856</v>
      </c>
    </row>
    <row r="1503" spans="5:8" ht="15.6">
      <c r="E1503" s="279" t="s">
        <v>1829</v>
      </c>
      <c r="F1503" s="284">
        <f t="shared" ca="1" si="46"/>
        <v>0.11841003839198538</v>
      </c>
      <c r="G1503" s="74">
        <v>38.128220157852603</v>
      </c>
      <c r="H1503" s="74">
        <f t="shared" si="47"/>
        <v>2.3661801854799194</v>
      </c>
    </row>
    <row r="1504" spans="5:8" ht="15.6">
      <c r="E1504" s="279" t="s">
        <v>1830</v>
      </c>
      <c r="F1504" s="284">
        <f t="shared" ca="1" si="46"/>
        <v>0.39456682777959751</v>
      </c>
      <c r="G1504" s="74">
        <v>35.504957117779519</v>
      </c>
      <c r="H1504" s="74">
        <f t="shared" si="47"/>
        <v>4.9894432255530035</v>
      </c>
    </row>
    <row r="1505" spans="5:8" ht="15.6">
      <c r="E1505" s="279" t="s">
        <v>1831</v>
      </c>
      <c r="F1505" s="284">
        <f t="shared" ca="1" si="46"/>
        <v>0.93237320262691004</v>
      </c>
      <c r="G1505" s="74">
        <v>37.423886339275732</v>
      </c>
      <c r="H1505" s="74">
        <f t="shared" si="47"/>
        <v>3.0705140040567898</v>
      </c>
    </row>
    <row r="1506" spans="5:8" ht="15.6">
      <c r="E1506" s="279" t="s">
        <v>1832</v>
      </c>
      <c r="F1506" s="284">
        <f t="shared" ca="1" si="46"/>
        <v>0.95744145133354996</v>
      </c>
      <c r="G1506" s="74">
        <v>41.257159529658878</v>
      </c>
      <c r="H1506" s="74">
        <f t="shared" si="47"/>
        <v>-0.76275918632635609</v>
      </c>
    </row>
    <row r="1507" spans="5:8" ht="15.6">
      <c r="E1507" s="279" t="s">
        <v>1833</v>
      </c>
      <c r="F1507" s="284">
        <f t="shared" ca="1" si="46"/>
        <v>0.8604994179830493</v>
      </c>
      <c r="G1507" s="74">
        <v>38.332711223508767</v>
      </c>
      <c r="H1507" s="74">
        <f t="shared" si="47"/>
        <v>2.1616891198237553</v>
      </c>
    </row>
    <row r="1508" spans="5:8" ht="15.6">
      <c r="E1508" s="279" t="s">
        <v>1834</v>
      </c>
      <c r="F1508" s="284">
        <f t="shared" ca="1" si="46"/>
        <v>0.32670880469489427</v>
      </c>
      <c r="G1508" s="74">
        <v>37.665820266648069</v>
      </c>
      <c r="H1508" s="74">
        <f t="shared" si="47"/>
        <v>2.8285800766844531</v>
      </c>
    </row>
    <row r="1509" spans="5:8" ht="15.6">
      <c r="E1509" s="279" t="s">
        <v>1835</v>
      </c>
      <c r="F1509" s="284">
        <f t="shared" ca="1" si="46"/>
        <v>0.56228124620175279</v>
      </c>
      <c r="G1509" s="74">
        <v>39.949789055328289</v>
      </c>
      <c r="H1509" s="74">
        <f t="shared" si="47"/>
        <v>0.54461128800423353</v>
      </c>
    </row>
    <row r="1510" spans="5:8" ht="15.6">
      <c r="E1510" s="279" t="s">
        <v>1836</v>
      </c>
      <c r="F1510" s="284">
        <f t="shared" ca="1" si="46"/>
        <v>0.60280180377834569</v>
      </c>
      <c r="G1510" s="74">
        <v>40.858975078857597</v>
      </c>
      <c r="H1510" s="74">
        <f t="shared" si="47"/>
        <v>-0.3645747355250748</v>
      </c>
    </row>
    <row r="1511" spans="5:8" ht="15.6">
      <c r="E1511" s="279" t="s">
        <v>1837</v>
      </c>
      <c r="F1511" s="284">
        <f t="shared" ca="1" si="46"/>
        <v>0.50560913320512402</v>
      </c>
      <c r="G1511" s="74">
        <v>37.023026490548865</v>
      </c>
      <c r="H1511" s="74">
        <f t="shared" si="47"/>
        <v>3.4713738527836568</v>
      </c>
    </row>
    <row r="1512" spans="5:8" ht="15.6">
      <c r="E1512" s="279" t="s">
        <v>1838</v>
      </c>
      <c r="F1512" s="284">
        <f t="shared" ca="1" si="46"/>
        <v>0.16837182436581444</v>
      </c>
      <c r="G1512" s="74">
        <v>37.742226360110223</v>
      </c>
      <c r="H1512" s="74">
        <f t="shared" si="47"/>
        <v>2.7521739832222991</v>
      </c>
    </row>
    <row r="1513" spans="5:8" ht="15.6">
      <c r="E1513" s="279" t="s">
        <v>1839</v>
      </c>
      <c r="F1513" s="284">
        <f t="shared" ca="1" si="46"/>
        <v>0.44541526394305453</v>
      </c>
      <c r="G1513" s="74">
        <v>38.146290957105649</v>
      </c>
      <c r="H1513" s="74">
        <f t="shared" si="47"/>
        <v>2.3481093862268736</v>
      </c>
    </row>
    <row r="1514" spans="5:8" ht="15.6">
      <c r="E1514" s="279" t="s">
        <v>1840</v>
      </c>
      <c r="F1514" s="284">
        <f t="shared" ca="1" si="46"/>
        <v>0.13194117501997804</v>
      </c>
      <c r="G1514" s="74">
        <v>38.209553056785872</v>
      </c>
      <c r="H1514" s="74">
        <f t="shared" si="47"/>
        <v>2.2848472865466505</v>
      </c>
    </row>
    <row r="1515" spans="5:8" ht="15.6">
      <c r="E1515" s="279" t="s">
        <v>1841</v>
      </c>
      <c r="F1515" s="284">
        <f t="shared" ca="1" si="46"/>
        <v>3.9797218004449575E-2</v>
      </c>
      <c r="G1515" s="74">
        <v>34.17135348885293</v>
      </c>
      <c r="H1515" s="74">
        <f t="shared" si="47"/>
        <v>6.3230468544795926</v>
      </c>
    </row>
    <row r="1516" spans="5:8" ht="15.6">
      <c r="E1516" s="279" t="s">
        <v>1842</v>
      </c>
      <c r="F1516" s="284">
        <f t="shared" ca="1" si="46"/>
        <v>0.22293259281169531</v>
      </c>
      <c r="G1516" s="74">
        <v>37.475967563056408</v>
      </c>
      <c r="H1516" s="74">
        <f t="shared" si="47"/>
        <v>3.0184327802761146</v>
      </c>
    </row>
    <row r="1517" spans="5:8" ht="15.6">
      <c r="E1517" s="279" t="s">
        <v>1843</v>
      </c>
      <c r="F1517" s="284">
        <f t="shared" ca="1" si="46"/>
        <v>0.67068774600763847</v>
      </c>
      <c r="G1517" s="74">
        <v>39.678724386500249</v>
      </c>
      <c r="H1517" s="74">
        <f t="shared" si="47"/>
        <v>0.81567595683227268</v>
      </c>
    </row>
    <row r="1518" spans="5:8" ht="15.6">
      <c r="E1518" s="279" t="s">
        <v>1844</v>
      </c>
      <c r="F1518" s="284">
        <f t="shared" ca="1" si="46"/>
        <v>0.44612121107020464</v>
      </c>
      <c r="G1518" s="74">
        <v>43.481537486489152</v>
      </c>
      <c r="H1518" s="74">
        <f t="shared" si="47"/>
        <v>-2.9871371431566303</v>
      </c>
    </row>
    <row r="1519" spans="5:8" ht="15.6">
      <c r="E1519" s="279" t="s">
        <v>1845</v>
      </c>
      <c r="F1519" s="284">
        <f t="shared" ca="1" si="46"/>
        <v>0.47139124537332011</v>
      </c>
      <c r="G1519" s="74">
        <v>40.326008894004183</v>
      </c>
      <c r="H1519" s="74">
        <f t="shared" si="47"/>
        <v>0.1683914493283396</v>
      </c>
    </row>
    <row r="1520" spans="5:8" ht="15.6">
      <c r="E1520" s="279" t="s">
        <v>1846</v>
      </c>
      <c r="F1520" s="284">
        <f t="shared" ca="1" si="46"/>
        <v>0.47732787204681471</v>
      </c>
      <c r="G1520" s="74">
        <v>40.478506937258274</v>
      </c>
      <c r="H1520" s="74">
        <f t="shared" si="47"/>
        <v>1.5893406074248162E-2</v>
      </c>
    </row>
    <row r="1521" spans="5:8" ht="15.6">
      <c r="E1521" s="279" t="s">
        <v>1847</v>
      </c>
      <c r="F1521" s="284">
        <f t="shared" ca="1" si="46"/>
        <v>0.92859810771330098</v>
      </c>
      <c r="G1521" s="74">
        <v>35.793646595742281</v>
      </c>
      <c r="H1521" s="74">
        <f t="shared" si="47"/>
        <v>4.700753747590241</v>
      </c>
    </row>
    <row r="1522" spans="5:8" ht="15.6">
      <c r="E1522" s="279" t="s">
        <v>1848</v>
      </c>
      <c r="F1522" s="284">
        <f t="shared" ca="1" si="46"/>
        <v>0.89767143870338639</v>
      </c>
      <c r="G1522" s="74">
        <v>42.261810939263171</v>
      </c>
      <c r="H1522" s="74">
        <f t="shared" si="47"/>
        <v>-1.7674105959306488</v>
      </c>
    </row>
    <row r="1523" spans="5:8" ht="15.6">
      <c r="E1523" s="279" t="s">
        <v>1849</v>
      </c>
      <c r="F1523" s="284">
        <f t="shared" ca="1" si="46"/>
        <v>0.51019113498054836</v>
      </c>
      <c r="G1523" s="74">
        <v>41.714633535488659</v>
      </c>
      <c r="H1523" s="74">
        <f t="shared" si="47"/>
        <v>-1.2202331921561367</v>
      </c>
    </row>
    <row r="1524" spans="5:8" ht="15.6">
      <c r="E1524" s="279" t="s">
        <v>1850</v>
      </c>
      <c r="F1524" s="284">
        <f t="shared" ca="1" si="46"/>
        <v>0.87913600924551427</v>
      </c>
      <c r="G1524" s="74">
        <v>45.747759104099607</v>
      </c>
      <c r="H1524" s="74">
        <f t="shared" si="47"/>
        <v>-5.2533587607670853</v>
      </c>
    </row>
    <row r="1525" spans="5:8" ht="15.6">
      <c r="E1525" s="279" t="s">
        <v>1851</v>
      </c>
      <c r="F1525" s="284">
        <f t="shared" ca="1" si="46"/>
        <v>0.78627091856869757</v>
      </c>
      <c r="G1525" s="74">
        <v>37.559259142422718</v>
      </c>
      <c r="H1525" s="74">
        <f t="shared" si="47"/>
        <v>2.9351412009098041</v>
      </c>
    </row>
    <row r="1526" spans="5:8" ht="15.6">
      <c r="E1526" s="279" t="s">
        <v>1852</v>
      </c>
      <c r="F1526" s="284">
        <f t="shared" ca="1" si="46"/>
        <v>0.26761198650604479</v>
      </c>
      <c r="G1526" s="74">
        <v>40.188319737970872</v>
      </c>
      <c r="H1526" s="74">
        <f t="shared" si="47"/>
        <v>0.30608060536165027</v>
      </c>
    </row>
    <row r="1527" spans="5:8" ht="15.6">
      <c r="E1527" s="279" t="s">
        <v>1853</v>
      </c>
      <c r="F1527" s="284">
        <f t="shared" ca="1" si="46"/>
        <v>0.83504185846218337</v>
      </c>
      <c r="G1527" s="74">
        <v>38.967410546394014</v>
      </c>
      <c r="H1527" s="74">
        <f t="shared" si="47"/>
        <v>1.5269897969385084</v>
      </c>
    </row>
    <row r="1528" spans="5:8" ht="15.6">
      <c r="E1528" s="279" t="s">
        <v>1854</v>
      </c>
      <c r="F1528" s="284">
        <f t="shared" ca="1" si="46"/>
        <v>0.79755043192729325</v>
      </c>
      <c r="G1528" s="74">
        <v>39.073068802071248</v>
      </c>
      <c r="H1528" s="74">
        <f t="shared" si="47"/>
        <v>1.4213315412612744</v>
      </c>
    </row>
    <row r="1529" spans="5:8" ht="15.6">
      <c r="E1529" s="279" t="s">
        <v>1855</v>
      </c>
      <c r="F1529" s="284">
        <f t="shared" ca="1" si="46"/>
        <v>0.1490595816128496</v>
      </c>
      <c r="G1529" s="74">
        <v>43.842450081571187</v>
      </c>
      <c r="H1529" s="74">
        <f t="shared" si="47"/>
        <v>-3.3480497382386645</v>
      </c>
    </row>
    <row r="1530" spans="5:8" ht="15.6">
      <c r="E1530" s="279" t="s">
        <v>1856</v>
      </c>
      <c r="F1530" s="284">
        <f t="shared" ca="1" si="46"/>
        <v>0.92567590499674246</v>
      </c>
      <c r="G1530" s="74">
        <v>39.441025171246707</v>
      </c>
      <c r="H1530" s="74">
        <f t="shared" si="47"/>
        <v>1.0533751720858149</v>
      </c>
    </row>
    <row r="1531" spans="5:8" ht="15.6">
      <c r="E1531" s="279" t="s">
        <v>1857</v>
      </c>
      <c r="F1531" s="284">
        <f t="shared" ca="1" si="46"/>
        <v>0.28506565682784524</v>
      </c>
      <c r="G1531" s="74">
        <v>37.786319334111951</v>
      </c>
      <c r="H1531" s="74">
        <f t="shared" si="47"/>
        <v>2.7080810092205709</v>
      </c>
    </row>
    <row r="1532" spans="5:8" ht="15.6">
      <c r="E1532" s="279" t="s">
        <v>1858</v>
      </c>
      <c r="F1532" s="284">
        <f t="shared" ca="1" si="46"/>
        <v>0.20492943201845182</v>
      </c>
      <c r="G1532" s="74">
        <v>37.505815660431786</v>
      </c>
      <c r="H1532" s="74">
        <f t="shared" si="47"/>
        <v>2.9885846829007363</v>
      </c>
    </row>
    <row r="1533" spans="5:8" ht="15.6">
      <c r="E1533" s="279" t="s">
        <v>1859</v>
      </c>
      <c r="F1533" s="284">
        <f t="shared" ca="1" si="46"/>
        <v>0.89958825438120082</v>
      </c>
      <c r="G1533" s="74">
        <v>43.238687355254562</v>
      </c>
      <c r="H1533" s="74">
        <f t="shared" si="47"/>
        <v>-2.7442870119220402</v>
      </c>
    </row>
    <row r="1534" spans="5:8" ht="15.6">
      <c r="E1534" s="279" t="s">
        <v>1860</v>
      </c>
      <c r="F1534" s="284">
        <f t="shared" ca="1" si="46"/>
        <v>0.92699174273255303</v>
      </c>
      <c r="G1534" s="74">
        <v>38.581094975132615</v>
      </c>
      <c r="H1534" s="74">
        <f t="shared" si="47"/>
        <v>1.9133053681999073</v>
      </c>
    </row>
    <row r="1535" spans="5:8" ht="15.6">
      <c r="E1535" s="279" t="s">
        <v>1861</v>
      </c>
      <c r="F1535" s="284">
        <f t="shared" ca="1" si="46"/>
        <v>0.93679307852581473</v>
      </c>
      <c r="G1535" s="74">
        <v>40.417675053548692</v>
      </c>
      <c r="H1535" s="74">
        <f t="shared" si="47"/>
        <v>7.6725289783830419E-2</v>
      </c>
    </row>
    <row r="1536" spans="5:8" ht="15.6">
      <c r="E1536" s="279" t="s">
        <v>1862</v>
      </c>
      <c r="F1536" s="284">
        <f t="shared" ca="1" si="46"/>
        <v>0.36459051031193712</v>
      </c>
      <c r="G1536" s="74">
        <v>39.323289937862953</v>
      </c>
      <c r="H1536" s="74">
        <f t="shared" si="47"/>
        <v>1.1711104054695696</v>
      </c>
    </row>
    <row r="1537" spans="5:8" ht="15.6">
      <c r="E1537" s="279" t="s">
        <v>1863</v>
      </c>
      <c r="F1537" s="284">
        <f t="shared" ca="1" si="46"/>
        <v>0.74617904299168014</v>
      </c>
      <c r="G1537" s="74">
        <v>37.326160705732612</v>
      </c>
      <c r="H1537" s="74">
        <f t="shared" si="47"/>
        <v>3.1682396375999105</v>
      </c>
    </row>
    <row r="1538" spans="5:8" ht="15.6">
      <c r="E1538" s="279" t="s">
        <v>1864</v>
      </c>
      <c r="F1538" s="284">
        <f t="shared" ca="1" si="46"/>
        <v>0.33144702239487644</v>
      </c>
      <c r="G1538" s="74">
        <v>39.378969356179844</v>
      </c>
      <c r="H1538" s="74">
        <f t="shared" si="47"/>
        <v>1.1154309871526777</v>
      </c>
    </row>
    <row r="1539" spans="5:8" ht="15.6">
      <c r="E1539" s="279" t="s">
        <v>1865</v>
      </c>
      <c r="F1539" s="284">
        <f t="shared" ca="1" si="46"/>
        <v>0.56697474728638353</v>
      </c>
      <c r="G1539" s="74">
        <v>39.49602135243817</v>
      </c>
      <c r="H1539" s="74">
        <f t="shared" si="47"/>
        <v>0.99837899089435211</v>
      </c>
    </row>
    <row r="1540" spans="5:8" ht="15.6">
      <c r="E1540" s="279" t="s">
        <v>1866</v>
      </c>
      <c r="F1540" s="284">
        <f t="shared" ca="1" si="46"/>
        <v>7.67981710704978E-2</v>
      </c>
      <c r="G1540" s="74">
        <v>41.826985546343714</v>
      </c>
      <c r="H1540" s="74">
        <f t="shared" si="47"/>
        <v>-1.3325852030111918</v>
      </c>
    </row>
    <row r="1541" spans="5:8" ht="15.6">
      <c r="E1541" s="279" t="s">
        <v>1867</v>
      </c>
      <c r="F1541" s="284">
        <f t="shared" ca="1" si="46"/>
        <v>0.60355740367703481</v>
      </c>
      <c r="G1541" s="74">
        <v>39.759319456320249</v>
      </c>
      <c r="H1541" s="74">
        <f t="shared" si="47"/>
        <v>0.73508088701227337</v>
      </c>
    </row>
    <row r="1542" spans="5:8" ht="15.6">
      <c r="E1542" s="279" t="s">
        <v>1868</v>
      </c>
      <c r="F1542" s="284">
        <f t="shared" ca="1" si="46"/>
        <v>0.80419264535525015</v>
      </c>
      <c r="G1542" s="74">
        <v>38.049325293607033</v>
      </c>
      <c r="H1542" s="74">
        <f t="shared" si="47"/>
        <v>2.4450750497254887</v>
      </c>
    </row>
    <row r="1543" spans="5:8" ht="15.6">
      <c r="E1543" s="279" t="s">
        <v>1869</v>
      </c>
      <c r="F1543" s="284">
        <f t="shared" ca="1" si="46"/>
        <v>0.12399080756335468</v>
      </c>
      <c r="G1543" s="74">
        <v>39.221623416962913</v>
      </c>
      <c r="H1543" s="74">
        <f t="shared" si="47"/>
        <v>1.2727769263696089</v>
      </c>
    </row>
    <row r="1544" spans="5:8" ht="15.6">
      <c r="E1544" s="279" t="s">
        <v>1870</v>
      </c>
      <c r="F1544" s="284">
        <f t="shared" ca="1" si="46"/>
        <v>0.17084108127134834</v>
      </c>
      <c r="G1544" s="74">
        <v>39.078392560508703</v>
      </c>
      <c r="H1544" s="74">
        <f t="shared" si="47"/>
        <v>1.4160077828238187</v>
      </c>
    </row>
    <row r="1545" spans="5:8" ht="15.6">
      <c r="E1545" s="279" t="s">
        <v>1871</v>
      </c>
      <c r="F1545" s="284">
        <f t="shared" ca="1" si="46"/>
        <v>0.88123205564693807</v>
      </c>
      <c r="G1545" s="74">
        <v>35.939755161286541</v>
      </c>
      <c r="H1545" s="74">
        <f t="shared" si="47"/>
        <v>4.5546451820459808</v>
      </c>
    </row>
    <row r="1546" spans="5:8" ht="15.6">
      <c r="E1546" s="279" t="s">
        <v>1872</v>
      </c>
      <c r="F1546" s="284">
        <f t="shared" ca="1" si="46"/>
        <v>0.90632495041067884</v>
      </c>
      <c r="G1546" s="74">
        <v>35.376629751195374</v>
      </c>
      <c r="H1546" s="74">
        <f t="shared" si="47"/>
        <v>5.1177705921371484</v>
      </c>
    </row>
    <row r="1547" spans="5:8" ht="15.6">
      <c r="E1547" s="279" t="s">
        <v>1873</v>
      </c>
      <c r="F1547" s="284">
        <f t="shared" ca="1" si="46"/>
        <v>0.33195564491829543</v>
      </c>
      <c r="G1547" s="74">
        <v>41.715204175617707</v>
      </c>
      <c r="H1547" s="74">
        <f t="shared" si="47"/>
        <v>-1.2208038322851849</v>
      </c>
    </row>
    <row r="1548" spans="5:8" ht="15.6">
      <c r="E1548" s="279" t="s">
        <v>1874</v>
      </c>
      <c r="F1548" s="284">
        <f t="shared" ref="F1548:F1611" ca="1" si="48">RAND()</f>
        <v>0.45015711553650084</v>
      </c>
      <c r="G1548" s="74">
        <v>37.886537831398634</v>
      </c>
      <c r="H1548" s="74">
        <f t="shared" ref="H1548:H1611" si="49">$D$2-G1548</f>
        <v>2.6078625119338881</v>
      </c>
    </row>
    <row r="1549" spans="5:8" ht="15.6">
      <c r="E1549" s="279" t="s">
        <v>1875</v>
      </c>
      <c r="F1549" s="284">
        <f t="shared" ca="1" si="48"/>
        <v>0.78168907654738373</v>
      </c>
      <c r="G1549" s="74">
        <v>40.581369210894302</v>
      </c>
      <c r="H1549" s="74">
        <f t="shared" si="49"/>
        <v>-8.6968867561779462E-2</v>
      </c>
    </row>
    <row r="1550" spans="5:8" ht="15.6">
      <c r="E1550" s="279" t="s">
        <v>1876</v>
      </c>
      <c r="F1550" s="284">
        <f t="shared" ca="1" si="48"/>
        <v>0.65820298770464736</v>
      </c>
      <c r="G1550" s="74">
        <v>40.687107104108613</v>
      </c>
      <c r="H1550" s="74">
        <f t="shared" si="49"/>
        <v>-0.19270676077609039</v>
      </c>
    </row>
    <row r="1551" spans="5:8" ht="15.6">
      <c r="E1551" s="279" t="s">
        <v>1877</v>
      </c>
      <c r="F1551" s="284">
        <f t="shared" ca="1" si="48"/>
        <v>0.23974204628115248</v>
      </c>
      <c r="G1551" s="74">
        <v>39.670158168726751</v>
      </c>
      <c r="H1551" s="74">
        <f t="shared" si="49"/>
        <v>0.82424217460577154</v>
      </c>
    </row>
    <row r="1552" spans="5:8" ht="15.6">
      <c r="E1552" s="279" t="s">
        <v>1878</v>
      </c>
      <c r="F1552" s="284">
        <f t="shared" ca="1" si="48"/>
        <v>0.56510241172199349</v>
      </c>
      <c r="G1552" s="74">
        <v>37.908757775592754</v>
      </c>
      <c r="H1552" s="74">
        <f t="shared" si="49"/>
        <v>2.5856425677397681</v>
      </c>
    </row>
    <row r="1553" spans="5:8" ht="15.6">
      <c r="E1553" s="279" t="s">
        <v>1879</v>
      </c>
      <c r="F1553" s="284">
        <f t="shared" ca="1" si="48"/>
        <v>0.40388853269125036</v>
      </c>
      <c r="G1553" s="74">
        <v>39.710643243731653</v>
      </c>
      <c r="H1553" s="74">
        <f t="shared" si="49"/>
        <v>0.78375709960086937</v>
      </c>
    </row>
    <row r="1554" spans="5:8" ht="15.6">
      <c r="E1554" s="279" t="s">
        <v>1880</v>
      </c>
      <c r="F1554" s="284">
        <f t="shared" ca="1" si="48"/>
        <v>0.52421845441697545</v>
      </c>
      <c r="G1554" s="74">
        <v>35.733754303538099</v>
      </c>
      <c r="H1554" s="74">
        <f t="shared" si="49"/>
        <v>4.7606460397944232</v>
      </c>
    </row>
    <row r="1555" spans="5:8" ht="15.6">
      <c r="E1555" s="279" t="s">
        <v>1881</v>
      </c>
      <c r="F1555" s="284">
        <f t="shared" ca="1" si="48"/>
        <v>0.61865099092630482</v>
      </c>
      <c r="G1555" s="74">
        <v>39.886134853549649</v>
      </c>
      <c r="H1555" s="74">
        <f t="shared" si="49"/>
        <v>0.6082654897828732</v>
      </c>
    </row>
    <row r="1556" spans="5:8" ht="15.6">
      <c r="E1556" s="279" t="s">
        <v>1882</v>
      </c>
      <c r="F1556" s="284">
        <f t="shared" ca="1" si="48"/>
        <v>6.2340112234467115E-2</v>
      </c>
      <c r="G1556" s="74">
        <v>37.539566237403101</v>
      </c>
      <c r="H1556" s="74">
        <f t="shared" si="49"/>
        <v>2.9548341059294216</v>
      </c>
    </row>
    <row r="1557" spans="5:8" ht="15.6">
      <c r="E1557" s="279" t="s">
        <v>1883</v>
      </c>
      <c r="F1557" s="284">
        <f t="shared" ca="1" si="48"/>
        <v>0.31001845019988905</v>
      </c>
      <c r="G1557" s="74">
        <v>38.922201205310728</v>
      </c>
      <c r="H1557" s="74">
        <f t="shared" si="49"/>
        <v>1.5721991380217943</v>
      </c>
    </row>
    <row r="1558" spans="5:8" ht="15.6">
      <c r="E1558" s="279" t="s">
        <v>1884</v>
      </c>
      <c r="F1558" s="284">
        <f t="shared" ca="1" si="48"/>
        <v>0.24222503312413124</v>
      </c>
      <c r="G1558" s="74">
        <v>38.991194732332616</v>
      </c>
      <c r="H1558" s="74">
        <f t="shared" si="49"/>
        <v>1.5032056109999061</v>
      </c>
    </row>
    <row r="1559" spans="5:8" ht="15.6">
      <c r="E1559" s="279" t="s">
        <v>1885</v>
      </c>
      <c r="F1559" s="284">
        <f t="shared" ca="1" si="48"/>
        <v>0.20368426749612234</v>
      </c>
      <c r="G1559" s="74">
        <v>38.732119124615863</v>
      </c>
      <c r="H1559" s="74">
        <f t="shared" si="49"/>
        <v>1.7622812187166588</v>
      </c>
    </row>
    <row r="1560" spans="5:8" ht="15.6">
      <c r="E1560" s="279" t="s">
        <v>1886</v>
      </c>
      <c r="F1560" s="284">
        <f t="shared" ca="1" si="48"/>
        <v>0.61641277398823013</v>
      </c>
      <c r="G1560" s="74">
        <v>40.253244203883078</v>
      </c>
      <c r="H1560" s="74">
        <f t="shared" si="49"/>
        <v>0.24115613944944414</v>
      </c>
    </row>
    <row r="1561" spans="5:8" ht="15.6">
      <c r="E1561" s="279" t="s">
        <v>1887</v>
      </c>
      <c r="F1561" s="284">
        <f t="shared" ca="1" si="48"/>
        <v>0.76803857132660425</v>
      </c>
      <c r="G1561" s="74">
        <v>32.508037464331181</v>
      </c>
      <c r="H1561" s="74">
        <f t="shared" si="49"/>
        <v>7.9863628790013408</v>
      </c>
    </row>
    <row r="1562" spans="5:8" ht="15.6">
      <c r="E1562" s="279" t="s">
        <v>1888</v>
      </c>
      <c r="F1562" s="284">
        <f t="shared" ca="1" si="48"/>
        <v>0.58839330424237934</v>
      </c>
      <c r="G1562" s="74">
        <v>38.270171530363008</v>
      </c>
      <c r="H1562" s="74">
        <f t="shared" si="49"/>
        <v>2.224228812969514</v>
      </c>
    </row>
    <row r="1563" spans="5:8" ht="15.6">
      <c r="E1563" s="279" t="s">
        <v>1889</v>
      </c>
      <c r="F1563" s="284">
        <f t="shared" ca="1" si="48"/>
        <v>0.26201540601143014</v>
      </c>
      <c r="G1563" s="74">
        <v>40.401516888925727</v>
      </c>
      <c r="H1563" s="74">
        <f t="shared" si="49"/>
        <v>9.2883454406795352E-2</v>
      </c>
    </row>
    <row r="1564" spans="5:8" ht="15.6">
      <c r="E1564" s="279" t="s">
        <v>1890</v>
      </c>
      <c r="F1564" s="284">
        <f t="shared" ca="1" si="48"/>
        <v>0.13914772200826719</v>
      </c>
      <c r="G1564" s="74">
        <v>38.124223910049459</v>
      </c>
      <c r="H1564" s="74">
        <f t="shared" si="49"/>
        <v>2.3701764332830635</v>
      </c>
    </row>
    <row r="1565" spans="5:8" ht="15.6">
      <c r="E1565" s="279" t="s">
        <v>1891</v>
      </c>
      <c r="F1565" s="284">
        <f t="shared" ca="1" si="48"/>
        <v>0.3404166125508501</v>
      </c>
      <c r="G1565" s="74">
        <v>42.108695993374418</v>
      </c>
      <c r="H1565" s="74">
        <f t="shared" si="49"/>
        <v>-1.6142956500418961</v>
      </c>
    </row>
    <row r="1566" spans="5:8" ht="15.6">
      <c r="E1566" s="279" t="s">
        <v>1892</v>
      </c>
      <c r="F1566" s="284">
        <f t="shared" ca="1" si="48"/>
        <v>3.5631657444376463E-2</v>
      </c>
      <c r="G1566" s="74">
        <v>42.297689732280112</v>
      </c>
      <c r="H1566" s="74">
        <f t="shared" si="49"/>
        <v>-1.8032893889475901</v>
      </c>
    </row>
    <row r="1567" spans="5:8" ht="15.6">
      <c r="E1567" s="279" t="s">
        <v>1893</v>
      </c>
      <c r="F1567" s="284">
        <f t="shared" ca="1" si="48"/>
        <v>0.17661273455865922</v>
      </c>
      <c r="G1567" s="74">
        <v>42.104436414734757</v>
      </c>
      <c r="H1567" s="74">
        <f t="shared" si="49"/>
        <v>-1.6100360714022344</v>
      </c>
    </row>
    <row r="1568" spans="5:8" ht="15.6">
      <c r="E1568" s="279" t="s">
        <v>1894</v>
      </c>
      <c r="F1568" s="284">
        <f t="shared" ca="1" si="48"/>
        <v>0.85994925216938467</v>
      </c>
      <c r="G1568" s="74">
        <v>34.784215905938161</v>
      </c>
      <c r="H1568" s="74">
        <f t="shared" si="49"/>
        <v>5.7101844373943607</v>
      </c>
    </row>
    <row r="1569" spans="5:8" ht="15.6">
      <c r="E1569" s="279" t="s">
        <v>1895</v>
      </c>
      <c r="F1569" s="284">
        <f t="shared" ca="1" si="48"/>
        <v>0.40739389882399513</v>
      </c>
      <c r="G1569" s="74">
        <v>39.288759345508645</v>
      </c>
      <c r="H1569" s="74">
        <f t="shared" si="49"/>
        <v>1.2056409978238776</v>
      </c>
    </row>
    <row r="1570" spans="5:8" ht="15.6">
      <c r="E1570" s="279" t="s">
        <v>1896</v>
      </c>
      <c r="F1570" s="284">
        <f t="shared" ca="1" si="48"/>
        <v>0.3842488347903118</v>
      </c>
      <c r="G1570" s="74">
        <v>41.61740030447671</v>
      </c>
      <c r="H1570" s="74">
        <f t="shared" si="49"/>
        <v>-1.1229999611441883</v>
      </c>
    </row>
    <row r="1571" spans="5:8" ht="15.6">
      <c r="E1571" s="279" t="s">
        <v>1897</v>
      </c>
      <c r="F1571" s="284">
        <f t="shared" ca="1" si="48"/>
        <v>0.90092403641767405</v>
      </c>
      <c r="G1571" s="74">
        <v>38.226607257748711</v>
      </c>
      <c r="H1571" s="74">
        <f t="shared" si="49"/>
        <v>2.2677930855838113</v>
      </c>
    </row>
    <row r="1572" spans="5:8" ht="15.6">
      <c r="E1572" s="279" t="s">
        <v>1898</v>
      </c>
      <c r="F1572" s="284">
        <f t="shared" ca="1" si="48"/>
        <v>0.13142879065052182</v>
      </c>
      <c r="G1572" s="74">
        <v>36.29069273116459</v>
      </c>
      <c r="H1572" s="74">
        <f t="shared" si="49"/>
        <v>4.203707612167932</v>
      </c>
    </row>
    <row r="1573" spans="5:8" ht="15.6">
      <c r="E1573" s="279" t="s">
        <v>1899</v>
      </c>
      <c r="F1573" s="284">
        <f t="shared" ca="1" si="48"/>
        <v>0.36962603004490402</v>
      </c>
      <c r="G1573" s="74">
        <v>41.273781663010254</v>
      </c>
      <c r="H1573" s="74">
        <f t="shared" si="49"/>
        <v>-0.77938131967773217</v>
      </c>
    </row>
    <row r="1574" spans="5:8" ht="15.6">
      <c r="E1574" s="279" t="s">
        <v>1900</v>
      </c>
      <c r="F1574" s="284">
        <f t="shared" ca="1" si="48"/>
        <v>0.13349687998388671</v>
      </c>
      <c r="G1574" s="74">
        <v>38.227344476063827</v>
      </c>
      <c r="H1574" s="74">
        <f t="shared" si="49"/>
        <v>2.2670558672686951</v>
      </c>
    </row>
    <row r="1575" spans="5:8" ht="15.6">
      <c r="E1575" s="279" t="s">
        <v>1901</v>
      </c>
      <c r="F1575" s="284">
        <f t="shared" ca="1" si="48"/>
        <v>0.9024663579666834</v>
      </c>
      <c r="G1575" s="74">
        <v>40.918020492690246</v>
      </c>
      <c r="H1575" s="74">
        <f t="shared" si="49"/>
        <v>-0.42362014935772407</v>
      </c>
    </row>
    <row r="1576" spans="5:8" ht="15.6">
      <c r="E1576" s="279" t="s">
        <v>1902</v>
      </c>
      <c r="F1576" s="284">
        <f t="shared" ca="1" si="48"/>
        <v>0.41973714606419832</v>
      </c>
      <c r="G1576" s="74">
        <v>38.72453962702771</v>
      </c>
      <c r="H1576" s="74">
        <f t="shared" si="49"/>
        <v>1.7698607163048123</v>
      </c>
    </row>
    <row r="1577" spans="5:8" ht="15.6">
      <c r="E1577" s="279" t="s">
        <v>1903</v>
      </c>
      <c r="F1577" s="284">
        <f t="shared" ca="1" si="48"/>
        <v>6.9520597323657118E-2</v>
      </c>
      <c r="G1577" s="74">
        <v>37.811868940110536</v>
      </c>
      <c r="H1577" s="74">
        <f t="shared" si="49"/>
        <v>2.6825314032219865</v>
      </c>
    </row>
    <row r="1578" spans="5:8" ht="15.6">
      <c r="E1578" s="279" t="s">
        <v>1904</v>
      </c>
      <c r="F1578" s="284">
        <f t="shared" ca="1" si="48"/>
        <v>9.4395580609937468E-2</v>
      </c>
      <c r="G1578" s="74">
        <v>38.722715377947218</v>
      </c>
      <c r="H1578" s="74">
        <f t="shared" si="49"/>
        <v>1.7716849653853046</v>
      </c>
    </row>
    <row r="1579" spans="5:8" ht="15.6">
      <c r="E1579" s="279" t="s">
        <v>1905</v>
      </c>
      <c r="F1579" s="284">
        <f t="shared" ca="1" si="48"/>
        <v>0.8723389625579473</v>
      </c>
      <c r="G1579" s="74">
        <v>43.879538158260466</v>
      </c>
      <c r="H1579" s="74">
        <f t="shared" si="49"/>
        <v>-3.3851378149279441</v>
      </c>
    </row>
    <row r="1580" spans="5:8" ht="15.6">
      <c r="E1580" s="279" t="s">
        <v>1906</v>
      </c>
      <c r="F1580" s="284">
        <f t="shared" ca="1" si="48"/>
        <v>0.25447077078688107</v>
      </c>
      <c r="G1580" s="74">
        <v>36.023700942646265</v>
      </c>
      <c r="H1580" s="74">
        <f t="shared" si="49"/>
        <v>4.4706994006862573</v>
      </c>
    </row>
    <row r="1581" spans="5:8" ht="15.6">
      <c r="E1581" s="279" t="s">
        <v>1907</v>
      </c>
      <c r="F1581" s="284">
        <f t="shared" ca="1" si="48"/>
        <v>0.6673392193136819</v>
      </c>
      <c r="G1581" s="74">
        <v>41.583026095162566</v>
      </c>
      <c r="H1581" s="74">
        <f t="shared" si="49"/>
        <v>-1.088625751830044</v>
      </c>
    </row>
    <row r="1582" spans="5:8" ht="15.6">
      <c r="E1582" s="279" t="s">
        <v>1908</v>
      </c>
      <c r="F1582" s="284">
        <f t="shared" ca="1" si="48"/>
        <v>0.99520919142482234</v>
      </c>
      <c r="G1582" s="74">
        <v>39.002221537517705</v>
      </c>
      <c r="H1582" s="74">
        <f t="shared" si="49"/>
        <v>1.4921788058148167</v>
      </c>
    </row>
    <row r="1583" spans="5:8" ht="15.6">
      <c r="E1583" s="279" t="s">
        <v>1909</v>
      </c>
      <c r="F1583" s="284">
        <f t="shared" ca="1" si="48"/>
        <v>0.91635889003144722</v>
      </c>
      <c r="G1583" s="74">
        <v>36.086206806395403</v>
      </c>
      <c r="H1583" s="74">
        <f t="shared" si="49"/>
        <v>4.4081935369371195</v>
      </c>
    </row>
    <row r="1584" spans="5:8" ht="15.6">
      <c r="E1584" s="279" t="s">
        <v>1910</v>
      </c>
      <c r="F1584" s="284">
        <f t="shared" ca="1" si="48"/>
        <v>0.63995155919586533</v>
      </c>
      <c r="G1584" s="74">
        <v>39.791445968486826</v>
      </c>
      <c r="H1584" s="74">
        <f t="shared" si="49"/>
        <v>0.7029543748456959</v>
      </c>
    </row>
    <row r="1585" spans="5:8" ht="15.6">
      <c r="E1585" s="279" t="s">
        <v>1911</v>
      </c>
      <c r="F1585" s="284">
        <f t="shared" ca="1" si="48"/>
        <v>0.37854590781843844</v>
      </c>
      <c r="G1585" s="74">
        <v>39.652471066348603</v>
      </c>
      <c r="H1585" s="74">
        <f t="shared" si="49"/>
        <v>0.84192927698391884</v>
      </c>
    </row>
    <row r="1586" spans="5:8" ht="15.6">
      <c r="E1586" s="279" t="s">
        <v>1912</v>
      </c>
      <c r="F1586" s="284">
        <f t="shared" ca="1" si="48"/>
        <v>0.1379572559787472</v>
      </c>
      <c r="G1586" s="74">
        <v>39.46474548543096</v>
      </c>
      <c r="H1586" s="74">
        <f t="shared" si="49"/>
        <v>1.0296548579015621</v>
      </c>
    </row>
    <row r="1587" spans="5:8" ht="15.6">
      <c r="E1587" s="279" t="s">
        <v>1913</v>
      </c>
      <c r="F1587" s="284">
        <f t="shared" ca="1" si="48"/>
        <v>0.88057943709122344</v>
      </c>
      <c r="G1587" s="74">
        <v>37.375830507136719</v>
      </c>
      <c r="H1587" s="74">
        <f t="shared" si="49"/>
        <v>3.1185698361958032</v>
      </c>
    </row>
    <row r="1588" spans="5:8" ht="15.6">
      <c r="E1588" s="279" t="s">
        <v>1914</v>
      </c>
      <c r="F1588" s="284">
        <f t="shared" ca="1" si="48"/>
        <v>0.33920023407574851</v>
      </c>
      <c r="G1588" s="74">
        <v>39.750599305059268</v>
      </c>
      <c r="H1588" s="74">
        <f t="shared" si="49"/>
        <v>0.74380103827325428</v>
      </c>
    </row>
    <row r="1589" spans="5:8" ht="15.6">
      <c r="E1589" s="279" t="s">
        <v>1915</v>
      </c>
      <c r="F1589" s="284">
        <f t="shared" ca="1" si="48"/>
        <v>0.81412773192807775</v>
      </c>
      <c r="G1589" s="74">
        <v>44.014255668260361</v>
      </c>
      <c r="H1589" s="74">
        <f t="shared" si="49"/>
        <v>-3.519855324927839</v>
      </c>
    </row>
    <row r="1590" spans="5:8" ht="15.6">
      <c r="E1590" s="279" t="s">
        <v>1916</v>
      </c>
      <c r="F1590" s="284">
        <f t="shared" ca="1" si="48"/>
        <v>0.8410553969859953</v>
      </c>
      <c r="G1590" s="74">
        <v>39.648751587891347</v>
      </c>
      <c r="H1590" s="74">
        <f t="shared" si="49"/>
        <v>0.84564875544117513</v>
      </c>
    </row>
    <row r="1591" spans="5:8" ht="15.6">
      <c r="E1591" s="279" t="s">
        <v>1917</v>
      </c>
      <c r="F1591" s="284">
        <f t="shared" ca="1" si="48"/>
        <v>0.47915445563612968</v>
      </c>
      <c r="G1591" s="74">
        <v>41.298003246064795</v>
      </c>
      <c r="H1591" s="74">
        <f t="shared" si="49"/>
        <v>-0.80360290273227264</v>
      </c>
    </row>
    <row r="1592" spans="5:8" ht="15.6">
      <c r="E1592" s="279" t="s">
        <v>1918</v>
      </c>
      <c r="F1592" s="284">
        <f t="shared" ca="1" si="48"/>
        <v>0.86653698147671765</v>
      </c>
      <c r="G1592" s="74">
        <v>35.775456844088374</v>
      </c>
      <c r="H1592" s="74">
        <f t="shared" si="49"/>
        <v>4.7189434992441477</v>
      </c>
    </row>
    <row r="1593" spans="5:8" ht="15.6">
      <c r="E1593" s="279" t="s">
        <v>1919</v>
      </c>
      <c r="F1593" s="284">
        <f t="shared" ca="1" si="48"/>
        <v>0.73274194020023342</v>
      </c>
      <c r="G1593" s="74">
        <v>44.538707530208171</v>
      </c>
      <c r="H1593" s="74">
        <f t="shared" si="49"/>
        <v>-4.0443071868756491</v>
      </c>
    </row>
    <row r="1594" spans="5:8" ht="15.6">
      <c r="E1594" s="279" t="s">
        <v>1920</v>
      </c>
      <c r="F1594" s="284">
        <f t="shared" ca="1" si="48"/>
        <v>9.4647587353663742E-2</v>
      </c>
      <c r="G1594" s="74">
        <v>41.84093221047678</v>
      </c>
      <c r="H1594" s="74">
        <f t="shared" si="49"/>
        <v>-1.3465318671442574</v>
      </c>
    </row>
    <row r="1595" spans="5:8" ht="15.6">
      <c r="E1595" s="279" t="s">
        <v>1921</v>
      </c>
      <c r="F1595" s="284">
        <f t="shared" ca="1" si="48"/>
        <v>0.37116172263321379</v>
      </c>
      <c r="G1595" s="74">
        <v>34.02785918378386</v>
      </c>
      <c r="H1595" s="74">
        <f t="shared" si="49"/>
        <v>6.4665411595486617</v>
      </c>
    </row>
    <row r="1596" spans="5:8" ht="15.6">
      <c r="E1596" s="279" t="s">
        <v>1922</v>
      </c>
      <c r="F1596" s="284">
        <f t="shared" ca="1" si="48"/>
        <v>0.56203122907870295</v>
      </c>
      <c r="G1596" s="74">
        <v>35.884525284256938</v>
      </c>
      <c r="H1596" s="74">
        <f t="shared" si="49"/>
        <v>4.6098750590755841</v>
      </c>
    </row>
    <row r="1597" spans="5:8" ht="15.6">
      <c r="E1597" s="279" t="s">
        <v>1923</v>
      </c>
      <c r="F1597" s="284">
        <f t="shared" ca="1" si="48"/>
        <v>0.13696413650768635</v>
      </c>
      <c r="G1597" s="74">
        <v>36.983746543654995</v>
      </c>
      <c r="H1597" s="74">
        <f t="shared" si="49"/>
        <v>3.5106537996775273</v>
      </c>
    </row>
    <row r="1598" spans="5:8" ht="15.6">
      <c r="E1598" s="279" t="s">
        <v>1924</v>
      </c>
      <c r="F1598" s="284">
        <f t="shared" ca="1" si="48"/>
        <v>0.81174080029934215</v>
      </c>
      <c r="G1598" s="74">
        <v>37.102932373695253</v>
      </c>
      <c r="H1598" s="74">
        <f t="shared" si="49"/>
        <v>3.3914679696372687</v>
      </c>
    </row>
    <row r="1599" spans="5:8" ht="15.6">
      <c r="E1599" s="279" t="s">
        <v>1925</v>
      </c>
      <c r="F1599" s="284">
        <f t="shared" ca="1" si="48"/>
        <v>0.87472631870299655</v>
      </c>
      <c r="G1599" s="74">
        <v>36.717609486972492</v>
      </c>
      <c r="H1599" s="74">
        <f t="shared" si="49"/>
        <v>3.7767908563600301</v>
      </c>
    </row>
    <row r="1600" spans="5:8" ht="15.6">
      <c r="E1600" s="279" t="s">
        <v>1926</v>
      </c>
      <c r="F1600" s="284">
        <f t="shared" ca="1" si="48"/>
        <v>0.53400293581612457</v>
      </c>
      <c r="G1600" s="74">
        <v>40.538885459350965</v>
      </c>
      <c r="H1600" s="74">
        <f t="shared" si="49"/>
        <v>-4.4485116018442739E-2</v>
      </c>
    </row>
    <row r="1601" spans="5:8" ht="15.6">
      <c r="E1601" s="279" t="s">
        <v>1927</v>
      </c>
      <c r="F1601" s="284">
        <f t="shared" ca="1" si="48"/>
        <v>0.58318255475634428</v>
      </c>
      <c r="G1601" s="74">
        <v>33.815968699640869</v>
      </c>
      <c r="H1601" s="74">
        <f t="shared" si="49"/>
        <v>6.6784316436916527</v>
      </c>
    </row>
    <row r="1602" spans="5:8" ht="15.6">
      <c r="E1602" s="279" t="s">
        <v>1928</v>
      </c>
      <c r="F1602" s="284">
        <f t="shared" ca="1" si="48"/>
        <v>0.7503578333490506</v>
      </c>
      <c r="G1602" s="74">
        <v>38.762240373813817</v>
      </c>
      <c r="H1602" s="74">
        <f t="shared" si="49"/>
        <v>1.7321599695187047</v>
      </c>
    </row>
    <row r="1603" spans="5:8" ht="15.6">
      <c r="E1603" s="279" t="s">
        <v>1929</v>
      </c>
      <c r="F1603" s="284">
        <f t="shared" ca="1" si="48"/>
        <v>0.74125062993741142</v>
      </c>
      <c r="G1603" s="74">
        <v>42.220638448475682</v>
      </c>
      <c r="H1603" s="74">
        <f t="shared" si="49"/>
        <v>-1.7262381051431603</v>
      </c>
    </row>
    <row r="1604" spans="5:8" ht="15.6">
      <c r="E1604" s="279" t="s">
        <v>1930</v>
      </c>
      <c r="F1604" s="284">
        <f t="shared" ca="1" si="48"/>
        <v>0.12837306665861203</v>
      </c>
      <c r="G1604" s="74">
        <v>41.089089808427048</v>
      </c>
      <c r="H1604" s="74">
        <f t="shared" si="49"/>
        <v>-0.59468946509452536</v>
      </c>
    </row>
    <row r="1605" spans="5:8" ht="15.6">
      <c r="E1605" s="279" t="s">
        <v>1931</v>
      </c>
      <c r="F1605" s="284">
        <f t="shared" ca="1" si="48"/>
        <v>0.80967533948120274</v>
      </c>
      <c r="G1605" s="74">
        <v>39.137638742095689</v>
      </c>
      <c r="H1605" s="74">
        <f t="shared" si="49"/>
        <v>1.3567616012368333</v>
      </c>
    </row>
    <row r="1606" spans="5:8" ht="15.6">
      <c r="E1606" s="279" t="s">
        <v>1932</v>
      </c>
      <c r="F1606" s="284">
        <f t="shared" ca="1" si="48"/>
        <v>0.62571665532248699</v>
      </c>
      <c r="G1606" s="74">
        <v>42.732727716389</v>
      </c>
      <c r="H1606" s="74">
        <f t="shared" si="49"/>
        <v>-2.2383273730564781</v>
      </c>
    </row>
    <row r="1607" spans="5:8" ht="15.6">
      <c r="E1607" s="279" t="s">
        <v>1933</v>
      </c>
      <c r="F1607" s="284">
        <f t="shared" ca="1" si="48"/>
        <v>0.51553065067988313</v>
      </c>
      <c r="G1607" s="74">
        <v>38.717396051740295</v>
      </c>
      <c r="H1607" s="74">
        <f t="shared" si="49"/>
        <v>1.7770042915922275</v>
      </c>
    </row>
    <row r="1608" spans="5:8" ht="15.6">
      <c r="E1608" s="279" t="s">
        <v>1934</v>
      </c>
      <c r="F1608" s="284">
        <f t="shared" ca="1" si="48"/>
        <v>0.79544637142601915</v>
      </c>
      <c r="G1608" s="74">
        <v>36.706464346308415</v>
      </c>
      <c r="H1608" s="74">
        <f t="shared" si="49"/>
        <v>3.7879359970241069</v>
      </c>
    </row>
    <row r="1609" spans="5:8" ht="15.6">
      <c r="E1609" s="279" t="s">
        <v>1935</v>
      </c>
      <c r="F1609" s="284">
        <f t="shared" ca="1" si="48"/>
        <v>0.12580467318996069</v>
      </c>
      <c r="G1609" s="74">
        <v>44.18343339077385</v>
      </c>
      <c r="H1609" s="74">
        <f t="shared" si="49"/>
        <v>-3.6890330474413275</v>
      </c>
    </row>
    <row r="1610" spans="5:8" ht="15.6">
      <c r="E1610" s="279" t="s">
        <v>1936</v>
      </c>
      <c r="F1610" s="284">
        <f t="shared" ca="1" si="48"/>
        <v>0.23334437993403578</v>
      </c>
      <c r="G1610" s="74">
        <v>40.74079486887193</v>
      </c>
      <c r="H1610" s="74">
        <f t="shared" si="49"/>
        <v>-0.24639452553940799</v>
      </c>
    </row>
    <row r="1611" spans="5:8" ht="15.6">
      <c r="E1611" s="279" t="s">
        <v>1937</v>
      </c>
      <c r="F1611" s="284">
        <f t="shared" ca="1" si="48"/>
        <v>0.75414607448339832</v>
      </c>
      <c r="G1611" s="74">
        <v>37.566882652256282</v>
      </c>
      <c r="H1611" s="74">
        <f t="shared" si="49"/>
        <v>2.9275176910762397</v>
      </c>
    </row>
    <row r="1612" spans="5:8" ht="15.6">
      <c r="E1612" s="279" t="s">
        <v>1938</v>
      </c>
      <c r="F1612" s="284">
        <f t="shared" ref="F1612:F1675" ca="1" si="50">RAND()</f>
        <v>0.66606292513624865</v>
      </c>
      <c r="G1612" s="74">
        <v>37.442526739662227</v>
      </c>
      <c r="H1612" s="74">
        <f t="shared" ref="H1612:H1675" si="51">$D$2-G1612</f>
        <v>3.0518736036702947</v>
      </c>
    </row>
    <row r="1613" spans="5:8" ht="15.6">
      <c r="E1613" s="279" t="s">
        <v>1939</v>
      </c>
      <c r="F1613" s="284">
        <f t="shared" ca="1" si="50"/>
        <v>0.29999673953455497</v>
      </c>
      <c r="G1613" s="74">
        <v>43.019581405485432</v>
      </c>
      <c r="H1613" s="74">
        <f t="shared" si="51"/>
        <v>-2.5251810621529103</v>
      </c>
    </row>
    <row r="1614" spans="5:8" ht="15.6">
      <c r="E1614" s="279" t="s">
        <v>1940</v>
      </c>
      <c r="F1614" s="284">
        <f t="shared" ca="1" si="50"/>
        <v>0.15447220446991783</v>
      </c>
      <c r="G1614" s="74">
        <v>38.22703069910272</v>
      </c>
      <c r="H1614" s="74">
        <f t="shared" si="51"/>
        <v>2.2673696442298024</v>
      </c>
    </row>
    <row r="1615" spans="5:8" ht="15.6">
      <c r="E1615" s="279" t="s">
        <v>1941</v>
      </c>
      <c r="F1615" s="284">
        <f t="shared" ca="1" si="50"/>
        <v>0.60069405192095893</v>
      </c>
      <c r="G1615" s="74">
        <v>38.95827418363222</v>
      </c>
      <c r="H1615" s="74">
        <f t="shared" si="51"/>
        <v>1.5361261597003022</v>
      </c>
    </row>
    <row r="1616" spans="5:8" ht="15.6">
      <c r="E1616" s="279" t="s">
        <v>1942</v>
      </c>
      <c r="F1616" s="284">
        <f t="shared" ca="1" si="50"/>
        <v>0.8386072973529699</v>
      </c>
      <c r="G1616" s="74">
        <v>41.36764267594738</v>
      </c>
      <c r="H1616" s="74">
        <f t="shared" si="51"/>
        <v>-0.87324233261485773</v>
      </c>
    </row>
    <row r="1617" spans="5:8" ht="15.6">
      <c r="E1617" s="279" t="s">
        <v>1943</v>
      </c>
      <c r="F1617" s="284">
        <f t="shared" ca="1" si="50"/>
        <v>0.91509529818419511</v>
      </c>
      <c r="G1617" s="74">
        <v>37.235634194404348</v>
      </c>
      <c r="H1617" s="74">
        <f t="shared" si="51"/>
        <v>3.2587661489281743</v>
      </c>
    </row>
    <row r="1618" spans="5:8" ht="15.6">
      <c r="E1618" s="279" t="s">
        <v>1944</v>
      </c>
      <c r="F1618" s="284">
        <f t="shared" ca="1" si="50"/>
        <v>0.97580271558816412</v>
      </c>
      <c r="G1618" s="74">
        <v>40.321985951827997</v>
      </c>
      <c r="H1618" s="74">
        <f t="shared" si="51"/>
        <v>0.17241439150452464</v>
      </c>
    </row>
    <row r="1619" spans="5:8" ht="15.6">
      <c r="E1619" s="279" t="s">
        <v>1945</v>
      </c>
      <c r="F1619" s="284">
        <f t="shared" ca="1" si="50"/>
        <v>0.32571851220647197</v>
      </c>
      <c r="G1619" s="74">
        <v>37.86818200171691</v>
      </c>
      <c r="H1619" s="74">
        <f t="shared" si="51"/>
        <v>2.626218341615612</v>
      </c>
    </row>
    <row r="1620" spans="5:8" ht="15.6">
      <c r="E1620" s="279" t="s">
        <v>1946</v>
      </c>
      <c r="F1620" s="284">
        <f t="shared" ca="1" si="50"/>
        <v>0.98513587795091195</v>
      </c>
      <c r="G1620" s="74">
        <v>39.822636906387245</v>
      </c>
      <c r="H1620" s="74">
        <f t="shared" si="51"/>
        <v>0.67176343694527674</v>
      </c>
    </row>
    <row r="1621" spans="5:8" ht="15.6">
      <c r="E1621" s="279" t="s">
        <v>1947</v>
      </c>
      <c r="F1621" s="284">
        <f t="shared" ca="1" si="50"/>
        <v>0.41010183139489309</v>
      </c>
      <c r="G1621" s="74">
        <v>39.142695751620451</v>
      </c>
      <c r="H1621" s="74">
        <f t="shared" si="51"/>
        <v>1.3517045917120711</v>
      </c>
    </row>
    <row r="1622" spans="5:8" ht="15.6">
      <c r="E1622" s="279" t="s">
        <v>1948</v>
      </c>
      <c r="F1622" s="284">
        <f t="shared" ca="1" si="50"/>
        <v>0.34391832922344234</v>
      </c>
      <c r="G1622" s="74">
        <v>38.132947162669097</v>
      </c>
      <c r="H1622" s="74">
        <f t="shared" si="51"/>
        <v>2.3614531806634247</v>
      </c>
    </row>
    <row r="1623" spans="5:8" ht="15.6">
      <c r="E1623" s="279" t="s">
        <v>1949</v>
      </c>
      <c r="F1623" s="284">
        <f t="shared" ca="1" si="50"/>
        <v>0.55233941398790998</v>
      </c>
      <c r="G1623" s="74">
        <v>35.868717310980927</v>
      </c>
      <c r="H1623" s="74">
        <f t="shared" si="51"/>
        <v>4.6256830323515956</v>
      </c>
    </row>
    <row r="1624" spans="5:8" ht="15.6">
      <c r="E1624" s="279" t="s">
        <v>1950</v>
      </c>
      <c r="F1624" s="284">
        <f t="shared" ca="1" si="50"/>
        <v>0.34634436500810151</v>
      </c>
      <c r="G1624" s="74">
        <v>36.57747733327777</v>
      </c>
      <c r="H1624" s="74">
        <f t="shared" si="51"/>
        <v>3.9169230100547523</v>
      </c>
    </row>
    <row r="1625" spans="5:8" ht="15.6">
      <c r="E1625" s="279" t="s">
        <v>1951</v>
      </c>
      <c r="F1625" s="284">
        <f t="shared" ca="1" si="50"/>
        <v>0.78473677683578513</v>
      </c>
      <c r="G1625" s="74">
        <v>39.597910713427119</v>
      </c>
      <c r="H1625" s="74">
        <f t="shared" si="51"/>
        <v>0.89648962990540326</v>
      </c>
    </row>
    <row r="1626" spans="5:8" ht="15.6">
      <c r="E1626" s="279" t="s">
        <v>1952</v>
      </c>
      <c r="F1626" s="284">
        <f t="shared" ca="1" si="50"/>
        <v>0.55123635318459852</v>
      </c>
      <c r="G1626" s="74">
        <v>40.603126053502166</v>
      </c>
      <c r="H1626" s="74">
        <f t="shared" si="51"/>
        <v>-0.10872571016964372</v>
      </c>
    </row>
    <row r="1627" spans="5:8" ht="15.6">
      <c r="E1627" s="279" t="s">
        <v>1953</v>
      </c>
      <c r="F1627" s="284">
        <f t="shared" ca="1" si="50"/>
        <v>0.82016396784082823</v>
      </c>
      <c r="G1627" s="74">
        <v>41.263543752316167</v>
      </c>
      <c r="H1627" s="74">
        <f t="shared" si="51"/>
        <v>-0.76914340898364486</v>
      </c>
    </row>
    <row r="1628" spans="5:8" ht="15.6">
      <c r="E1628" s="279" t="s">
        <v>1954</v>
      </c>
      <c r="F1628" s="284">
        <f t="shared" ca="1" si="50"/>
        <v>0.23162759285893764</v>
      </c>
      <c r="G1628" s="74">
        <v>40.158273433533239</v>
      </c>
      <c r="H1628" s="74">
        <f t="shared" si="51"/>
        <v>0.33612690979928317</v>
      </c>
    </row>
    <row r="1629" spans="5:8" ht="15.6">
      <c r="E1629" s="279" t="s">
        <v>1955</v>
      </c>
      <c r="F1629" s="284">
        <f t="shared" ca="1" si="50"/>
        <v>0.35233421456933733</v>
      </c>
      <c r="G1629" s="74">
        <v>41.215008149617766</v>
      </c>
      <c r="H1629" s="74">
        <f t="shared" si="51"/>
        <v>-0.72060780628524412</v>
      </c>
    </row>
    <row r="1630" spans="5:8" ht="15.6">
      <c r="E1630" s="279" t="s">
        <v>1956</v>
      </c>
      <c r="F1630" s="284">
        <f t="shared" ca="1" si="50"/>
        <v>0.71561446199789069</v>
      </c>
      <c r="G1630" s="74">
        <v>37.858929108614426</v>
      </c>
      <c r="H1630" s="74">
        <f t="shared" si="51"/>
        <v>2.6354712347180964</v>
      </c>
    </row>
    <row r="1631" spans="5:8" ht="15.6">
      <c r="E1631" s="279" t="s">
        <v>1957</v>
      </c>
      <c r="F1631" s="284">
        <f t="shared" ca="1" si="50"/>
        <v>0.2402721899357686</v>
      </c>
      <c r="G1631" s="74">
        <v>40.004732303189336</v>
      </c>
      <c r="H1631" s="74">
        <f t="shared" si="51"/>
        <v>0.48966804014318654</v>
      </c>
    </row>
    <row r="1632" spans="5:8" ht="15.6">
      <c r="E1632" s="279" t="s">
        <v>1958</v>
      </c>
      <c r="F1632" s="284">
        <f t="shared" ca="1" si="50"/>
        <v>0.64467900285410418</v>
      </c>
      <c r="G1632" s="74">
        <v>38.055287040295418</v>
      </c>
      <c r="H1632" s="74">
        <f t="shared" si="51"/>
        <v>2.4391133030371037</v>
      </c>
    </row>
    <row r="1633" spans="5:8" ht="15.6">
      <c r="E1633" s="279" t="s">
        <v>1959</v>
      </c>
      <c r="F1633" s="284">
        <f t="shared" ca="1" si="50"/>
        <v>0.60661653358690348</v>
      </c>
      <c r="G1633" s="74">
        <v>38.26663708779558</v>
      </c>
      <c r="H1633" s="74">
        <f t="shared" si="51"/>
        <v>2.2277632555369422</v>
      </c>
    </row>
    <row r="1634" spans="5:8" ht="15.6">
      <c r="E1634" s="279" t="s">
        <v>1960</v>
      </c>
      <c r="F1634" s="284">
        <f t="shared" ca="1" si="50"/>
        <v>0.3557011145725294</v>
      </c>
      <c r="G1634" s="74">
        <v>43.603206367324447</v>
      </c>
      <c r="H1634" s="74">
        <f t="shared" si="51"/>
        <v>-3.1088060239919244</v>
      </c>
    </row>
    <row r="1635" spans="5:8" ht="15.6">
      <c r="E1635" s="279" t="s">
        <v>1961</v>
      </c>
      <c r="F1635" s="284">
        <f t="shared" ca="1" si="50"/>
        <v>0.61580050757818439</v>
      </c>
      <c r="G1635" s="74">
        <v>38.809094862321871</v>
      </c>
      <c r="H1635" s="74">
        <f t="shared" si="51"/>
        <v>1.6853054810106514</v>
      </c>
    </row>
    <row r="1636" spans="5:8" ht="15.6">
      <c r="E1636" s="279" t="s">
        <v>1962</v>
      </c>
      <c r="F1636" s="284">
        <f t="shared" ca="1" si="50"/>
        <v>0.98189230737422861</v>
      </c>
      <c r="G1636" s="74">
        <v>37.406390606957707</v>
      </c>
      <c r="H1636" s="74">
        <f t="shared" si="51"/>
        <v>3.0880097363748149</v>
      </c>
    </row>
    <row r="1637" spans="5:8" ht="15.6">
      <c r="E1637" s="279" t="s">
        <v>1963</v>
      </c>
      <c r="F1637" s="284">
        <f t="shared" ca="1" si="50"/>
        <v>0.1638307281130188</v>
      </c>
      <c r="G1637" s="74">
        <v>37.074223704022501</v>
      </c>
      <c r="H1637" s="74">
        <f t="shared" si="51"/>
        <v>3.4201766393100215</v>
      </c>
    </row>
    <row r="1638" spans="5:8" ht="15.6">
      <c r="E1638" s="279" t="s">
        <v>1964</v>
      </c>
      <c r="F1638" s="284">
        <f t="shared" ca="1" si="50"/>
        <v>0.55793198402325028</v>
      </c>
      <c r="G1638" s="74">
        <v>36.804893440390323</v>
      </c>
      <c r="H1638" s="74">
        <f t="shared" si="51"/>
        <v>3.689506902942199</v>
      </c>
    </row>
    <row r="1639" spans="5:8" ht="15.6">
      <c r="E1639" s="279" t="s">
        <v>1965</v>
      </c>
      <c r="F1639" s="284">
        <f t="shared" ca="1" si="50"/>
        <v>0.74934954413682342</v>
      </c>
      <c r="G1639" s="74">
        <v>40.679940059426059</v>
      </c>
      <c r="H1639" s="74">
        <f t="shared" si="51"/>
        <v>-0.18553971609353681</v>
      </c>
    </row>
    <row r="1640" spans="5:8" ht="15.6">
      <c r="E1640" s="279" t="s">
        <v>1966</v>
      </c>
      <c r="F1640" s="284">
        <f t="shared" ca="1" si="50"/>
        <v>1.0079170529520565E-2</v>
      </c>
      <c r="G1640" s="74">
        <v>43.189380146877404</v>
      </c>
      <c r="H1640" s="74">
        <f t="shared" si="51"/>
        <v>-2.6949798035448822</v>
      </c>
    </row>
    <row r="1641" spans="5:8" ht="15.6">
      <c r="E1641" s="279" t="s">
        <v>1967</v>
      </c>
      <c r="F1641" s="284">
        <f t="shared" ca="1" si="50"/>
        <v>0.25106220823339587</v>
      </c>
      <c r="G1641" s="74">
        <v>36.972380905908203</v>
      </c>
      <c r="H1641" s="74">
        <f t="shared" si="51"/>
        <v>3.5220194374243192</v>
      </c>
    </row>
    <row r="1642" spans="5:8" ht="15.6">
      <c r="E1642" s="279" t="s">
        <v>1968</v>
      </c>
      <c r="F1642" s="284">
        <f t="shared" ca="1" si="50"/>
        <v>0.96654799481122478</v>
      </c>
      <c r="G1642" s="74">
        <v>36.995733373616659</v>
      </c>
      <c r="H1642" s="74">
        <f t="shared" si="51"/>
        <v>3.4986669697158632</v>
      </c>
    </row>
    <row r="1643" spans="5:8" ht="15.6">
      <c r="E1643" s="279" t="s">
        <v>1969</v>
      </c>
      <c r="F1643" s="284">
        <f t="shared" ca="1" si="50"/>
        <v>0.31024400068052549</v>
      </c>
      <c r="G1643" s="74">
        <v>37.273449829215942</v>
      </c>
      <c r="H1643" s="74">
        <f t="shared" si="51"/>
        <v>3.2209505141165806</v>
      </c>
    </row>
    <row r="1644" spans="5:8" ht="15.6">
      <c r="E1644" s="279" t="s">
        <v>1970</v>
      </c>
      <c r="F1644" s="284">
        <f t="shared" ca="1" si="50"/>
        <v>0.73032085524111612</v>
      </c>
      <c r="G1644" s="74">
        <v>35.116772942128009</v>
      </c>
      <c r="H1644" s="74">
        <f t="shared" si="51"/>
        <v>5.3776274012045135</v>
      </c>
    </row>
    <row r="1645" spans="5:8" ht="15.6">
      <c r="E1645" s="279" t="s">
        <v>1971</v>
      </c>
      <c r="F1645" s="284">
        <f t="shared" ca="1" si="50"/>
        <v>0.48242304647107392</v>
      </c>
      <c r="G1645" s="74">
        <v>40.462601165764632</v>
      </c>
      <c r="H1645" s="74">
        <f t="shared" si="51"/>
        <v>3.1799177567890524E-2</v>
      </c>
    </row>
    <row r="1646" spans="5:8" ht="15.6">
      <c r="E1646" s="279" t="s">
        <v>1972</v>
      </c>
      <c r="F1646" s="284">
        <f t="shared" ca="1" si="50"/>
        <v>0.7345884070863492</v>
      </c>
      <c r="G1646" s="74">
        <v>38.653381816881961</v>
      </c>
      <c r="H1646" s="74">
        <f t="shared" si="51"/>
        <v>1.8410185264505614</v>
      </c>
    </row>
    <row r="1647" spans="5:8" ht="15.6">
      <c r="E1647" s="279" t="s">
        <v>1973</v>
      </c>
      <c r="F1647" s="284">
        <f t="shared" ca="1" si="50"/>
        <v>0.74150820509840931</v>
      </c>
      <c r="G1647" s="74">
        <v>41.327136844552996</v>
      </c>
      <c r="H1647" s="74">
        <f t="shared" si="51"/>
        <v>-0.83273650122047371</v>
      </c>
    </row>
    <row r="1648" spans="5:8" ht="15.6">
      <c r="E1648" s="279" t="s">
        <v>1974</v>
      </c>
      <c r="F1648" s="284">
        <f t="shared" ca="1" si="50"/>
        <v>0.94635209301767709</v>
      </c>
      <c r="G1648" s="74">
        <v>41.191049809946222</v>
      </c>
      <c r="H1648" s="74">
        <f t="shared" si="51"/>
        <v>-0.69664946661369953</v>
      </c>
    </row>
    <row r="1649" spans="5:8" ht="15.6">
      <c r="E1649" s="279" t="s">
        <v>1975</v>
      </c>
      <c r="F1649" s="284">
        <f t="shared" ca="1" si="50"/>
        <v>0.24214804950774527</v>
      </c>
      <c r="G1649" s="74">
        <v>38.487273926969451</v>
      </c>
      <c r="H1649" s="74">
        <f t="shared" si="51"/>
        <v>2.0071264163630715</v>
      </c>
    </row>
    <row r="1650" spans="5:8" ht="15.6">
      <c r="E1650" s="279" t="s">
        <v>1976</v>
      </c>
      <c r="F1650" s="284">
        <f t="shared" ca="1" si="50"/>
        <v>0.26425971378984359</v>
      </c>
      <c r="G1650" s="74">
        <v>34.467754876759756</v>
      </c>
      <c r="H1650" s="74">
        <f t="shared" si="51"/>
        <v>6.0266454665727665</v>
      </c>
    </row>
    <row r="1651" spans="5:8" ht="15.6">
      <c r="E1651" s="279" t="s">
        <v>1977</v>
      </c>
      <c r="F1651" s="284">
        <f t="shared" ca="1" si="50"/>
        <v>0.23778876906921576</v>
      </c>
      <c r="G1651" s="74">
        <v>42.180489255737591</v>
      </c>
      <c r="H1651" s="74">
        <f t="shared" si="51"/>
        <v>-1.6860889124050686</v>
      </c>
    </row>
    <row r="1652" spans="5:8" ht="15.6">
      <c r="E1652" s="279" t="s">
        <v>1978</v>
      </c>
      <c r="F1652" s="284">
        <f t="shared" ca="1" si="50"/>
        <v>0.45146181968301313</v>
      </c>
      <c r="G1652" s="74">
        <v>36.276586474775236</v>
      </c>
      <c r="H1652" s="74">
        <f t="shared" si="51"/>
        <v>4.2178138685572861</v>
      </c>
    </row>
    <row r="1653" spans="5:8" ht="15.6">
      <c r="E1653" s="279" t="s">
        <v>1979</v>
      </c>
      <c r="F1653" s="284">
        <f t="shared" ca="1" si="50"/>
        <v>0.82425882487982294</v>
      </c>
      <c r="G1653" s="74">
        <v>37.380461105442144</v>
      </c>
      <c r="H1653" s="74">
        <f t="shared" si="51"/>
        <v>3.1139392378903779</v>
      </c>
    </row>
    <row r="1654" spans="5:8" ht="15.6">
      <c r="E1654" s="279" t="s">
        <v>1980</v>
      </c>
      <c r="F1654" s="284">
        <f t="shared" ca="1" si="50"/>
        <v>0.4382175790734929</v>
      </c>
      <c r="G1654" s="74">
        <v>37.416490608662805</v>
      </c>
      <c r="H1654" s="74">
        <f t="shared" si="51"/>
        <v>3.0779097346697171</v>
      </c>
    </row>
    <row r="1655" spans="5:8" ht="15.6">
      <c r="E1655" s="279" t="s">
        <v>1981</v>
      </c>
      <c r="F1655" s="284">
        <f t="shared" ca="1" si="50"/>
        <v>0.37829563984883607</v>
      </c>
      <c r="G1655" s="74">
        <v>41.982012903032242</v>
      </c>
      <c r="H1655" s="74">
        <f t="shared" si="51"/>
        <v>-1.4876125596997198</v>
      </c>
    </row>
    <row r="1656" spans="5:8" ht="15.6">
      <c r="E1656" s="279" t="s">
        <v>1982</v>
      </c>
      <c r="F1656" s="284">
        <f t="shared" ca="1" si="50"/>
        <v>0.27869074001645122</v>
      </c>
      <c r="G1656" s="74">
        <v>42.364776241711958</v>
      </c>
      <c r="H1656" s="74">
        <f t="shared" si="51"/>
        <v>-1.8703758983794359</v>
      </c>
    </row>
    <row r="1657" spans="5:8" ht="15.6">
      <c r="E1657" s="279" t="s">
        <v>1983</v>
      </c>
      <c r="F1657" s="284">
        <f t="shared" ca="1" si="50"/>
        <v>7.8816137628248017E-2</v>
      </c>
      <c r="G1657" s="74">
        <v>37.631364722386273</v>
      </c>
      <c r="H1657" s="74">
        <f t="shared" si="51"/>
        <v>2.8630356209462491</v>
      </c>
    </row>
    <row r="1658" spans="5:8" ht="15.6">
      <c r="E1658" s="279" t="s">
        <v>1984</v>
      </c>
      <c r="F1658" s="284">
        <f t="shared" ca="1" si="50"/>
        <v>0.4081361267213458</v>
      </c>
      <c r="G1658" s="74">
        <v>41.597771392280642</v>
      </c>
      <c r="H1658" s="74">
        <f t="shared" si="51"/>
        <v>-1.1033710489481194</v>
      </c>
    </row>
    <row r="1659" spans="5:8" ht="15.6">
      <c r="E1659" s="279" t="s">
        <v>1985</v>
      </c>
      <c r="F1659" s="284">
        <f t="shared" ca="1" si="50"/>
        <v>0.88978153470594468</v>
      </c>
      <c r="G1659" s="74">
        <v>42.415008090394835</v>
      </c>
      <c r="H1659" s="74">
        <f t="shared" si="51"/>
        <v>-1.9206077470623129</v>
      </c>
    </row>
    <row r="1660" spans="5:8" ht="15.6">
      <c r="E1660" s="279" t="s">
        <v>1986</v>
      </c>
      <c r="F1660" s="284">
        <f t="shared" ca="1" si="50"/>
        <v>3.4949725631034601E-2</v>
      </c>
      <c r="G1660" s="74">
        <v>33.175159607416852</v>
      </c>
      <c r="H1660" s="74">
        <f t="shared" si="51"/>
        <v>7.3192407359156704</v>
      </c>
    </row>
    <row r="1661" spans="5:8" ht="15.6">
      <c r="E1661" s="279" t="s">
        <v>1987</v>
      </c>
      <c r="F1661" s="284">
        <f t="shared" ca="1" si="50"/>
        <v>0.66929326255640786</v>
      </c>
      <c r="G1661" s="74">
        <v>39.443782327977083</v>
      </c>
      <c r="H1661" s="74">
        <f t="shared" si="51"/>
        <v>1.0506180153554396</v>
      </c>
    </row>
    <row r="1662" spans="5:8" ht="15.6">
      <c r="E1662" s="279" t="s">
        <v>1988</v>
      </c>
      <c r="F1662" s="284">
        <f t="shared" ca="1" si="50"/>
        <v>0.85958494537948171</v>
      </c>
      <c r="G1662" s="74">
        <v>37.866019236623764</v>
      </c>
      <c r="H1662" s="74">
        <f t="shared" si="51"/>
        <v>2.6283811067087584</v>
      </c>
    </row>
    <row r="1663" spans="5:8" ht="15.6">
      <c r="E1663" s="279" t="s">
        <v>1989</v>
      </c>
      <c r="F1663" s="284">
        <f t="shared" ca="1" si="50"/>
        <v>0.94965702743034242</v>
      </c>
      <c r="G1663" s="74">
        <v>40.396069380002508</v>
      </c>
      <c r="H1663" s="74">
        <f t="shared" si="51"/>
        <v>9.8330963330013788E-2</v>
      </c>
    </row>
    <row r="1664" spans="5:8" ht="15.6">
      <c r="E1664" s="279" t="s">
        <v>1990</v>
      </c>
      <c r="F1664" s="284">
        <f t="shared" ca="1" si="50"/>
        <v>0.28728323926734545</v>
      </c>
      <c r="G1664" s="74">
        <v>37.327049637850862</v>
      </c>
      <c r="H1664" s="74">
        <f t="shared" si="51"/>
        <v>3.1673507054816596</v>
      </c>
    </row>
    <row r="1665" spans="5:8" ht="15.6">
      <c r="E1665" s="279" t="s">
        <v>1991</v>
      </c>
      <c r="F1665" s="284">
        <f t="shared" ca="1" si="50"/>
        <v>0.36997358005955006</v>
      </c>
      <c r="G1665" s="74">
        <v>39.766373152654012</v>
      </c>
      <c r="H1665" s="74">
        <f t="shared" si="51"/>
        <v>0.72802719067851029</v>
      </c>
    </row>
    <row r="1666" spans="5:8" ht="15.6">
      <c r="E1666" s="279" t="s">
        <v>1992</v>
      </c>
      <c r="F1666" s="284">
        <f t="shared" ca="1" si="50"/>
        <v>0.17521662078298927</v>
      </c>
      <c r="G1666" s="74">
        <v>37.756278010079299</v>
      </c>
      <c r="H1666" s="74">
        <f t="shared" si="51"/>
        <v>2.738122333253223</v>
      </c>
    </row>
    <row r="1667" spans="5:8" ht="15.6">
      <c r="E1667" s="279" t="s">
        <v>1993</v>
      </c>
      <c r="F1667" s="284">
        <f t="shared" ca="1" si="50"/>
        <v>0.75483092013540753</v>
      </c>
      <c r="G1667" s="74">
        <v>39.083956678938016</v>
      </c>
      <c r="H1667" s="74">
        <f t="shared" si="51"/>
        <v>1.4104436643945064</v>
      </c>
    </row>
    <row r="1668" spans="5:8" ht="15.6">
      <c r="E1668" s="279" t="s">
        <v>1994</v>
      </c>
      <c r="F1668" s="284">
        <f t="shared" ca="1" si="50"/>
        <v>0.78771533231074731</v>
      </c>
      <c r="G1668" s="74">
        <v>41.821233033908207</v>
      </c>
      <c r="H1668" s="74">
        <f t="shared" si="51"/>
        <v>-1.3268326905756851</v>
      </c>
    </row>
    <row r="1669" spans="5:8" ht="15.6">
      <c r="E1669" s="279" t="s">
        <v>1995</v>
      </c>
      <c r="F1669" s="284">
        <f t="shared" ca="1" si="50"/>
        <v>0.49142431626479732</v>
      </c>
      <c r="G1669" s="74">
        <v>42.491639478277584</v>
      </c>
      <c r="H1669" s="74">
        <f t="shared" si="51"/>
        <v>-1.9972391349450618</v>
      </c>
    </row>
    <row r="1670" spans="5:8" ht="15.6">
      <c r="E1670" s="279" t="s">
        <v>1996</v>
      </c>
      <c r="F1670" s="284">
        <f t="shared" ca="1" si="50"/>
        <v>0.13035522806523847</v>
      </c>
      <c r="G1670" s="74">
        <v>41.732787859866875</v>
      </c>
      <c r="H1670" s="74">
        <f t="shared" si="51"/>
        <v>-1.2383875165343525</v>
      </c>
    </row>
    <row r="1671" spans="5:8" ht="15.6">
      <c r="E1671" s="279" t="s">
        <v>1997</v>
      </c>
      <c r="F1671" s="284">
        <f t="shared" ca="1" si="50"/>
        <v>0.69342681679758222</v>
      </c>
      <c r="G1671" s="74">
        <v>39.854824121606335</v>
      </c>
      <c r="H1671" s="74">
        <f t="shared" si="51"/>
        <v>0.63957622172618755</v>
      </c>
    </row>
    <row r="1672" spans="5:8" ht="15.6">
      <c r="E1672" s="279" t="s">
        <v>1998</v>
      </c>
      <c r="F1672" s="284">
        <f t="shared" ca="1" si="50"/>
        <v>0.83798740024027329</v>
      </c>
      <c r="G1672" s="74">
        <v>38.00000195678394</v>
      </c>
      <c r="H1672" s="74">
        <f t="shared" si="51"/>
        <v>2.4943983865485819</v>
      </c>
    </row>
    <row r="1673" spans="5:8" ht="15.6">
      <c r="E1673" s="279" t="s">
        <v>1999</v>
      </c>
      <c r="F1673" s="284">
        <f t="shared" ca="1" si="50"/>
        <v>0.70526960078048739</v>
      </c>
      <c r="G1673" s="74">
        <v>37.728139093216527</v>
      </c>
      <c r="H1673" s="74">
        <f t="shared" si="51"/>
        <v>2.7662612501159956</v>
      </c>
    </row>
    <row r="1674" spans="5:8" ht="15.6">
      <c r="E1674" s="279" t="s">
        <v>2000</v>
      </c>
      <c r="F1674" s="284">
        <f t="shared" ca="1" si="50"/>
        <v>0.43558657677913404</v>
      </c>
      <c r="G1674" s="74">
        <v>38.76523741131421</v>
      </c>
      <c r="H1674" s="74">
        <f t="shared" si="51"/>
        <v>1.7291629320183119</v>
      </c>
    </row>
    <row r="1675" spans="5:8" ht="15.6">
      <c r="E1675" s="279" t="s">
        <v>2001</v>
      </c>
      <c r="F1675" s="284">
        <f t="shared" ca="1" si="50"/>
        <v>0.46391596689275938</v>
      </c>
      <c r="G1675" s="74">
        <v>37.768468654806497</v>
      </c>
      <c r="H1675" s="74">
        <f t="shared" si="51"/>
        <v>2.7259316885260247</v>
      </c>
    </row>
    <row r="1676" spans="5:8" ht="15.6">
      <c r="E1676" s="279" t="s">
        <v>2002</v>
      </c>
      <c r="F1676" s="284">
        <f t="shared" ref="F1676:F1739" ca="1" si="52">RAND()</f>
        <v>0.53683134415582934</v>
      </c>
      <c r="G1676" s="74">
        <v>39.440035243201223</v>
      </c>
      <c r="H1676" s="74">
        <f t="shared" ref="H1676:H1739" si="53">$D$2-G1676</f>
        <v>1.0543651001312995</v>
      </c>
    </row>
    <row r="1677" spans="5:8" ht="15.6">
      <c r="E1677" s="279" t="s">
        <v>2003</v>
      </c>
      <c r="F1677" s="284">
        <f t="shared" ca="1" si="52"/>
        <v>0.20953239036408056</v>
      </c>
      <c r="G1677" s="74">
        <v>39.664573817943577</v>
      </c>
      <c r="H1677" s="74">
        <f t="shared" si="53"/>
        <v>0.82982652538894541</v>
      </c>
    </row>
    <row r="1678" spans="5:8" ht="15.6">
      <c r="E1678" s="279" t="s">
        <v>2004</v>
      </c>
      <c r="F1678" s="284">
        <f t="shared" ca="1" si="52"/>
        <v>0.83191943557883119</v>
      </c>
      <c r="G1678" s="74">
        <v>42.266713228459011</v>
      </c>
      <c r="H1678" s="74">
        <f t="shared" si="53"/>
        <v>-1.7723128851264889</v>
      </c>
    </row>
    <row r="1679" spans="5:8" ht="15.6">
      <c r="E1679" s="279" t="s">
        <v>2005</v>
      </c>
      <c r="F1679" s="284">
        <f t="shared" ca="1" si="52"/>
        <v>8.7307302238104345E-3</v>
      </c>
      <c r="G1679" s="74">
        <v>37.013408981555607</v>
      </c>
      <c r="H1679" s="74">
        <f t="shared" si="53"/>
        <v>3.4809913617769155</v>
      </c>
    </row>
    <row r="1680" spans="5:8" ht="15.6">
      <c r="E1680" s="279" t="s">
        <v>2006</v>
      </c>
      <c r="F1680" s="284">
        <f t="shared" ca="1" si="52"/>
        <v>0.40492473398541029</v>
      </c>
      <c r="G1680" s="74">
        <v>39.321031587094119</v>
      </c>
      <c r="H1680" s="74">
        <f t="shared" si="53"/>
        <v>1.1733687562384034</v>
      </c>
    </row>
    <row r="1681" spans="5:8" ht="15.6">
      <c r="E1681" s="279" t="s">
        <v>2007</v>
      </c>
      <c r="F1681" s="284">
        <f t="shared" ca="1" si="52"/>
        <v>0.17661078382316053</v>
      </c>
      <c r="G1681" s="74">
        <v>42.073090068419361</v>
      </c>
      <c r="H1681" s="74">
        <f t="shared" si="53"/>
        <v>-1.5786897250868392</v>
      </c>
    </row>
    <row r="1682" spans="5:8" ht="15.6">
      <c r="E1682" s="279" t="s">
        <v>2008</v>
      </c>
      <c r="F1682" s="284">
        <f t="shared" ca="1" si="52"/>
        <v>0.26724712037412379</v>
      </c>
      <c r="G1682" s="74">
        <v>37.460424657871179</v>
      </c>
      <c r="H1682" s="74">
        <f t="shared" si="53"/>
        <v>3.0339756854613427</v>
      </c>
    </row>
    <row r="1683" spans="5:8" ht="15.6">
      <c r="E1683" s="279" t="s">
        <v>2009</v>
      </c>
      <c r="F1683" s="284">
        <f t="shared" ca="1" si="52"/>
        <v>0.52653185797269242</v>
      </c>
      <c r="G1683" s="74">
        <v>40.365412270579228</v>
      </c>
      <c r="H1683" s="74">
        <f t="shared" si="53"/>
        <v>0.1289880727532946</v>
      </c>
    </row>
    <row r="1684" spans="5:8" ht="15.6">
      <c r="E1684" s="279" t="s">
        <v>2010</v>
      </c>
      <c r="F1684" s="284">
        <f t="shared" ca="1" si="52"/>
        <v>0.53739994871074226</v>
      </c>
      <c r="G1684" s="74">
        <v>38.37889049517085</v>
      </c>
      <c r="H1684" s="74">
        <f t="shared" si="53"/>
        <v>2.1155098481616719</v>
      </c>
    </row>
    <row r="1685" spans="5:8" ht="15.6">
      <c r="E1685" s="279" t="s">
        <v>2011</v>
      </c>
      <c r="F1685" s="284">
        <f t="shared" ca="1" si="52"/>
        <v>0.63767390858793327</v>
      </c>
      <c r="G1685" s="74">
        <v>34.400920937507735</v>
      </c>
      <c r="H1685" s="74">
        <f t="shared" si="53"/>
        <v>6.0934794058247874</v>
      </c>
    </row>
    <row r="1686" spans="5:8" ht="15.6">
      <c r="E1686" s="279" t="s">
        <v>2012</v>
      </c>
      <c r="F1686" s="284">
        <f t="shared" ca="1" si="52"/>
        <v>0.67103216150352607</v>
      </c>
      <c r="G1686" s="74">
        <v>46.165489784236506</v>
      </c>
      <c r="H1686" s="74">
        <f t="shared" si="53"/>
        <v>-5.6710894409039838</v>
      </c>
    </row>
    <row r="1687" spans="5:8" ht="15.6">
      <c r="E1687" s="279" t="s">
        <v>2013</v>
      </c>
      <c r="F1687" s="284">
        <f t="shared" ca="1" si="52"/>
        <v>0.82287496981035047</v>
      </c>
      <c r="G1687" s="74">
        <v>37.564273274385201</v>
      </c>
      <c r="H1687" s="74">
        <f t="shared" si="53"/>
        <v>2.9301270689473213</v>
      </c>
    </row>
    <row r="1688" spans="5:8" ht="15.6">
      <c r="E1688" s="279" t="s">
        <v>2014</v>
      </c>
      <c r="F1688" s="284">
        <f t="shared" ca="1" si="52"/>
        <v>0.4387447493817499</v>
      </c>
      <c r="G1688" s="74">
        <v>34.976249185529838</v>
      </c>
      <c r="H1688" s="74">
        <f t="shared" si="53"/>
        <v>5.5181511578026843</v>
      </c>
    </row>
    <row r="1689" spans="5:8" ht="15.6">
      <c r="E1689" s="279" t="s">
        <v>2015</v>
      </c>
      <c r="F1689" s="284">
        <f t="shared" ca="1" si="52"/>
        <v>0.98089865705717394</v>
      </c>
      <c r="G1689" s="74">
        <v>38.100660323587697</v>
      </c>
      <c r="H1689" s="74">
        <f t="shared" si="53"/>
        <v>2.3937400197448255</v>
      </c>
    </row>
    <row r="1690" spans="5:8" ht="15.6">
      <c r="E1690" s="279" t="s">
        <v>2016</v>
      </c>
      <c r="F1690" s="284">
        <f t="shared" ca="1" si="52"/>
        <v>0.27309784602387333</v>
      </c>
      <c r="G1690" s="74">
        <v>39.571674075920697</v>
      </c>
      <c r="H1690" s="74">
        <f t="shared" si="53"/>
        <v>0.92272626741182506</v>
      </c>
    </row>
    <row r="1691" spans="5:8" ht="15.6">
      <c r="E1691" s="279" t="s">
        <v>2017</v>
      </c>
      <c r="F1691" s="284">
        <f t="shared" ca="1" si="52"/>
        <v>0.34672702775476483</v>
      </c>
      <c r="G1691" s="74">
        <v>36.288908939264992</v>
      </c>
      <c r="H1691" s="74">
        <f t="shared" si="53"/>
        <v>4.20549140406753</v>
      </c>
    </row>
    <row r="1692" spans="5:8" ht="15.6">
      <c r="E1692" s="279" t="s">
        <v>2018</v>
      </c>
      <c r="F1692" s="284">
        <f t="shared" ca="1" si="52"/>
        <v>0.12740911308089475</v>
      </c>
      <c r="G1692" s="74">
        <v>45.137450809534144</v>
      </c>
      <c r="H1692" s="74">
        <f t="shared" si="53"/>
        <v>-4.6430504662016219</v>
      </c>
    </row>
    <row r="1693" spans="5:8" ht="15.6">
      <c r="E1693" s="279" t="s">
        <v>2019</v>
      </c>
      <c r="F1693" s="284">
        <f t="shared" ca="1" si="52"/>
        <v>0.5568374917604938</v>
      </c>
      <c r="G1693" s="74">
        <v>42.032034943209034</v>
      </c>
      <c r="H1693" s="74">
        <f t="shared" si="53"/>
        <v>-1.5376345998765117</v>
      </c>
    </row>
    <row r="1694" spans="5:8" ht="15.6">
      <c r="E1694" s="279" t="s">
        <v>2020</v>
      </c>
      <c r="F1694" s="284">
        <f t="shared" ca="1" si="52"/>
        <v>0.45307634748476044</v>
      </c>
      <c r="G1694" s="74">
        <v>41.986840498145583</v>
      </c>
      <c r="H1694" s="74">
        <f t="shared" si="53"/>
        <v>-1.4924401548130604</v>
      </c>
    </row>
    <row r="1695" spans="5:8" ht="15.6">
      <c r="E1695" s="279" t="s">
        <v>2021</v>
      </c>
      <c r="F1695" s="284">
        <f t="shared" ca="1" si="52"/>
        <v>0.64689010121365775</v>
      </c>
      <c r="G1695" s="74">
        <v>38.250938708954266</v>
      </c>
      <c r="H1695" s="74">
        <f t="shared" si="53"/>
        <v>2.2434616343782565</v>
      </c>
    </row>
    <row r="1696" spans="5:8" ht="15.6">
      <c r="E1696" s="279" t="s">
        <v>2022</v>
      </c>
      <c r="F1696" s="284">
        <f t="shared" ca="1" si="52"/>
        <v>5.4025317009296914E-2</v>
      </c>
      <c r="G1696" s="74">
        <v>39.960118730320445</v>
      </c>
      <c r="H1696" s="74">
        <f t="shared" si="53"/>
        <v>0.53428161301207666</v>
      </c>
    </row>
    <row r="1697" spans="5:8" ht="15.6">
      <c r="E1697" s="279" t="s">
        <v>2023</v>
      </c>
      <c r="F1697" s="284">
        <f t="shared" ca="1" si="52"/>
        <v>0.93967664736517698</v>
      </c>
      <c r="G1697" s="74">
        <v>44.440478885574834</v>
      </c>
      <c r="H1697" s="74">
        <f t="shared" si="53"/>
        <v>-3.9460785422423115</v>
      </c>
    </row>
    <row r="1698" spans="5:8" ht="15.6">
      <c r="E1698" s="279" t="s">
        <v>2024</v>
      </c>
      <c r="F1698" s="284">
        <f t="shared" ca="1" si="52"/>
        <v>0.10874758704601795</v>
      </c>
      <c r="G1698" s="74">
        <v>35.941169630963749</v>
      </c>
      <c r="H1698" s="74">
        <f t="shared" si="53"/>
        <v>4.553230712368773</v>
      </c>
    </row>
    <row r="1699" spans="5:8" ht="15.6">
      <c r="E1699" s="279" t="s">
        <v>2025</v>
      </c>
      <c r="F1699" s="284">
        <f t="shared" ca="1" si="52"/>
        <v>0.9978351150215844</v>
      </c>
      <c r="G1699" s="74">
        <v>43.796283008069608</v>
      </c>
      <c r="H1699" s="74">
        <f t="shared" si="53"/>
        <v>-3.3018826647370858</v>
      </c>
    </row>
    <row r="1700" spans="5:8" ht="15.6">
      <c r="E1700" s="279" t="s">
        <v>2026</v>
      </c>
      <c r="F1700" s="284">
        <f t="shared" ca="1" si="52"/>
        <v>0.55841293528737113</v>
      </c>
      <c r="G1700" s="74">
        <v>37.723709803632694</v>
      </c>
      <c r="H1700" s="74">
        <f t="shared" si="53"/>
        <v>2.770690539699828</v>
      </c>
    </row>
    <row r="1701" spans="5:8" ht="15.6">
      <c r="E1701" s="279" t="s">
        <v>2027</v>
      </c>
      <c r="F1701" s="284">
        <f t="shared" ca="1" si="52"/>
        <v>0.81463337574190475</v>
      </c>
      <c r="G1701" s="74">
        <v>39.963632211951278</v>
      </c>
      <c r="H1701" s="74">
        <f t="shared" si="53"/>
        <v>0.53076813138124379</v>
      </c>
    </row>
    <row r="1702" spans="5:8" ht="15.6">
      <c r="E1702" s="279" t="s">
        <v>2028</v>
      </c>
      <c r="F1702" s="284">
        <f t="shared" ca="1" si="52"/>
        <v>0.37754184775047828</v>
      </c>
      <c r="G1702" s="74">
        <v>42.17238923130683</v>
      </c>
      <c r="H1702" s="74">
        <f t="shared" si="53"/>
        <v>-1.6779888879743083</v>
      </c>
    </row>
    <row r="1703" spans="5:8" ht="15.6">
      <c r="E1703" s="279" t="s">
        <v>2029</v>
      </c>
      <c r="F1703" s="284">
        <f t="shared" ca="1" si="52"/>
        <v>0.45698593901452433</v>
      </c>
      <c r="G1703" s="74">
        <v>36.155792317128117</v>
      </c>
      <c r="H1703" s="74">
        <f t="shared" si="53"/>
        <v>4.3386080262044047</v>
      </c>
    </row>
    <row r="1704" spans="5:8" ht="15.6">
      <c r="E1704" s="279" t="s">
        <v>2030</v>
      </c>
      <c r="F1704" s="284">
        <f t="shared" ca="1" si="52"/>
        <v>0.33409895812359602</v>
      </c>
      <c r="G1704" s="74">
        <v>36.805849688429511</v>
      </c>
      <c r="H1704" s="74">
        <f t="shared" si="53"/>
        <v>3.6885506549030112</v>
      </c>
    </row>
    <row r="1705" spans="5:8" ht="15.6">
      <c r="E1705" s="279" t="s">
        <v>2031</v>
      </c>
      <c r="F1705" s="284">
        <f t="shared" ca="1" si="52"/>
        <v>0.56549047904420169</v>
      </c>
      <c r="G1705" s="74">
        <v>40.474325091974485</v>
      </c>
      <c r="H1705" s="74">
        <f t="shared" si="53"/>
        <v>2.0075251358036894E-2</v>
      </c>
    </row>
    <row r="1706" spans="5:8" ht="15.6">
      <c r="E1706" s="279" t="s">
        <v>2032</v>
      </c>
      <c r="F1706" s="284">
        <f t="shared" ca="1" si="52"/>
        <v>0.82317302583577456</v>
      </c>
      <c r="G1706" s="74">
        <v>37.450733718379695</v>
      </c>
      <c r="H1706" s="74">
        <f t="shared" si="53"/>
        <v>3.0436666249528272</v>
      </c>
    </row>
    <row r="1707" spans="5:8" ht="15.6">
      <c r="E1707" s="279" t="s">
        <v>2033</v>
      </c>
      <c r="F1707" s="284">
        <f t="shared" ca="1" si="52"/>
        <v>0.74718620471632446</v>
      </c>
      <c r="G1707" s="74">
        <v>38.868755041737515</v>
      </c>
      <c r="H1707" s="74">
        <f t="shared" si="53"/>
        <v>1.6256453015950072</v>
      </c>
    </row>
    <row r="1708" spans="5:8" ht="15.6">
      <c r="E1708" s="279" t="s">
        <v>2034</v>
      </c>
      <c r="F1708" s="284">
        <f t="shared" ca="1" si="52"/>
        <v>0.58090407332793703</v>
      </c>
      <c r="G1708" s="74">
        <v>38.815191223888355</v>
      </c>
      <c r="H1708" s="74">
        <f t="shared" si="53"/>
        <v>1.6792091194441667</v>
      </c>
    </row>
    <row r="1709" spans="5:8" ht="15.6">
      <c r="E1709" s="279" t="s">
        <v>2035</v>
      </c>
      <c r="F1709" s="284">
        <f t="shared" ca="1" si="52"/>
        <v>0.67532408914036623</v>
      </c>
      <c r="G1709" s="74">
        <v>35.94610398357689</v>
      </c>
      <c r="H1709" s="74">
        <f t="shared" si="53"/>
        <v>4.5482963597556321</v>
      </c>
    </row>
    <row r="1710" spans="5:8" ht="15.6">
      <c r="E1710" s="279" t="s">
        <v>2036</v>
      </c>
      <c r="F1710" s="284">
        <f t="shared" ca="1" si="52"/>
        <v>0.71112403025896076</v>
      </c>
      <c r="G1710" s="74">
        <v>42.039721729111044</v>
      </c>
      <c r="H1710" s="74">
        <f t="shared" si="53"/>
        <v>-1.5453213857785215</v>
      </c>
    </row>
    <row r="1711" spans="5:8" ht="15.6">
      <c r="E1711" s="279" t="s">
        <v>2037</v>
      </c>
      <c r="F1711" s="284">
        <f t="shared" ca="1" si="52"/>
        <v>0.43209116118134883</v>
      </c>
      <c r="G1711" s="74">
        <v>39.577311587709076</v>
      </c>
      <c r="H1711" s="74">
        <f t="shared" si="53"/>
        <v>0.91708875562344616</v>
      </c>
    </row>
    <row r="1712" spans="5:8" ht="15.6">
      <c r="E1712" s="279" t="s">
        <v>2038</v>
      </c>
      <c r="F1712" s="284">
        <f t="shared" ca="1" si="52"/>
        <v>0.26303842620981788</v>
      </c>
      <c r="G1712" s="74">
        <v>41.019080435955978</v>
      </c>
      <c r="H1712" s="74">
        <f t="shared" si="53"/>
        <v>-0.52468009262345561</v>
      </c>
    </row>
    <row r="1713" spans="5:8" ht="15.6">
      <c r="E1713" s="279" t="s">
        <v>2039</v>
      </c>
      <c r="F1713" s="284">
        <f t="shared" ca="1" si="52"/>
        <v>0.52019300230248045</v>
      </c>
      <c r="G1713" s="74">
        <v>37.070867263002981</v>
      </c>
      <c r="H1713" s="74">
        <f t="shared" si="53"/>
        <v>3.4235330803295412</v>
      </c>
    </row>
    <row r="1714" spans="5:8" ht="15.6">
      <c r="E1714" s="279" t="s">
        <v>2040</v>
      </c>
      <c r="F1714" s="284">
        <f t="shared" ca="1" si="52"/>
        <v>0.61416869081232417</v>
      </c>
      <c r="G1714" s="74">
        <v>34.465637910231585</v>
      </c>
      <c r="H1714" s="74">
        <f t="shared" si="53"/>
        <v>6.0287624331009368</v>
      </c>
    </row>
    <row r="1715" spans="5:8" ht="15.6">
      <c r="E1715" s="279" t="s">
        <v>2041</v>
      </c>
      <c r="F1715" s="284">
        <f t="shared" ca="1" si="52"/>
        <v>4.1930310205437027E-2</v>
      </c>
      <c r="G1715" s="74">
        <v>39.88738986339051</v>
      </c>
      <c r="H1715" s="74">
        <f t="shared" si="53"/>
        <v>0.60701047994201218</v>
      </c>
    </row>
    <row r="1716" spans="5:8" ht="15.6">
      <c r="E1716" s="279" t="s">
        <v>2042</v>
      </c>
      <c r="F1716" s="284">
        <f t="shared" ca="1" si="52"/>
        <v>0.13103449084787666</v>
      </c>
      <c r="G1716" s="74">
        <v>40.463198558880762</v>
      </c>
      <c r="H1716" s="74">
        <f t="shared" si="53"/>
        <v>3.1201784451759806E-2</v>
      </c>
    </row>
    <row r="1717" spans="5:8" ht="15.6">
      <c r="E1717" s="279" t="s">
        <v>2043</v>
      </c>
      <c r="F1717" s="284">
        <f t="shared" ca="1" si="52"/>
        <v>0.59492785261615233</v>
      </c>
      <c r="G1717" s="74">
        <v>44.817579031566382</v>
      </c>
      <c r="H1717" s="74">
        <f t="shared" si="53"/>
        <v>-4.3231786882338596</v>
      </c>
    </row>
    <row r="1718" spans="5:8" ht="15.6">
      <c r="E1718" s="279" t="s">
        <v>2044</v>
      </c>
      <c r="F1718" s="284">
        <f t="shared" ca="1" si="52"/>
        <v>0.41671993337925517</v>
      </c>
      <c r="G1718" s="74">
        <v>37.055222502733884</v>
      </c>
      <c r="H1718" s="74">
        <f t="shared" si="53"/>
        <v>3.4391778405986386</v>
      </c>
    </row>
    <row r="1719" spans="5:8" ht="15.6">
      <c r="E1719" s="279" t="s">
        <v>2045</v>
      </c>
      <c r="F1719" s="284">
        <f t="shared" ca="1" si="52"/>
        <v>0.85197413132918787</v>
      </c>
      <c r="G1719" s="74">
        <v>37.097337513847819</v>
      </c>
      <c r="H1719" s="74">
        <f t="shared" si="53"/>
        <v>3.3970628294847032</v>
      </c>
    </row>
    <row r="1720" spans="5:8" ht="15.6">
      <c r="E1720" s="279" t="s">
        <v>2046</v>
      </c>
      <c r="F1720" s="284">
        <f t="shared" ca="1" si="52"/>
        <v>0.97143144731242403</v>
      </c>
      <c r="G1720" s="74">
        <v>40.133778012970254</v>
      </c>
      <c r="H1720" s="74">
        <f t="shared" si="53"/>
        <v>0.36062233036226843</v>
      </c>
    </row>
    <row r="1721" spans="5:8" ht="15.6">
      <c r="E1721" s="279" t="s">
        <v>2047</v>
      </c>
      <c r="F1721" s="284">
        <f t="shared" ca="1" si="52"/>
        <v>0.64798433421004342</v>
      </c>
      <c r="G1721" s="74">
        <v>40.278503925497375</v>
      </c>
      <c r="H1721" s="74">
        <f t="shared" si="53"/>
        <v>0.21589641783514679</v>
      </c>
    </row>
    <row r="1722" spans="5:8" ht="15.6">
      <c r="E1722" s="279" t="s">
        <v>2048</v>
      </c>
      <c r="F1722" s="284">
        <f t="shared" ca="1" si="52"/>
        <v>2.5181397032052577E-2</v>
      </c>
      <c r="G1722" s="74">
        <v>39.475390105730305</v>
      </c>
      <c r="H1722" s="74">
        <f t="shared" si="53"/>
        <v>1.0190102376022168</v>
      </c>
    </row>
    <row r="1723" spans="5:8" ht="15.6">
      <c r="E1723" s="279" t="s">
        <v>2049</v>
      </c>
      <c r="F1723" s="284">
        <f t="shared" ca="1" si="52"/>
        <v>0.53338623646236494</v>
      </c>
      <c r="G1723" s="74">
        <v>39.018842282061925</v>
      </c>
      <c r="H1723" s="74">
        <f t="shared" si="53"/>
        <v>1.475558061270597</v>
      </c>
    </row>
    <row r="1724" spans="5:8" ht="15.6">
      <c r="E1724" s="279" t="s">
        <v>2050</v>
      </c>
      <c r="F1724" s="284">
        <f t="shared" ca="1" si="52"/>
        <v>6.8033126277851186E-2</v>
      </c>
      <c r="G1724" s="74">
        <v>37.77803460552974</v>
      </c>
      <c r="H1724" s="74">
        <f t="shared" si="53"/>
        <v>2.7163657378027821</v>
      </c>
    </row>
    <row r="1725" spans="5:8" ht="15.6">
      <c r="E1725" s="279" t="s">
        <v>2051</v>
      </c>
      <c r="F1725" s="284">
        <f t="shared" ca="1" si="52"/>
        <v>0.98763365458526575</v>
      </c>
      <c r="G1725" s="74">
        <v>36.293378191562297</v>
      </c>
      <c r="H1725" s="74">
        <f t="shared" si="53"/>
        <v>4.2010221517702249</v>
      </c>
    </row>
    <row r="1726" spans="5:8" ht="15.6">
      <c r="E1726" s="279" t="s">
        <v>2052</v>
      </c>
      <c r="F1726" s="284">
        <f t="shared" ca="1" si="52"/>
        <v>5.2193994810069921E-2</v>
      </c>
      <c r="G1726" s="74">
        <v>41.574566190405491</v>
      </c>
      <c r="H1726" s="74">
        <f t="shared" si="53"/>
        <v>-1.0801658470729691</v>
      </c>
    </row>
    <row r="1727" spans="5:8" ht="15.6">
      <c r="E1727" s="279" t="s">
        <v>2053</v>
      </c>
      <c r="F1727" s="284">
        <f t="shared" ca="1" si="52"/>
        <v>0.82857858808133777</v>
      </c>
      <c r="G1727" s="74">
        <v>37.949387845306624</v>
      </c>
      <c r="H1727" s="74">
        <f t="shared" si="53"/>
        <v>2.5450124980258977</v>
      </c>
    </row>
    <row r="1728" spans="5:8" ht="15.6">
      <c r="E1728" s="279" t="s">
        <v>2054</v>
      </c>
      <c r="F1728" s="284">
        <f t="shared" ca="1" si="52"/>
        <v>0.77580437975611793</v>
      </c>
      <c r="G1728" s="74">
        <v>34.68318855289926</v>
      </c>
      <c r="H1728" s="74">
        <f t="shared" si="53"/>
        <v>5.8112117904332621</v>
      </c>
    </row>
    <row r="1729" spans="5:8" ht="15.6">
      <c r="E1729" s="279" t="s">
        <v>2055</v>
      </c>
      <c r="F1729" s="284">
        <f t="shared" ca="1" si="52"/>
        <v>0.25298327731312231</v>
      </c>
      <c r="G1729" s="74">
        <v>42.695508345552419</v>
      </c>
      <c r="H1729" s="74">
        <f t="shared" si="53"/>
        <v>-2.2011080022198968</v>
      </c>
    </row>
    <row r="1730" spans="5:8" ht="15.6">
      <c r="E1730" s="279" t="s">
        <v>2056</v>
      </c>
      <c r="F1730" s="284">
        <f t="shared" ca="1" si="52"/>
        <v>0.9234358341555795</v>
      </c>
      <c r="G1730" s="74">
        <v>41.578349872556004</v>
      </c>
      <c r="H1730" s="74">
        <f t="shared" si="53"/>
        <v>-1.0839495292234815</v>
      </c>
    </row>
    <row r="1731" spans="5:8" ht="15.6">
      <c r="E1731" s="279" t="s">
        <v>2057</v>
      </c>
      <c r="F1731" s="284">
        <f t="shared" ca="1" si="52"/>
        <v>0.31853346655215808</v>
      </c>
      <c r="G1731" s="74">
        <v>39.530952849069791</v>
      </c>
      <c r="H1731" s="74">
        <f t="shared" si="53"/>
        <v>0.96344749426273069</v>
      </c>
    </row>
    <row r="1732" spans="5:8" ht="15.6">
      <c r="E1732" s="279" t="s">
        <v>2058</v>
      </c>
      <c r="F1732" s="284">
        <f t="shared" ca="1" si="52"/>
        <v>0.20031144824744329</v>
      </c>
      <c r="G1732" s="74">
        <v>37.895105249326008</v>
      </c>
      <c r="H1732" s="74">
        <f t="shared" si="53"/>
        <v>2.5992950940065143</v>
      </c>
    </row>
    <row r="1733" spans="5:8" ht="15.6">
      <c r="E1733" s="279" t="s">
        <v>2059</v>
      </c>
      <c r="F1733" s="284">
        <f t="shared" ca="1" si="52"/>
        <v>0.37748652502911684</v>
      </c>
      <c r="G1733" s="74">
        <v>40.648829814768114</v>
      </c>
      <c r="H1733" s="74">
        <f t="shared" si="53"/>
        <v>-0.15442947143559138</v>
      </c>
    </row>
    <row r="1734" spans="5:8" ht="15.6">
      <c r="E1734" s="279" t="s">
        <v>2060</v>
      </c>
      <c r="F1734" s="284">
        <f t="shared" ca="1" si="52"/>
        <v>0.1837718213518359</v>
      </c>
      <c r="G1734" s="74">
        <v>37.658198063694215</v>
      </c>
      <c r="H1734" s="74">
        <f t="shared" si="53"/>
        <v>2.8362022796383073</v>
      </c>
    </row>
    <row r="1735" spans="5:8" ht="15.6">
      <c r="E1735" s="279" t="s">
        <v>2061</v>
      </c>
      <c r="F1735" s="284">
        <f t="shared" ca="1" si="52"/>
        <v>0.7727756678608636</v>
      </c>
      <c r="G1735" s="74">
        <v>36.791073414249396</v>
      </c>
      <c r="H1735" s="74">
        <f t="shared" si="53"/>
        <v>3.7033269290831257</v>
      </c>
    </row>
    <row r="1736" spans="5:8" ht="15.6">
      <c r="E1736" s="279" t="s">
        <v>2062</v>
      </c>
      <c r="F1736" s="284">
        <f t="shared" ca="1" si="52"/>
        <v>0.69332863167001924</v>
      </c>
      <c r="G1736" s="74">
        <v>38.886206568674929</v>
      </c>
      <c r="H1736" s="74">
        <f t="shared" si="53"/>
        <v>1.6081937746575932</v>
      </c>
    </row>
    <row r="1737" spans="5:8" ht="15.6">
      <c r="E1737" s="279" t="s">
        <v>2063</v>
      </c>
      <c r="F1737" s="284">
        <f t="shared" ca="1" si="52"/>
        <v>0.38317819763348804</v>
      </c>
      <c r="G1737" s="74">
        <v>42.027991231576451</v>
      </c>
      <c r="H1737" s="74">
        <f t="shared" si="53"/>
        <v>-1.5335908882439284</v>
      </c>
    </row>
    <row r="1738" spans="5:8" ht="15.6">
      <c r="E1738" s="279" t="s">
        <v>2064</v>
      </c>
      <c r="F1738" s="284">
        <f t="shared" ca="1" si="52"/>
        <v>0.53220574483550764</v>
      </c>
      <c r="G1738" s="74">
        <v>37.560737279796882</v>
      </c>
      <c r="H1738" s="74">
        <f t="shared" si="53"/>
        <v>2.93366306353564</v>
      </c>
    </row>
    <row r="1739" spans="5:8" ht="15.6">
      <c r="E1739" s="279" t="s">
        <v>2065</v>
      </c>
      <c r="F1739" s="284">
        <f t="shared" ca="1" si="52"/>
        <v>0.40040169042878992</v>
      </c>
      <c r="G1739" s="74">
        <v>40.666811855743305</v>
      </c>
      <c r="H1739" s="74">
        <f t="shared" si="53"/>
        <v>-0.17241151241078256</v>
      </c>
    </row>
    <row r="1740" spans="5:8" ht="15.6">
      <c r="E1740" s="279" t="s">
        <v>2066</v>
      </c>
      <c r="F1740" s="284">
        <f t="shared" ref="F1740:F1803" ca="1" si="54">RAND()</f>
        <v>0.46220599721929834</v>
      </c>
      <c r="G1740" s="74">
        <v>38.170257254582161</v>
      </c>
      <c r="H1740" s="74">
        <f t="shared" ref="H1740:H1803" si="55">$D$2-G1740</f>
        <v>2.3241430887503611</v>
      </c>
    </row>
    <row r="1741" spans="5:8" ht="15.6">
      <c r="E1741" s="279" t="s">
        <v>2067</v>
      </c>
      <c r="F1741" s="284">
        <f t="shared" ca="1" si="54"/>
        <v>0.73533515424624429</v>
      </c>
      <c r="G1741" s="74">
        <v>37.391038090491108</v>
      </c>
      <c r="H1741" s="74">
        <f t="shared" si="55"/>
        <v>3.1033622528414142</v>
      </c>
    </row>
    <row r="1742" spans="5:8" ht="15.6">
      <c r="E1742" s="279" t="s">
        <v>2068</v>
      </c>
      <c r="F1742" s="284">
        <f t="shared" ca="1" si="54"/>
        <v>0.24154580225128597</v>
      </c>
      <c r="G1742" s="74">
        <v>38.537134987694969</v>
      </c>
      <c r="H1742" s="74">
        <f t="shared" si="55"/>
        <v>1.9572653556375528</v>
      </c>
    </row>
    <row r="1743" spans="5:8" ht="15.6">
      <c r="E1743" s="279" t="s">
        <v>2069</v>
      </c>
      <c r="F1743" s="284">
        <f t="shared" ca="1" si="54"/>
        <v>0.40160840567278699</v>
      </c>
      <c r="G1743" s="74">
        <v>39.518175737791175</v>
      </c>
      <c r="H1743" s="74">
        <f t="shared" si="55"/>
        <v>0.97622460554134705</v>
      </c>
    </row>
    <row r="1744" spans="5:8" ht="15.6">
      <c r="E1744" s="279" t="s">
        <v>2070</v>
      </c>
      <c r="F1744" s="284">
        <f t="shared" ca="1" si="54"/>
        <v>0.97413986020817644</v>
      </c>
      <c r="G1744" s="74">
        <v>39.131061163153767</v>
      </c>
      <c r="H1744" s="74">
        <f t="shared" si="55"/>
        <v>1.3633391801787553</v>
      </c>
    </row>
    <row r="1745" spans="5:8" ht="15.6">
      <c r="E1745" s="279" t="s">
        <v>2071</v>
      </c>
      <c r="F1745" s="284">
        <f t="shared" ca="1" si="54"/>
        <v>0.52612673633329299</v>
      </c>
      <c r="G1745" s="74">
        <v>37.80600232174509</v>
      </c>
      <c r="H1745" s="74">
        <f t="shared" si="55"/>
        <v>2.6883980215874317</v>
      </c>
    </row>
    <row r="1746" spans="5:8" ht="15.6">
      <c r="E1746" s="279" t="s">
        <v>2072</v>
      </c>
      <c r="F1746" s="284">
        <f t="shared" ca="1" si="54"/>
        <v>0.79121015530136851</v>
      </c>
      <c r="G1746" s="74">
        <v>41.238081906888596</v>
      </c>
      <c r="H1746" s="74">
        <f t="shared" si="55"/>
        <v>-0.7436815635560734</v>
      </c>
    </row>
    <row r="1747" spans="5:8" ht="15.6">
      <c r="E1747" s="279" t="s">
        <v>2073</v>
      </c>
      <c r="F1747" s="284">
        <f t="shared" ca="1" si="54"/>
        <v>0.92090626044454671</v>
      </c>
      <c r="G1747" s="74">
        <v>38.544758548412993</v>
      </c>
      <c r="H1747" s="74">
        <f t="shared" si="55"/>
        <v>1.949641794919529</v>
      </c>
    </row>
    <row r="1748" spans="5:8" ht="15.6">
      <c r="E1748" s="279" t="s">
        <v>2074</v>
      </c>
      <c r="F1748" s="284">
        <f t="shared" ca="1" si="54"/>
        <v>0.19548011874520588</v>
      </c>
      <c r="G1748" s="74">
        <v>40.025843950741113</v>
      </c>
      <c r="H1748" s="74">
        <f t="shared" si="55"/>
        <v>0.46855639259140958</v>
      </c>
    </row>
    <row r="1749" spans="5:8" ht="15.6">
      <c r="E1749" s="279" t="s">
        <v>2075</v>
      </c>
      <c r="F1749" s="284">
        <f t="shared" ca="1" si="54"/>
        <v>0.5211111884441666</v>
      </c>
      <c r="G1749" s="74">
        <v>39.585155607122559</v>
      </c>
      <c r="H1749" s="74">
        <f t="shared" si="55"/>
        <v>0.90924473620996338</v>
      </c>
    </row>
    <row r="1750" spans="5:8" ht="15.6">
      <c r="E1750" s="279" t="s">
        <v>2076</v>
      </c>
      <c r="F1750" s="284">
        <f t="shared" ca="1" si="54"/>
        <v>0.8658794955807595</v>
      </c>
      <c r="G1750" s="74">
        <v>37.880354872311564</v>
      </c>
      <c r="H1750" s="74">
        <f t="shared" si="55"/>
        <v>2.6140454710209582</v>
      </c>
    </row>
    <row r="1751" spans="5:8" ht="15.6">
      <c r="E1751" s="279" t="s">
        <v>2077</v>
      </c>
      <c r="F1751" s="284">
        <f t="shared" ca="1" si="54"/>
        <v>9.1134692804235806E-2</v>
      </c>
      <c r="G1751" s="74">
        <v>43.182394603464999</v>
      </c>
      <c r="H1751" s="74">
        <f t="shared" si="55"/>
        <v>-2.6879942601324771</v>
      </c>
    </row>
    <row r="1752" spans="5:8" ht="15.6">
      <c r="E1752" s="279" t="s">
        <v>2078</v>
      </c>
      <c r="F1752" s="284">
        <f t="shared" ca="1" si="54"/>
        <v>0.48726835982817174</v>
      </c>
      <c r="G1752" s="74">
        <v>37.323600999012157</v>
      </c>
      <c r="H1752" s="74">
        <f t="shared" si="55"/>
        <v>3.1707993443203648</v>
      </c>
    </row>
    <row r="1753" spans="5:8" ht="15.6">
      <c r="E1753" s="279" t="s">
        <v>2079</v>
      </c>
      <c r="F1753" s="284">
        <f t="shared" ca="1" si="54"/>
        <v>0.71144300436303665</v>
      </c>
      <c r="G1753" s="74">
        <v>38.904138783169593</v>
      </c>
      <c r="H1753" s="74">
        <f t="shared" si="55"/>
        <v>1.5902615601629293</v>
      </c>
    </row>
    <row r="1754" spans="5:8" ht="15.6">
      <c r="E1754" s="279" t="s">
        <v>2080</v>
      </c>
      <c r="F1754" s="284">
        <f t="shared" ca="1" si="54"/>
        <v>0.92331879733430411</v>
      </c>
      <c r="G1754" s="74">
        <v>40.811387902961584</v>
      </c>
      <c r="H1754" s="74">
        <f t="shared" si="55"/>
        <v>-0.31698755962906233</v>
      </c>
    </row>
    <row r="1755" spans="5:8" ht="15.6">
      <c r="E1755" s="279" t="s">
        <v>2081</v>
      </c>
      <c r="F1755" s="284">
        <f t="shared" ca="1" si="54"/>
        <v>0.70241994918909767</v>
      </c>
      <c r="G1755" s="74">
        <v>47.717075058617269</v>
      </c>
      <c r="H1755" s="74">
        <f t="shared" si="55"/>
        <v>-7.2226747152847466</v>
      </c>
    </row>
    <row r="1756" spans="5:8" ht="15.6">
      <c r="E1756" s="279" t="s">
        <v>2082</v>
      </c>
      <c r="F1756" s="284">
        <f t="shared" ca="1" si="54"/>
        <v>7.2759880989718417E-2</v>
      </c>
      <c r="G1756" s="74">
        <v>40.62139145376733</v>
      </c>
      <c r="H1756" s="74">
        <f t="shared" si="55"/>
        <v>-0.12699111043480826</v>
      </c>
    </row>
    <row r="1757" spans="5:8" ht="15.6">
      <c r="E1757" s="279" t="s">
        <v>2083</v>
      </c>
      <c r="F1757" s="284">
        <f t="shared" ca="1" si="54"/>
        <v>0.43518478090624912</v>
      </c>
      <c r="G1757" s="74">
        <v>34.54636053952504</v>
      </c>
      <c r="H1757" s="74">
        <f t="shared" si="55"/>
        <v>5.9480398038074824</v>
      </c>
    </row>
    <row r="1758" spans="5:8" ht="15.6">
      <c r="E1758" s="279" t="s">
        <v>2084</v>
      </c>
      <c r="F1758" s="284">
        <f t="shared" ca="1" si="54"/>
        <v>0.39690427058304489</v>
      </c>
      <c r="G1758" s="74">
        <v>39.844020909334134</v>
      </c>
      <c r="H1758" s="74">
        <f t="shared" si="55"/>
        <v>0.65037943399838838</v>
      </c>
    </row>
    <row r="1759" spans="5:8" ht="15.6">
      <c r="E1759" s="279" t="s">
        <v>2085</v>
      </c>
      <c r="F1759" s="284">
        <f t="shared" ca="1" si="54"/>
        <v>0.75935262770761036</v>
      </c>
      <c r="G1759" s="74">
        <v>40.300304270510914</v>
      </c>
      <c r="H1759" s="74">
        <f t="shared" si="55"/>
        <v>0.19409607282160835</v>
      </c>
    </row>
    <row r="1760" spans="5:8" ht="15.6">
      <c r="E1760" s="279" t="s">
        <v>2086</v>
      </c>
      <c r="F1760" s="284">
        <f t="shared" ca="1" si="54"/>
        <v>0.12214670002575101</v>
      </c>
      <c r="G1760" s="74">
        <v>37.861154727673494</v>
      </c>
      <c r="H1760" s="74">
        <f t="shared" si="55"/>
        <v>2.6332456156590283</v>
      </c>
    </row>
    <row r="1761" spans="5:8" ht="15.6">
      <c r="E1761" s="279" t="s">
        <v>2087</v>
      </c>
      <c r="F1761" s="284">
        <f t="shared" ca="1" si="54"/>
        <v>0.22258627705668277</v>
      </c>
      <c r="G1761" s="74">
        <v>39.405083453578847</v>
      </c>
      <c r="H1761" s="74">
        <f t="shared" si="55"/>
        <v>1.0893168897536754</v>
      </c>
    </row>
    <row r="1762" spans="5:8" ht="15.6">
      <c r="E1762" s="279" t="s">
        <v>2088</v>
      </c>
      <c r="F1762" s="284">
        <f t="shared" ca="1" si="54"/>
        <v>5.226139777223815E-2</v>
      </c>
      <c r="G1762" s="74">
        <v>37.358538729890796</v>
      </c>
      <c r="H1762" s="74">
        <f t="shared" si="55"/>
        <v>3.1358616134417261</v>
      </c>
    </row>
    <row r="1763" spans="5:8" ht="15.6">
      <c r="E1763" s="279" t="s">
        <v>2089</v>
      </c>
      <c r="F1763" s="284">
        <f t="shared" ca="1" si="54"/>
        <v>3.0426993666675228E-2</v>
      </c>
      <c r="G1763" s="74">
        <v>43.409861775181867</v>
      </c>
      <c r="H1763" s="74">
        <f t="shared" si="55"/>
        <v>-2.9154614318493444</v>
      </c>
    </row>
    <row r="1764" spans="5:8" ht="15.6">
      <c r="E1764" s="279" t="s">
        <v>2090</v>
      </c>
      <c r="F1764" s="284">
        <f t="shared" ca="1" si="54"/>
        <v>0.55856877439737307</v>
      </c>
      <c r="G1764" s="74">
        <v>36.951355399451003</v>
      </c>
      <c r="H1764" s="74">
        <f t="shared" si="55"/>
        <v>3.5430449438815188</v>
      </c>
    </row>
    <row r="1765" spans="5:8" ht="15.6">
      <c r="E1765" s="279" t="s">
        <v>2091</v>
      </c>
      <c r="F1765" s="284">
        <f t="shared" ca="1" si="54"/>
        <v>0.26899205901959689</v>
      </c>
      <c r="G1765" s="74">
        <v>42.066377508975286</v>
      </c>
      <c r="H1765" s="74">
        <f t="shared" si="55"/>
        <v>-1.5719771656427639</v>
      </c>
    </row>
    <row r="1766" spans="5:8" ht="15.6">
      <c r="E1766" s="279" t="s">
        <v>2092</v>
      </c>
      <c r="F1766" s="284">
        <f t="shared" ca="1" si="54"/>
        <v>0.54055427681584955</v>
      </c>
      <c r="G1766" s="74">
        <v>38.535594392537689</v>
      </c>
      <c r="H1766" s="74">
        <f t="shared" si="55"/>
        <v>1.958805950794833</v>
      </c>
    </row>
    <row r="1767" spans="5:8" ht="15.6">
      <c r="E1767" s="279" t="s">
        <v>2093</v>
      </c>
      <c r="F1767" s="284">
        <f t="shared" ca="1" si="54"/>
        <v>0.34015340291976282</v>
      </c>
      <c r="G1767" s="74">
        <v>36.669610940013918</v>
      </c>
      <c r="H1767" s="74">
        <f t="shared" si="55"/>
        <v>3.8247894033186043</v>
      </c>
    </row>
    <row r="1768" spans="5:8" ht="15.6">
      <c r="E1768" s="279" t="s">
        <v>2094</v>
      </c>
      <c r="F1768" s="284">
        <f t="shared" ca="1" si="54"/>
        <v>0.83193907432103753</v>
      </c>
      <c r="G1768" s="74">
        <v>43.361164105125653</v>
      </c>
      <c r="H1768" s="74">
        <f t="shared" si="55"/>
        <v>-2.8667637617931305</v>
      </c>
    </row>
    <row r="1769" spans="5:8" ht="15.6">
      <c r="E1769" s="279" t="s">
        <v>2095</v>
      </c>
      <c r="F1769" s="284">
        <f t="shared" ca="1" si="54"/>
        <v>0.68605910606598142</v>
      </c>
      <c r="G1769" s="74">
        <v>33.177409934606921</v>
      </c>
      <c r="H1769" s="74">
        <f t="shared" si="55"/>
        <v>7.3169904087256015</v>
      </c>
    </row>
    <row r="1770" spans="5:8" ht="15.6">
      <c r="E1770" s="279" t="s">
        <v>2096</v>
      </c>
      <c r="F1770" s="284">
        <f t="shared" ca="1" si="54"/>
        <v>0.83451503459545862</v>
      </c>
      <c r="G1770" s="74">
        <v>39.16623935200866</v>
      </c>
      <c r="H1770" s="74">
        <f t="shared" si="55"/>
        <v>1.3281609913238626</v>
      </c>
    </row>
    <row r="1771" spans="5:8" ht="15.6">
      <c r="E1771" s="279" t="s">
        <v>2097</v>
      </c>
      <c r="F1771" s="284">
        <f t="shared" ca="1" si="54"/>
        <v>0.87779983047629639</v>
      </c>
      <c r="G1771" s="74">
        <v>38.940406185957968</v>
      </c>
      <c r="H1771" s="74">
        <f t="shared" si="55"/>
        <v>1.5539941573745537</v>
      </c>
    </row>
    <row r="1772" spans="5:8" ht="15.6">
      <c r="E1772" s="279" t="s">
        <v>2098</v>
      </c>
      <c r="F1772" s="284">
        <f t="shared" ca="1" si="54"/>
        <v>7.8370456699224045E-2</v>
      </c>
      <c r="G1772" s="74">
        <v>38.858645337239409</v>
      </c>
      <c r="H1772" s="74">
        <f t="shared" si="55"/>
        <v>1.6357550060931132</v>
      </c>
    </row>
    <row r="1773" spans="5:8" ht="15.6">
      <c r="E1773" s="279" t="s">
        <v>2099</v>
      </c>
      <c r="F1773" s="284">
        <f t="shared" ca="1" si="54"/>
        <v>0.15485022116314118</v>
      </c>
      <c r="G1773" s="74">
        <v>36.944709540969697</v>
      </c>
      <c r="H1773" s="74">
        <f t="shared" si="55"/>
        <v>3.5496908023628251</v>
      </c>
    </row>
    <row r="1774" spans="5:8" ht="15.6">
      <c r="E1774" s="279" t="s">
        <v>2100</v>
      </c>
      <c r="F1774" s="284">
        <f t="shared" ca="1" si="54"/>
        <v>0.57644674517122929</v>
      </c>
      <c r="G1774" s="74">
        <v>37.850147922771647</v>
      </c>
      <c r="H1774" s="74">
        <f t="shared" si="55"/>
        <v>2.6442524205608748</v>
      </c>
    </row>
    <row r="1775" spans="5:8" ht="15.6">
      <c r="E1775" s="279" t="s">
        <v>2101</v>
      </c>
      <c r="F1775" s="284">
        <f t="shared" ca="1" si="54"/>
        <v>0.64713839552878305</v>
      </c>
      <c r="G1775" s="74">
        <v>39.404730198399839</v>
      </c>
      <c r="H1775" s="74">
        <f t="shared" si="55"/>
        <v>1.0896701449326827</v>
      </c>
    </row>
    <row r="1776" spans="5:8" ht="15.6">
      <c r="E1776" s="279" t="s">
        <v>2102</v>
      </c>
      <c r="F1776" s="284">
        <f t="shared" ca="1" si="54"/>
        <v>0.61930643426801946</v>
      </c>
      <c r="G1776" s="74">
        <v>38.299566747781462</v>
      </c>
      <c r="H1776" s="74">
        <f t="shared" si="55"/>
        <v>2.1948335955510601</v>
      </c>
    </row>
    <row r="1777" spans="5:8" ht="15.6">
      <c r="E1777" s="279" t="s">
        <v>2103</v>
      </c>
      <c r="F1777" s="284">
        <f t="shared" ca="1" si="54"/>
        <v>0.58999094598516111</v>
      </c>
      <c r="G1777" s="74">
        <v>41.114385489604594</v>
      </c>
      <c r="H1777" s="74">
        <f t="shared" si="55"/>
        <v>-0.61998514627207157</v>
      </c>
    </row>
    <row r="1778" spans="5:8" ht="15.6">
      <c r="E1778" s="279" t="s">
        <v>2104</v>
      </c>
      <c r="F1778" s="284">
        <f t="shared" ca="1" si="54"/>
        <v>0.86874105876968477</v>
      </c>
      <c r="G1778" s="74">
        <v>39.264219937035215</v>
      </c>
      <c r="H1778" s="74">
        <f t="shared" si="55"/>
        <v>1.2301804062973076</v>
      </c>
    </row>
    <row r="1779" spans="5:8" ht="15.6">
      <c r="E1779" s="279" t="s">
        <v>2105</v>
      </c>
      <c r="F1779" s="284">
        <f t="shared" ca="1" si="54"/>
        <v>0.77300207074686589</v>
      </c>
      <c r="G1779" s="74">
        <v>31.899161192272498</v>
      </c>
      <c r="H1779" s="74">
        <f t="shared" si="55"/>
        <v>8.5952391510600243</v>
      </c>
    </row>
    <row r="1780" spans="5:8" ht="15.6">
      <c r="E1780" s="279" t="s">
        <v>2106</v>
      </c>
      <c r="F1780" s="284">
        <f t="shared" ca="1" si="54"/>
        <v>0.4879825229026179</v>
      </c>
      <c r="G1780" s="74">
        <v>38.786587825022664</v>
      </c>
      <c r="H1780" s="74">
        <f t="shared" si="55"/>
        <v>1.7078125183098578</v>
      </c>
    </row>
    <row r="1781" spans="5:8" ht="15.6">
      <c r="E1781" s="279" t="s">
        <v>2107</v>
      </c>
      <c r="F1781" s="284">
        <f t="shared" ca="1" si="54"/>
        <v>0.7224397511904439</v>
      </c>
      <c r="G1781" s="74">
        <v>39.298646523016409</v>
      </c>
      <c r="H1781" s="74">
        <f t="shared" si="55"/>
        <v>1.1957538203161135</v>
      </c>
    </row>
    <row r="1782" spans="5:8" ht="15.6">
      <c r="E1782" s="279" t="s">
        <v>2108</v>
      </c>
      <c r="F1782" s="284">
        <f t="shared" ca="1" si="54"/>
        <v>0.73729095156132363</v>
      </c>
      <c r="G1782" s="74">
        <v>40.05723347825414</v>
      </c>
      <c r="H1782" s="74">
        <f t="shared" si="55"/>
        <v>0.43716686507838176</v>
      </c>
    </row>
    <row r="1783" spans="5:8" ht="15.6">
      <c r="E1783" s="279" t="s">
        <v>2109</v>
      </c>
      <c r="F1783" s="284">
        <f t="shared" ca="1" si="54"/>
        <v>0.85789363856030376</v>
      </c>
      <c r="G1783" s="74">
        <v>45.009265361163223</v>
      </c>
      <c r="H1783" s="74">
        <f t="shared" si="55"/>
        <v>-4.5148650178307008</v>
      </c>
    </row>
    <row r="1784" spans="5:8" ht="15.6">
      <c r="E1784" s="279" t="s">
        <v>2110</v>
      </c>
      <c r="F1784" s="284">
        <f t="shared" ca="1" si="54"/>
        <v>0.189005484352474</v>
      </c>
      <c r="G1784" s="74">
        <v>32.501173620811485</v>
      </c>
      <c r="H1784" s="74">
        <f t="shared" si="55"/>
        <v>7.9932267225210367</v>
      </c>
    </row>
    <row r="1785" spans="5:8" ht="15.6">
      <c r="E1785" s="279" t="s">
        <v>2111</v>
      </c>
      <c r="F1785" s="284">
        <f t="shared" ca="1" si="54"/>
        <v>0.28054888444245363</v>
      </c>
      <c r="G1785" s="74">
        <v>40.798107660545242</v>
      </c>
      <c r="H1785" s="74">
        <f t="shared" si="55"/>
        <v>-0.30370731721271937</v>
      </c>
    </row>
    <row r="1786" spans="5:8" ht="15.6">
      <c r="E1786" s="279" t="s">
        <v>2112</v>
      </c>
      <c r="F1786" s="284">
        <f t="shared" ca="1" si="54"/>
        <v>0.68400376979783317</v>
      </c>
      <c r="G1786" s="74">
        <v>34.844854611703703</v>
      </c>
      <c r="H1786" s="74">
        <f t="shared" si="55"/>
        <v>5.6495457316288196</v>
      </c>
    </row>
    <row r="1787" spans="5:8" ht="15.6">
      <c r="E1787" s="279" t="s">
        <v>2113</v>
      </c>
      <c r="F1787" s="284">
        <f t="shared" ca="1" si="54"/>
        <v>0.62786513344779971</v>
      </c>
      <c r="G1787" s="74">
        <v>40.269700387500862</v>
      </c>
      <c r="H1787" s="74">
        <f t="shared" si="55"/>
        <v>0.22469995583166025</v>
      </c>
    </row>
    <row r="1788" spans="5:8" ht="15.6">
      <c r="E1788" s="279" t="s">
        <v>2114</v>
      </c>
      <c r="F1788" s="284">
        <f t="shared" ca="1" si="54"/>
        <v>0.9623981204573786</v>
      </c>
      <c r="G1788" s="74">
        <v>41.313839034472529</v>
      </c>
      <c r="H1788" s="74">
        <f t="shared" si="55"/>
        <v>-0.81943869114000734</v>
      </c>
    </row>
    <row r="1789" spans="5:8" ht="15.6">
      <c r="E1789" s="279" t="s">
        <v>2115</v>
      </c>
      <c r="F1789" s="284">
        <f t="shared" ca="1" si="54"/>
        <v>4.5316952044134884E-2</v>
      </c>
      <c r="G1789" s="74">
        <v>41.324592579936613</v>
      </c>
      <c r="H1789" s="74">
        <f t="shared" si="55"/>
        <v>-0.83019223660409125</v>
      </c>
    </row>
    <row r="1790" spans="5:8" ht="15.6">
      <c r="E1790" s="279" t="s">
        <v>2116</v>
      </c>
      <c r="F1790" s="284">
        <f t="shared" ca="1" si="54"/>
        <v>0.22465063529450602</v>
      </c>
      <c r="G1790" s="74">
        <v>36.221616040524928</v>
      </c>
      <c r="H1790" s="74">
        <f t="shared" si="55"/>
        <v>4.2727843028075938</v>
      </c>
    </row>
    <row r="1791" spans="5:8" ht="15.6">
      <c r="E1791" s="279" t="s">
        <v>2117</v>
      </c>
      <c r="F1791" s="284">
        <f t="shared" ca="1" si="54"/>
        <v>0.57602424977275413</v>
      </c>
      <c r="G1791" s="74">
        <v>38.280149439769147</v>
      </c>
      <c r="H1791" s="74">
        <f t="shared" si="55"/>
        <v>2.2142509035633751</v>
      </c>
    </row>
    <row r="1792" spans="5:8" ht="15.6">
      <c r="E1792" s="279" t="s">
        <v>2118</v>
      </c>
      <c r="F1792" s="284">
        <f t="shared" ca="1" si="54"/>
        <v>0.7624660316764581</v>
      </c>
      <c r="G1792" s="74">
        <v>39.469580013940131</v>
      </c>
      <c r="H1792" s="74">
        <f t="shared" si="55"/>
        <v>1.0248203293923908</v>
      </c>
    </row>
    <row r="1793" spans="5:8" ht="15.6">
      <c r="E1793" s="279" t="s">
        <v>2119</v>
      </c>
      <c r="F1793" s="284">
        <f t="shared" ca="1" si="54"/>
        <v>0.47864933488001304</v>
      </c>
      <c r="G1793" s="74">
        <v>37.872330883536385</v>
      </c>
      <c r="H1793" s="74">
        <f t="shared" si="55"/>
        <v>2.6220694597961369</v>
      </c>
    </row>
    <row r="1794" spans="5:8" ht="15.6">
      <c r="E1794" s="279" t="s">
        <v>2120</v>
      </c>
      <c r="F1794" s="284">
        <f t="shared" ca="1" si="54"/>
        <v>0.42515222064202229</v>
      </c>
      <c r="G1794" s="74">
        <v>39.145980009282852</v>
      </c>
      <c r="H1794" s="74">
        <f t="shared" si="55"/>
        <v>1.3484203340496705</v>
      </c>
    </row>
    <row r="1795" spans="5:8" ht="15.6">
      <c r="E1795" s="279" t="s">
        <v>2121</v>
      </c>
      <c r="F1795" s="284">
        <f t="shared" ca="1" si="54"/>
        <v>0.8375617548183325</v>
      </c>
      <c r="G1795" s="74">
        <v>36.595570868708052</v>
      </c>
      <c r="H1795" s="74">
        <f t="shared" si="55"/>
        <v>3.8988294746244705</v>
      </c>
    </row>
    <row r="1796" spans="5:8" ht="15.6">
      <c r="E1796" s="279" t="s">
        <v>2122</v>
      </c>
      <c r="F1796" s="284">
        <f t="shared" ca="1" si="54"/>
        <v>0.2832896957169887</v>
      </c>
      <c r="G1796" s="74">
        <v>42.787363637069504</v>
      </c>
      <c r="H1796" s="74">
        <f t="shared" si="55"/>
        <v>-2.2929632937369817</v>
      </c>
    </row>
    <row r="1797" spans="5:8" ht="15.6">
      <c r="E1797" s="279" t="s">
        <v>2123</v>
      </c>
      <c r="F1797" s="284">
        <f t="shared" ca="1" si="54"/>
        <v>0.71711288846109467</v>
      </c>
      <c r="G1797" s="74">
        <v>41.306777428395897</v>
      </c>
      <c r="H1797" s="74">
        <f t="shared" si="55"/>
        <v>-0.81237708506337469</v>
      </c>
    </row>
    <row r="1798" spans="5:8" ht="15.6">
      <c r="E1798" s="279" t="s">
        <v>2124</v>
      </c>
      <c r="F1798" s="284">
        <f t="shared" ca="1" si="54"/>
        <v>0.7571133042771756</v>
      </c>
      <c r="G1798" s="74">
        <v>40.539731767890423</v>
      </c>
      <c r="H1798" s="74">
        <f t="shared" si="55"/>
        <v>-4.5331424557900846E-2</v>
      </c>
    </row>
    <row r="1799" spans="5:8" ht="15.6">
      <c r="E1799" s="279" t="s">
        <v>2125</v>
      </c>
      <c r="F1799" s="284">
        <f t="shared" ca="1" si="54"/>
        <v>0.37133582831029632</v>
      </c>
      <c r="G1799" s="74">
        <v>34.159282680984816</v>
      </c>
      <c r="H1799" s="74">
        <f t="shared" si="55"/>
        <v>6.3351176623477059</v>
      </c>
    </row>
    <row r="1800" spans="5:8" ht="15.6">
      <c r="E1800" s="279" t="s">
        <v>2126</v>
      </c>
      <c r="F1800" s="284">
        <f t="shared" ca="1" si="54"/>
        <v>0.83698797735291541</v>
      </c>
      <c r="G1800" s="74">
        <v>40.61370780650941</v>
      </c>
      <c r="H1800" s="74">
        <f t="shared" si="55"/>
        <v>-0.11930746317688801</v>
      </c>
    </row>
    <row r="1801" spans="5:8" ht="15.6">
      <c r="E1801" s="279" t="s">
        <v>2127</v>
      </c>
      <c r="F1801" s="284">
        <f t="shared" ca="1" si="54"/>
        <v>0.85515365443022506</v>
      </c>
      <c r="G1801" s="74">
        <v>39.680753307775738</v>
      </c>
      <c r="H1801" s="74">
        <f t="shared" si="55"/>
        <v>0.81364703555678375</v>
      </c>
    </row>
    <row r="1802" spans="5:8" ht="15.6">
      <c r="E1802" s="279" t="s">
        <v>2128</v>
      </c>
      <c r="F1802" s="284">
        <f t="shared" ca="1" si="54"/>
        <v>0.81021119259797048</v>
      </c>
      <c r="G1802" s="74">
        <v>38.311715177045436</v>
      </c>
      <c r="H1802" s="74">
        <f t="shared" si="55"/>
        <v>2.1826851662870865</v>
      </c>
    </row>
    <row r="1803" spans="5:8" ht="15.6">
      <c r="E1803" s="279" t="s">
        <v>2129</v>
      </c>
      <c r="F1803" s="284">
        <f t="shared" ca="1" si="54"/>
        <v>0.55956815416132344</v>
      </c>
      <c r="G1803" s="74">
        <v>39.821337654153751</v>
      </c>
      <c r="H1803" s="74">
        <f t="shared" si="55"/>
        <v>0.67306268917877077</v>
      </c>
    </row>
    <row r="1804" spans="5:8" ht="15.6">
      <c r="E1804" s="279" t="s">
        <v>2130</v>
      </c>
      <c r="F1804" s="284">
        <f t="shared" ref="F1804:F1867" ca="1" si="56">RAND()</f>
        <v>0.48409502401120008</v>
      </c>
      <c r="G1804" s="74">
        <v>40.630306137098884</v>
      </c>
      <c r="H1804" s="74">
        <f t="shared" ref="H1804:H1867" si="57">$D$2-G1804</f>
        <v>-0.13590579376636214</v>
      </c>
    </row>
    <row r="1805" spans="5:8" ht="15.6">
      <c r="E1805" s="279" t="s">
        <v>2131</v>
      </c>
      <c r="F1805" s="284">
        <f t="shared" ca="1" si="56"/>
        <v>0.20545555578851993</v>
      </c>
      <c r="G1805" s="74">
        <v>40.749505195418003</v>
      </c>
      <c r="H1805" s="74">
        <f t="shared" si="57"/>
        <v>-0.25510485208548062</v>
      </c>
    </row>
    <row r="1806" spans="5:8" ht="15.6">
      <c r="E1806" s="279" t="s">
        <v>2132</v>
      </c>
      <c r="F1806" s="284">
        <f t="shared" ca="1" si="56"/>
        <v>0.73444758932500487</v>
      </c>
      <c r="G1806" s="74">
        <v>37.226325217315434</v>
      </c>
      <c r="H1806" s="74">
        <f t="shared" si="57"/>
        <v>3.2680751260170879</v>
      </c>
    </row>
    <row r="1807" spans="5:8" ht="15.6">
      <c r="E1807" s="279" t="s">
        <v>2133</v>
      </c>
      <c r="F1807" s="284">
        <f t="shared" ca="1" si="56"/>
        <v>0.65549103757712679</v>
      </c>
      <c r="G1807" s="74">
        <v>36.651022578751132</v>
      </c>
      <c r="H1807" s="74">
        <f t="shared" si="57"/>
        <v>3.8433777645813905</v>
      </c>
    </row>
    <row r="1808" spans="5:8" ht="15.6">
      <c r="E1808" s="279" t="s">
        <v>2134</v>
      </c>
      <c r="F1808" s="284">
        <f t="shared" ca="1" si="56"/>
        <v>0.20925793866354236</v>
      </c>
      <c r="G1808" s="74">
        <v>41.100542812987136</v>
      </c>
      <c r="H1808" s="74">
        <f t="shared" si="57"/>
        <v>-0.60614246965461405</v>
      </c>
    </row>
    <row r="1809" spans="5:8" ht="15.6">
      <c r="E1809" s="279" t="s">
        <v>2135</v>
      </c>
      <c r="F1809" s="284">
        <f t="shared" ca="1" si="56"/>
        <v>0.41632514791498587</v>
      </c>
      <c r="G1809" s="74">
        <v>41.539410090556807</v>
      </c>
      <c r="H1809" s="74">
        <f t="shared" si="57"/>
        <v>-1.0450097472242845</v>
      </c>
    </row>
    <row r="1810" spans="5:8" ht="15.6">
      <c r="E1810" s="279" t="s">
        <v>2136</v>
      </c>
      <c r="F1810" s="284">
        <f t="shared" ca="1" si="56"/>
        <v>0.43666393126266778</v>
      </c>
      <c r="G1810" s="74">
        <v>41.223357471651774</v>
      </c>
      <c r="H1810" s="74">
        <f t="shared" si="57"/>
        <v>-0.72895712831925152</v>
      </c>
    </row>
    <row r="1811" spans="5:8" ht="15.6">
      <c r="E1811" s="279" t="s">
        <v>2137</v>
      </c>
      <c r="F1811" s="284">
        <f t="shared" ca="1" si="56"/>
        <v>0.65463140490151095</v>
      </c>
      <c r="G1811" s="74">
        <v>39.751194838055746</v>
      </c>
      <c r="H1811" s="74">
        <f t="shared" si="57"/>
        <v>0.74320550527677653</v>
      </c>
    </row>
    <row r="1812" spans="5:8" ht="15.6">
      <c r="E1812" s="279" t="s">
        <v>2138</v>
      </c>
      <c r="F1812" s="284">
        <f t="shared" ca="1" si="56"/>
        <v>0.32094277026983542</v>
      </c>
      <c r="G1812" s="74">
        <v>43.026991406006829</v>
      </c>
      <c r="H1812" s="74">
        <f t="shared" si="57"/>
        <v>-2.5325910626743067</v>
      </c>
    </row>
    <row r="1813" spans="5:8" ht="15.6">
      <c r="E1813" s="279" t="s">
        <v>2139</v>
      </c>
      <c r="F1813" s="284">
        <f t="shared" ca="1" si="56"/>
        <v>0.88884907320307949</v>
      </c>
      <c r="G1813" s="74">
        <v>41.135997626294923</v>
      </c>
      <c r="H1813" s="74">
        <f t="shared" si="57"/>
        <v>-0.64159728296240104</v>
      </c>
    </row>
    <row r="1814" spans="5:8" ht="15.6">
      <c r="E1814" s="279" t="s">
        <v>2140</v>
      </c>
      <c r="F1814" s="284">
        <f t="shared" ca="1" si="56"/>
        <v>9.9543490111564381E-4</v>
      </c>
      <c r="G1814" s="74">
        <v>38.6094721636629</v>
      </c>
      <c r="H1814" s="74">
        <f t="shared" si="57"/>
        <v>1.8849281796696218</v>
      </c>
    </row>
    <row r="1815" spans="5:8" ht="15.6">
      <c r="E1815" s="279" t="s">
        <v>2141</v>
      </c>
      <c r="F1815" s="284">
        <f t="shared" ca="1" si="56"/>
        <v>0.24123435324504572</v>
      </c>
      <c r="G1815" s="74">
        <v>38.92642708877208</v>
      </c>
      <c r="H1815" s="74">
        <f t="shared" si="57"/>
        <v>1.5679732545604423</v>
      </c>
    </row>
    <row r="1816" spans="5:8" ht="15.6">
      <c r="E1816" s="279" t="s">
        <v>2142</v>
      </c>
      <c r="F1816" s="284">
        <f t="shared" ca="1" si="56"/>
        <v>0.9775569072955792</v>
      </c>
      <c r="G1816" s="74">
        <v>40.411151992887127</v>
      </c>
      <c r="H1816" s="74">
        <f t="shared" si="57"/>
        <v>8.3248350445394692E-2</v>
      </c>
    </row>
    <row r="1817" spans="5:8" ht="15.6">
      <c r="E1817" s="279" t="s">
        <v>2143</v>
      </c>
      <c r="F1817" s="284">
        <f t="shared" ca="1" si="56"/>
        <v>0.57954530550171335</v>
      </c>
      <c r="G1817" s="74">
        <v>41.417159913029764</v>
      </c>
      <c r="H1817" s="74">
        <f t="shared" si="57"/>
        <v>-0.92275956969724149</v>
      </c>
    </row>
    <row r="1818" spans="5:8" ht="15.6">
      <c r="E1818" s="279" t="s">
        <v>2144</v>
      </c>
      <c r="F1818" s="284">
        <f t="shared" ca="1" si="56"/>
        <v>0.18016733111231231</v>
      </c>
      <c r="G1818" s="74">
        <v>37.391326942666034</v>
      </c>
      <c r="H1818" s="74">
        <f t="shared" si="57"/>
        <v>3.1030734006664886</v>
      </c>
    </row>
    <row r="1819" spans="5:8" ht="15.6">
      <c r="E1819" s="279" t="s">
        <v>2145</v>
      </c>
      <c r="F1819" s="284">
        <f t="shared" ca="1" si="56"/>
        <v>0.56301499380196307</v>
      </c>
      <c r="G1819" s="74">
        <v>33.25663155960742</v>
      </c>
      <c r="H1819" s="74">
        <f t="shared" si="57"/>
        <v>7.2377687837251017</v>
      </c>
    </row>
    <row r="1820" spans="5:8" ht="15.6">
      <c r="E1820" s="279" t="s">
        <v>2146</v>
      </c>
      <c r="F1820" s="284">
        <f t="shared" ca="1" si="56"/>
        <v>0.498835683619822</v>
      </c>
      <c r="G1820" s="74">
        <v>41.501698097672211</v>
      </c>
      <c r="H1820" s="74">
        <f t="shared" si="57"/>
        <v>-1.0072977543396888</v>
      </c>
    </row>
    <row r="1821" spans="5:8" ht="15.6">
      <c r="E1821" s="279" t="s">
        <v>2147</v>
      </c>
      <c r="F1821" s="284">
        <f t="shared" ca="1" si="56"/>
        <v>0.29883479108881061</v>
      </c>
      <c r="G1821" s="74">
        <v>39.809883833213483</v>
      </c>
      <c r="H1821" s="74">
        <f t="shared" si="57"/>
        <v>0.68451651011903891</v>
      </c>
    </row>
    <row r="1822" spans="5:8" ht="15.6">
      <c r="E1822" s="279" t="s">
        <v>2148</v>
      </c>
      <c r="F1822" s="284">
        <f t="shared" ca="1" si="56"/>
        <v>0.94866466909179303</v>
      </c>
      <c r="G1822" s="74">
        <v>43.182902884419498</v>
      </c>
      <c r="H1822" s="74">
        <f t="shared" si="57"/>
        <v>-2.6885025410869758</v>
      </c>
    </row>
    <row r="1823" spans="5:8" ht="15.6">
      <c r="E1823" s="279" t="s">
        <v>2149</v>
      </c>
      <c r="F1823" s="284">
        <f t="shared" ca="1" si="56"/>
        <v>9.3362148274524714E-2</v>
      </c>
      <c r="G1823" s="74">
        <v>37.951625781346756</v>
      </c>
      <c r="H1823" s="74">
        <f t="shared" si="57"/>
        <v>2.542774561985766</v>
      </c>
    </row>
    <row r="1824" spans="5:8" ht="15.6">
      <c r="E1824" s="279" t="s">
        <v>2150</v>
      </c>
      <c r="F1824" s="284">
        <f t="shared" ca="1" si="56"/>
        <v>0.68580483991502605</v>
      </c>
      <c r="G1824" s="74">
        <v>41.954957584499091</v>
      </c>
      <c r="H1824" s="74">
        <f t="shared" si="57"/>
        <v>-1.460557241166569</v>
      </c>
    </row>
    <row r="1825" spans="5:8" ht="15.6">
      <c r="E1825" s="279" t="s">
        <v>2151</v>
      </c>
      <c r="F1825" s="284">
        <f t="shared" ca="1" si="56"/>
        <v>0.48105148021447364</v>
      </c>
      <c r="G1825" s="74">
        <v>39.290710363525953</v>
      </c>
      <c r="H1825" s="74">
        <f t="shared" si="57"/>
        <v>1.203689979806569</v>
      </c>
    </row>
    <row r="1826" spans="5:8" ht="15.6">
      <c r="E1826" s="279" t="s">
        <v>2152</v>
      </c>
      <c r="F1826" s="284">
        <f t="shared" ca="1" si="56"/>
        <v>0.1013876391349442</v>
      </c>
      <c r="G1826" s="74">
        <v>38.83325137477263</v>
      </c>
      <c r="H1826" s="74">
        <f t="shared" si="57"/>
        <v>1.6611489685598926</v>
      </c>
    </row>
    <row r="1827" spans="5:8" ht="15.6">
      <c r="E1827" s="279" t="s">
        <v>2153</v>
      </c>
      <c r="F1827" s="284">
        <f t="shared" ca="1" si="56"/>
        <v>0.39551464058746766</v>
      </c>
      <c r="G1827" s="74">
        <v>43.211786436623022</v>
      </c>
      <c r="H1827" s="74">
        <f t="shared" si="57"/>
        <v>-2.7173860932905001</v>
      </c>
    </row>
    <row r="1828" spans="5:8" ht="15.6">
      <c r="E1828" s="279" t="s">
        <v>2154</v>
      </c>
      <c r="F1828" s="284">
        <f t="shared" ca="1" si="56"/>
        <v>0.81341790974876105</v>
      </c>
      <c r="G1828" s="74">
        <v>39.566092471066888</v>
      </c>
      <c r="H1828" s="74">
        <f t="shared" si="57"/>
        <v>0.92830787226563416</v>
      </c>
    </row>
    <row r="1829" spans="5:8" ht="15.6">
      <c r="E1829" s="279" t="s">
        <v>2155</v>
      </c>
      <c r="F1829" s="284">
        <f t="shared" ca="1" si="56"/>
        <v>0.3237360899628462</v>
      </c>
      <c r="G1829" s="74">
        <v>42.427055599673331</v>
      </c>
      <c r="H1829" s="74">
        <f t="shared" si="57"/>
        <v>-1.9326552563408086</v>
      </c>
    </row>
    <row r="1830" spans="5:8" ht="15.6">
      <c r="E1830" s="279" t="s">
        <v>2156</v>
      </c>
      <c r="F1830" s="284">
        <f t="shared" ca="1" si="56"/>
        <v>0.48826876280848619</v>
      </c>
      <c r="G1830" s="74">
        <v>35.694531839761119</v>
      </c>
      <c r="H1830" s="74">
        <f t="shared" si="57"/>
        <v>4.7998685035714033</v>
      </c>
    </row>
    <row r="1831" spans="5:8" ht="15.6">
      <c r="E1831" s="279" t="s">
        <v>2157</v>
      </c>
      <c r="F1831" s="284">
        <f t="shared" ca="1" si="56"/>
        <v>0.72349364395085736</v>
      </c>
      <c r="G1831" s="74">
        <v>43.045517678059248</v>
      </c>
      <c r="H1831" s="74">
        <f t="shared" si="57"/>
        <v>-2.551117334726726</v>
      </c>
    </row>
    <row r="1832" spans="5:8" ht="15.6">
      <c r="E1832" s="279" t="s">
        <v>2158</v>
      </c>
      <c r="F1832" s="284">
        <f t="shared" ca="1" si="56"/>
        <v>0.50193303411810575</v>
      </c>
      <c r="G1832" s="74">
        <v>37.581272834468564</v>
      </c>
      <c r="H1832" s="74">
        <f t="shared" si="57"/>
        <v>2.9131275088639583</v>
      </c>
    </row>
    <row r="1833" spans="5:8" ht="15.6">
      <c r="E1833" s="279" t="s">
        <v>2159</v>
      </c>
      <c r="F1833" s="284">
        <f t="shared" ca="1" si="56"/>
        <v>0.32674298352298259</v>
      </c>
      <c r="G1833" s="74">
        <v>44.303852605560664</v>
      </c>
      <c r="H1833" s="74">
        <f t="shared" si="57"/>
        <v>-3.8094522622281417</v>
      </c>
    </row>
    <row r="1834" spans="5:8" ht="15.6">
      <c r="E1834" s="279" t="s">
        <v>2160</v>
      </c>
      <c r="F1834" s="284">
        <f t="shared" ca="1" si="56"/>
        <v>0.87578676756822671</v>
      </c>
      <c r="G1834" s="74">
        <v>39.993478172287212</v>
      </c>
      <c r="H1834" s="74">
        <f t="shared" si="57"/>
        <v>0.50092217104531045</v>
      </c>
    </row>
    <row r="1835" spans="5:8" ht="15.6">
      <c r="E1835" s="279" t="s">
        <v>2161</v>
      </c>
      <c r="F1835" s="284">
        <f t="shared" ca="1" si="56"/>
        <v>0.31441392692027825</v>
      </c>
      <c r="G1835" s="74">
        <v>40.989760551969205</v>
      </c>
      <c r="H1835" s="74">
        <f t="shared" si="57"/>
        <v>-0.49536020863668284</v>
      </c>
    </row>
    <row r="1836" spans="5:8" ht="15.6">
      <c r="E1836" s="279" t="s">
        <v>2162</v>
      </c>
      <c r="F1836" s="284">
        <f t="shared" ca="1" si="56"/>
        <v>8.7997170749453124E-2</v>
      </c>
      <c r="G1836" s="74">
        <v>37.267569177566784</v>
      </c>
      <c r="H1836" s="74">
        <f t="shared" si="57"/>
        <v>3.2268311657657378</v>
      </c>
    </row>
    <row r="1837" spans="5:8" ht="15.6">
      <c r="E1837" s="279" t="s">
        <v>2163</v>
      </c>
      <c r="F1837" s="284">
        <f t="shared" ca="1" si="56"/>
        <v>6.7894773235898431E-2</v>
      </c>
      <c r="G1837" s="74">
        <v>35.405356240820545</v>
      </c>
      <c r="H1837" s="74">
        <f t="shared" si="57"/>
        <v>5.089044102511977</v>
      </c>
    </row>
    <row r="1838" spans="5:8" ht="15.6">
      <c r="E1838" s="279" t="s">
        <v>2164</v>
      </c>
      <c r="F1838" s="284">
        <f t="shared" ca="1" si="56"/>
        <v>0.97359452203244079</v>
      </c>
      <c r="G1838" s="74">
        <v>36.621482495522159</v>
      </c>
      <c r="H1838" s="74">
        <f t="shared" si="57"/>
        <v>3.8729178478103634</v>
      </c>
    </row>
    <row r="1839" spans="5:8" ht="15.6">
      <c r="E1839" s="279" t="s">
        <v>2165</v>
      </c>
      <c r="F1839" s="284">
        <f t="shared" ca="1" si="56"/>
        <v>7.2845179269528493E-2</v>
      </c>
      <c r="G1839" s="74">
        <v>34.933706197878188</v>
      </c>
      <c r="H1839" s="74">
        <f t="shared" si="57"/>
        <v>5.5606941454543346</v>
      </c>
    </row>
    <row r="1840" spans="5:8" ht="15.6">
      <c r="E1840" s="279" t="s">
        <v>2166</v>
      </c>
      <c r="F1840" s="284">
        <f t="shared" ca="1" si="56"/>
        <v>0.77110283806146518</v>
      </c>
      <c r="G1840" s="74">
        <v>38.887179399902074</v>
      </c>
      <c r="H1840" s="74">
        <f t="shared" si="57"/>
        <v>1.6072209434304483</v>
      </c>
    </row>
    <row r="1841" spans="5:8" ht="15.6">
      <c r="E1841" s="279" t="s">
        <v>2167</v>
      </c>
      <c r="F1841" s="284">
        <f t="shared" ca="1" si="56"/>
        <v>0.82136170122936103</v>
      </c>
      <c r="G1841" s="74">
        <v>41.816358201218833</v>
      </c>
      <c r="H1841" s="74">
        <f t="shared" si="57"/>
        <v>-1.3219578578863107</v>
      </c>
    </row>
    <row r="1842" spans="5:8" ht="15.6">
      <c r="E1842" s="279" t="s">
        <v>2168</v>
      </c>
      <c r="F1842" s="284">
        <f t="shared" ca="1" si="56"/>
        <v>0.73236795088718798</v>
      </c>
      <c r="G1842" s="74">
        <v>34.914733062890093</v>
      </c>
      <c r="H1842" s="74">
        <f t="shared" si="57"/>
        <v>5.579667280442429</v>
      </c>
    </row>
    <row r="1843" spans="5:8" ht="15.6">
      <c r="E1843" s="279" t="s">
        <v>2169</v>
      </c>
      <c r="F1843" s="284">
        <f t="shared" ca="1" si="56"/>
        <v>0.38600485201350587</v>
      </c>
      <c r="G1843" s="74">
        <v>39.055905282954072</v>
      </c>
      <c r="H1843" s="74">
        <f t="shared" si="57"/>
        <v>1.4384950603784503</v>
      </c>
    </row>
    <row r="1844" spans="5:8" ht="15.6">
      <c r="E1844" s="279" t="s">
        <v>2170</v>
      </c>
      <c r="F1844" s="284">
        <f t="shared" ca="1" si="56"/>
        <v>0.20007740195489121</v>
      </c>
      <c r="G1844" s="74">
        <v>38.621667303723413</v>
      </c>
      <c r="H1844" s="74">
        <f t="shared" si="57"/>
        <v>1.8727330396091091</v>
      </c>
    </row>
    <row r="1845" spans="5:8" ht="15.6">
      <c r="E1845" s="279" t="s">
        <v>2171</v>
      </c>
      <c r="F1845" s="284">
        <f t="shared" ca="1" si="56"/>
        <v>0.31369431291630745</v>
      </c>
      <c r="G1845" s="74">
        <v>40.366389962827583</v>
      </c>
      <c r="H1845" s="74">
        <f t="shared" si="57"/>
        <v>0.12801038050493929</v>
      </c>
    </row>
    <row r="1846" spans="5:8" ht="15.6">
      <c r="E1846" s="279" t="s">
        <v>2172</v>
      </c>
      <c r="F1846" s="284">
        <f t="shared" ca="1" si="56"/>
        <v>0.86970528232051592</v>
      </c>
      <c r="G1846" s="74">
        <v>34.282211250519396</v>
      </c>
      <c r="H1846" s="74">
        <f t="shared" si="57"/>
        <v>6.2121890928131265</v>
      </c>
    </row>
    <row r="1847" spans="5:8" ht="15.6">
      <c r="E1847" s="279" t="s">
        <v>2173</v>
      </c>
      <c r="F1847" s="284">
        <f t="shared" ca="1" si="56"/>
        <v>0.39713396535196921</v>
      </c>
      <c r="G1847" s="74">
        <v>41.109249339555966</v>
      </c>
      <c r="H1847" s="74">
        <f t="shared" si="57"/>
        <v>-0.61484899622344358</v>
      </c>
    </row>
    <row r="1848" spans="5:8" ht="15.6">
      <c r="E1848" s="279" t="s">
        <v>2174</v>
      </c>
      <c r="F1848" s="284">
        <f t="shared" ca="1" si="56"/>
        <v>0.88100429115105383</v>
      </c>
      <c r="G1848" s="74">
        <v>39.250903111852928</v>
      </c>
      <c r="H1848" s="74">
        <f t="shared" si="57"/>
        <v>1.2434972314795942</v>
      </c>
    </row>
    <row r="1849" spans="5:8" ht="15.6">
      <c r="E1849" s="279" t="s">
        <v>2175</v>
      </c>
      <c r="F1849" s="284">
        <f t="shared" ca="1" si="56"/>
        <v>0.23644863207790656</v>
      </c>
      <c r="G1849" s="74">
        <v>37.685638121730918</v>
      </c>
      <c r="H1849" s="74">
        <f t="shared" si="57"/>
        <v>2.8087622216016044</v>
      </c>
    </row>
    <row r="1850" spans="5:8" ht="15.6">
      <c r="E1850" s="279" t="s">
        <v>2176</v>
      </c>
      <c r="F1850" s="284">
        <f t="shared" ca="1" si="56"/>
        <v>0.74383777203508694</v>
      </c>
      <c r="G1850" s="74">
        <v>40.413145095913762</v>
      </c>
      <c r="H1850" s="74">
        <f t="shared" si="57"/>
        <v>8.125524741875978E-2</v>
      </c>
    </row>
    <row r="1851" spans="5:8" ht="15.6">
      <c r="E1851" s="279" t="s">
        <v>2177</v>
      </c>
      <c r="F1851" s="284">
        <f t="shared" ca="1" si="56"/>
        <v>0.99098499586729194</v>
      </c>
      <c r="G1851" s="74">
        <v>38.150877785211492</v>
      </c>
      <c r="H1851" s="74">
        <f t="shared" si="57"/>
        <v>2.3435225581210304</v>
      </c>
    </row>
    <row r="1852" spans="5:8" ht="15.6">
      <c r="E1852" s="279" t="s">
        <v>2178</v>
      </c>
      <c r="F1852" s="284">
        <f t="shared" ca="1" si="56"/>
        <v>0.5950174779342251</v>
      </c>
      <c r="G1852" s="74">
        <v>39.1609128925801</v>
      </c>
      <c r="H1852" s="74">
        <f t="shared" si="57"/>
        <v>1.3334874507524219</v>
      </c>
    </row>
    <row r="1853" spans="5:8" ht="15.6">
      <c r="E1853" s="279" t="s">
        <v>2179</v>
      </c>
      <c r="F1853" s="284">
        <f t="shared" ca="1" si="56"/>
        <v>0.49082515580337294</v>
      </c>
      <c r="G1853" s="74">
        <v>42.100003572799906</v>
      </c>
      <c r="H1853" s="74">
        <f t="shared" si="57"/>
        <v>-1.6056032294673841</v>
      </c>
    </row>
    <row r="1854" spans="5:8" ht="15.6">
      <c r="E1854" s="279" t="s">
        <v>2180</v>
      </c>
      <c r="F1854" s="284">
        <f t="shared" ca="1" si="56"/>
        <v>0.12379638765375023</v>
      </c>
      <c r="G1854" s="74">
        <v>36.381768543805968</v>
      </c>
      <c r="H1854" s="74">
        <f t="shared" si="57"/>
        <v>4.1126317995265538</v>
      </c>
    </row>
    <row r="1855" spans="5:8" ht="15.6">
      <c r="E1855" s="279" t="s">
        <v>2181</v>
      </c>
      <c r="F1855" s="284">
        <f t="shared" ca="1" si="56"/>
        <v>7.9573640060335737E-2</v>
      </c>
      <c r="G1855" s="74">
        <v>41.103743735097801</v>
      </c>
      <c r="H1855" s="74">
        <f t="shared" si="57"/>
        <v>-0.60934339176527885</v>
      </c>
    </row>
    <row r="1856" spans="5:8" ht="15.6">
      <c r="E1856" s="279" t="s">
        <v>2182</v>
      </c>
      <c r="F1856" s="284">
        <f t="shared" ca="1" si="56"/>
        <v>0.22340479531223001</v>
      </c>
      <c r="G1856" s="74">
        <v>38.807678973478012</v>
      </c>
      <c r="H1856" s="74">
        <f t="shared" si="57"/>
        <v>1.68672136985451</v>
      </c>
    </row>
    <row r="1857" spans="5:8" ht="15.6">
      <c r="E1857" s="279" t="s">
        <v>2183</v>
      </c>
      <c r="F1857" s="284">
        <f t="shared" ca="1" si="56"/>
        <v>3.7984392391315125E-2</v>
      </c>
      <c r="G1857" s="74">
        <v>41.360179516869522</v>
      </c>
      <c r="H1857" s="74">
        <f t="shared" si="57"/>
        <v>-0.86577917353699974</v>
      </c>
    </row>
    <row r="1858" spans="5:8" ht="15.6">
      <c r="E1858" s="279" t="s">
        <v>2184</v>
      </c>
      <c r="F1858" s="284">
        <f t="shared" ca="1" si="56"/>
        <v>0.40252629908738957</v>
      </c>
      <c r="G1858" s="74">
        <v>36.496764592797511</v>
      </c>
      <c r="H1858" s="74">
        <f t="shared" si="57"/>
        <v>3.9976357505350109</v>
      </c>
    </row>
    <row r="1859" spans="5:8" ht="15.6">
      <c r="E1859" s="279" t="s">
        <v>2185</v>
      </c>
      <c r="F1859" s="284">
        <f t="shared" ca="1" si="56"/>
        <v>0.38019741618104164</v>
      </c>
      <c r="G1859" s="74">
        <v>38.08121621819275</v>
      </c>
      <c r="H1859" s="74">
        <f t="shared" si="57"/>
        <v>2.4131841251397717</v>
      </c>
    </row>
    <row r="1860" spans="5:8" ht="15.6">
      <c r="E1860" s="279" t="s">
        <v>2186</v>
      </c>
      <c r="F1860" s="284">
        <f t="shared" ca="1" si="56"/>
        <v>0.74315815166176991</v>
      </c>
      <c r="G1860" s="74">
        <v>38.645669995765594</v>
      </c>
      <c r="H1860" s="74">
        <f t="shared" si="57"/>
        <v>1.8487303475669279</v>
      </c>
    </row>
    <row r="1861" spans="5:8" ht="15.6">
      <c r="E1861" s="279" t="s">
        <v>2187</v>
      </c>
      <c r="F1861" s="284">
        <f t="shared" ca="1" si="56"/>
        <v>0.36155112681408141</v>
      </c>
      <c r="G1861" s="74">
        <v>38.473817026031945</v>
      </c>
      <c r="H1861" s="74">
        <f t="shared" si="57"/>
        <v>2.0205833173005772</v>
      </c>
    </row>
    <row r="1862" spans="5:8" ht="15.6">
      <c r="E1862" s="279" t="s">
        <v>2188</v>
      </c>
      <c r="F1862" s="284">
        <f t="shared" ca="1" si="56"/>
        <v>0.39990182011570774</v>
      </c>
      <c r="G1862" s="74">
        <v>38.053760748644912</v>
      </c>
      <c r="H1862" s="74">
        <f t="shared" si="57"/>
        <v>2.4406395946876103</v>
      </c>
    </row>
    <row r="1863" spans="5:8" ht="15.6">
      <c r="E1863" s="279" t="s">
        <v>2189</v>
      </c>
      <c r="F1863" s="284">
        <f t="shared" ca="1" si="56"/>
        <v>0.80814467756728525</v>
      </c>
      <c r="G1863" s="74">
        <v>40.464877053192211</v>
      </c>
      <c r="H1863" s="74">
        <f t="shared" si="57"/>
        <v>2.9523290140311076E-2</v>
      </c>
    </row>
    <row r="1864" spans="5:8" ht="15.6">
      <c r="E1864" s="279" t="s">
        <v>2190</v>
      </c>
      <c r="F1864" s="284">
        <f t="shared" ca="1" si="56"/>
        <v>0.92728044634997153</v>
      </c>
      <c r="G1864" s="74">
        <v>41.0940219481705</v>
      </c>
      <c r="H1864" s="74">
        <f t="shared" si="57"/>
        <v>-0.59962160483797788</v>
      </c>
    </row>
    <row r="1865" spans="5:8" ht="15.6">
      <c r="E1865" s="279" t="s">
        <v>2191</v>
      </c>
      <c r="F1865" s="284">
        <f t="shared" ca="1" si="56"/>
        <v>0.41465295041071015</v>
      </c>
      <c r="G1865" s="74">
        <v>40.620593737398202</v>
      </c>
      <c r="H1865" s="74">
        <f t="shared" si="57"/>
        <v>-0.12619339406568031</v>
      </c>
    </row>
    <row r="1866" spans="5:8" ht="15.6">
      <c r="E1866" s="279" t="s">
        <v>2192</v>
      </c>
      <c r="F1866" s="284">
        <f t="shared" ca="1" si="56"/>
        <v>0.86171583602741064</v>
      </c>
      <c r="G1866" s="74">
        <v>42.155873249004109</v>
      </c>
      <c r="H1866" s="74">
        <f t="shared" si="57"/>
        <v>-1.6614729056715873</v>
      </c>
    </row>
    <row r="1867" spans="5:8" ht="15.6">
      <c r="E1867" s="279" t="s">
        <v>2193</v>
      </c>
      <c r="F1867" s="284">
        <f t="shared" ca="1" si="56"/>
        <v>0.95263487968847804</v>
      </c>
      <c r="G1867" s="74">
        <v>42.071720585915685</v>
      </c>
      <c r="H1867" s="74">
        <f t="shared" si="57"/>
        <v>-1.5773202425831627</v>
      </c>
    </row>
    <row r="1868" spans="5:8" ht="15.6">
      <c r="E1868" s="279" t="s">
        <v>2194</v>
      </c>
      <c r="F1868" s="284">
        <f t="shared" ref="F1868:F1931" ca="1" si="58">RAND()</f>
        <v>0.20557759384875984</v>
      </c>
      <c r="G1868" s="74">
        <v>40.03081506464622</v>
      </c>
      <c r="H1868" s="74">
        <f t="shared" ref="H1868:H1931" si="59">$D$2-G1868</f>
        <v>0.46358527868630262</v>
      </c>
    </row>
    <row r="1869" spans="5:8" ht="15.6">
      <c r="E1869" s="279" t="s">
        <v>2195</v>
      </c>
      <c r="F1869" s="284">
        <f t="shared" ca="1" si="58"/>
        <v>0.5470018063189126</v>
      </c>
      <c r="G1869" s="74">
        <v>39.47049036090943</v>
      </c>
      <c r="H1869" s="74">
        <f t="shared" si="59"/>
        <v>1.0239099824230919</v>
      </c>
    </row>
    <row r="1870" spans="5:8" ht="15.6">
      <c r="E1870" s="279" t="s">
        <v>2196</v>
      </c>
      <c r="F1870" s="284">
        <f t="shared" ca="1" si="58"/>
        <v>0.77287835113172387</v>
      </c>
      <c r="G1870" s="74">
        <v>37.44609403996278</v>
      </c>
      <c r="H1870" s="74">
        <f t="shared" si="59"/>
        <v>3.048306303369742</v>
      </c>
    </row>
    <row r="1871" spans="5:8" ht="15.6">
      <c r="E1871" s="279" t="s">
        <v>2197</v>
      </c>
      <c r="F1871" s="284">
        <f t="shared" ca="1" si="58"/>
        <v>0.36187700361886421</v>
      </c>
      <c r="G1871" s="74">
        <v>40.630028193327874</v>
      </c>
      <c r="H1871" s="74">
        <f t="shared" si="59"/>
        <v>-0.13562784999535182</v>
      </c>
    </row>
    <row r="1872" spans="5:8" ht="15.6">
      <c r="E1872" s="279" t="s">
        <v>2198</v>
      </c>
      <c r="F1872" s="284">
        <f t="shared" ca="1" si="58"/>
        <v>0.65320295446013665</v>
      </c>
      <c r="G1872" s="74">
        <v>38.907324760778629</v>
      </c>
      <c r="H1872" s="74">
        <f t="shared" si="59"/>
        <v>1.5870755825538936</v>
      </c>
    </row>
    <row r="1873" spans="5:8" ht="15.6">
      <c r="E1873" s="279" t="s">
        <v>2199</v>
      </c>
      <c r="F1873" s="284">
        <f t="shared" ca="1" si="58"/>
        <v>0.1990958202880635</v>
      </c>
      <c r="G1873" s="74">
        <v>38.952470006936274</v>
      </c>
      <c r="H1873" s="74">
        <f t="shared" si="59"/>
        <v>1.5419303363962484</v>
      </c>
    </row>
    <row r="1874" spans="5:8" ht="15.6">
      <c r="E1874" s="279" t="s">
        <v>2200</v>
      </c>
      <c r="F1874" s="284">
        <f t="shared" ca="1" si="58"/>
        <v>0.25138772278500954</v>
      </c>
      <c r="G1874" s="74">
        <v>37.422013483779999</v>
      </c>
      <c r="H1874" s="74">
        <f t="shared" si="59"/>
        <v>3.0723868595525232</v>
      </c>
    </row>
    <row r="1875" spans="5:8" ht="15.6">
      <c r="E1875" s="279" t="s">
        <v>2201</v>
      </c>
      <c r="F1875" s="284">
        <f t="shared" ca="1" si="58"/>
        <v>0.94298545326446548</v>
      </c>
      <c r="G1875" s="74">
        <v>40.846672570752453</v>
      </c>
      <c r="H1875" s="74">
        <f t="shared" si="59"/>
        <v>-0.35227222741993103</v>
      </c>
    </row>
    <row r="1876" spans="5:8" ht="15.6">
      <c r="E1876" s="279" t="s">
        <v>2202</v>
      </c>
      <c r="F1876" s="284">
        <f t="shared" ca="1" si="58"/>
        <v>0.81621928587719439</v>
      </c>
      <c r="G1876" s="74">
        <v>41.340353739286108</v>
      </c>
      <c r="H1876" s="74">
        <f t="shared" si="59"/>
        <v>-0.8459533959535861</v>
      </c>
    </row>
    <row r="1877" spans="5:8" ht="15.6">
      <c r="E1877" s="279" t="s">
        <v>2203</v>
      </c>
      <c r="F1877" s="284">
        <f t="shared" ca="1" si="58"/>
        <v>0.34742035172577268</v>
      </c>
      <c r="G1877" s="74">
        <v>39.01904722554243</v>
      </c>
      <c r="H1877" s="74">
        <f t="shared" si="59"/>
        <v>1.4753531177900925</v>
      </c>
    </row>
    <row r="1878" spans="5:8" ht="15.6">
      <c r="E1878" s="279" t="s">
        <v>2204</v>
      </c>
      <c r="F1878" s="284">
        <f t="shared" ca="1" si="58"/>
        <v>0.21835655467611648</v>
      </c>
      <c r="G1878" s="74">
        <v>45.507322119857271</v>
      </c>
      <c r="H1878" s="74">
        <f t="shared" si="59"/>
        <v>-5.0129217765247489</v>
      </c>
    </row>
    <row r="1879" spans="5:8" ht="15.6">
      <c r="E1879" s="279" t="s">
        <v>2205</v>
      </c>
      <c r="F1879" s="284">
        <f t="shared" ca="1" si="58"/>
        <v>0.18900960026362024</v>
      </c>
      <c r="G1879" s="74">
        <v>37.651121175695202</v>
      </c>
      <c r="H1879" s="74">
        <f t="shared" si="59"/>
        <v>2.8432791676373199</v>
      </c>
    </row>
    <row r="1880" spans="5:8" ht="15.6">
      <c r="E1880" s="279" t="s">
        <v>2206</v>
      </c>
      <c r="F1880" s="284">
        <f t="shared" ca="1" si="58"/>
        <v>0.2858007525416677</v>
      </c>
      <c r="G1880" s="74">
        <v>37.99671284448619</v>
      </c>
      <c r="H1880" s="74">
        <f t="shared" si="59"/>
        <v>2.4976874988463322</v>
      </c>
    </row>
    <row r="1881" spans="5:8" ht="15.6">
      <c r="E1881" s="279" t="s">
        <v>2207</v>
      </c>
      <c r="F1881" s="284">
        <f t="shared" ca="1" si="58"/>
        <v>0.21686894303628279</v>
      </c>
      <c r="G1881" s="74">
        <v>41.796239748768279</v>
      </c>
      <c r="H1881" s="74">
        <f t="shared" si="59"/>
        <v>-1.3018394054357572</v>
      </c>
    </row>
    <row r="1882" spans="5:8" ht="15.6">
      <c r="E1882" s="279" t="s">
        <v>2208</v>
      </c>
      <c r="F1882" s="284">
        <f t="shared" ca="1" si="58"/>
        <v>9.5007792772867083E-2</v>
      </c>
      <c r="G1882" s="74">
        <v>40.249309118367982</v>
      </c>
      <c r="H1882" s="74">
        <f t="shared" si="59"/>
        <v>0.24509122496453983</v>
      </c>
    </row>
    <row r="1883" spans="5:8" ht="15.6">
      <c r="E1883" s="279" t="s">
        <v>2209</v>
      </c>
      <c r="F1883" s="284">
        <f t="shared" ca="1" si="58"/>
        <v>0.53200377761057194</v>
      </c>
      <c r="G1883" s="74">
        <v>40.938437981954657</v>
      </c>
      <c r="H1883" s="74">
        <f t="shared" si="59"/>
        <v>-0.44403763862213452</v>
      </c>
    </row>
    <row r="1884" spans="5:8" ht="15.6">
      <c r="E1884" s="279" t="s">
        <v>2210</v>
      </c>
      <c r="F1884" s="284">
        <f t="shared" ca="1" si="58"/>
        <v>0.92325065824040031</v>
      </c>
      <c r="G1884" s="74">
        <v>41.226865903731564</v>
      </c>
      <c r="H1884" s="74">
        <f t="shared" si="59"/>
        <v>-0.7324655603990422</v>
      </c>
    </row>
    <row r="1885" spans="5:8" ht="15.6">
      <c r="E1885" s="279" t="s">
        <v>2211</v>
      </c>
      <c r="F1885" s="284">
        <f t="shared" ca="1" si="58"/>
        <v>0.57732993017175549</v>
      </c>
      <c r="G1885" s="74">
        <v>42.821921610653042</v>
      </c>
      <c r="H1885" s="74">
        <f t="shared" si="59"/>
        <v>-2.3275212673205203</v>
      </c>
    </row>
    <row r="1886" spans="5:8" ht="15.6">
      <c r="E1886" s="279" t="s">
        <v>2212</v>
      </c>
      <c r="F1886" s="284">
        <f t="shared" ca="1" si="58"/>
        <v>0.25225011631918437</v>
      </c>
      <c r="G1886" s="74">
        <v>38.097165346916967</v>
      </c>
      <c r="H1886" s="74">
        <f t="shared" si="59"/>
        <v>2.3972349964155555</v>
      </c>
    </row>
    <row r="1887" spans="5:8" ht="15.6">
      <c r="E1887" s="279" t="s">
        <v>2213</v>
      </c>
      <c r="F1887" s="284">
        <f t="shared" ca="1" si="58"/>
        <v>0.14475855779624203</v>
      </c>
      <c r="G1887" s="74">
        <v>40.784496231031774</v>
      </c>
      <c r="H1887" s="74">
        <f t="shared" si="59"/>
        <v>-0.29009588769925188</v>
      </c>
    </row>
    <row r="1888" spans="5:8" ht="15.6">
      <c r="E1888" s="279" t="s">
        <v>2214</v>
      </c>
      <c r="F1888" s="284">
        <f t="shared" ca="1" si="58"/>
        <v>0.56377163877095005</v>
      </c>
      <c r="G1888" s="74">
        <v>40.572825417893803</v>
      </c>
      <c r="H1888" s="74">
        <f t="shared" si="59"/>
        <v>-7.8425074561280894E-2</v>
      </c>
    </row>
    <row r="1889" spans="5:8" ht="15.6">
      <c r="E1889" s="279" t="s">
        <v>2215</v>
      </c>
      <c r="F1889" s="284">
        <f t="shared" ca="1" si="58"/>
        <v>0.17241047636853846</v>
      </c>
      <c r="G1889" s="74">
        <v>42.396109804028171</v>
      </c>
      <c r="H1889" s="74">
        <f t="shared" si="59"/>
        <v>-1.9017094606956491</v>
      </c>
    </row>
    <row r="1890" spans="5:8" ht="15.6">
      <c r="E1890" s="279" t="s">
        <v>2216</v>
      </c>
      <c r="F1890" s="284">
        <f t="shared" ca="1" si="58"/>
        <v>0.91384092572967046</v>
      </c>
      <c r="G1890" s="74">
        <v>40.568850167679351</v>
      </c>
      <c r="H1890" s="74">
        <f t="shared" si="59"/>
        <v>-7.4449824346828564E-2</v>
      </c>
    </row>
    <row r="1891" spans="5:8" ht="15.6">
      <c r="E1891" s="279" t="s">
        <v>2217</v>
      </c>
      <c r="F1891" s="284">
        <f t="shared" ca="1" si="58"/>
        <v>0.24607437229451867</v>
      </c>
      <c r="G1891" s="74">
        <v>33.684101519948328</v>
      </c>
      <c r="H1891" s="74">
        <f t="shared" si="59"/>
        <v>6.8102988233841941</v>
      </c>
    </row>
    <row r="1892" spans="5:8" ht="15.6">
      <c r="E1892" s="279" t="s">
        <v>2218</v>
      </c>
      <c r="F1892" s="284">
        <f t="shared" ca="1" si="58"/>
        <v>4.6180654105484442E-2</v>
      </c>
      <c r="G1892" s="74">
        <v>38.274792012085612</v>
      </c>
      <c r="H1892" s="74">
        <f t="shared" si="59"/>
        <v>2.2196083312469099</v>
      </c>
    </row>
    <row r="1893" spans="5:8" ht="15.6">
      <c r="E1893" s="279" t="s">
        <v>2219</v>
      </c>
      <c r="F1893" s="284">
        <f t="shared" ca="1" si="58"/>
        <v>0.36614156135560394</v>
      </c>
      <c r="G1893" s="74">
        <v>35.215876486077953</v>
      </c>
      <c r="H1893" s="74">
        <f t="shared" si="59"/>
        <v>5.2785238572545694</v>
      </c>
    </row>
    <row r="1894" spans="5:8" ht="15.6">
      <c r="E1894" s="279" t="s">
        <v>2220</v>
      </c>
      <c r="F1894" s="284">
        <f t="shared" ca="1" si="58"/>
        <v>0.26919187110912179</v>
      </c>
      <c r="G1894" s="74">
        <v>42.68700114561944</v>
      </c>
      <c r="H1894" s="74">
        <f t="shared" si="59"/>
        <v>-2.1926008022869183</v>
      </c>
    </row>
    <row r="1895" spans="5:8" ht="15.6">
      <c r="E1895" s="279" t="s">
        <v>2221</v>
      </c>
      <c r="F1895" s="284">
        <f t="shared" ca="1" si="58"/>
        <v>3.831706333035545E-2</v>
      </c>
      <c r="G1895" s="74">
        <v>41.999334148999857</v>
      </c>
      <c r="H1895" s="74">
        <f t="shared" si="59"/>
        <v>-1.5049338056673349</v>
      </c>
    </row>
    <row r="1896" spans="5:8" ht="15.6">
      <c r="E1896" s="279" t="s">
        <v>2222</v>
      </c>
      <c r="F1896" s="284">
        <f t="shared" ca="1" si="58"/>
        <v>0.66718963824726651</v>
      </c>
      <c r="G1896" s="74">
        <v>38.831012057866886</v>
      </c>
      <c r="H1896" s="74">
        <f t="shared" si="59"/>
        <v>1.6633882854656363</v>
      </c>
    </row>
    <row r="1897" spans="5:8" ht="15.6">
      <c r="E1897" s="279" t="s">
        <v>2223</v>
      </c>
      <c r="F1897" s="284">
        <f t="shared" ca="1" si="58"/>
        <v>0.67915862335080712</v>
      </c>
      <c r="G1897" s="74">
        <v>39.514092750087471</v>
      </c>
      <c r="H1897" s="74">
        <f t="shared" si="59"/>
        <v>0.98030759324505112</v>
      </c>
    </row>
    <row r="1898" spans="5:8" ht="15.6">
      <c r="E1898" s="279" t="s">
        <v>2224</v>
      </c>
      <c r="F1898" s="284">
        <f t="shared" ca="1" si="58"/>
        <v>0.37253137704843864</v>
      </c>
      <c r="G1898" s="74">
        <v>40.64845707896842</v>
      </c>
      <c r="H1898" s="74">
        <f t="shared" si="59"/>
        <v>-0.15405673563589772</v>
      </c>
    </row>
    <row r="1899" spans="5:8" ht="15.6">
      <c r="E1899" s="279" t="s">
        <v>2225</v>
      </c>
      <c r="F1899" s="284">
        <f t="shared" ca="1" si="58"/>
        <v>0.91438273298016282</v>
      </c>
      <c r="G1899" s="74">
        <v>35.289414950939538</v>
      </c>
      <c r="H1899" s="74">
        <f t="shared" si="59"/>
        <v>5.2049853923929845</v>
      </c>
    </row>
    <row r="1900" spans="5:8" ht="15.6">
      <c r="E1900" s="279" t="s">
        <v>2226</v>
      </c>
      <c r="F1900" s="284">
        <f t="shared" ca="1" si="58"/>
        <v>0.56180145458848163</v>
      </c>
      <c r="G1900" s="74">
        <v>34.17746262706882</v>
      </c>
      <c r="H1900" s="74">
        <f t="shared" si="59"/>
        <v>6.3169377162637019</v>
      </c>
    </row>
    <row r="1901" spans="5:8" ht="15.6">
      <c r="E1901" s="279" t="s">
        <v>2227</v>
      </c>
      <c r="F1901" s="284">
        <f t="shared" ca="1" si="58"/>
        <v>0.76285547419480992</v>
      </c>
      <c r="G1901" s="74">
        <v>40.73893984318358</v>
      </c>
      <c r="H1901" s="74">
        <f t="shared" si="59"/>
        <v>-0.24453949985105794</v>
      </c>
    </row>
    <row r="1902" spans="5:8" ht="15.6">
      <c r="E1902" s="279" t="s">
        <v>2228</v>
      </c>
      <c r="F1902" s="284">
        <f t="shared" ca="1" si="58"/>
        <v>7.4753887665413354E-2</v>
      </c>
      <c r="G1902" s="74">
        <v>36.003748708089937</v>
      </c>
      <c r="H1902" s="74">
        <f t="shared" si="59"/>
        <v>4.4906516352425854</v>
      </c>
    </row>
    <row r="1903" spans="5:8" ht="15.6">
      <c r="E1903" s="279" t="s">
        <v>2229</v>
      </c>
      <c r="F1903" s="284">
        <f t="shared" ca="1" si="58"/>
        <v>0.44871807257137897</v>
      </c>
      <c r="G1903" s="74">
        <v>40.134747802843918</v>
      </c>
      <c r="H1903" s="74">
        <f t="shared" si="59"/>
        <v>0.35965254048860373</v>
      </c>
    </row>
    <row r="1904" spans="5:8" ht="15.6">
      <c r="E1904" s="279" t="s">
        <v>2230</v>
      </c>
      <c r="F1904" s="284">
        <f t="shared" ca="1" si="58"/>
        <v>0.90167993140535407</v>
      </c>
      <c r="G1904" s="74">
        <v>38.306285288268654</v>
      </c>
      <c r="H1904" s="74">
        <f t="shared" si="59"/>
        <v>2.1881150550638679</v>
      </c>
    </row>
    <row r="1905" spans="5:8" ht="15.6">
      <c r="E1905" s="279" t="s">
        <v>2231</v>
      </c>
      <c r="F1905" s="284">
        <f t="shared" ca="1" si="58"/>
        <v>0.57259049442480803</v>
      </c>
      <c r="G1905" s="74">
        <v>37.528050883268072</v>
      </c>
      <c r="H1905" s="74">
        <f t="shared" si="59"/>
        <v>2.9663494600644498</v>
      </c>
    </row>
    <row r="1906" spans="5:8" ht="15.6">
      <c r="E1906" s="279" t="s">
        <v>2232</v>
      </c>
      <c r="F1906" s="284">
        <f t="shared" ca="1" si="58"/>
        <v>0.49507086114949173</v>
      </c>
      <c r="G1906" s="74">
        <v>37.039441375021021</v>
      </c>
      <c r="H1906" s="74">
        <f t="shared" si="59"/>
        <v>3.4549589683115016</v>
      </c>
    </row>
    <row r="1907" spans="5:8" ht="15.6">
      <c r="E1907" s="279" t="s">
        <v>2233</v>
      </c>
      <c r="F1907" s="284">
        <f t="shared" ca="1" si="58"/>
        <v>0.86603952343757806</v>
      </c>
      <c r="G1907" s="74">
        <v>41.652190656652195</v>
      </c>
      <c r="H1907" s="74">
        <f t="shared" si="59"/>
        <v>-1.1577903133196727</v>
      </c>
    </row>
    <row r="1908" spans="5:8" ht="15.6">
      <c r="E1908" s="279" t="s">
        <v>2234</v>
      </c>
      <c r="F1908" s="284">
        <f t="shared" ca="1" si="58"/>
        <v>0.41102232355962753</v>
      </c>
      <c r="G1908" s="74">
        <v>40.824735204739724</v>
      </c>
      <c r="H1908" s="74">
        <f t="shared" si="59"/>
        <v>-0.33033486140720214</v>
      </c>
    </row>
    <row r="1909" spans="5:8" ht="15.6">
      <c r="E1909" s="279" t="s">
        <v>2235</v>
      </c>
      <c r="F1909" s="284">
        <f t="shared" ca="1" si="58"/>
        <v>0.60415645175206756</v>
      </c>
      <c r="G1909" s="74">
        <v>37.29738559088478</v>
      </c>
      <c r="H1909" s="74">
        <f t="shared" si="59"/>
        <v>3.1970147524477426</v>
      </c>
    </row>
    <row r="1910" spans="5:8" ht="15.6">
      <c r="E1910" s="279" t="s">
        <v>2236</v>
      </c>
      <c r="F1910" s="284">
        <f t="shared" ca="1" si="58"/>
        <v>0.62222567199581436</v>
      </c>
      <c r="G1910" s="74">
        <v>35.753925095010416</v>
      </c>
      <c r="H1910" s="74">
        <f t="shared" si="59"/>
        <v>4.740475248322106</v>
      </c>
    </row>
    <row r="1911" spans="5:8" ht="15.6">
      <c r="E1911" s="279" t="s">
        <v>2237</v>
      </c>
      <c r="F1911" s="284">
        <f t="shared" ca="1" si="58"/>
        <v>0.20713527454363978</v>
      </c>
      <c r="G1911" s="74">
        <v>41.33323077268205</v>
      </c>
      <c r="H1911" s="74">
        <f t="shared" si="59"/>
        <v>-0.83883042934952812</v>
      </c>
    </row>
    <row r="1912" spans="5:8" ht="15.6">
      <c r="E1912" s="279" t="s">
        <v>2238</v>
      </c>
      <c r="F1912" s="284">
        <f t="shared" ca="1" si="58"/>
        <v>0.27406615055991346</v>
      </c>
      <c r="G1912" s="74">
        <v>41.664048576601054</v>
      </c>
      <c r="H1912" s="74">
        <f t="shared" si="59"/>
        <v>-1.1696482332685321</v>
      </c>
    </row>
    <row r="1913" spans="5:8" ht="15.6">
      <c r="E1913" s="279" t="s">
        <v>2239</v>
      </c>
      <c r="F1913" s="284">
        <f t="shared" ca="1" si="58"/>
        <v>0.36164319281354718</v>
      </c>
      <c r="G1913" s="74">
        <v>38.8737978365752</v>
      </c>
      <c r="H1913" s="74">
        <f t="shared" si="59"/>
        <v>1.6206025067573222</v>
      </c>
    </row>
    <row r="1914" spans="5:8" ht="15.6">
      <c r="E1914" s="279" t="s">
        <v>2240</v>
      </c>
      <c r="F1914" s="284">
        <f t="shared" ca="1" si="58"/>
        <v>0.46150802620257125</v>
      </c>
      <c r="G1914" s="74">
        <v>43.25285637748965</v>
      </c>
      <c r="H1914" s="74">
        <f t="shared" si="59"/>
        <v>-2.7584560341571276</v>
      </c>
    </row>
    <row r="1915" spans="5:8" ht="15.6">
      <c r="E1915" s="279" t="s">
        <v>2241</v>
      </c>
      <c r="F1915" s="284">
        <f t="shared" ca="1" si="58"/>
        <v>0.88469288332550922</v>
      </c>
      <c r="G1915" s="74">
        <v>38.22776560292678</v>
      </c>
      <c r="H1915" s="74">
        <f t="shared" si="59"/>
        <v>2.2666347404057419</v>
      </c>
    </row>
    <row r="1916" spans="5:8" ht="15.6">
      <c r="E1916" s="279" t="s">
        <v>2242</v>
      </c>
      <c r="F1916" s="284">
        <f t="shared" ca="1" si="58"/>
        <v>0.3119527963718095</v>
      </c>
      <c r="G1916" s="74">
        <v>39.200798115516541</v>
      </c>
      <c r="H1916" s="74">
        <f t="shared" si="59"/>
        <v>1.2936022278159811</v>
      </c>
    </row>
    <row r="1917" spans="5:8" ht="15.6">
      <c r="E1917" s="279" t="s">
        <v>2243</v>
      </c>
      <c r="F1917" s="284">
        <f t="shared" ca="1" si="58"/>
        <v>0.50152489912055387</v>
      </c>
      <c r="G1917" s="74">
        <v>37.35365688338311</v>
      </c>
      <c r="H1917" s="74">
        <f t="shared" si="59"/>
        <v>3.1407434599494124</v>
      </c>
    </row>
    <row r="1918" spans="5:8" ht="15.6">
      <c r="E1918" s="279" t="s">
        <v>2244</v>
      </c>
      <c r="F1918" s="284">
        <f t="shared" ca="1" si="58"/>
        <v>0.208777445352475</v>
      </c>
      <c r="G1918" s="74">
        <v>39.066997196475278</v>
      </c>
      <c r="H1918" s="74">
        <f t="shared" si="59"/>
        <v>1.4274031468572446</v>
      </c>
    </row>
    <row r="1919" spans="5:8" ht="15.6">
      <c r="E1919" s="279" t="s">
        <v>2245</v>
      </c>
      <c r="F1919" s="284">
        <f t="shared" ca="1" si="58"/>
        <v>0.20964043034446533</v>
      </c>
      <c r="G1919" s="74">
        <v>38.823628538841149</v>
      </c>
      <c r="H1919" s="74">
        <f t="shared" si="59"/>
        <v>1.6707718044913733</v>
      </c>
    </row>
    <row r="1920" spans="5:8" ht="15.6">
      <c r="E1920" s="279" t="s">
        <v>2246</v>
      </c>
      <c r="F1920" s="284">
        <f t="shared" ca="1" si="58"/>
        <v>0.55598316262554315</v>
      </c>
      <c r="G1920" s="74">
        <v>41.51476225517029</v>
      </c>
      <c r="H1920" s="74">
        <f t="shared" si="59"/>
        <v>-1.0203619118377674</v>
      </c>
    </row>
    <row r="1921" spans="5:8" ht="15.6">
      <c r="E1921" s="279" t="s">
        <v>2247</v>
      </c>
      <c r="F1921" s="284">
        <f t="shared" ca="1" si="58"/>
        <v>0.56702710110159305</v>
      </c>
      <c r="G1921" s="74">
        <v>40.750320100030734</v>
      </c>
      <c r="H1921" s="74">
        <f t="shared" si="59"/>
        <v>-0.2559197566982121</v>
      </c>
    </row>
    <row r="1922" spans="5:8" ht="15.6">
      <c r="E1922" s="279" t="s">
        <v>2248</v>
      </c>
      <c r="F1922" s="284">
        <f t="shared" ca="1" si="58"/>
        <v>0.93953129832464755</v>
      </c>
      <c r="G1922" s="74">
        <v>37.002703676945742</v>
      </c>
      <c r="H1922" s="74">
        <f t="shared" si="59"/>
        <v>3.4916966663867797</v>
      </c>
    </row>
    <row r="1923" spans="5:8" ht="15.6">
      <c r="E1923" s="279" t="s">
        <v>2249</v>
      </c>
      <c r="F1923" s="284">
        <f t="shared" ca="1" si="58"/>
        <v>0.63514320230605026</v>
      </c>
      <c r="G1923" s="74">
        <v>41.084497020828138</v>
      </c>
      <c r="H1923" s="74">
        <f t="shared" si="59"/>
        <v>-0.59009667749561601</v>
      </c>
    </row>
    <row r="1924" spans="5:8" ht="15.6">
      <c r="E1924" s="279" t="s">
        <v>2250</v>
      </c>
      <c r="F1924" s="284">
        <f t="shared" ca="1" si="58"/>
        <v>0.68319824470987078</v>
      </c>
      <c r="G1924" s="74">
        <v>39.387246398846223</v>
      </c>
      <c r="H1924" s="74">
        <f t="shared" si="59"/>
        <v>1.1071539444862992</v>
      </c>
    </row>
    <row r="1925" spans="5:8" ht="15.6">
      <c r="E1925" s="279" t="s">
        <v>2251</v>
      </c>
      <c r="F1925" s="284">
        <f t="shared" ca="1" si="58"/>
        <v>0.38940823008098235</v>
      </c>
      <c r="G1925" s="74">
        <v>39.286056316548795</v>
      </c>
      <c r="H1925" s="74">
        <f t="shared" si="59"/>
        <v>1.2083440267837275</v>
      </c>
    </row>
    <row r="1926" spans="5:8" ht="15.6">
      <c r="E1926" s="279" t="s">
        <v>2252</v>
      </c>
      <c r="F1926" s="284">
        <f t="shared" ca="1" si="58"/>
        <v>0.48871510605060298</v>
      </c>
      <c r="G1926" s="74">
        <v>36.411299066932422</v>
      </c>
      <c r="H1926" s="74">
        <f t="shared" si="59"/>
        <v>4.0831012764001002</v>
      </c>
    </row>
    <row r="1927" spans="5:8" ht="15.6">
      <c r="E1927" s="279" t="s">
        <v>2253</v>
      </c>
      <c r="F1927" s="284">
        <f t="shared" ca="1" si="58"/>
        <v>0.95910180636584164</v>
      </c>
      <c r="G1927" s="74">
        <v>36.731114867574831</v>
      </c>
      <c r="H1927" s="74">
        <f t="shared" si="59"/>
        <v>3.7632854757576908</v>
      </c>
    </row>
    <row r="1928" spans="5:8" ht="15.6">
      <c r="E1928" s="279" t="s">
        <v>2254</v>
      </c>
      <c r="F1928" s="284">
        <f t="shared" ca="1" si="58"/>
        <v>0.42704140463095408</v>
      </c>
      <c r="G1928" s="74">
        <v>41.959625538211419</v>
      </c>
      <c r="H1928" s="74">
        <f t="shared" si="59"/>
        <v>-1.4652251948788972</v>
      </c>
    </row>
    <row r="1929" spans="5:8" ht="15.6">
      <c r="E1929" s="279" t="s">
        <v>2255</v>
      </c>
      <c r="F1929" s="284">
        <f t="shared" ca="1" si="58"/>
        <v>0.86022753353636339</v>
      </c>
      <c r="G1929" s="74">
        <v>41.673153233836587</v>
      </c>
      <c r="H1929" s="74">
        <f t="shared" si="59"/>
        <v>-1.1787528905040645</v>
      </c>
    </row>
    <row r="1930" spans="5:8" ht="15.6">
      <c r="E1930" s="279" t="s">
        <v>2256</v>
      </c>
      <c r="F1930" s="284">
        <f t="shared" ca="1" si="58"/>
        <v>0.60214725068983299</v>
      </c>
      <c r="G1930" s="74">
        <v>37.301492015269559</v>
      </c>
      <c r="H1930" s="74">
        <f t="shared" si="59"/>
        <v>3.1929083280629627</v>
      </c>
    </row>
    <row r="1931" spans="5:8" ht="15.6">
      <c r="E1931" s="279" t="s">
        <v>2257</v>
      </c>
      <c r="F1931" s="284">
        <f t="shared" ca="1" si="58"/>
        <v>0.89702803848510548</v>
      </c>
      <c r="G1931" s="74">
        <v>36.442916724381718</v>
      </c>
      <c r="H1931" s="74">
        <f t="shared" si="59"/>
        <v>4.0514836189508046</v>
      </c>
    </row>
    <row r="1932" spans="5:8" ht="15.6">
      <c r="E1932" s="279" t="s">
        <v>2258</v>
      </c>
      <c r="F1932" s="284">
        <f t="shared" ref="F1932:F1995" ca="1" si="60">RAND()</f>
        <v>0.55172988408663848</v>
      </c>
      <c r="G1932" s="74">
        <v>35.894248375193769</v>
      </c>
      <c r="H1932" s="74">
        <f t="shared" ref="H1932:H1995" si="61">$D$2-G1932</f>
        <v>4.6001519681387535</v>
      </c>
    </row>
    <row r="1933" spans="5:8" ht="15.6">
      <c r="E1933" s="279" t="s">
        <v>2259</v>
      </c>
      <c r="F1933" s="284">
        <f t="shared" ca="1" si="60"/>
        <v>3.695745310767995E-2</v>
      </c>
      <c r="G1933" s="74">
        <v>42.201426386850748</v>
      </c>
      <c r="H1933" s="74">
        <f t="shared" si="61"/>
        <v>-1.7070260435182263</v>
      </c>
    </row>
    <row r="1934" spans="5:8" ht="15.6">
      <c r="E1934" s="279" t="s">
        <v>2260</v>
      </c>
      <c r="F1934" s="284">
        <f t="shared" ca="1" si="60"/>
        <v>0.91179622389351156</v>
      </c>
      <c r="G1934" s="74">
        <v>39.15489826429814</v>
      </c>
      <c r="H1934" s="74">
        <f t="shared" si="61"/>
        <v>1.3395020790343821</v>
      </c>
    </row>
    <row r="1935" spans="5:8" ht="15.6">
      <c r="E1935" s="279" t="s">
        <v>2261</v>
      </c>
      <c r="F1935" s="284">
        <f t="shared" ca="1" si="60"/>
        <v>0.77549634553471991</v>
      </c>
      <c r="G1935" s="74">
        <v>41.52111779060742</v>
      </c>
      <c r="H1935" s="74">
        <f t="shared" si="61"/>
        <v>-1.0267174472748977</v>
      </c>
    </row>
    <row r="1936" spans="5:8" ht="15.6">
      <c r="E1936" s="279" t="s">
        <v>2262</v>
      </c>
      <c r="F1936" s="284">
        <f t="shared" ca="1" si="60"/>
        <v>4.3173949747349782E-2</v>
      </c>
      <c r="G1936" s="74">
        <v>39.32356908757135</v>
      </c>
      <c r="H1936" s="74">
        <f t="shared" si="61"/>
        <v>1.170831255761172</v>
      </c>
    </row>
    <row r="1937" spans="5:8" ht="15.6">
      <c r="E1937" s="279" t="s">
        <v>2263</v>
      </c>
      <c r="F1937" s="284">
        <f t="shared" ca="1" si="60"/>
        <v>0.53153926082399761</v>
      </c>
      <c r="G1937" s="74">
        <v>36.996332690132462</v>
      </c>
      <c r="H1937" s="74">
        <f t="shared" si="61"/>
        <v>3.4980676532000601</v>
      </c>
    </row>
    <row r="1938" spans="5:8" ht="15.6">
      <c r="E1938" s="279" t="s">
        <v>2264</v>
      </c>
      <c r="F1938" s="284">
        <f t="shared" ca="1" si="60"/>
        <v>0.63882377834341808</v>
      </c>
      <c r="G1938" s="74">
        <v>39.6911479705999</v>
      </c>
      <c r="H1938" s="74">
        <f t="shared" si="61"/>
        <v>0.80325237273262218</v>
      </c>
    </row>
    <row r="1939" spans="5:8" ht="15.6">
      <c r="E1939" s="279" t="s">
        <v>2265</v>
      </c>
      <c r="F1939" s="284">
        <f t="shared" ca="1" si="60"/>
        <v>0.10348857539140499</v>
      </c>
      <c r="G1939" s="74">
        <v>39.484520139410712</v>
      </c>
      <c r="H1939" s="74">
        <f t="shared" si="61"/>
        <v>1.00988020392181</v>
      </c>
    </row>
    <row r="1940" spans="5:8" ht="15.6">
      <c r="E1940" s="279" t="s">
        <v>2266</v>
      </c>
      <c r="F1940" s="284">
        <f t="shared" ca="1" si="60"/>
        <v>0.32620678695718497</v>
      </c>
      <c r="G1940" s="74">
        <v>38.69547028119846</v>
      </c>
      <c r="H1940" s="74">
        <f t="shared" si="61"/>
        <v>1.7989300621340618</v>
      </c>
    </row>
    <row r="1941" spans="5:8" ht="15.6">
      <c r="E1941" s="279" t="s">
        <v>2267</v>
      </c>
      <c r="F1941" s="284">
        <f t="shared" ca="1" si="60"/>
        <v>0.85429828817513687</v>
      </c>
      <c r="G1941" s="74">
        <v>37.473438940959596</v>
      </c>
      <c r="H1941" s="74">
        <f t="shared" si="61"/>
        <v>3.0209614023729259</v>
      </c>
    </row>
    <row r="1942" spans="5:8" ht="15.6">
      <c r="E1942" s="279" t="s">
        <v>2268</v>
      </c>
      <c r="F1942" s="284">
        <f t="shared" ca="1" si="60"/>
        <v>0.84857885770304042</v>
      </c>
      <c r="G1942" s="74">
        <v>38.301792362014083</v>
      </c>
      <c r="H1942" s="74">
        <f t="shared" si="61"/>
        <v>2.1926079813184387</v>
      </c>
    </row>
    <row r="1943" spans="5:8" ht="15.6">
      <c r="E1943" s="279" t="s">
        <v>2269</v>
      </c>
      <c r="F1943" s="284">
        <f t="shared" ca="1" si="60"/>
        <v>0.35496178997593086</v>
      </c>
      <c r="G1943" s="74">
        <v>41.415077120784503</v>
      </c>
      <c r="H1943" s="74">
        <f t="shared" si="61"/>
        <v>-0.9206767774519804</v>
      </c>
    </row>
    <row r="1944" spans="5:8" ht="15.6">
      <c r="E1944" s="279" t="s">
        <v>2270</v>
      </c>
      <c r="F1944" s="284">
        <f t="shared" ca="1" si="60"/>
        <v>0.59498300569284945</v>
      </c>
      <c r="G1944" s="74">
        <v>38.661201573179909</v>
      </c>
      <c r="H1944" s="74">
        <f t="shared" si="61"/>
        <v>1.8331987701526131</v>
      </c>
    </row>
    <row r="1945" spans="5:8" ht="15.6">
      <c r="E1945" s="279" t="s">
        <v>2271</v>
      </c>
      <c r="F1945" s="284">
        <f t="shared" ca="1" si="60"/>
        <v>0.25533007659611173</v>
      </c>
      <c r="G1945" s="74">
        <v>38.135228233054725</v>
      </c>
      <c r="H1945" s="74">
        <f t="shared" si="61"/>
        <v>2.3591721102777967</v>
      </c>
    </row>
    <row r="1946" spans="5:8" ht="15.6">
      <c r="E1946" s="279" t="s">
        <v>2272</v>
      </c>
      <c r="F1946" s="284">
        <f t="shared" ca="1" si="60"/>
        <v>0.91718403493130496</v>
      </c>
      <c r="G1946" s="74">
        <v>38.708837426373023</v>
      </c>
      <c r="H1946" s="74">
        <f t="shared" si="61"/>
        <v>1.7855629169594991</v>
      </c>
    </row>
    <row r="1947" spans="5:8" ht="15.6">
      <c r="E1947" s="279" t="s">
        <v>2273</v>
      </c>
      <c r="F1947" s="284">
        <f t="shared" ca="1" si="60"/>
        <v>0.33559628612760162</v>
      </c>
      <c r="G1947" s="74">
        <v>34.665345890713873</v>
      </c>
      <c r="H1947" s="74">
        <f t="shared" si="61"/>
        <v>5.8290544526186494</v>
      </c>
    </row>
    <row r="1948" spans="5:8" ht="15.6">
      <c r="E1948" s="279" t="s">
        <v>2274</v>
      </c>
      <c r="F1948" s="284">
        <f t="shared" ca="1" si="60"/>
        <v>0.62031420981119401</v>
      </c>
      <c r="G1948" s="74">
        <v>42.34385649189759</v>
      </c>
      <c r="H1948" s="74">
        <f t="shared" si="61"/>
        <v>-1.8494561485650678</v>
      </c>
    </row>
    <row r="1949" spans="5:8" ht="15.6">
      <c r="E1949" s="279" t="s">
        <v>2275</v>
      </c>
      <c r="F1949" s="284">
        <f t="shared" ca="1" si="60"/>
        <v>0.5548637800688202</v>
      </c>
      <c r="G1949" s="74">
        <v>45.761232898724522</v>
      </c>
      <c r="H1949" s="74">
        <f t="shared" si="61"/>
        <v>-5.2668325553919999</v>
      </c>
    </row>
    <row r="1950" spans="5:8" ht="15.6">
      <c r="E1950" s="279" t="s">
        <v>2276</v>
      </c>
      <c r="F1950" s="284">
        <f t="shared" ca="1" si="60"/>
        <v>0.42314109810752376</v>
      </c>
      <c r="G1950" s="74">
        <v>37.842521258812646</v>
      </c>
      <c r="H1950" s="74">
        <f t="shared" si="61"/>
        <v>2.6518790845198765</v>
      </c>
    </row>
    <row r="1951" spans="5:8" ht="15.6">
      <c r="E1951" s="279" t="s">
        <v>2277</v>
      </c>
      <c r="F1951" s="284">
        <f t="shared" ca="1" si="60"/>
        <v>0.2292277152487564</v>
      </c>
      <c r="G1951" s="74">
        <v>43.099119937747766</v>
      </c>
      <c r="H1951" s="74">
        <f t="shared" si="61"/>
        <v>-2.6047195944152435</v>
      </c>
    </row>
    <row r="1952" spans="5:8" ht="15.6">
      <c r="E1952" s="279" t="s">
        <v>2278</v>
      </c>
      <c r="F1952" s="284">
        <f t="shared" ca="1" si="60"/>
        <v>0.30588835992510777</v>
      </c>
      <c r="G1952" s="74">
        <v>33.428844157771657</v>
      </c>
      <c r="H1952" s="74">
        <f t="shared" si="61"/>
        <v>7.0655561855608653</v>
      </c>
    </row>
    <row r="1953" spans="5:8" ht="15.6">
      <c r="E1953" s="279" t="s">
        <v>2279</v>
      </c>
      <c r="F1953" s="284">
        <f t="shared" ca="1" si="60"/>
        <v>0.81120998112529263</v>
      </c>
      <c r="G1953" s="74">
        <v>41.346154217131499</v>
      </c>
      <c r="H1953" s="74">
        <f t="shared" si="61"/>
        <v>-0.85175387379897671</v>
      </c>
    </row>
    <row r="1954" spans="5:8" ht="15.6">
      <c r="E1954" s="279" t="s">
        <v>2280</v>
      </c>
      <c r="F1954" s="284">
        <f t="shared" ca="1" si="60"/>
        <v>0.37146104165946592</v>
      </c>
      <c r="G1954" s="74">
        <v>44.793607631048516</v>
      </c>
      <c r="H1954" s="74">
        <f t="shared" si="61"/>
        <v>-4.2992072877159941</v>
      </c>
    </row>
    <row r="1955" spans="5:8" ht="15.6">
      <c r="E1955" s="279" t="s">
        <v>2281</v>
      </c>
      <c r="F1955" s="284">
        <f t="shared" ca="1" si="60"/>
        <v>0.81584831185841467</v>
      </c>
      <c r="G1955" s="74">
        <v>34.13181594642478</v>
      </c>
      <c r="H1955" s="74">
        <f t="shared" si="61"/>
        <v>6.3625843969077422</v>
      </c>
    </row>
    <row r="1956" spans="5:8" ht="15.6">
      <c r="E1956" s="279" t="s">
        <v>2282</v>
      </c>
      <c r="F1956" s="284">
        <f t="shared" ca="1" si="60"/>
        <v>0.61634395763240413</v>
      </c>
      <c r="G1956" s="74">
        <v>40.730795472271808</v>
      </c>
      <c r="H1956" s="74">
        <f t="shared" si="61"/>
        <v>-0.23639512893928583</v>
      </c>
    </row>
    <row r="1957" spans="5:8" ht="15.6">
      <c r="E1957" s="279" t="s">
        <v>2283</v>
      </c>
      <c r="F1957" s="284">
        <f t="shared" ca="1" si="60"/>
        <v>0.41174987283516273</v>
      </c>
      <c r="G1957" s="74">
        <v>35.197402893483797</v>
      </c>
      <c r="H1957" s="74">
        <f t="shared" si="61"/>
        <v>5.2969974498487247</v>
      </c>
    </row>
    <row r="1958" spans="5:8" ht="15.6">
      <c r="E1958" s="279" t="s">
        <v>2284</v>
      </c>
      <c r="F1958" s="284">
        <f t="shared" ca="1" si="60"/>
        <v>0.8228986816796644</v>
      </c>
      <c r="G1958" s="74">
        <v>40.137549308704727</v>
      </c>
      <c r="H1958" s="74">
        <f t="shared" si="61"/>
        <v>0.35685103462779466</v>
      </c>
    </row>
    <row r="1959" spans="5:8" ht="15.6">
      <c r="E1959" s="279" t="s">
        <v>2285</v>
      </c>
      <c r="F1959" s="284">
        <f t="shared" ca="1" si="60"/>
        <v>0.63077218250266853</v>
      </c>
      <c r="G1959" s="74">
        <v>45.608383824815185</v>
      </c>
      <c r="H1959" s="74">
        <f t="shared" si="61"/>
        <v>-5.1139834814826628</v>
      </c>
    </row>
    <row r="1960" spans="5:8" ht="15.6">
      <c r="E1960" s="279" t="s">
        <v>2286</v>
      </c>
      <c r="F1960" s="284">
        <f t="shared" ca="1" si="60"/>
        <v>0.75317317848878529</v>
      </c>
      <c r="G1960" s="74">
        <v>38.782159378930075</v>
      </c>
      <c r="H1960" s="74">
        <f t="shared" si="61"/>
        <v>1.7122409644024472</v>
      </c>
    </row>
    <row r="1961" spans="5:8" ht="15.6">
      <c r="E1961" s="279" t="s">
        <v>2287</v>
      </c>
      <c r="F1961" s="284">
        <f t="shared" ca="1" si="60"/>
        <v>0.16219834512049769</v>
      </c>
      <c r="G1961" s="74">
        <v>40.873321238017915</v>
      </c>
      <c r="H1961" s="74">
        <f t="shared" si="61"/>
        <v>-0.37892089468539325</v>
      </c>
    </row>
    <row r="1962" spans="5:8" ht="15.6">
      <c r="E1962" s="279" t="s">
        <v>2288</v>
      </c>
      <c r="F1962" s="284">
        <f t="shared" ca="1" si="60"/>
        <v>0.80988154647253818</v>
      </c>
      <c r="G1962" s="74">
        <v>39.588642102566816</v>
      </c>
      <c r="H1962" s="74">
        <f t="shared" si="61"/>
        <v>0.90575824076570655</v>
      </c>
    </row>
    <row r="1963" spans="5:8" ht="15.6">
      <c r="E1963" s="279" t="s">
        <v>2289</v>
      </c>
      <c r="F1963" s="284">
        <f t="shared" ca="1" si="60"/>
        <v>0.23908153716888225</v>
      </c>
      <c r="G1963" s="74">
        <v>36.969372952385427</v>
      </c>
      <c r="H1963" s="74">
        <f t="shared" si="61"/>
        <v>3.5250273909470948</v>
      </c>
    </row>
    <row r="1964" spans="5:8" ht="15.6">
      <c r="E1964" s="279" t="s">
        <v>2290</v>
      </c>
      <c r="F1964" s="284">
        <f t="shared" ca="1" si="60"/>
        <v>0.47493852817538096</v>
      </c>
      <c r="G1964" s="74">
        <v>37.307951390143401</v>
      </c>
      <c r="H1964" s="74">
        <f t="shared" si="61"/>
        <v>3.1864489531891209</v>
      </c>
    </row>
    <row r="1965" spans="5:8" ht="15.6">
      <c r="E1965" s="279" t="s">
        <v>2291</v>
      </c>
      <c r="F1965" s="284">
        <f t="shared" ca="1" si="60"/>
        <v>0.92545417158833521</v>
      </c>
      <c r="G1965" s="74">
        <v>36.539089689299857</v>
      </c>
      <c r="H1965" s="74">
        <f t="shared" si="61"/>
        <v>3.9553106540326652</v>
      </c>
    </row>
    <row r="1966" spans="5:8" ht="15.6">
      <c r="E1966" s="279" t="s">
        <v>2292</v>
      </c>
      <c r="F1966" s="284">
        <f t="shared" ca="1" si="60"/>
        <v>0.38551261166032769</v>
      </c>
      <c r="G1966" s="74">
        <v>38.904447077403667</v>
      </c>
      <c r="H1966" s="74">
        <f t="shared" si="61"/>
        <v>1.5899532659288553</v>
      </c>
    </row>
    <row r="1967" spans="5:8" ht="15.6">
      <c r="E1967" s="279" t="s">
        <v>2293</v>
      </c>
      <c r="F1967" s="284">
        <f t="shared" ca="1" si="60"/>
        <v>0.92702629732495889</v>
      </c>
      <c r="G1967" s="74">
        <v>37.278216421457778</v>
      </c>
      <c r="H1967" s="74">
        <f t="shared" si="61"/>
        <v>3.2161839218747446</v>
      </c>
    </row>
    <row r="1968" spans="5:8" ht="15.6">
      <c r="E1968" s="279" t="s">
        <v>2294</v>
      </c>
      <c r="F1968" s="284">
        <f t="shared" ca="1" si="60"/>
        <v>0.62469894652653069</v>
      </c>
      <c r="G1968" s="74">
        <v>38.089022519968282</v>
      </c>
      <c r="H1968" s="74">
        <f t="shared" si="61"/>
        <v>2.4053778233642404</v>
      </c>
    </row>
    <row r="1969" spans="5:8" ht="15.6">
      <c r="E1969" s="279" t="s">
        <v>2295</v>
      </c>
      <c r="F1969" s="284">
        <f t="shared" ca="1" si="60"/>
        <v>0.50068568684807768</v>
      </c>
      <c r="G1969" s="74">
        <v>42.001466632966334</v>
      </c>
      <c r="H1969" s="74">
        <f t="shared" si="61"/>
        <v>-1.5070662896338121</v>
      </c>
    </row>
    <row r="1970" spans="5:8" ht="15.6">
      <c r="E1970" s="279" t="s">
        <v>2296</v>
      </c>
      <c r="F1970" s="284">
        <f t="shared" ca="1" si="60"/>
        <v>0.28341575145239295</v>
      </c>
      <c r="G1970" s="74">
        <v>39.837381957624117</v>
      </c>
      <c r="H1970" s="74">
        <f t="shared" si="61"/>
        <v>0.65701838570840465</v>
      </c>
    </row>
    <row r="1971" spans="5:8" ht="15.6">
      <c r="E1971" s="279" t="s">
        <v>2297</v>
      </c>
      <c r="F1971" s="284">
        <f t="shared" ca="1" si="60"/>
        <v>0.93174755797870035</v>
      </c>
      <c r="G1971" s="74">
        <v>35.499339748475357</v>
      </c>
      <c r="H1971" s="74">
        <f t="shared" si="61"/>
        <v>4.9950605948571649</v>
      </c>
    </row>
    <row r="1972" spans="5:8" ht="15.6">
      <c r="E1972" s="279" t="s">
        <v>2298</v>
      </c>
      <c r="F1972" s="284">
        <f t="shared" ca="1" si="60"/>
        <v>0.65690184176253597</v>
      </c>
      <c r="G1972" s="74">
        <v>39.866463305114209</v>
      </c>
      <c r="H1972" s="74">
        <f t="shared" si="61"/>
        <v>0.62793703821831315</v>
      </c>
    </row>
    <row r="1973" spans="5:8" ht="15.6">
      <c r="E1973" s="279" t="s">
        <v>2299</v>
      </c>
      <c r="F1973" s="284">
        <f t="shared" ca="1" si="60"/>
        <v>0.73355543963077652</v>
      </c>
      <c r="G1973" s="74">
        <v>46.011871717367946</v>
      </c>
      <c r="H1973" s="74">
        <f t="shared" si="61"/>
        <v>-5.5174713740354235</v>
      </c>
    </row>
    <row r="1974" spans="5:8" ht="15.6">
      <c r="E1974" s="279" t="s">
        <v>2300</v>
      </c>
      <c r="F1974" s="284">
        <f t="shared" ca="1" si="60"/>
        <v>0.7266945142980048</v>
      </c>
      <c r="G1974" s="74">
        <v>37.00706712711019</v>
      </c>
      <c r="H1974" s="74">
        <f t="shared" si="61"/>
        <v>3.4873332162223321</v>
      </c>
    </row>
    <row r="1975" spans="5:8" ht="15.6">
      <c r="E1975" s="279" t="s">
        <v>2301</v>
      </c>
      <c r="F1975" s="284">
        <f t="shared" ca="1" si="60"/>
        <v>0.102804892434329</v>
      </c>
      <c r="G1975" s="74">
        <v>38.35468910542054</v>
      </c>
      <c r="H1975" s="74">
        <f t="shared" si="61"/>
        <v>2.1397112379119818</v>
      </c>
    </row>
    <row r="1976" spans="5:8" ht="15.6">
      <c r="E1976" s="279" t="s">
        <v>2302</v>
      </c>
      <c r="F1976" s="284">
        <f t="shared" ca="1" si="60"/>
        <v>2.5263370730381873E-2</v>
      </c>
      <c r="G1976" s="74">
        <v>37.352962608240986</v>
      </c>
      <c r="H1976" s="74">
        <f t="shared" si="61"/>
        <v>3.1414377350915359</v>
      </c>
    </row>
    <row r="1977" spans="5:8" ht="15.6">
      <c r="E1977" s="279" t="s">
        <v>2303</v>
      </c>
      <c r="F1977" s="284">
        <f t="shared" ca="1" si="60"/>
        <v>0.27637352670643422</v>
      </c>
      <c r="G1977" s="74">
        <v>36.867839190386107</v>
      </c>
      <c r="H1977" s="74">
        <f t="shared" si="61"/>
        <v>3.6265611529464152</v>
      </c>
    </row>
    <row r="1978" spans="5:8" ht="15.6">
      <c r="E1978" s="279" t="s">
        <v>2304</v>
      </c>
      <c r="F1978" s="284">
        <f t="shared" ca="1" si="60"/>
        <v>0.16963926555554909</v>
      </c>
      <c r="G1978" s="74">
        <v>37.307467498241884</v>
      </c>
      <c r="H1978" s="74">
        <f t="shared" si="61"/>
        <v>3.186932845090638</v>
      </c>
    </row>
    <row r="1979" spans="5:8" ht="15.6">
      <c r="E1979" s="279" t="s">
        <v>2305</v>
      </c>
      <c r="F1979" s="284">
        <f t="shared" ca="1" si="60"/>
        <v>0.81882794238665579</v>
      </c>
      <c r="G1979" s="74">
        <v>44.531781210358417</v>
      </c>
      <c r="H1979" s="74">
        <f t="shared" si="61"/>
        <v>-4.0373808670258953</v>
      </c>
    </row>
    <row r="1980" spans="5:8" ht="15.6">
      <c r="E1980" s="279" t="s">
        <v>2306</v>
      </c>
      <c r="F1980" s="284">
        <f t="shared" ca="1" si="60"/>
        <v>0.58806944534328964</v>
      </c>
      <c r="G1980" s="74">
        <v>43.145801105485674</v>
      </c>
      <c r="H1980" s="74">
        <f t="shared" si="61"/>
        <v>-2.6514007621531519</v>
      </c>
    </row>
    <row r="1981" spans="5:8" ht="15.6">
      <c r="E1981" s="279" t="s">
        <v>2307</v>
      </c>
      <c r="F1981" s="284">
        <f t="shared" ca="1" si="60"/>
        <v>0.11771651510434133</v>
      </c>
      <c r="G1981" s="74">
        <v>34.834102149609301</v>
      </c>
      <c r="H1981" s="74">
        <f t="shared" si="61"/>
        <v>5.6602981937232215</v>
      </c>
    </row>
    <row r="1982" spans="5:8" ht="15.6">
      <c r="E1982" s="279" t="s">
        <v>2308</v>
      </c>
      <c r="F1982" s="284">
        <f t="shared" ca="1" si="60"/>
        <v>0.20199933812106863</v>
      </c>
      <c r="G1982" s="74">
        <v>35.486130549298075</v>
      </c>
      <c r="H1982" s="74">
        <f t="shared" si="61"/>
        <v>5.0082697940344474</v>
      </c>
    </row>
    <row r="1983" spans="5:8" ht="15.6">
      <c r="E1983" s="279" t="s">
        <v>2309</v>
      </c>
      <c r="F1983" s="284">
        <f t="shared" ca="1" si="60"/>
        <v>0.8347144169534273</v>
      </c>
      <c r="G1983" s="74">
        <v>40.026115329369006</v>
      </c>
      <c r="H1983" s="74">
        <f t="shared" si="61"/>
        <v>0.46828501396351641</v>
      </c>
    </row>
    <row r="1984" spans="5:8" ht="15.6">
      <c r="E1984" s="279" t="s">
        <v>2310</v>
      </c>
      <c r="F1984" s="284">
        <f t="shared" ca="1" si="60"/>
        <v>0.6721225117168147</v>
      </c>
      <c r="G1984" s="74">
        <v>42.406617138387013</v>
      </c>
      <c r="H1984" s="74">
        <f t="shared" si="61"/>
        <v>-1.9122167950544906</v>
      </c>
    </row>
    <row r="1985" spans="5:8" ht="15.6">
      <c r="E1985" s="279" t="s">
        <v>2311</v>
      </c>
      <c r="F1985" s="284">
        <f t="shared" ca="1" si="60"/>
        <v>0.53017981884608645</v>
      </c>
      <c r="G1985" s="74">
        <v>39.818531142512441</v>
      </c>
      <c r="H1985" s="74">
        <f t="shared" si="61"/>
        <v>0.67586920082008106</v>
      </c>
    </row>
    <row r="1986" spans="5:8" ht="15.6">
      <c r="E1986" s="279" t="s">
        <v>2312</v>
      </c>
      <c r="F1986" s="284">
        <f t="shared" ca="1" si="60"/>
        <v>0.83248944164690553</v>
      </c>
      <c r="G1986" s="74">
        <v>39.913823786717138</v>
      </c>
      <c r="H1986" s="74">
        <f t="shared" si="61"/>
        <v>0.58057655661538377</v>
      </c>
    </row>
    <row r="1987" spans="5:8" ht="15.6">
      <c r="E1987" s="279" t="s">
        <v>2313</v>
      </c>
      <c r="F1987" s="284">
        <f t="shared" ca="1" si="60"/>
        <v>0.83348493275252178</v>
      </c>
      <c r="G1987" s="74">
        <v>42.532001475092386</v>
      </c>
      <c r="H1987" s="74">
        <f t="shared" si="61"/>
        <v>-2.0376011317598639</v>
      </c>
    </row>
    <row r="1988" spans="5:8" ht="15.6">
      <c r="E1988" s="279" t="s">
        <v>2314</v>
      </c>
      <c r="F1988" s="284">
        <f t="shared" ca="1" si="60"/>
        <v>0.69481287267408987</v>
      </c>
      <c r="G1988" s="74">
        <v>44.041316905396265</v>
      </c>
      <c r="H1988" s="74">
        <f t="shared" si="61"/>
        <v>-3.5469165620637426</v>
      </c>
    </row>
    <row r="1989" spans="5:8" ht="15.6">
      <c r="E1989" s="279" t="s">
        <v>2315</v>
      </c>
      <c r="F1989" s="284">
        <f t="shared" ca="1" si="60"/>
        <v>0.81533081077368041</v>
      </c>
      <c r="G1989" s="74">
        <v>39.120125048031895</v>
      </c>
      <c r="H1989" s="74">
        <f t="shared" si="61"/>
        <v>1.3742752953006274</v>
      </c>
    </row>
    <row r="1990" spans="5:8" ht="15.6">
      <c r="E1990" s="279" t="s">
        <v>2316</v>
      </c>
      <c r="F1990" s="284">
        <f t="shared" ca="1" si="60"/>
        <v>0.75404911685455478</v>
      </c>
      <c r="G1990" s="74">
        <v>39.708303295536169</v>
      </c>
      <c r="H1990" s="74">
        <f t="shared" si="61"/>
        <v>0.78609704779635337</v>
      </c>
    </row>
    <row r="1991" spans="5:8" ht="15.6">
      <c r="E1991" s="279" t="s">
        <v>2317</v>
      </c>
      <c r="F1991" s="284">
        <f t="shared" ca="1" si="60"/>
        <v>0.24495697565269936</v>
      </c>
      <c r="G1991" s="74">
        <v>38.013063836426433</v>
      </c>
      <c r="H1991" s="74">
        <f t="shared" si="61"/>
        <v>2.4813365069060893</v>
      </c>
    </row>
    <row r="1992" spans="5:8" ht="15.6">
      <c r="E1992" s="279" t="s">
        <v>2318</v>
      </c>
      <c r="F1992" s="284">
        <f t="shared" ca="1" si="60"/>
        <v>0.62952700554262886</v>
      </c>
      <c r="G1992" s="74">
        <v>34.887299214370024</v>
      </c>
      <c r="H1992" s="74">
        <f t="shared" si="61"/>
        <v>5.6071011289624977</v>
      </c>
    </row>
    <row r="1993" spans="5:8" ht="15.6">
      <c r="E1993" s="279" t="s">
        <v>2319</v>
      </c>
      <c r="F1993" s="284">
        <f t="shared" ca="1" si="60"/>
        <v>0.27382328066586703</v>
      </c>
      <c r="G1993" s="74">
        <v>38.156122011798985</v>
      </c>
      <c r="H1993" s="74">
        <f t="shared" si="61"/>
        <v>2.3382783315335374</v>
      </c>
    </row>
    <row r="1994" spans="5:8" ht="15.6">
      <c r="E1994" s="279" t="s">
        <v>2320</v>
      </c>
      <c r="F1994" s="284">
        <f t="shared" ca="1" si="60"/>
        <v>4.930079689307032E-2</v>
      </c>
      <c r="G1994" s="74">
        <v>43.408394825322745</v>
      </c>
      <c r="H1994" s="74">
        <f t="shared" si="61"/>
        <v>-2.9139944819902226</v>
      </c>
    </row>
    <row r="1995" spans="5:8" ht="15.6">
      <c r="E1995" s="279" t="s">
        <v>2321</v>
      </c>
      <c r="F1995" s="284">
        <f t="shared" ca="1" si="60"/>
        <v>0.53557393829340771</v>
      </c>
      <c r="G1995" s="74">
        <v>41.893094484342924</v>
      </c>
      <c r="H1995" s="74">
        <f t="shared" si="61"/>
        <v>-1.3986941410104023</v>
      </c>
    </row>
    <row r="1996" spans="5:8" ht="15.6">
      <c r="E1996" s="279" t="s">
        <v>2322</v>
      </c>
      <c r="F1996" s="284">
        <f t="shared" ref="F1996:F2059" ca="1" si="62">RAND()</f>
        <v>0.75576063615596956</v>
      </c>
      <c r="G1996" s="74">
        <v>38.068841934758787</v>
      </c>
      <c r="H1996" s="74">
        <f t="shared" ref="H1996:H2059" si="63">$D$2-G1996</f>
        <v>2.4255584085737354</v>
      </c>
    </row>
    <row r="1997" spans="5:8" ht="15.6">
      <c r="E1997" s="279" t="s">
        <v>2323</v>
      </c>
      <c r="F1997" s="284">
        <f t="shared" ca="1" si="62"/>
        <v>0.84231544830210581</v>
      </c>
      <c r="G1997" s="74">
        <v>42.749486922495265</v>
      </c>
      <c r="H1997" s="74">
        <f t="shared" si="63"/>
        <v>-2.255086579162743</v>
      </c>
    </row>
    <row r="1998" spans="5:8" ht="15.6">
      <c r="E1998" s="279" t="s">
        <v>2324</v>
      </c>
      <c r="F1998" s="284">
        <f t="shared" ca="1" si="62"/>
        <v>0.70143895213927521</v>
      </c>
      <c r="G1998" s="74">
        <v>44.368738540978441</v>
      </c>
      <c r="H1998" s="74">
        <f t="shared" si="63"/>
        <v>-3.874338197645919</v>
      </c>
    </row>
    <row r="1999" spans="5:8" ht="15.6">
      <c r="E1999" s="279" t="s">
        <v>2325</v>
      </c>
      <c r="F1999" s="284">
        <f t="shared" ca="1" si="62"/>
        <v>0.990316514795199</v>
      </c>
      <c r="G1999" s="74">
        <v>37.435165064841293</v>
      </c>
      <c r="H1999" s="74">
        <f t="shared" si="63"/>
        <v>3.0592352784912293</v>
      </c>
    </row>
    <row r="2000" spans="5:8" ht="15.6">
      <c r="E2000" s="279" t="s">
        <v>2326</v>
      </c>
      <c r="F2000" s="284">
        <f t="shared" ca="1" si="62"/>
        <v>0.11541384468913696</v>
      </c>
      <c r="G2000" s="74">
        <v>37.080548012614948</v>
      </c>
      <c r="H2000" s="74">
        <f t="shared" si="63"/>
        <v>3.4138523307175745</v>
      </c>
    </row>
    <row r="2001" spans="5:8" ht="15.6">
      <c r="E2001" s="279" t="s">
        <v>2327</v>
      </c>
      <c r="F2001" s="284">
        <f t="shared" ca="1" si="62"/>
        <v>0.53748398836680922</v>
      </c>
      <c r="G2001" s="74">
        <v>43.245722070873612</v>
      </c>
      <c r="H2001" s="74">
        <f t="shared" si="63"/>
        <v>-2.7513217275410895</v>
      </c>
    </row>
    <row r="2002" spans="5:8" ht="15.6">
      <c r="E2002" s="279" t="s">
        <v>2328</v>
      </c>
      <c r="F2002" s="284">
        <f t="shared" ca="1" si="62"/>
        <v>0.25904276344489829</v>
      </c>
      <c r="G2002" s="74">
        <v>35.914669981207979</v>
      </c>
      <c r="H2002" s="74">
        <f t="shared" si="63"/>
        <v>4.5797303621245433</v>
      </c>
    </row>
    <row r="2003" spans="5:8" ht="15.6">
      <c r="E2003" s="279" t="s">
        <v>2329</v>
      </c>
      <c r="F2003" s="284">
        <f t="shared" ca="1" si="62"/>
        <v>0.4110927563994996</v>
      </c>
      <c r="G2003" s="74">
        <v>41.283226685767396</v>
      </c>
      <c r="H2003" s="74">
        <f t="shared" si="63"/>
        <v>-0.7888263424348736</v>
      </c>
    </row>
    <row r="2004" spans="5:8" ht="15.6">
      <c r="E2004" s="279" t="s">
        <v>2330</v>
      </c>
      <c r="F2004" s="284">
        <f t="shared" ca="1" si="62"/>
        <v>0.64885378536132954</v>
      </c>
      <c r="G2004" s="74">
        <v>39.771941076388615</v>
      </c>
      <c r="H2004" s="74">
        <f t="shared" si="63"/>
        <v>0.72245926694390761</v>
      </c>
    </row>
    <row r="2005" spans="5:8" ht="15.6">
      <c r="E2005" s="279" t="s">
        <v>2331</v>
      </c>
      <c r="F2005" s="284">
        <f t="shared" ca="1" si="62"/>
        <v>0.65508468062867731</v>
      </c>
      <c r="G2005" s="74">
        <v>41.502366182520056</v>
      </c>
      <c r="H2005" s="74">
        <f t="shared" si="63"/>
        <v>-1.0079658391875341</v>
      </c>
    </row>
    <row r="2006" spans="5:8" ht="15.6">
      <c r="E2006" s="279" t="s">
        <v>2332</v>
      </c>
      <c r="F2006" s="284">
        <f t="shared" ca="1" si="62"/>
        <v>0.95296500302245402</v>
      </c>
      <c r="G2006" s="74">
        <v>37.889509558905338</v>
      </c>
      <c r="H2006" s="74">
        <f t="shared" si="63"/>
        <v>2.6048907844271838</v>
      </c>
    </row>
    <row r="2007" spans="5:8" ht="15.6">
      <c r="E2007" s="279" t="s">
        <v>2333</v>
      </c>
      <c r="F2007" s="284">
        <f t="shared" ca="1" si="62"/>
        <v>0.37009327914452872</v>
      </c>
      <c r="G2007" s="74">
        <v>44.383075394787262</v>
      </c>
      <c r="H2007" s="74">
        <f t="shared" si="63"/>
        <v>-3.8886750514547401</v>
      </c>
    </row>
    <row r="2008" spans="5:8" ht="15.6">
      <c r="E2008" s="279" t="s">
        <v>2334</v>
      </c>
      <c r="F2008" s="284">
        <f t="shared" ca="1" si="62"/>
        <v>0.65402703976196885</v>
      </c>
      <c r="G2008" s="74">
        <v>39.688464941837552</v>
      </c>
      <c r="H2008" s="74">
        <f t="shared" si="63"/>
        <v>0.80593540149497045</v>
      </c>
    </row>
    <row r="2009" spans="5:8" ht="15.6">
      <c r="E2009" s="279" t="s">
        <v>2335</v>
      </c>
      <c r="F2009" s="284">
        <f t="shared" ca="1" si="62"/>
        <v>0.59579697651614849</v>
      </c>
      <c r="G2009" s="74">
        <v>37.562367486701255</v>
      </c>
      <c r="H2009" s="74">
        <f t="shared" si="63"/>
        <v>2.9320328566312668</v>
      </c>
    </row>
    <row r="2010" spans="5:8" ht="15.6">
      <c r="E2010" s="279" t="s">
        <v>2336</v>
      </c>
      <c r="F2010" s="284">
        <f t="shared" ca="1" si="62"/>
        <v>0.1229471963837595</v>
      </c>
      <c r="G2010" s="74">
        <v>40.567154077139463</v>
      </c>
      <c r="H2010" s="74">
        <f t="shared" si="63"/>
        <v>-7.2753733806941057E-2</v>
      </c>
    </row>
    <row r="2011" spans="5:8" ht="15.6">
      <c r="E2011" s="279" t="s">
        <v>2337</v>
      </c>
      <c r="F2011" s="284">
        <f t="shared" ca="1" si="62"/>
        <v>0.88097134053389559</v>
      </c>
      <c r="G2011" s="74">
        <v>39.748192821186798</v>
      </c>
      <c r="H2011" s="74">
        <f t="shared" si="63"/>
        <v>0.74620752214572406</v>
      </c>
    </row>
    <row r="2012" spans="5:8" ht="15.6">
      <c r="E2012" s="279" t="s">
        <v>2338</v>
      </c>
      <c r="F2012" s="284">
        <f t="shared" ca="1" si="62"/>
        <v>0.11777084252026482</v>
      </c>
      <c r="G2012" s="74">
        <v>38.686677602563293</v>
      </c>
      <c r="H2012" s="74">
        <f t="shared" si="63"/>
        <v>1.8077227407692291</v>
      </c>
    </row>
    <row r="2013" spans="5:8" ht="15.6">
      <c r="E2013" s="279" t="s">
        <v>2339</v>
      </c>
      <c r="F2013" s="284">
        <f t="shared" ca="1" si="62"/>
        <v>0.68384310454897734</v>
      </c>
      <c r="G2013" s="74">
        <v>41.027516606222456</v>
      </c>
      <c r="H2013" s="74">
        <f t="shared" si="63"/>
        <v>-0.53311626288993352</v>
      </c>
    </row>
    <row r="2014" spans="5:8" ht="15.6">
      <c r="E2014" s="279" t="s">
        <v>2340</v>
      </c>
      <c r="F2014" s="284">
        <f t="shared" ca="1" si="62"/>
        <v>0.1860097683226527</v>
      </c>
      <c r="G2014" s="74">
        <v>41.421372553787329</v>
      </c>
      <c r="H2014" s="74">
        <f t="shared" si="63"/>
        <v>-0.9269722104548066</v>
      </c>
    </row>
    <row r="2015" spans="5:8" ht="15.6">
      <c r="E2015" s="279" t="s">
        <v>2341</v>
      </c>
      <c r="F2015" s="284">
        <f t="shared" ca="1" si="62"/>
        <v>0.80205049515347016</v>
      </c>
      <c r="G2015" s="74">
        <v>38.2325016671086</v>
      </c>
      <c r="H2015" s="74">
        <f t="shared" si="63"/>
        <v>2.2618986762239217</v>
      </c>
    </row>
    <row r="2016" spans="5:8" ht="15.6">
      <c r="E2016" s="279" t="s">
        <v>2342</v>
      </c>
      <c r="F2016" s="284">
        <f t="shared" ca="1" si="62"/>
        <v>0.91938354527275201</v>
      </c>
      <c r="G2016" s="74">
        <v>41.475233770620221</v>
      </c>
      <c r="H2016" s="74">
        <f t="shared" si="63"/>
        <v>-0.98083342728769907</v>
      </c>
    </row>
    <row r="2017" spans="5:8" ht="15.6">
      <c r="E2017" s="279" t="s">
        <v>2343</v>
      </c>
      <c r="F2017" s="284">
        <f t="shared" ca="1" si="62"/>
        <v>6.5246348049484482E-2</v>
      </c>
      <c r="G2017" s="74">
        <v>36.314194259094734</v>
      </c>
      <c r="H2017" s="74">
        <f t="shared" si="63"/>
        <v>4.1802060842377884</v>
      </c>
    </row>
    <row r="2018" spans="5:8" ht="15.6">
      <c r="E2018" s="279" t="s">
        <v>2344</v>
      </c>
      <c r="F2018" s="284">
        <f t="shared" ca="1" si="62"/>
        <v>0.12744703093389576</v>
      </c>
      <c r="G2018" s="74">
        <v>38.842050327505099</v>
      </c>
      <c r="H2018" s="74">
        <f t="shared" si="63"/>
        <v>1.6523500158274231</v>
      </c>
    </row>
    <row r="2019" spans="5:8" ht="15.6">
      <c r="E2019" s="279" t="s">
        <v>2345</v>
      </c>
      <c r="F2019" s="284">
        <f t="shared" ca="1" si="62"/>
        <v>0.55233274637426688</v>
      </c>
      <c r="G2019" s="74">
        <v>35.668212938797922</v>
      </c>
      <c r="H2019" s="74">
        <f t="shared" si="63"/>
        <v>4.8261874045346005</v>
      </c>
    </row>
    <row r="2020" spans="5:8" ht="15.6">
      <c r="E2020" s="279" t="s">
        <v>2346</v>
      </c>
      <c r="F2020" s="284">
        <f t="shared" ca="1" si="62"/>
        <v>0.95602717542051519</v>
      </c>
      <c r="G2020" s="74">
        <v>50.780872713441184</v>
      </c>
      <c r="H2020" s="74">
        <f t="shared" si="63"/>
        <v>-10.286472370108662</v>
      </c>
    </row>
    <row r="2021" spans="5:8" ht="15.6">
      <c r="E2021" s="279" t="s">
        <v>2347</v>
      </c>
      <c r="F2021" s="284">
        <f t="shared" ca="1" si="62"/>
        <v>8.8871794192893927E-2</v>
      </c>
      <c r="G2021" s="74">
        <v>40.66020429155467</v>
      </c>
      <c r="H2021" s="74">
        <f t="shared" si="63"/>
        <v>-0.16580394822214828</v>
      </c>
    </row>
    <row r="2022" spans="5:8" ht="15.6">
      <c r="E2022" s="279" t="s">
        <v>2348</v>
      </c>
      <c r="F2022" s="284">
        <f t="shared" ca="1" si="62"/>
        <v>0.1161507009828876</v>
      </c>
      <c r="G2022" s="74">
        <v>37.543986877210195</v>
      </c>
      <c r="H2022" s="74">
        <f t="shared" si="63"/>
        <v>2.9504134661223276</v>
      </c>
    </row>
    <row r="2023" spans="5:8" ht="15.6">
      <c r="E2023" s="279" t="s">
        <v>2349</v>
      </c>
      <c r="F2023" s="284">
        <f t="shared" ca="1" si="62"/>
        <v>0.72041650750530017</v>
      </c>
      <c r="G2023" s="74">
        <v>38.590602748832922</v>
      </c>
      <c r="H2023" s="74">
        <f t="shared" si="63"/>
        <v>1.9037975944996006</v>
      </c>
    </row>
    <row r="2024" spans="5:8" ht="15.6">
      <c r="E2024" s="279" t="s">
        <v>2350</v>
      </c>
      <c r="F2024" s="284">
        <f t="shared" ca="1" si="62"/>
        <v>0.28814818970914458</v>
      </c>
      <c r="G2024" s="74">
        <v>37.232344026112692</v>
      </c>
      <c r="H2024" s="74">
        <f t="shared" si="63"/>
        <v>3.2620563172198302</v>
      </c>
    </row>
    <row r="2025" spans="5:8" ht="15.6">
      <c r="E2025" s="279" t="s">
        <v>2351</v>
      </c>
      <c r="F2025" s="284">
        <f t="shared" ca="1" si="62"/>
        <v>0.16779519659026898</v>
      </c>
      <c r="G2025" s="74">
        <v>40.294226163084943</v>
      </c>
      <c r="H2025" s="74">
        <f t="shared" si="63"/>
        <v>0.20017418024757916</v>
      </c>
    </row>
    <row r="2026" spans="5:8" ht="15.6">
      <c r="E2026" s="279" t="s">
        <v>2352</v>
      </c>
      <c r="F2026" s="284">
        <f t="shared" ca="1" si="62"/>
        <v>0.20041661173481851</v>
      </c>
      <c r="G2026" s="74">
        <v>42.727940204356329</v>
      </c>
      <c r="H2026" s="74">
        <f t="shared" si="63"/>
        <v>-2.2335398610238073</v>
      </c>
    </row>
    <row r="2027" spans="5:8" ht="15.6">
      <c r="E2027" s="279" t="s">
        <v>2353</v>
      </c>
      <c r="F2027" s="284">
        <f t="shared" ca="1" si="62"/>
        <v>0.50133634045547093</v>
      </c>
      <c r="G2027" s="74">
        <v>42.939703477702793</v>
      </c>
      <c r="H2027" s="74">
        <f t="shared" si="63"/>
        <v>-2.4453031343702705</v>
      </c>
    </row>
    <row r="2028" spans="5:8" ht="15.6">
      <c r="E2028" s="279" t="s">
        <v>2354</v>
      </c>
      <c r="F2028" s="284">
        <f t="shared" ca="1" si="62"/>
        <v>0.66232754483413547</v>
      </c>
      <c r="G2028" s="74">
        <v>40.691706169885499</v>
      </c>
      <c r="H2028" s="74">
        <f t="shared" si="63"/>
        <v>-0.19730582655297724</v>
      </c>
    </row>
    <row r="2029" spans="5:8" ht="15.6">
      <c r="E2029" s="279" t="s">
        <v>2355</v>
      </c>
      <c r="F2029" s="284">
        <f t="shared" ca="1" si="62"/>
        <v>0.96228159760703957</v>
      </c>
      <c r="G2029" s="74">
        <v>42.098597792318451</v>
      </c>
      <c r="H2029" s="74">
        <f t="shared" si="63"/>
        <v>-1.6041974489859285</v>
      </c>
    </row>
    <row r="2030" spans="5:8" ht="15.6">
      <c r="E2030" s="279" t="s">
        <v>2356</v>
      </c>
      <c r="F2030" s="284">
        <f t="shared" ca="1" si="62"/>
        <v>0.42464290587687059</v>
      </c>
      <c r="G2030" s="74">
        <v>43.966326592074644</v>
      </c>
      <c r="H2030" s="74">
        <f t="shared" si="63"/>
        <v>-3.4719262487421219</v>
      </c>
    </row>
    <row r="2031" spans="5:8" ht="15.6">
      <c r="E2031" s="279" t="s">
        <v>2357</v>
      </c>
      <c r="F2031" s="284">
        <f t="shared" ca="1" si="62"/>
        <v>0.89688895327042906</v>
      </c>
      <c r="G2031" s="74">
        <v>36.771026769759487</v>
      </c>
      <c r="H2031" s="74">
        <f t="shared" si="63"/>
        <v>3.7233735735730349</v>
      </c>
    </row>
    <row r="2032" spans="5:8" ht="15.6">
      <c r="E2032" s="279" t="s">
        <v>2358</v>
      </c>
      <c r="F2032" s="284">
        <f t="shared" ca="1" si="62"/>
        <v>0.51555014951117983</v>
      </c>
      <c r="G2032" s="74">
        <v>39.260939592286789</v>
      </c>
      <c r="H2032" s="74">
        <f t="shared" si="63"/>
        <v>1.2334607510457332</v>
      </c>
    </row>
    <row r="2033" spans="5:8" ht="15.6">
      <c r="E2033" s="279" t="s">
        <v>2359</v>
      </c>
      <c r="F2033" s="284">
        <f t="shared" ca="1" si="62"/>
        <v>0.94828342360163198</v>
      </c>
      <c r="G2033" s="74">
        <v>37.33982118098816</v>
      </c>
      <c r="H2033" s="74">
        <f t="shared" si="63"/>
        <v>3.154579162344362</v>
      </c>
    </row>
    <row r="2034" spans="5:8" ht="15.6">
      <c r="E2034" s="279" t="s">
        <v>2360</v>
      </c>
      <c r="F2034" s="284">
        <f t="shared" ca="1" si="62"/>
        <v>0.29747934682224375</v>
      </c>
      <c r="G2034" s="74">
        <v>38.301415965326647</v>
      </c>
      <c r="H2034" s="74">
        <f t="shared" si="63"/>
        <v>2.1929843780058746</v>
      </c>
    </row>
    <row r="2035" spans="5:8" ht="15.6">
      <c r="E2035" s="279" t="s">
        <v>2361</v>
      </c>
      <c r="F2035" s="284">
        <f t="shared" ca="1" si="62"/>
        <v>0.62869071317674574</v>
      </c>
      <c r="G2035" s="74">
        <v>41.447121825570207</v>
      </c>
      <c r="H2035" s="74">
        <f t="shared" si="63"/>
        <v>-0.95272148223768482</v>
      </c>
    </row>
    <row r="2036" spans="5:8" ht="15.6">
      <c r="E2036" s="279" t="s">
        <v>2362</v>
      </c>
      <c r="F2036" s="284">
        <f t="shared" ca="1" si="62"/>
        <v>0.85093952956696661</v>
      </c>
      <c r="G2036" s="74">
        <v>38.639850778336445</v>
      </c>
      <c r="H2036" s="74">
        <f t="shared" si="63"/>
        <v>1.854549564996077</v>
      </c>
    </row>
    <row r="2037" spans="5:8" ht="15.6">
      <c r="E2037" s="279" t="s">
        <v>2363</v>
      </c>
      <c r="F2037" s="284">
        <f t="shared" ca="1" si="62"/>
        <v>0.61133297031522271</v>
      </c>
      <c r="G2037" s="74">
        <v>40.788774334059362</v>
      </c>
      <c r="H2037" s="74">
        <f t="shared" si="63"/>
        <v>-0.29437399072683945</v>
      </c>
    </row>
    <row r="2038" spans="5:8" ht="15.6">
      <c r="E2038" s="279" t="s">
        <v>2364</v>
      </c>
      <c r="F2038" s="284">
        <f t="shared" ca="1" si="62"/>
        <v>0.75249724919023198</v>
      </c>
      <c r="G2038" s="74">
        <v>38.917058436243167</v>
      </c>
      <c r="H2038" s="74">
        <f t="shared" si="63"/>
        <v>1.5773419070893553</v>
      </c>
    </row>
    <row r="2039" spans="5:8" ht="15.6">
      <c r="E2039" s="279" t="s">
        <v>2365</v>
      </c>
      <c r="F2039" s="284">
        <f t="shared" ca="1" si="62"/>
        <v>0.57315718778280744</v>
      </c>
      <c r="G2039" s="74">
        <v>37.314759027450897</v>
      </c>
      <c r="H2039" s="74">
        <f t="shared" si="63"/>
        <v>3.179641315881625</v>
      </c>
    </row>
    <row r="2040" spans="5:8" ht="15.6">
      <c r="E2040" s="279" t="s">
        <v>2366</v>
      </c>
      <c r="F2040" s="284">
        <f t="shared" ca="1" si="62"/>
        <v>0.45109757610908185</v>
      </c>
      <c r="G2040" s="74">
        <v>41.192273870139509</v>
      </c>
      <c r="H2040" s="74">
        <f t="shared" si="63"/>
        <v>-0.69787352680698689</v>
      </c>
    </row>
    <row r="2041" spans="5:8" ht="15.6">
      <c r="E2041" s="279" t="s">
        <v>2367</v>
      </c>
      <c r="F2041" s="284">
        <f t="shared" ca="1" si="62"/>
        <v>0.90991350675465676</v>
      </c>
      <c r="G2041" s="74">
        <v>36.162163084564185</v>
      </c>
      <c r="H2041" s="74">
        <f t="shared" si="63"/>
        <v>4.3322372587683375</v>
      </c>
    </row>
    <row r="2042" spans="5:8" ht="15.6">
      <c r="E2042" s="279" t="s">
        <v>2368</v>
      </c>
      <c r="F2042" s="284">
        <f t="shared" ca="1" si="62"/>
        <v>0.3066656421626246</v>
      </c>
      <c r="G2042" s="74">
        <v>37.428398459866841</v>
      </c>
      <c r="H2042" s="74">
        <f t="shared" si="63"/>
        <v>3.066001883465681</v>
      </c>
    </row>
    <row r="2043" spans="5:8" ht="15.6">
      <c r="E2043" s="279" t="s">
        <v>2369</v>
      </c>
      <c r="F2043" s="284">
        <f t="shared" ca="1" si="62"/>
        <v>0.40593832009236586</v>
      </c>
      <c r="G2043" s="74">
        <v>38.848825374121823</v>
      </c>
      <c r="H2043" s="74">
        <f t="shared" si="63"/>
        <v>1.6455749692106991</v>
      </c>
    </row>
    <row r="2044" spans="5:8" ht="15.6">
      <c r="E2044" s="279" t="s">
        <v>2370</v>
      </c>
      <c r="F2044" s="284">
        <f t="shared" ca="1" si="62"/>
        <v>0.74004013585325912</v>
      </c>
      <c r="G2044" s="74">
        <v>33.116110229558494</v>
      </c>
      <c r="H2044" s="74">
        <f t="shared" si="63"/>
        <v>7.3782901137740282</v>
      </c>
    </row>
    <row r="2045" spans="5:8" ht="15.6">
      <c r="E2045" s="279" t="s">
        <v>2371</v>
      </c>
      <c r="F2045" s="284">
        <f t="shared" ca="1" si="62"/>
        <v>0.51887630844445787</v>
      </c>
      <c r="G2045" s="74">
        <v>34.378903151255209</v>
      </c>
      <c r="H2045" s="74">
        <f t="shared" si="63"/>
        <v>6.1154971920773136</v>
      </c>
    </row>
    <row r="2046" spans="5:8" ht="15.6">
      <c r="E2046" s="279" t="s">
        <v>2372</v>
      </c>
      <c r="F2046" s="284">
        <f t="shared" ca="1" si="62"/>
        <v>9.6952115884331169E-2</v>
      </c>
      <c r="G2046" s="74">
        <v>45.2282854303077</v>
      </c>
      <c r="H2046" s="74">
        <f t="shared" si="63"/>
        <v>-4.7338850869751781</v>
      </c>
    </row>
    <row r="2047" spans="5:8" ht="15.6">
      <c r="E2047" s="279" t="s">
        <v>2373</v>
      </c>
      <c r="F2047" s="284">
        <f t="shared" ca="1" si="62"/>
        <v>0.80797652054201774</v>
      </c>
      <c r="G2047" s="74">
        <v>40.553298377570556</v>
      </c>
      <c r="H2047" s="74">
        <f t="shared" si="63"/>
        <v>-5.8898034238033858E-2</v>
      </c>
    </row>
    <row r="2048" spans="5:8" ht="15.6">
      <c r="E2048" s="279" t="s">
        <v>2374</v>
      </c>
      <c r="F2048" s="284">
        <f t="shared" ca="1" si="62"/>
        <v>5.8690223488344628E-3</v>
      </c>
      <c r="G2048" s="74">
        <v>40.822969638498869</v>
      </c>
      <c r="H2048" s="74">
        <f t="shared" si="63"/>
        <v>-0.32856929516634636</v>
      </c>
    </row>
    <row r="2049" spans="5:8" ht="15.6">
      <c r="E2049" s="279" t="s">
        <v>2375</v>
      </c>
      <c r="F2049" s="284">
        <f t="shared" ca="1" si="62"/>
        <v>0.13210259462833329</v>
      </c>
      <c r="G2049" s="74">
        <v>41.08530599514576</v>
      </c>
      <c r="H2049" s="74">
        <f t="shared" si="63"/>
        <v>-0.5909056518132374</v>
      </c>
    </row>
    <row r="2050" spans="5:8" ht="15.6">
      <c r="E2050" s="279" t="s">
        <v>2376</v>
      </c>
      <c r="F2050" s="284">
        <f t="shared" ca="1" si="62"/>
        <v>0.59101381236906214</v>
      </c>
      <c r="G2050" s="74">
        <v>39.205054318016771</v>
      </c>
      <c r="H2050" s="74">
        <f t="shared" si="63"/>
        <v>1.2893460253157514</v>
      </c>
    </row>
    <row r="2051" spans="5:8" ht="15.6">
      <c r="E2051" s="279" t="s">
        <v>2377</v>
      </c>
      <c r="F2051" s="284">
        <f t="shared" ca="1" si="62"/>
        <v>0.18316084815377609</v>
      </c>
      <c r="G2051" s="74">
        <v>42.912044648727189</v>
      </c>
      <c r="H2051" s="74">
        <f t="shared" si="63"/>
        <v>-2.417644305394667</v>
      </c>
    </row>
    <row r="2052" spans="5:8" ht="15.6">
      <c r="E2052" s="279" t="s">
        <v>2378</v>
      </c>
      <c r="F2052" s="284">
        <f t="shared" ca="1" si="62"/>
        <v>0.37217939917655785</v>
      </c>
      <c r="G2052" s="74">
        <v>39.685904857909073</v>
      </c>
      <c r="H2052" s="74">
        <f t="shared" si="63"/>
        <v>0.80849548542344962</v>
      </c>
    </row>
    <row r="2053" spans="5:8" ht="15.6">
      <c r="E2053" s="279" t="s">
        <v>2379</v>
      </c>
      <c r="F2053" s="284">
        <f t="shared" ca="1" si="62"/>
        <v>0.30163281254020347</v>
      </c>
      <c r="G2053" s="74">
        <v>36.820773347719722</v>
      </c>
      <c r="H2053" s="74">
        <f t="shared" si="63"/>
        <v>3.6736269956127998</v>
      </c>
    </row>
    <row r="2054" spans="5:8" ht="15.6">
      <c r="E2054" s="279" t="s">
        <v>2380</v>
      </c>
      <c r="F2054" s="284">
        <f t="shared" ca="1" si="62"/>
        <v>0.12270509922304829</v>
      </c>
      <c r="G2054" s="74">
        <v>35.99077999043552</v>
      </c>
      <c r="H2054" s="74">
        <f t="shared" si="63"/>
        <v>4.503620352897002</v>
      </c>
    </row>
    <row r="2055" spans="5:8" ht="15.6">
      <c r="E2055" s="279" t="s">
        <v>2381</v>
      </c>
      <c r="F2055" s="284">
        <f t="shared" ca="1" si="62"/>
        <v>0.20101458004795569</v>
      </c>
      <c r="G2055" s="74">
        <v>41.81782437970282</v>
      </c>
      <c r="H2055" s="74">
        <f t="shared" si="63"/>
        <v>-1.323424036370298</v>
      </c>
    </row>
    <row r="2056" spans="5:8" ht="15.6">
      <c r="E2056" s="279" t="s">
        <v>2382</v>
      </c>
      <c r="F2056" s="284">
        <f t="shared" ca="1" si="62"/>
        <v>0.80678451908757121</v>
      </c>
      <c r="G2056" s="74">
        <v>37.352946788101683</v>
      </c>
      <c r="H2056" s="74">
        <f t="shared" si="63"/>
        <v>3.1414535552308394</v>
      </c>
    </row>
    <row r="2057" spans="5:8" ht="15.6">
      <c r="E2057" s="279" t="s">
        <v>2383</v>
      </c>
      <c r="F2057" s="284">
        <f t="shared" ca="1" si="62"/>
        <v>0.69686113489886836</v>
      </c>
      <c r="G2057" s="74">
        <v>40.873136449233229</v>
      </c>
      <c r="H2057" s="74">
        <f t="shared" si="63"/>
        <v>-0.37873610590070683</v>
      </c>
    </row>
    <row r="2058" spans="5:8" ht="15.6">
      <c r="E2058" s="279" t="s">
        <v>2384</v>
      </c>
      <c r="F2058" s="284">
        <f t="shared" ca="1" si="62"/>
        <v>0.58448791937232381</v>
      </c>
      <c r="G2058" s="74">
        <v>40.312494421673954</v>
      </c>
      <c r="H2058" s="74">
        <f t="shared" si="63"/>
        <v>0.18190592165856856</v>
      </c>
    </row>
    <row r="2059" spans="5:8" ht="15.6">
      <c r="E2059" s="279" t="s">
        <v>2385</v>
      </c>
      <c r="F2059" s="284">
        <f t="shared" ca="1" si="62"/>
        <v>0.15134045785595096</v>
      </c>
      <c r="G2059" s="74">
        <v>37.453325345220257</v>
      </c>
      <c r="H2059" s="74">
        <f t="shared" si="63"/>
        <v>3.0410749981122649</v>
      </c>
    </row>
    <row r="2060" spans="5:8" ht="15.6">
      <c r="E2060" s="279" t="s">
        <v>2386</v>
      </c>
      <c r="F2060" s="284">
        <f t="shared" ref="F2060:F2123" ca="1" si="64">RAND()</f>
        <v>0.97190259045862792</v>
      </c>
      <c r="G2060" s="74">
        <v>39.911336165079248</v>
      </c>
      <c r="H2060" s="74">
        <f t="shared" ref="H2060:H2123" si="65">$D$2-G2060</f>
        <v>0.58306417825327372</v>
      </c>
    </row>
    <row r="2061" spans="5:8" ht="15.6">
      <c r="E2061" s="279" t="s">
        <v>2387</v>
      </c>
      <c r="F2061" s="284">
        <f t="shared" ca="1" si="64"/>
        <v>0.72541633519648052</v>
      </c>
      <c r="G2061" s="74">
        <v>39.475157492769092</v>
      </c>
      <c r="H2061" s="74">
        <f t="shared" si="65"/>
        <v>1.0192428505634297</v>
      </c>
    </row>
    <row r="2062" spans="5:8" ht="15.6">
      <c r="E2062" s="279" t="s">
        <v>2388</v>
      </c>
      <c r="F2062" s="284">
        <f t="shared" ca="1" si="64"/>
        <v>6.6323412875877175E-3</v>
      </c>
      <c r="G2062" s="74">
        <v>40.161001268325258</v>
      </c>
      <c r="H2062" s="74">
        <f t="shared" si="65"/>
        <v>0.3333990750072644</v>
      </c>
    </row>
    <row r="2063" spans="5:8" ht="15.6">
      <c r="E2063" s="279" t="s">
        <v>2389</v>
      </c>
      <c r="F2063" s="284">
        <f t="shared" ca="1" si="64"/>
        <v>3.4329070408804174E-2</v>
      </c>
      <c r="G2063" s="74">
        <v>36.307630730511924</v>
      </c>
      <c r="H2063" s="74">
        <f t="shared" si="65"/>
        <v>4.1867696128205978</v>
      </c>
    </row>
    <row r="2064" spans="5:8" ht="15.6">
      <c r="E2064" s="279" t="s">
        <v>2390</v>
      </c>
      <c r="F2064" s="284">
        <f t="shared" ca="1" si="64"/>
        <v>0.11113715268881075</v>
      </c>
      <c r="G2064" s="74">
        <v>35.371969655126883</v>
      </c>
      <c r="H2064" s="74">
        <f t="shared" si="65"/>
        <v>5.1224306882056396</v>
      </c>
    </row>
    <row r="2065" spans="5:8" ht="15.6">
      <c r="E2065" s="279" t="s">
        <v>2391</v>
      </c>
      <c r="F2065" s="284">
        <f t="shared" ca="1" si="64"/>
        <v>0.58806784792524813</v>
      </c>
      <c r="G2065" s="74">
        <v>37.910590397284487</v>
      </c>
      <c r="H2065" s="74">
        <f t="shared" si="65"/>
        <v>2.583809946048035</v>
      </c>
    </row>
    <row r="2066" spans="5:8" ht="15.6">
      <c r="E2066" s="279" t="s">
        <v>2392</v>
      </c>
      <c r="F2066" s="284">
        <f t="shared" ca="1" si="64"/>
        <v>0.77955593208312712</v>
      </c>
      <c r="G2066" s="74">
        <v>36.655311306380263</v>
      </c>
      <c r="H2066" s="74">
        <f t="shared" si="65"/>
        <v>3.8390890369522594</v>
      </c>
    </row>
    <row r="2067" spans="5:8" ht="15.6">
      <c r="E2067" s="279" t="s">
        <v>2393</v>
      </c>
      <c r="F2067" s="284">
        <f t="shared" ca="1" si="64"/>
        <v>0.32865151517718927</v>
      </c>
      <c r="G2067" s="74">
        <v>42.324115611882974</v>
      </c>
      <c r="H2067" s="74">
        <f t="shared" si="65"/>
        <v>-1.8297152685504514</v>
      </c>
    </row>
    <row r="2068" spans="5:8" ht="15.6">
      <c r="E2068" s="279" t="s">
        <v>2394</v>
      </c>
      <c r="F2068" s="284">
        <f t="shared" ca="1" si="64"/>
        <v>0.94742910936513758</v>
      </c>
      <c r="G2068" s="74">
        <v>39.029140123765451</v>
      </c>
      <c r="H2068" s="74">
        <f t="shared" si="65"/>
        <v>1.465260219567071</v>
      </c>
    </row>
    <row r="2069" spans="5:8" ht="15.6">
      <c r="E2069" s="279" t="s">
        <v>2395</v>
      </c>
      <c r="F2069" s="284">
        <f t="shared" ca="1" si="64"/>
        <v>0.86520168771346473</v>
      </c>
      <c r="G2069" s="74">
        <v>39.73499209680616</v>
      </c>
      <c r="H2069" s="74">
        <f t="shared" si="65"/>
        <v>0.75940824652636252</v>
      </c>
    </row>
    <row r="2070" spans="5:8" ht="15.6">
      <c r="E2070" s="279" t="s">
        <v>2396</v>
      </c>
      <c r="F2070" s="284">
        <f t="shared" ca="1" si="64"/>
        <v>0.86192247077973905</v>
      </c>
      <c r="G2070" s="74">
        <v>38.1702054979582</v>
      </c>
      <c r="H2070" s="74">
        <f t="shared" si="65"/>
        <v>2.324194845374322</v>
      </c>
    </row>
    <row r="2071" spans="5:8" ht="15.6">
      <c r="E2071" s="279" t="s">
        <v>2397</v>
      </c>
      <c r="F2071" s="284">
        <f t="shared" ca="1" si="64"/>
        <v>0.78248675164942949</v>
      </c>
      <c r="G2071" s="74">
        <v>38.195726628460406</v>
      </c>
      <c r="H2071" s="74">
        <f t="shared" si="65"/>
        <v>2.2986737148721161</v>
      </c>
    </row>
    <row r="2072" spans="5:8" ht="15.6">
      <c r="E2072" s="279" t="s">
        <v>2398</v>
      </c>
      <c r="F2072" s="284">
        <f t="shared" ca="1" si="64"/>
        <v>0.48308362551957362</v>
      </c>
      <c r="G2072" s="74">
        <v>40.996128068745271</v>
      </c>
      <c r="H2072" s="74">
        <f t="shared" si="65"/>
        <v>-0.50172772541274924</v>
      </c>
    </row>
    <row r="2073" spans="5:8" ht="15.6">
      <c r="E2073" s="279" t="s">
        <v>2399</v>
      </c>
      <c r="F2073" s="284">
        <f t="shared" ca="1" si="64"/>
        <v>0.53576237463220611</v>
      </c>
      <c r="G2073" s="74">
        <v>39.06384758993093</v>
      </c>
      <c r="H2073" s="74">
        <f t="shared" si="65"/>
        <v>1.4305527534015923</v>
      </c>
    </row>
    <row r="2074" spans="5:8" ht="15.6">
      <c r="E2074" s="279" t="s">
        <v>2400</v>
      </c>
      <c r="F2074" s="284">
        <f t="shared" ca="1" si="64"/>
        <v>0.15663204301078593</v>
      </c>
      <c r="G2074" s="74">
        <v>34.47330757337501</v>
      </c>
      <c r="H2074" s="74">
        <f t="shared" si="65"/>
        <v>6.0210927699575123</v>
      </c>
    </row>
    <row r="2075" spans="5:8" ht="15.6">
      <c r="E2075" s="279" t="s">
        <v>2401</v>
      </c>
      <c r="F2075" s="284">
        <f t="shared" ca="1" si="64"/>
        <v>0.80031523986008579</v>
      </c>
      <c r="G2075" s="74">
        <v>43.411754954864364</v>
      </c>
      <c r="H2075" s="74">
        <f t="shared" si="65"/>
        <v>-2.9173546115318416</v>
      </c>
    </row>
    <row r="2076" spans="5:8" ht="15.6">
      <c r="E2076" s="279" t="s">
        <v>2402</v>
      </c>
      <c r="F2076" s="284">
        <f t="shared" ca="1" si="64"/>
        <v>0.19764371279354709</v>
      </c>
      <c r="G2076" s="74">
        <v>39.428765620710209</v>
      </c>
      <c r="H2076" s="74">
        <f t="shared" si="65"/>
        <v>1.0656347226223133</v>
      </c>
    </row>
    <row r="2077" spans="5:8" ht="15.6">
      <c r="E2077" s="279" t="s">
        <v>2403</v>
      </c>
      <c r="F2077" s="284">
        <f t="shared" ca="1" si="64"/>
        <v>0.26492390838868718</v>
      </c>
      <c r="G2077" s="74">
        <v>35.711842451756681</v>
      </c>
      <c r="H2077" s="74">
        <f t="shared" si="65"/>
        <v>4.7825578915758413</v>
      </c>
    </row>
    <row r="2078" spans="5:8" ht="15.6">
      <c r="E2078" s="279" t="s">
        <v>2404</v>
      </c>
      <c r="F2078" s="284">
        <f t="shared" ca="1" si="64"/>
        <v>2.6259611462160493E-2</v>
      </c>
      <c r="G2078" s="74">
        <v>37.003131064805373</v>
      </c>
      <c r="H2078" s="74">
        <f t="shared" si="65"/>
        <v>3.4912692785271489</v>
      </c>
    </row>
    <row r="2079" spans="5:8" ht="15.6">
      <c r="E2079" s="279" t="s">
        <v>2405</v>
      </c>
      <c r="F2079" s="284">
        <f t="shared" ca="1" si="64"/>
        <v>0.15693033613783081</v>
      </c>
      <c r="G2079" s="74">
        <v>39.157106729381802</v>
      </c>
      <c r="H2079" s="74">
        <f t="shared" si="65"/>
        <v>1.3372936139507203</v>
      </c>
    </row>
    <row r="2080" spans="5:8" ht="15.6">
      <c r="E2080" s="279" t="s">
        <v>2406</v>
      </c>
      <c r="F2080" s="284">
        <f t="shared" ca="1" si="64"/>
        <v>0.65583679802870432</v>
      </c>
      <c r="G2080" s="74">
        <v>39.504127921197785</v>
      </c>
      <c r="H2080" s="74">
        <f t="shared" si="65"/>
        <v>0.99027242213473698</v>
      </c>
    </row>
    <row r="2081" spans="5:8" ht="15.6">
      <c r="E2081" s="279" t="s">
        <v>2407</v>
      </c>
      <c r="F2081" s="284">
        <f t="shared" ca="1" si="64"/>
        <v>0.97352268676764131</v>
      </c>
      <c r="G2081" s="74">
        <v>42.050455937176778</v>
      </c>
      <c r="H2081" s="74">
        <f t="shared" si="65"/>
        <v>-1.5560555938442562</v>
      </c>
    </row>
    <row r="2082" spans="5:8" ht="15.6">
      <c r="E2082" s="279" t="s">
        <v>2408</v>
      </c>
      <c r="F2082" s="284">
        <f t="shared" ca="1" si="64"/>
        <v>0.81809381656034719</v>
      </c>
      <c r="G2082" s="74">
        <v>36.472893927521291</v>
      </c>
      <c r="H2082" s="74">
        <f t="shared" si="65"/>
        <v>4.0215064158112312</v>
      </c>
    </row>
    <row r="2083" spans="5:8" ht="15.6">
      <c r="E2083" s="279" t="s">
        <v>2409</v>
      </c>
      <c r="F2083" s="284">
        <f t="shared" ca="1" si="64"/>
        <v>0.93144752775184103</v>
      </c>
      <c r="G2083" s="74">
        <v>42.429554616112028</v>
      </c>
      <c r="H2083" s="74">
        <f t="shared" si="65"/>
        <v>-1.9351542727795064</v>
      </c>
    </row>
    <row r="2084" spans="5:8" ht="15.6">
      <c r="E2084" s="279" t="s">
        <v>2410</v>
      </c>
      <c r="F2084" s="284">
        <f t="shared" ca="1" si="64"/>
        <v>0.40473518482237736</v>
      </c>
      <c r="G2084" s="74">
        <v>38.850009418859443</v>
      </c>
      <c r="H2084" s="74">
        <f t="shared" si="65"/>
        <v>1.644390924473079</v>
      </c>
    </row>
    <row r="2085" spans="5:8" ht="15.6">
      <c r="E2085" s="279" t="s">
        <v>2411</v>
      </c>
      <c r="F2085" s="284">
        <f t="shared" ca="1" si="64"/>
        <v>0.22616495331827646</v>
      </c>
      <c r="G2085" s="74">
        <v>39.620003477338678</v>
      </c>
      <c r="H2085" s="74">
        <f t="shared" si="65"/>
        <v>0.87439686599384459</v>
      </c>
    </row>
    <row r="2086" spans="5:8" ht="15.6">
      <c r="E2086" s="279" t="s">
        <v>2412</v>
      </c>
      <c r="F2086" s="284">
        <f t="shared" ca="1" si="64"/>
        <v>3.6964144062823667E-2</v>
      </c>
      <c r="G2086" s="74">
        <v>40.70956282078901</v>
      </c>
      <c r="H2086" s="74">
        <f t="shared" si="65"/>
        <v>-0.21516247745648798</v>
      </c>
    </row>
    <row r="2087" spans="5:8" ht="15.6">
      <c r="E2087" s="279" t="s">
        <v>2413</v>
      </c>
      <c r="F2087" s="284">
        <f t="shared" ca="1" si="64"/>
        <v>0.72126395039706359</v>
      </c>
      <c r="G2087" s="74">
        <v>35.419609604988956</v>
      </c>
      <c r="H2087" s="74">
        <f t="shared" si="65"/>
        <v>5.074790738343566</v>
      </c>
    </row>
    <row r="2088" spans="5:8" ht="15.6">
      <c r="E2088" s="279" t="s">
        <v>2414</v>
      </c>
      <c r="F2088" s="284">
        <f t="shared" ca="1" si="64"/>
        <v>0.15072298571478626</v>
      </c>
      <c r="G2088" s="74">
        <v>36.656298475803254</v>
      </c>
      <c r="H2088" s="74">
        <f t="shared" si="65"/>
        <v>3.838101867529268</v>
      </c>
    </row>
    <row r="2089" spans="5:8" ht="15.6">
      <c r="E2089" s="279" t="s">
        <v>2415</v>
      </c>
      <c r="F2089" s="284">
        <f t="shared" ca="1" si="64"/>
        <v>0.58911356652477964</v>
      </c>
      <c r="G2089" s="74">
        <v>34.544890917497916</v>
      </c>
      <c r="H2089" s="74">
        <f t="shared" si="65"/>
        <v>5.9495094258346057</v>
      </c>
    </row>
    <row r="2090" spans="5:8" ht="15.6">
      <c r="E2090" s="279" t="s">
        <v>2416</v>
      </c>
      <c r="F2090" s="284">
        <f t="shared" ca="1" si="64"/>
        <v>0.23308342598393983</v>
      </c>
      <c r="G2090" s="74">
        <v>46.022430504171943</v>
      </c>
      <c r="H2090" s="74">
        <f t="shared" si="65"/>
        <v>-5.5280301608394211</v>
      </c>
    </row>
    <row r="2091" spans="5:8" ht="15.6">
      <c r="E2091" s="279" t="s">
        <v>2417</v>
      </c>
      <c r="F2091" s="284">
        <f t="shared" ca="1" si="64"/>
        <v>0.88029467599779376</v>
      </c>
      <c r="G2091" s="74">
        <v>37.39621661225025</v>
      </c>
      <c r="H2091" s="74">
        <f t="shared" si="65"/>
        <v>3.0981837310822726</v>
      </c>
    </row>
    <row r="2092" spans="5:8" ht="15.6">
      <c r="E2092" s="279" t="s">
        <v>2418</v>
      </c>
      <c r="F2092" s="284">
        <f t="shared" ca="1" si="64"/>
        <v>0.90751628553800245</v>
      </c>
      <c r="G2092" s="74">
        <v>36.566001875723337</v>
      </c>
      <c r="H2092" s="74">
        <f t="shared" si="65"/>
        <v>3.9283984676091848</v>
      </c>
    </row>
    <row r="2093" spans="5:8" ht="15.6">
      <c r="E2093" s="279" t="s">
        <v>2419</v>
      </c>
      <c r="F2093" s="284">
        <f t="shared" ca="1" si="64"/>
        <v>0.54315374352800871</v>
      </c>
      <c r="G2093" s="74">
        <v>41.899043340755064</v>
      </c>
      <c r="H2093" s="74">
        <f t="shared" si="65"/>
        <v>-1.4046429974225418</v>
      </c>
    </row>
    <row r="2094" spans="5:8" ht="15.6">
      <c r="E2094" s="279" t="s">
        <v>2420</v>
      </c>
      <c r="F2094" s="284">
        <f t="shared" ca="1" si="64"/>
        <v>0.23287605633039865</v>
      </c>
      <c r="G2094" s="74">
        <v>45.240661565859504</v>
      </c>
      <c r="H2094" s="74">
        <f t="shared" si="65"/>
        <v>-4.7462612225269822</v>
      </c>
    </row>
    <row r="2095" spans="5:8" ht="15.6">
      <c r="E2095" s="279" t="s">
        <v>2421</v>
      </c>
      <c r="F2095" s="284">
        <f t="shared" ca="1" si="64"/>
        <v>0.73232542845754744</v>
      </c>
      <c r="G2095" s="74">
        <v>39.300028729784351</v>
      </c>
      <c r="H2095" s="74">
        <f t="shared" si="65"/>
        <v>1.1943716135481708</v>
      </c>
    </row>
    <row r="2096" spans="5:8" ht="15.6">
      <c r="E2096" s="279" t="s">
        <v>2422</v>
      </c>
      <c r="F2096" s="284">
        <f t="shared" ca="1" si="64"/>
        <v>0.10845406475725317</v>
      </c>
      <c r="G2096" s="74">
        <v>39.201872980431922</v>
      </c>
      <c r="H2096" s="74">
        <f t="shared" si="65"/>
        <v>1.2925273629006</v>
      </c>
    </row>
    <row r="2097" spans="5:8" ht="15.6">
      <c r="E2097" s="279" t="s">
        <v>2423</v>
      </c>
      <c r="F2097" s="284">
        <f t="shared" ca="1" si="64"/>
        <v>0.82140862712832863</v>
      </c>
      <c r="G2097" s="74">
        <v>35.365163218059323</v>
      </c>
      <c r="H2097" s="74">
        <f t="shared" si="65"/>
        <v>5.1292371252731996</v>
      </c>
    </row>
    <row r="2098" spans="5:8" ht="15.6">
      <c r="E2098" s="279" t="s">
        <v>2424</v>
      </c>
      <c r="F2098" s="284">
        <f t="shared" ca="1" si="64"/>
        <v>0.88334700525072607</v>
      </c>
      <c r="G2098" s="74">
        <v>37.542816184879271</v>
      </c>
      <c r="H2098" s="74">
        <f t="shared" si="65"/>
        <v>2.951584158453251</v>
      </c>
    </row>
    <row r="2099" spans="5:8" ht="15.6">
      <c r="E2099" s="279" t="s">
        <v>2425</v>
      </c>
      <c r="F2099" s="284">
        <f t="shared" ca="1" si="64"/>
        <v>0.71282121383758212</v>
      </c>
      <c r="G2099" s="74">
        <v>39.306773986193619</v>
      </c>
      <c r="H2099" s="74">
        <f t="shared" si="65"/>
        <v>1.1876263571389032</v>
      </c>
    </row>
    <row r="2100" spans="5:8" ht="15.6">
      <c r="E2100" s="279" t="s">
        <v>2426</v>
      </c>
      <c r="F2100" s="284">
        <f t="shared" ca="1" si="64"/>
        <v>0.12597573241111637</v>
      </c>
      <c r="G2100" s="74">
        <v>39.839371974323747</v>
      </c>
      <c r="H2100" s="74">
        <f t="shared" si="65"/>
        <v>0.65502836900877526</v>
      </c>
    </row>
    <row r="2101" spans="5:8" ht="15.6">
      <c r="E2101" s="279" t="s">
        <v>2427</v>
      </c>
      <c r="F2101" s="284">
        <f t="shared" ca="1" si="64"/>
        <v>0.92541384684440664</v>
      </c>
      <c r="G2101" s="74">
        <v>38.42665430577383</v>
      </c>
      <c r="H2101" s="74">
        <f t="shared" si="65"/>
        <v>2.0677460375586918</v>
      </c>
    </row>
    <row r="2102" spans="5:8" ht="15.6">
      <c r="E2102" s="279" t="s">
        <v>2428</v>
      </c>
      <c r="F2102" s="284">
        <f t="shared" ca="1" si="64"/>
        <v>3.1527404981904095E-2</v>
      </c>
      <c r="G2102" s="74">
        <v>40.718920271242787</v>
      </c>
      <c r="H2102" s="74">
        <f t="shared" si="65"/>
        <v>-0.22451992791026498</v>
      </c>
    </row>
    <row r="2103" spans="5:8" ht="15.6">
      <c r="E2103" s="279" t="s">
        <v>2429</v>
      </c>
      <c r="F2103" s="284">
        <f t="shared" ca="1" si="64"/>
        <v>0.26914903264936962</v>
      </c>
      <c r="G2103" s="74">
        <v>41.241897461477379</v>
      </c>
      <c r="H2103" s="74">
        <f t="shared" si="65"/>
        <v>-0.74749711814485664</v>
      </c>
    </row>
    <row r="2104" spans="5:8" ht="15.6">
      <c r="E2104" s="279" t="s">
        <v>2430</v>
      </c>
      <c r="F2104" s="284">
        <f t="shared" ca="1" si="64"/>
        <v>0.18093024056604468</v>
      </c>
      <c r="G2104" s="74">
        <v>40.642826977543407</v>
      </c>
      <c r="H2104" s="74">
        <f t="shared" si="65"/>
        <v>-0.14842663421088531</v>
      </c>
    </row>
    <row r="2105" spans="5:8" ht="15.6">
      <c r="E2105" s="279" t="s">
        <v>2431</v>
      </c>
      <c r="F2105" s="284">
        <f t="shared" ca="1" si="64"/>
        <v>0.77741631289198687</v>
      </c>
      <c r="G2105" s="74">
        <v>39.733615745321273</v>
      </c>
      <c r="H2105" s="74">
        <f t="shared" si="65"/>
        <v>0.76078459801124865</v>
      </c>
    </row>
    <row r="2106" spans="5:8" ht="15.6">
      <c r="E2106" s="279" t="s">
        <v>2432</v>
      </c>
      <c r="F2106" s="284">
        <f t="shared" ca="1" si="64"/>
        <v>0.483724733895879</v>
      </c>
      <c r="G2106" s="74">
        <v>42.34028896248045</v>
      </c>
      <c r="H2106" s="74">
        <f t="shared" si="65"/>
        <v>-1.845888619147928</v>
      </c>
    </row>
    <row r="2107" spans="5:8" ht="15.6">
      <c r="E2107" s="279" t="s">
        <v>2433</v>
      </c>
      <c r="F2107" s="284">
        <f t="shared" ca="1" si="64"/>
        <v>0.52088742440378</v>
      </c>
      <c r="G2107" s="74">
        <v>38.5316913010791</v>
      </c>
      <c r="H2107" s="74">
        <f t="shared" si="65"/>
        <v>1.9627090422534224</v>
      </c>
    </row>
    <row r="2108" spans="5:8" ht="15.6">
      <c r="E2108" s="279" t="s">
        <v>2434</v>
      </c>
      <c r="F2108" s="284">
        <f t="shared" ca="1" si="64"/>
        <v>0.94302160833000948</v>
      </c>
      <c r="G2108" s="74">
        <v>42.410108541334296</v>
      </c>
      <c r="H2108" s="74">
        <f t="shared" si="65"/>
        <v>-1.9157081980017736</v>
      </c>
    </row>
    <row r="2109" spans="5:8" ht="15.6">
      <c r="E2109" s="279" t="s">
        <v>2435</v>
      </c>
      <c r="F2109" s="284">
        <f t="shared" ca="1" si="64"/>
        <v>0.88772819202945918</v>
      </c>
      <c r="G2109" s="74">
        <v>39.863360952167781</v>
      </c>
      <c r="H2109" s="74">
        <f t="shared" si="65"/>
        <v>0.63103939116474095</v>
      </c>
    </row>
    <row r="2110" spans="5:8" ht="15.6">
      <c r="E2110" s="279" t="s">
        <v>2436</v>
      </c>
      <c r="F2110" s="284">
        <f t="shared" ca="1" si="64"/>
        <v>0.44900263425772347</v>
      </c>
      <c r="G2110" s="74">
        <v>38.26562225553203</v>
      </c>
      <c r="H2110" s="74">
        <f t="shared" si="65"/>
        <v>2.2287780878004924</v>
      </c>
    </row>
    <row r="2111" spans="5:8" ht="15.6">
      <c r="E2111" s="279" t="s">
        <v>2437</v>
      </c>
      <c r="F2111" s="284">
        <f t="shared" ca="1" si="64"/>
        <v>0.9702626708436255</v>
      </c>
      <c r="G2111" s="74">
        <v>41.073915724685563</v>
      </c>
      <c r="H2111" s="74">
        <f t="shared" si="65"/>
        <v>-0.57951538135304048</v>
      </c>
    </row>
    <row r="2112" spans="5:8" ht="15.6">
      <c r="E2112" s="279" t="s">
        <v>2438</v>
      </c>
      <c r="F2112" s="284">
        <f t="shared" ca="1" si="64"/>
        <v>0.76392531930865148</v>
      </c>
      <c r="G2112" s="74">
        <v>36.113593343015459</v>
      </c>
      <c r="H2112" s="74">
        <f t="shared" si="65"/>
        <v>4.3808070003170627</v>
      </c>
    </row>
    <row r="2113" spans="5:8" ht="15.6">
      <c r="E2113" s="279" t="s">
        <v>2439</v>
      </c>
      <c r="F2113" s="284">
        <f t="shared" ca="1" si="64"/>
        <v>7.178700694079132E-2</v>
      </c>
      <c r="G2113" s="74">
        <v>38.451622281327282</v>
      </c>
      <c r="H2113" s="74">
        <f t="shared" si="65"/>
        <v>2.0427780620052403</v>
      </c>
    </row>
    <row r="2114" spans="5:8" ht="15.6">
      <c r="E2114" s="279" t="s">
        <v>2440</v>
      </c>
      <c r="F2114" s="284">
        <f t="shared" ca="1" si="64"/>
        <v>0.80262530497854878</v>
      </c>
      <c r="G2114" s="74">
        <v>39.226358861085004</v>
      </c>
      <c r="H2114" s="74">
        <f t="shared" si="65"/>
        <v>1.2680414822475186</v>
      </c>
    </row>
    <row r="2115" spans="5:8" ht="15.6">
      <c r="E2115" s="279" t="s">
        <v>2441</v>
      </c>
      <c r="F2115" s="284">
        <f t="shared" ca="1" si="64"/>
        <v>0.61629650332830133</v>
      </c>
      <c r="G2115" s="74">
        <v>39.391871234646764</v>
      </c>
      <c r="H2115" s="74">
        <f t="shared" si="65"/>
        <v>1.1025291086857578</v>
      </c>
    </row>
    <row r="2116" spans="5:8" ht="15.6">
      <c r="E2116" s="279" t="s">
        <v>2442</v>
      </c>
      <c r="F2116" s="284">
        <f t="shared" ca="1" si="64"/>
        <v>0.62790137935254897</v>
      </c>
      <c r="G2116" s="74">
        <v>45.604595995919006</v>
      </c>
      <c r="H2116" s="74">
        <f t="shared" si="65"/>
        <v>-5.1101956525864836</v>
      </c>
    </row>
    <row r="2117" spans="5:8" ht="15.6">
      <c r="E2117" s="279" t="s">
        <v>2443</v>
      </c>
      <c r="F2117" s="284">
        <f t="shared" ca="1" si="64"/>
        <v>0.5664111466386621</v>
      </c>
      <c r="G2117" s="74">
        <v>38.484688648308399</v>
      </c>
      <c r="H2117" s="74">
        <f t="shared" si="65"/>
        <v>2.0097116950241229</v>
      </c>
    </row>
    <row r="2118" spans="5:8" ht="15.6">
      <c r="E2118" s="279" t="s">
        <v>2444</v>
      </c>
      <c r="F2118" s="284">
        <f t="shared" ca="1" si="64"/>
        <v>0.98872012254176767</v>
      </c>
      <c r="G2118" s="74">
        <v>43.42844808717733</v>
      </c>
      <c r="H2118" s="74">
        <f t="shared" si="65"/>
        <v>-2.9340477438448076</v>
      </c>
    </row>
    <row r="2119" spans="5:8" ht="15.6">
      <c r="E2119" s="279" t="s">
        <v>2445</v>
      </c>
      <c r="F2119" s="284">
        <f t="shared" ca="1" si="64"/>
        <v>0.82328686661085682</v>
      </c>
      <c r="G2119" s="74">
        <v>35.417589502306228</v>
      </c>
      <c r="H2119" s="74">
        <f t="shared" si="65"/>
        <v>5.076810841026294</v>
      </c>
    </row>
    <row r="2120" spans="5:8" ht="15.6">
      <c r="E2120" s="279" t="s">
        <v>2446</v>
      </c>
      <c r="F2120" s="284">
        <f t="shared" ca="1" si="64"/>
        <v>0.7956669516009115</v>
      </c>
      <c r="G2120" s="74">
        <v>37.410932246857207</v>
      </c>
      <c r="H2120" s="74">
        <f t="shared" si="65"/>
        <v>3.0834680964753147</v>
      </c>
    </row>
    <row r="2121" spans="5:8" ht="15.6">
      <c r="E2121" s="279" t="s">
        <v>2447</v>
      </c>
      <c r="F2121" s="284">
        <f t="shared" ca="1" si="64"/>
        <v>0.47708889640108076</v>
      </c>
      <c r="G2121" s="74">
        <v>41.627817912255196</v>
      </c>
      <c r="H2121" s="74">
        <f t="shared" si="65"/>
        <v>-1.133417568922674</v>
      </c>
    </row>
    <row r="2122" spans="5:8" ht="15.6">
      <c r="E2122" s="279" t="s">
        <v>2448</v>
      </c>
      <c r="F2122" s="284">
        <f t="shared" ca="1" si="64"/>
        <v>0.49705219669443057</v>
      </c>
      <c r="G2122" s="74">
        <v>38.763676859261295</v>
      </c>
      <c r="H2122" s="74">
        <f t="shared" si="65"/>
        <v>1.7307234840712269</v>
      </c>
    </row>
    <row r="2123" spans="5:8" ht="15.6">
      <c r="E2123" s="279" t="s">
        <v>2449</v>
      </c>
      <c r="F2123" s="284">
        <f t="shared" ca="1" si="64"/>
        <v>0.29858921415928452</v>
      </c>
      <c r="G2123" s="74">
        <v>37.342772589942662</v>
      </c>
      <c r="H2123" s="74">
        <f t="shared" si="65"/>
        <v>3.1516277533898602</v>
      </c>
    </row>
    <row r="2124" spans="5:8" ht="15.6">
      <c r="E2124" s="279" t="s">
        <v>2450</v>
      </c>
      <c r="F2124" s="284">
        <f t="shared" ref="F2124:F2187" ca="1" si="66">RAND()</f>
        <v>0.53287983282620832</v>
      </c>
      <c r="G2124" s="74">
        <v>41.04710593294547</v>
      </c>
      <c r="H2124" s="74">
        <f t="shared" ref="H2124:H2187" si="67">$D$2-G2124</f>
        <v>-0.55270558961294824</v>
      </c>
    </row>
    <row r="2125" spans="5:8" ht="15.6">
      <c r="E2125" s="279" t="s">
        <v>2451</v>
      </c>
      <c r="F2125" s="284">
        <f t="shared" ca="1" si="66"/>
        <v>3.2084484349009457E-2</v>
      </c>
      <c r="G2125" s="74">
        <v>39.386682089718974</v>
      </c>
      <c r="H2125" s="74">
        <f t="shared" si="67"/>
        <v>1.1077182536135481</v>
      </c>
    </row>
    <row r="2126" spans="5:8" ht="15.6">
      <c r="E2126" s="279" t="s">
        <v>2452</v>
      </c>
      <c r="F2126" s="284">
        <f t="shared" ca="1" si="66"/>
        <v>0.65481879875349613</v>
      </c>
      <c r="G2126" s="74">
        <v>36.104272228458903</v>
      </c>
      <c r="H2126" s="74">
        <f t="shared" si="67"/>
        <v>4.3901281148736189</v>
      </c>
    </row>
    <row r="2127" spans="5:8" ht="15.6">
      <c r="E2127" s="279" t="s">
        <v>2453</v>
      </c>
      <c r="F2127" s="284">
        <f t="shared" ca="1" si="66"/>
        <v>0.26182438422283127</v>
      </c>
      <c r="G2127" s="74">
        <v>39.013021572384169</v>
      </c>
      <c r="H2127" s="74">
        <f t="shared" si="67"/>
        <v>1.4813787709483535</v>
      </c>
    </row>
    <row r="2128" spans="5:8" ht="15.6">
      <c r="E2128" s="279" t="s">
        <v>2454</v>
      </c>
      <c r="F2128" s="284">
        <f t="shared" ca="1" si="66"/>
        <v>0.26784606664368682</v>
      </c>
      <c r="G2128" s="74">
        <v>41.033469711738711</v>
      </c>
      <c r="H2128" s="74">
        <f t="shared" si="67"/>
        <v>-0.53906936840618869</v>
      </c>
    </row>
    <row r="2129" spans="5:8" ht="15.6">
      <c r="E2129" s="279" t="s">
        <v>2455</v>
      </c>
      <c r="F2129" s="284">
        <f t="shared" ca="1" si="66"/>
        <v>0.94836474195229792</v>
      </c>
      <c r="G2129" s="74">
        <v>35.712444867544825</v>
      </c>
      <c r="H2129" s="74">
        <f t="shared" si="67"/>
        <v>4.7819554757876972</v>
      </c>
    </row>
    <row r="2130" spans="5:8" ht="15.6">
      <c r="E2130" s="279" t="s">
        <v>2456</v>
      </c>
      <c r="F2130" s="284">
        <f t="shared" ca="1" si="66"/>
        <v>0.98938094905072482</v>
      </c>
      <c r="G2130" s="74">
        <v>38.533253743802916</v>
      </c>
      <c r="H2130" s="74">
        <f t="shared" si="67"/>
        <v>1.9611465995296058</v>
      </c>
    </row>
    <row r="2131" spans="5:8" ht="15.6">
      <c r="E2131" s="279" t="s">
        <v>2457</v>
      </c>
      <c r="F2131" s="284">
        <f t="shared" ca="1" si="66"/>
        <v>0.80225011787748057</v>
      </c>
      <c r="G2131" s="74">
        <v>39.435595645422623</v>
      </c>
      <c r="H2131" s="74">
        <f t="shared" si="67"/>
        <v>1.0588046979098991</v>
      </c>
    </row>
    <row r="2132" spans="5:8" ht="15.6">
      <c r="E2132" s="279" t="s">
        <v>2458</v>
      </c>
      <c r="F2132" s="284">
        <f t="shared" ca="1" si="66"/>
        <v>0.64303176938879669</v>
      </c>
      <c r="G2132" s="74">
        <v>39.649611363612948</v>
      </c>
      <c r="H2132" s="74">
        <f t="shared" si="67"/>
        <v>0.84478897971957423</v>
      </c>
    </row>
    <row r="2133" spans="5:8" ht="15.6">
      <c r="E2133" s="279" t="s">
        <v>2459</v>
      </c>
      <c r="F2133" s="284">
        <f t="shared" ca="1" si="66"/>
        <v>0.57957036902998071</v>
      </c>
      <c r="G2133" s="74">
        <v>40.703227502246442</v>
      </c>
      <c r="H2133" s="74">
        <f t="shared" si="67"/>
        <v>-0.20882715891391967</v>
      </c>
    </row>
    <row r="2134" spans="5:8" ht="15.6">
      <c r="E2134" s="279" t="s">
        <v>2460</v>
      </c>
      <c r="F2134" s="284">
        <f t="shared" ca="1" si="66"/>
        <v>0.72480954306097412</v>
      </c>
      <c r="G2134" s="74">
        <v>41.244430761991879</v>
      </c>
      <c r="H2134" s="74">
        <f t="shared" si="67"/>
        <v>-0.75003041865935671</v>
      </c>
    </row>
    <row r="2135" spans="5:8" ht="15.6">
      <c r="E2135" s="279" t="s">
        <v>2461</v>
      </c>
      <c r="F2135" s="284">
        <f t="shared" ca="1" si="66"/>
        <v>0.37227147640743297</v>
      </c>
      <c r="G2135" s="74">
        <v>37.408127444260018</v>
      </c>
      <c r="H2135" s="74">
        <f t="shared" si="67"/>
        <v>3.0862728990725046</v>
      </c>
    </row>
    <row r="2136" spans="5:8" ht="15.6">
      <c r="E2136" s="279" t="s">
        <v>2462</v>
      </c>
      <c r="F2136" s="284">
        <f t="shared" ca="1" si="66"/>
        <v>0.80960255259573388</v>
      </c>
      <c r="G2136" s="74">
        <v>37.221102403012893</v>
      </c>
      <c r="H2136" s="74">
        <f t="shared" si="67"/>
        <v>3.2732979403196296</v>
      </c>
    </row>
    <row r="2137" spans="5:8" ht="15.6">
      <c r="E2137" s="279" t="s">
        <v>2463</v>
      </c>
      <c r="F2137" s="284">
        <f t="shared" ca="1" si="66"/>
        <v>0.58709213681252337</v>
      </c>
      <c r="G2137" s="74">
        <v>36.039046911417955</v>
      </c>
      <c r="H2137" s="74">
        <f t="shared" si="67"/>
        <v>4.4553534319145669</v>
      </c>
    </row>
    <row r="2138" spans="5:8" ht="15.6">
      <c r="E2138" s="279" t="s">
        <v>2464</v>
      </c>
      <c r="F2138" s="284">
        <f t="shared" ca="1" si="66"/>
        <v>0.39302119497334154</v>
      </c>
      <c r="G2138" s="74">
        <v>35.928810671849355</v>
      </c>
      <c r="H2138" s="74">
        <f t="shared" si="67"/>
        <v>4.565589671483167</v>
      </c>
    </row>
    <row r="2139" spans="5:8" ht="15.6">
      <c r="E2139" s="279" t="s">
        <v>2465</v>
      </c>
      <c r="F2139" s="284">
        <f t="shared" ca="1" si="66"/>
        <v>5.1897272689045537E-2</v>
      </c>
      <c r="G2139" s="74">
        <v>38.331198998874328</v>
      </c>
      <c r="H2139" s="74">
        <f t="shared" si="67"/>
        <v>2.1632013444581943</v>
      </c>
    </row>
    <row r="2140" spans="5:8" ht="15.6">
      <c r="E2140" s="279" t="s">
        <v>2466</v>
      </c>
      <c r="F2140" s="284">
        <f t="shared" ca="1" si="66"/>
        <v>0.12139933524920732</v>
      </c>
      <c r="G2140" s="74">
        <v>37.104764079829778</v>
      </c>
      <c r="H2140" s="74">
        <f t="shared" si="67"/>
        <v>3.3896362635027444</v>
      </c>
    </row>
    <row r="2141" spans="5:8" ht="15.6">
      <c r="E2141" s="279" t="s">
        <v>2467</v>
      </c>
      <c r="F2141" s="284">
        <f t="shared" ca="1" si="66"/>
        <v>0.28301588892193386</v>
      </c>
      <c r="G2141" s="74">
        <v>41.498440238852616</v>
      </c>
      <c r="H2141" s="74">
        <f t="shared" si="67"/>
        <v>-1.0040398955200942</v>
      </c>
    </row>
    <row r="2142" spans="5:8" ht="15.6">
      <c r="E2142" s="279" t="s">
        <v>2468</v>
      </c>
      <c r="F2142" s="284">
        <f t="shared" ca="1" si="66"/>
        <v>2.9287158768665833E-2</v>
      </c>
      <c r="G2142" s="74">
        <v>45.621011484286022</v>
      </c>
      <c r="H2142" s="74">
        <f t="shared" si="67"/>
        <v>-5.1266111409535</v>
      </c>
    </row>
    <row r="2143" spans="5:8" ht="15.6">
      <c r="E2143" s="279" t="s">
        <v>2469</v>
      </c>
      <c r="F2143" s="284">
        <f t="shared" ca="1" si="66"/>
        <v>0.97397738606654782</v>
      </c>
      <c r="G2143" s="74">
        <v>41.032986839617685</v>
      </c>
      <c r="H2143" s="74">
        <f t="shared" si="67"/>
        <v>-0.53858649628516275</v>
      </c>
    </row>
    <row r="2144" spans="5:8" ht="15.6">
      <c r="E2144" s="279" t="s">
        <v>2470</v>
      </c>
      <c r="F2144" s="284">
        <f t="shared" ca="1" si="66"/>
        <v>0.91317243601991016</v>
      </c>
      <c r="G2144" s="74">
        <v>40.013994567879507</v>
      </c>
      <c r="H2144" s="74">
        <f t="shared" si="67"/>
        <v>0.48040577545301488</v>
      </c>
    </row>
    <row r="2145" spans="5:8" ht="15.6">
      <c r="E2145" s="279" t="s">
        <v>2471</v>
      </c>
      <c r="F2145" s="284">
        <f t="shared" ca="1" si="66"/>
        <v>0.70671407091935989</v>
      </c>
      <c r="G2145" s="74">
        <v>40.257152138287118</v>
      </c>
      <c r="H2145" s="74">
        <f t="shared" si="67"/>
        <v>0.23724820504540389</v>
      </c>
    </row>
    <row r="2146" spans="5:8" ht="15.6">
      <c r="E2146" s="279" t="s">
        <v>2472</v>
      </c>
      <c r="F2146" s="284">
        <f t="shared" ca="1" si="66"/>
        <v>0.87342463204667453</v>
      </c>
      <c r="G2146" s="74">
        <v>40.237444684739181</v>
      </c>
      <c r="H2146" s="74">
        <f t="shared" si="67"/>
        <v>0.25695565859334124</v>
      </c>
    </row>
    <row r="2147" spans="5:8" ht="15.6">
      <c r="E2147" s="279" t="s">
        <v>2473</v>
      </c>
      <c r="F2147" s="284">
        <f t="shared" ca="1" si="66"/>
        <v>0.49213163677726302</v>
      </c>
      <c r="G2147" s="74">
        <v>41.526747545665934</v>
      </c>
      <c r="H2147" s="74">
        <f t="shared" si="67"/>
        <v>-1.0323472023334119</v>
      </c>
    </row>
    <row r="2148" spans="5:8" ht="15.6">
      <c r="E2148" s="279" t="s">
        <v>2474</v>
      </c>
      <c r="F2148" s="284">
        <f t="shared" ca="1" si="66"/>
        <v>0.2328339489944764</v>
      </c>
      <c r="G2148" s="74">
        <v>34.362689435399389</v>
      </c>
      <c r="H2148" s="74">
        <f t="shared" si="67"/>
        <v>6.1317109079331331</v>
      </c>
    </row>
    <row r="2149" spans="5:8" ht="15.6">
      <c r="E2149" s="279" t="s">
        <v>2475</v>
      </c>
      <c r="F2149" s="284">
        <f t="shared" ca="1" si="66"/>
        <v>0.14427923556779532</v>
      </c>
      <c r="G2149" s="74">
        <v>38.286484719574759</v>
      </c>
      <c r="H2149" s="74">
        <f t="shared" si="67"/>
        <v>2.2079156237577635</v>
      </c>
    </row>
    <row r="2150" spans="5:8" ht="15.6">
      <c r="E2150" s="279" t="s">
        <v>2476</v>
      </c>
      <c r="F2150" s="284">
        <f t="shared" ca="1" si="66"/>
        <v>0.26595947098181782</v>
      </c>
      <c r="G2150" s="74">
        <v>34.600836410684941</v>
      </c>
      <c r="H2150" s="74">
        <f t="shared" si="67"/>
        <v>5.8935639326475808</v>
      </c>
    </row>
    <row r="2151" spans="5:8" ht="15.6">
      <c r="E2151" s="279" t="s">
        <v>2477</v>
      </c>
      <c r="F2151" s="284">
        <f t="shared" ca="1" si="66"/>
        <v>0.18924346755049126</v>
      </c>
      <c r="G2151" s="74">
        <v>39.390284227626431</v>
      </c>
      <c r="H2151" s="74">
        <f t="shared" si="67"/>
        <v>1.1041161157060913</v>
      </c>
    </row>
    <row r="2152" spans="5:8" ht="15.6">
      <c r="E2152" s="279" t="s">
        <v>2478</v>
      </c>
      <c r="F2152" s="284">
        <f t="shared" ca="1" si="66"/>
        <v>3.7192559164311967E-2</v>
      </c>
      <c r="G2152" s="74">
        <v>34.179914758552435</v>
      </c>
      <c r="H2152" s="74">
        <f t="shared" si="67"/>
        <v>6.3144855847800869</v>
      </c>
    </row>
    <row r="2153" spans="5:8" ht="15.6">
      <c r="E2153" s="279" t="s">
        <v>2479</v>
      </c>
      <c r="F2153" s="284">
        <f t="shared" ca="1" si="66"/>
        <v>0.28909031786190098</v>
      </c>
      <c r="G2153" s="74">
        <v>38.433255197343115</v>
      </c>
      <c r="H2153" s="74">
        <f t="shared" si="67"/>
        <v>2.061145145989407</v>
      </c>
    </row>
    <row r="2154" spans="5:8" ht="15.6">
      <c r="E2154" s="279" t="s">
        <v>2480</v>
      </c>
      <c r="F2154" s="284">
        <f t="shared" ca="1" si="66"/>
        <v>0.54414011532517237</v>
      </c>
      <c r="G2154" s="74">
        <v>39.054677021141977</v>
      </c>
      <c r="H2154" s="74">
        <f t="shared" si="67"/>
        <v>1.4397233221905452</v>
      </c>
    </row>
    <row r="2155" spans="5:8" ht="15.6">
      <c r="E2155" s="279" t="s">
        <v>2481</v>
      </c>
      <c r="F2155" s="284">
        <f t="shared" ca="1" si="66"/>
        <v>0.55252040250595247</v>
      </c>
      <c r="G2155" s="74">
        <v>36.680559988716304</v>
      </c>
      <c r="H2155" s="74">
        <f t="shared" si="67"/>
        <v>3.8138403546162181</v>
      </c>
    </row>
    <row r="2156" spans="5:8" ht="15.6">
      <c r="E2156" s="279" t="s">
        <v>2482</v>
      </c>
      <c r="F2156" s="284">
        <f t="shared" ca="1" si="66"/>
        <v>0.47160488474182216</v>
      </c>
      <c r="G2156" s="74">
        <v>35.809684740795504</v>
      </c>
      <c r="H2156" s="74">
        <f t="shared" si="67"/>
        <v>4.6847156025370182</v>
      </c>
    </row>
    <row r="2157" spans="5:8" ht="15.6">
      <c r="E2157" s="279" t="s">
        <v>2483</v>
      </c>
      <c r="F2157" s="284">
        <f t="shared" ca="1" si="66"/>
        <v>0.84345345964376461</v>
      </c>
      <c r="G2157" s="74">
        <v>41.614319496653884</v>
      </c>
      <c r="H2157" s="74">
        <f t="shared" si="67"/>
        <v>-1.1199191533213622</v>
      </c>
    </row>
    <row r="2158" spans="5:8" ht="15.6">
      <c r="E2158" s="279" t="s">
        <v>2484</v>
      </c>
      <c r="F2158" s="284">
        <f t="shared" ca="1" si="66"/>
        <v>0.42866927559026546</v>
      </c>
      <c r="G2158" s="74">
        <v>38.527024929273203</v>
      </c>
      <c r="H2158" s="74">
        <f t="shared" si="67"/>
        <v>1.9673754140593189</v>
      </c>
    </row>
    <row r="2159" spans="5:8" ht="15.6">
      <c r="E2159" s="279" t="s">
        <v>2485</v>
      </c>
      <c r="F2159" s="284">
        <f t="shared" ca="1" si="66"/>
        <v>0.24093940028443261</v>
      </c>
      <c r="G2159" s="74">
        <v>41.877168014315345</v>
      </c>
      <c r="H2159" s="74">
        <f t="shared" si="67"/>
        <v>-1.3827676709828225</v>
      </c>
    </row>
    <row r="2160" spans="5:8" ht="15.6">
      <c r="E2160" s="279" t="s">
        <v>2486</v>
      </c>
      <c r="F2160" s="284">
        <f t="shared" ca="1" si="66"/>
        <v>0.44836120518374567</v>
      </c>
      <c r="G2160" s="74">
        <v>41.550780689695223</v>
      </c>
      <c r="H2160" s="74">
        <f t="shared" si="67"/>
        <v>-1.0563803463627011</v>
      </c>
    </row>
    <row r="2161" spans="5:8" ht="15.6">
      <c r="E2161" s="279" t="s">
        <v>2487</v>
      </c>
      <c r="F2161" s="284">
        <f t="shared" ca="1" si="66"/>
        <v>0.46143357393540207</v>
      </c>
      <c r="G2161" s="74">
        <v>34.755065842129049</v>
      </c>
      <c r="H2161" s="74">
        <f t="shared" si="67"/>
        <v>5.7393345012034729</v>
      </c>
    </row>
    <row r="2162" spans="5:8" ht="15.6">
      <c r="E2162" s="279" t="s">
        <v>2488</v>
      </c>
      <c r="F2162" s="284">
        <f t="shared" ca="1" si="66"/>
        <v>0.87045425989963265</v>
      </c>
      <c r="G2162" s="74">
        <v>39.171913869889629</v>
      </c>
      <c r="H2162" s="74">
        <f t="shared" si="67"/>
        <v>1.3224864734428934</v>
      </c>
    </row>
    <row r="2163" spans="5:8" ht="15.6">
      <c r="E2163" s="279" t="s">
        <v>2489</v>
      </c>
      <c r="F2163" s="284">
        <f t="shared" ca="1" si="66"/>
        <v>0.81126612509610674</v>
      </c>
      <c r="G2163" s="74">
        <v>37.959918429094344</v>
      </c>
      <c r="H2163" s="74">
        <f t="shared" si="67"/>
        <v>2.534481914238178</v>
      </c>
    </row>
    <row r="2164" spans="5:8" ht="15.6">
      <c r="E2164" s="279" t="s">
        <v>2490</v>
      </c>
      <c r="F2164" s="284">
        <f t="shared" ca="1" si="66"/>
        <v>0.29994329149911581</v>
      </c>
      <c r="G2164" s="74">
        <v>36.051355933907118</v>
      </c>
      <c r="H2164" s="74">
        <f t="shared" si="67"/>
        <v>4.4430444094254042</v>
      </c>
    </row>
    <row r="2165" spans="5:8" ht="15.6">
      <c r="E2165" s="279" t="s">
        <v>2491</v>
      </c>
      <c r="F2165" s="284">
        <f t="shared" ca="1" si="66"/>
        <v>0.17530646454653642</v>
      </c>
      <c r="G2165" s="74">
        <v>41.573946484657611</v>
      </c>
      <c r="H2165" s="74">
        <f t="shared" si="67"/>
        <v>-1.0795461413250891</v>
      </c>
    </row>
    <row r="2166" spans="5:8" ht="15.6">
      <c r="E2166" s="279" t="s">
        <v>2492</v>
      </c>
      <c r="F2166" s="284">
        <f t="shared" ca="1" si="66"/>
        <v>0.65406063246519863</v>
      </c>
      <c r="G2166" s="74">
        <v>36.383180189735945</v>
      </c>
      <c r="H2166" s="74">
        <f t="shared" si="67"/>
        <v>4.1112201535965767</v>
      </c>
    </row>
    <row r="2167" spans="5:8" ht="15.6">
      <c r="E2167" s="279" t="s">
        <v>2493</v>
      </c>
      <c r="F2167" s="284">
        <f t="shared" ca="1" si="66"/>
        <v>0.92251125137774914</v>
      </c>
      <c r="G2167" s="74">
        <v>35.818210435845415</v>
      </c>
      <c r="H2167" s="74">
        <f t="shared" si="67"/>
        <v>4.6761899074871067</v>
      </c>
    </row>
    <row r="2168" spans="5:8" ht="15.6">
      <c r="E2168" s="279" t="s">
        <v>2494</v>
      </c>
      <c r="F2168" s="284">
        <f t="shared" ca="1" si="66"/>
        <v>0.435636847419135</v>
      </c>
      <c r="G2168" s="74">
        <v>43.256655708863818</v>
      </c>
      <c r="H2168" s="74">
        <f t="shared" si="67"/>
        <v>-2.7622553655312956</v>
      </c>
    </row>
    <row r="2169" spans="5:8" ht="15.6">
      <c r="E2169" s="279" t="s">
        <v>2495</v>
      </c>
      <c r="F2169" s="284">
        <f t="shared" ca="1" si="66"/>
        <v>0.61549460622925611</v>
      </c>
      <c r="G2169" s="74">
        <v>36.933975873180813</v>
      </c>
      <c r="H2169" s="74">
        <f t="shared" si="67"/>
        <v>3.5604244701517089</v>
      </c>
    </row>
    <row r="2170" spans="5:8" ht="15.6">
      <c r="E2170" s="279" t="s">
        <v>2496</v>
      </c>
      <c r="F2170" s="284">
        <f t="shared" ca="1" si="66"/>
        <v>4.0597834846780034E-2</v>
      </c>
      <c r="G2170" s="74">
        <v>40.732747642990489</v>
      </c>
      <c r="H2170" s="74">
        <f t="shared" si="67"/>
        <v>-0.23834729965796697</v>
      </c>
    </row>
    <row r="2171" spans="5:8" ht="15.6">
      <c r="E2171" s="279" t="s">
        <v>2497</v>
      </c>
      <c r="F2171" s="284">
        <f t="shared" ca="1" si="66"/>
        <v>0.23544845848805562</v>
      </c>
      <c r="G2171" s="74">
        <v>47.468832234338642</v>
      </c>
      <c r="H2171" s="74">
        <f t="shared" si="67"/>
        <v>-6.9744318910061196</v>
      </c>
    </row>
    <row r="2172" spans="5:8" ht="15.6">
      <c r="E2172" s="279" t="s">
        <v>2498</v>
      </c>
      <c r="F2172" s="284">
        <f t="shared" ca="1" si="66"/>
        <v>0.24170401257411778</v>
      </c>
      <c r="G2172" s="74">
        <v>36.907587965428021</v>
      </c>
      <c r="H2172" s="74">
        <f t="shared" si="67"/>
        <v>3.5868123779045007</v>
      </c>
    </row>
    <row r="2173" spans="5:8" ht="15.6">
      <c r="E2173" s="279" t="s">
        <v>2499</v>
      </c>
      <c r="F2173" s="284">
        <f t="shared" ca="1" si="66"/>
        <v>0.95412568842919476</v>
      </c>
      <c r="G2173" s="74">
        <v>36.485449868272056</v>
      </c>
      <c r="H2173" s="74">
        <f t="shared" si="67"/>
        <v>4.0089504750604661</v>
      </c>
    </row>
    <row r="2174" spans="5:8" ht="15.6">
      <c r="E2174" s="279" t="s">
        <v>2500</v>
      </c>
      <c r="F2174" s="284">
        <f t="shared" ca="1" si="66"/>
        <v>0.9740879451814447</v>
      </c>
      <c r="G2174" s="74">
        <v>37.835018632958004</v>
      </c>
      <c r="H2174" s="74">
        <f t="shared" si="67"/>
        <v>2.6593817103745181</v>
      </c>
    </row>
    <row r="2175" spans="5:8" ht="15.6">
      <c r="E2175" s="279" t="s">
        <v>2501</v>
      </c>
      <c r="F2175" s="284">
        <f t="shared" ca="1" si="66"/>
        <v>0.88936499766701305</v>
      </c>
      <c r="G2175" s="74">
        <v>41.004250108563852</v>
      </c>
      <c r="H2175" s="74">
        <f t="shared" si="67"/>
        <v>-0.50984976523132985</v>
      </c>
    </row>
    <row r="2176" spans="5:8" ht="15.6">
      <c r="E2176" s="279" t="s">
        <v>2502</v>
      </c>
      <c r="F2176" s="284">
        <f t="shared" ca="1" si="66"/>
        <v>0.39767513558145873</v>
      </c>
      <c r="G2176" s="74">
        <v>38.447407684052834</v>
      </c>
      <c r="H2176" s="74">
        <f t="shared" si="67"/>
        <v>2.0469926592796881</v>
      </c>
    </row>
    <row r="2177" spans="5:8" ht="15.6">
      <c r="E2177" s="279" t="s">
        <v>2503</v>
      </c>
      <c r="F2177" s="284">
        <f t="shared" ca="1" si="66"/>
        <v>0.76467445948642998</v>
      </c>
      <c r="G2177" s="74">
        <v>33.798691934749485</v>
      </c>
      <c r="H2177" s="74">
        <f t="shared" si="67"/>
        <v>6.6957084085830374</v>
      </c>
    </row>
    <row r="2178" spans="5:8" ht="15.6">
      <c r="E2178" s="279" t="s">
        <v>2504</v>
      </c>
      <c r="F2178" s="284">
        <f t="shared" ca="1" si="66"/>
        <v>3.1113645340998586E-2</v>
      </c>
      <c r="G2178" s="74">
        <v>38.517063355022863</v>
      </c>
      <c r="H2178" s="74">
        <f t="shared" si="67"/>
        <v>1.9773369883096592</v>
      </c>
    </row>
    <row r="2179" spans="5:8" ht="15.6">
      <c r="E2179" s="279" t="s">
        <v>2505</v>
      </c>
      <c r="F2179" s="284">
        <f t="shared" ca="1" si="66"/>
        <v>0.23935103407104352</v>
      </c>
      <c r="G2179" s="74">
        <v>39.870682100247734</v>
      </c>
      <c r="H2179" s="74">
        <f t="shared" si="67"/>
        <v>0.62371824308478807</v>
      </c>
    </row>
    <row r="2180" spans="5:8" ht="15.6">
      <c r="E2180" s="279" t="s">
        <v>2506</v>
      </c>
      <c r="F2180" s="284">
        <f t="shared" ca="1" si="66"/>
        <v>0.65215063241140603</v>
      </c>
      <c r="G2180" s="74">
        <v>42.265078939356478</v>
      </c>
      <c r="H2180" s="74">
        <f t="shared" si="67"/>
        <v>-1.7706785960239557</v>
      </c>
    </row>
    <row r="2181" spans="5:8" ht="15.6">
      <c r="E2181" s="279" t="s">
        <v>2507</v>
      </c>
      <c r="F2181" s="284">
        <f t="shared" ca="1" si="66"/>
        <v>0.96428887049670731</v>
      </c>
      <c r="G2181" s="74">
        <v>37.241751163311349</v>
      </c>
      <c r="H2181" s="74">
        <f t="shared" si="67"/>
        <v>3.252649180021173</v>
      </c>
    </row>
    <row r="2182" spans="5:8" ht="15.6">
      <c r="E2182" s="279" t="s">
        <v>2508</v>
      </c>
      <c r="F2182" s="284">
        <f t="shared" ca="1" si="66"/>
        <v>0.84324882572794357</v>
      </c>
      <c r="G2182" s="74">
        <v>38.438144215697314</v>
      </c>
      <c r="H2182" s="74">
        <f t="shared" si="67"/>
        <v>2.0562561276352085</v>
      </c>
    </row>
    <row r="2183" spans="5:8" ht="15.6">
      <c r="E2183" s="279" t="s">
        <v>2509</v>
      </c>
      <c r="F2183" s="284">
        <f t="shared" ca="1" si="66"/>
        <v>9.970809225613253E-2</v>
      </c>
      <c r="G2183" s="74">
        <v>38.976065890456255</v>
      </c>
      <c r="H2183" s="74">
        <f t="shared" si="67"/>
        <v>1.5183344528762674</v>
      </c>
    </row>
    <row r="2184" spans="5:8" ht="15.6">
      <c r="E2184" s="279" t="s">
        <v>2510</v>
      </c>
      <c r="F2184" s="284">
        <f t="shared" ca="1" si="66"/>
        <v>0.86997413480480779</v>
      </c>
      <c r="G2184" s="74">
        <v>37.773788363279813</v>
      </c>
      <c r="H2184" s="74">
        <f t="shared" si="67"/>
        <v>2.7206119800527091</v>
      </c>
    </row>
    <row r="2185" spans="5:8" ht="15.6">
      <c r="E2185" s="279" t="s">
        <v>2511</v>
      </c>
      <c r="F2185" s="284">
        <f t="shared" ca="1" si="66"/>
        <v>0.97977626700530984</v>
      </c>
      <c r="G2185" s="74">
        <v>43.933721446529667</v>
      </c>
      <c r="H2185" s="74">
        <f t="shared" si="67"/>
        <v>-3.4393211031971447</v>
      </c>
    </row>
    <row r="2186" spans="5:8" ht="15.6">
      <c r="E2186" s="279" t="s">
        <v>2512</v>
      </c>
      <c r="F2186" s="284">
        <f t="shared" ca="1" si="66"/>
        <v>0.37936079194114591</v>
      </c>
      <c r="G2186" s="74">
        <v>36.900541663664264</v>
      </c>
      <c r="H2186" s="74">
        <f t="shared" si="67"/>
        <v>3.5938586796682586</v>
      </c>
    </row>
    <row r="2187" spans="5:8" ht="15.6">
      <c r="E2187" s="279" t="s">
        <v>2513</v>
      </c>
      <c r="F2187" s="284">
        <f t="shared" ca="1" si="66"/>
        <v>0.63606995378814235</v>
      </c>
      <c r="G2187" s="74">
        <v>37.777442191991661</v>
      </c>
      <c r="H2187" s="74">
        <f t="shared" si="67"/>
        <v>2.7169581513408616</v>
      </c>
    </row>
    <row r="2188" spans="5:8" ht="15.6">
      <c r="E2188" s="279" t="s">
        <v>2514</v>
      </c>
      <c r="F2188" s="284">
        <f t="shared" ref="F2188:F2251" ca="1" si="68">RAND()</f>
        <v>0.9413525888603963</v>
      </c>
      <c r="G2188" s="74">
        <v>35.462187466798483</v>
      </c>
      <c r="H2188" s="74">
        <f t="shared" ref="H2188:H2251" si="69">$D$2-G2188</f>
        <v>5.0322128765340395</v>
      </c>
    </row>
    <row r="2189" spans="5:8" ht="15.6">
      <c r="E2189" s="279" t="s">
        <v>2515</v>
      </c>
      <c r="F2189" s="284">
        <f t="shared" ca="1" si="68"/>
        <v>0.71202291759184577</v>
      </c>
      <c r="G2189" s="74">
        <v>32.763695895310939</v>
      </c>
      <c r="H2189" s="74">
        <f t="shared" si="69"/>
        <v>7.7307044480215836</v>
      </c>
    </row>
    <row r="2190" spans="5:8" ht="15.6">
      <c r="E2190" s="279" t="s">
        <v>2516</v>
      </c>
      <c r="F2190" s="284">
        <f t="shared" ca="1" si="68"/>
        <v>0.91830245829404233</v>
      </c>
      <c r="G2190" s="74">
        <v>36.901685988392181</v>
      </c>
      <c r="H2190" s="74">
        <f t="shared" si="69"/>
        <v>3.5927143549403411</v>
      </c>
    </row>
    <row r="2191" spans="5:8" ht="15.6">
      <c r="E2191" s="279" t="s">
        <v>2517</v>
      </c>
      <c r="F2191" s="284">
        <f t="shared" ca="1" si="68"/>
        <v>0.91883968797803517</v>
      </c>
      <c r="G2191" s="74">
        <v>39.191243443915219</v>
      </c>
      <c r="H2191" s="74">
        <f t="shared" si="69"/>
        <v>1.3031568994173028</v>
      </c>
    </row>
    <row r="2192" spans="5:8" ht="15.6">
      <c r="E2192" s="279" t="s">
        <v>2518</v>
      </c>
      <c r="F2192" s="284">
        <f t="shared" ca="1" si="68"/>
        <v>0.68587610667462784</v>
      </c>
      <c r="G2192" s="74">
        <v>40.623788728465982</v>
      </c>
      <c r="H2192" s="74">
        <f t="shared" si="69"/>
        <v>-0.12938838513345985</v>
      </c>
    </row>
    <row r="2193" spans="5:8" ht="15.6">
      <c r="E2193" s="279" t="s">
        <v>2519</v>
      </c>
      <c r="F2193" s="284">
        <f t="shared" ca="1" si="68"/>
        <v>0.98588564898213471</v>
      </c>
      <c r="G2193" s="74">
        <v>37.719660258311791</v>
      </c>
      <c r="H2193" s="74">
        <f t="shared" si="69"/>
        <v>2.7747400850207313</v>
      </c>
    </row>
    <row r="2194" spans="5:8" ht="15.6">
      <c r="E2194" s="279" t="s">
        <v>2520</v>
      </c>
      <c r="F2194" s="284">
        <f t="shared" ca="1" si="68"/>
        <v>0.53612584531338092</v>
      </c>
      <c r="G2194" s="74">
        <v>34.94668781852554</v>
      </c>
      <c r="H2194" s="74">
        <f t="shared" si="69"/>
        <v>5.5477125248069825</v>
      </c>
    </row>
    <row r="2195" spans="5:8" ht="15.6">
      <c r="E2195" s="279" t="s">
        <v>2521</v>
      </c>
      <c r="F2195" s="284">
        <f t="shared" ca="1" si="68"/>
        <v>0.77249809112411572</v>
      </c>
      <c r="G2195" s="74">
        <v>41.640412925096079</v>
      </c>
      <c r="H2195" s="74">
        <f t="shared" si="69"/>
        <v>-1.1460125817635571</v>
      </c>
    </row>
    <row r="2196" spans="5:8" ht="15.6">
      <c r="E2196" s="279" t="s">
        <v>2522</v>
      </c>
      <c r="F2196" s="284">
        <f t="shared" ca="1" si="68"/>
        <v>4.2843386156849017E-2</v>
      </c>
      <c r="G2196" s="74">
        <v>39.173366376607689</v>
      </c>
      <c r="H2196" s="74">
        <f t="shared" si="69"/>
        <v>1.3210339667248334</v>
      </c>
    </row>
    <row r="2197" spans="5:8" ht="15.6">
      <c r="E2197" s="279" t="s">
        <v>2523</v>
      </c>
      <c r="F2197" s="284">
        <f t="shared" ca="1" si="68"/>
        <v>0.61985943904176921</v>
      </c>
      <c r="G2197" s="74">
        <v>35.21132655841518</v>
      </c>
      <c r="H2197" s="74">
        <f t="shared" si="69"/>
        <v>5.2830737849173417</v>
      </c>
    </row>
    <row r="2198" spans="5:8" ht="15.6">
      <c r="E2198" s="279" t="s">
        <v>2524</v>
      </c>
      <c r="F2198" s="284">
        <f t="shared" ca="1" si="68"/>
        <v>0.93398277934277263</v>
      </c>
      <c r="G2198" s="74">
        <v>37.88336166824277</v>
      </c>
      <c r="H2198" s="74">
        <f t="shared" si="69"/>
        <v>2.6110386750897518</v>
      </c>
    </row>
    <row r="2199" spans="5:8" ht="15.6">
      <c r="E2199" s="279" t="s">
        <v>2525</v>
      </c>
      <c r="F2199" s="284">
        <f t="shared" ca="1" si="68"/>
        <v>7.9903950382003597E-2</v>
      </c>
      <c r="G2199" s="74">
        <v>38.809288110182251</v>
      </c>
      <c r="H2199" s="74">
        <f t="shared" si="69"/>
        <v>1.6851122331502708</v>
      </c>
    </row>
    <row r="2200" spans="5:8" ht="15.6">
      <c r="E2200" s="279" t="s">
        <v>2526</v>
      </c>
      <c r="F2200" s="284">
        <f t="shared" ca="1" si="68"/>
        <v>0.78955170330098956</v>
      </c>
      <c r="G2200" s="74">
        <v>38.460271904445754</v>
      </c>
      <c r="H2200" s="74">
        <f t="shared" si="69"/>
        <v>2.0341284388867678</v>
      </c>
    </row>
    <row r="2201" spans="5:8" ht="15.6">
      <c r="E2201" s="279" t="s">
        <v>2527</v>
      </c>
      <c r="F2201" s="284">
        <f t="shared" ca="1" si="68"/>
        <v>0.58754988569513578</v>
      </c>
      <c r="G2201" s="74">
        <v>39.936481923444113</v>
      </c>
      <c r="H2201" s="74">
        <f t="shared" si="69"/>
        <v>0.55791841988840929</v>
      </c>
    </row>
    <row r="2202" spans="5:8" ht="15.6">
      <c r="E2202" s="279" t="s">
        <v>2528</v>
      </c>
      <c r="F2202" s="284">
        <f t="shared" ca="1" si="68"/>
        <v>0.86718992561375685</v>
      </c>
      <c r="G2202" s="74">
        <v>36.145003056202363</v>
      </c>
      <c r="H2202" s="74">
        <f t="shared" si="69"/>
        <v>4.3493972871301594</v>
      </c>
    </row>
    <row r="2203" spans="5:8" ht="15.6">
      <c r="E2203" s="279" t="s">
        <v>2529</v>
      </c>
      <c r="F2203" s="284">
        <f t="shared" ca="1" si="68"/>
        <v>0.56029662277785952</v>
      </c>
      <c r="G2203" s="74">
        <v>37.947278779122314</v>
      </c>
      <c r="H2203" s="74">
        <f t="shared" si="69"/>
        <v>2.5471215642102081</v>
      </c>
    </row>
    <row r="2204" spans="5:8" ht="15.6">
      <c r="E2204" s="279" t="s">
        <v>2530</v>
      </c>
      <c r="F2204" s="284">
        <f t="shared" ca="1" si="68"/>
        <v>6.8299596835291743E-3</v>
      </c>
      <c r="G2204" s="74">
        <v>35.079308009758911</v>
      </c>
      <c r="H2204" s="74">
        <f t="shared" si="69"/>
        <v>5.415092333573611</v>
      </c>
    </row>
    <row r="2205" spans="5:8" ht="15.6">
      <c r="E2205" s="279" t="s">
        <v>2531</v>
      </c>
      <c r="F2205" s="284">
        <f t="shared" ca="1" si="68"/>
        <v>0.98399126746002918</v>
      </c>
      <c r="G2205" s="74">
        <v>38.901049999411754</v>
      </c>
      <c r="H2205" s="74">
        <f t="shared" si="69"/>
        <v>1.5933503439207684</v>
      </c>
    </row>
    <row r="2206" spans="5:8" ht="15.6">
      <c r="E2206" s="279" t="s">
        <v>2532</v>
      </c>
      <c r="F2206" s="284">
        <f t="shared" ca="1" si="68"/>
        <v>0.63048865040789226</v>
      </c>
      <c r="G2206" s="74">
        <v>33.770654743171981</v>
      </c>
      <c r="H2206" s="74">
        <f t="shared" si="69"/>
        <v>6.7237456001605409</v>
      </c>
    </row>
    <row r="2207" spans="5:8" ht="15.6">
      <c r="E2207" s="279" t="s">
        <v>2533</v>
      </c>
      <c r="F2207" s="284">
        <f t="shared" ca="1" si="68"/>
        <v>0.63506312707266777</v>
      </c>
      <c r="G2207" s="74">
        <v>38.134019076549166</v>
      </c>
      <c r="H2207" s="74">
        <f t="shared" si="69"/>
        <v>2.3603812667833566</v>
      </c>
    </row>
    <row r="2208" spans="5:8" ht="15.6">
      <c r="E2208" s="279" t="s">
        <v>2534</v>
      </c>
      <c r="F2208" s="284">
        <f t="shared" ca="1" si="68"/>
        <v>0.58102763741306962</v>
      </c>
      <c r="G2208" s="74">
        <v>40.796359459239852</v>
      </c>
      <c r="H2208" s="74">
        <f t="shared" si="69"/>
        <v>-0.30195911590733004</v>
      </c>
    </row>
    <row r="2209" spans="5:8" ht="15.6">
      <c r="E2209" s="279" t="s">
        <v>2535</v>
      </c>
      <c r="F2209" s="284">
        <f t="shared" ca="1" si="68"/>
        <v>0.96188108132491601</v>
      </c>
      <c r="G2209" s="74">
        <v>44.307865592805946</v>
      </c>
      <c r="H2209" s="74">
        <f t="shared" si="69"/>
        <v>-3.813465249473424</v>
      </c>
    </row>
    <row r="2210" spans="5:8" ht="15.6">
      <c r="E2210" s="279" t="s">
        <v>2536</v>
      </c>
      <c r="F2210" s="284">
        <f t="shared" ca="1" si="68"/>
        <v>0.99823918213906571</v>
      </c>
      <c r="G2210" s="74">
        <v>36.652021127213942</v>
      </c>
      <c r="H2210" s="74">
        <f t="shared" si="69"/>
        <v>3.8423792161185801</v>
      </c>
    </row>
    <row r="2211" spans="5:8" ht="15.6">
      <c r="E2211" s="279" t="s">
        <v>2537</v>
      </c>
      <c r="F2211" s="284">
        <f t="shared" ca="1" si="68"/>
        <v>0.16658249247686474</v>
      </c>
      <c r="G2211" s="74">
        <v>42.940798852530286</v>
      </c>
      <c r="H2211" s="74">
        <f t="shared" si="69"/>
        <v>-2.4463985091977634</v>
      </c>
    </row>
    <row r="2212" spans="5:8" ht="15.6">
      <c r="E2212" s="279" t="s">
        <v>2538</v>
      </c>
      <c r="F2212" s="284">
        <f t="shared" ca="1" si="68"/>
        <v>0.89223584791921451</v>
      </c>
      <c r="G2212" s="74">
        <v>39.269641132919034</v>
      </c>
      <c r="H2212" s="74">
        <f t="shared" si="69"/>
        <v>1.2247592104134881</v>
      </c>
    </row>
    <row r="2213" spans="5:8" ht="15.6">
      <c r="E2213" s="279" t="s">
        <v>2539</v>
      </c>
      <c r="F2213" s="284">
        <f t="shared" ca="1" si="68"/>
        <v>0.29760053847590495</v>
      </c>
      <c r="G2213" s="74">
        <v>39.627015335782154</v>
      </c>
      <c r="H2213" s="74">
        <f t="shared" si="69"/>
        <v>0.86738500755036796</v>
      </c>
    </row>
    <row r="2214" spans="5:8" ht="15.6">
      <c r="E2214" s="279" t="s">
        <v>2540</v>
      </c>
      <c r="F2214" s="284">
        <f t="shared" ca="1" si="68"/>
        <v>5.2293948821662828E-2</v>
      </c>
      <c r="G2214" s="74">
        <v>37.920533879705701</v>
      </c>
      <c r="H2214" s="74">
        <f t="shared" si="69"/>
        <v>2.5738664636268211</v>
      </c>
    </row>
    <row r="2215" spans="5:8" ht="15.6">
      <c r="E2215" s="279" t="s">
        <v>2541</v>
      </c>
      <c r="F2215" s="284">
        <f t="shared" ca="1" si="68"/>
        <v>3.9104373085908639E-2</v>
      </c>
      <c r="G2215" s="74">
        <v>33.035921789805023</v>
      </c>
      <c r="H2215" s="74">
        <f t="shared" si="69"/>
        <v>7.4584785535274989</v>
      </c>
    </row>
    <row r="2216" spans="5:8" ht="15.6">
      <c r="E2216" s="279" t="s">
        <v>2542</v>
      </c>
      <c r="F2216" s="284">
        <f t="shared" ca="1" si="68"/>
        <v>0.14624992410676885</v>
      </c>
      <c r="G2216" s="74">
        <v>34.340263486996335</v>
      </c>
      <c r="H2216" s="74">
        <f t="shared" si="69"/>
        <v>6.1541368563361871</v>
      </c>
    </row>
    <row r="2217" spans="5:8" ht="15.6">
      <c r="E2217" s="279" t="s">
        <v>2543</v>
      </c>
      <c r="F2217" s="284">
        <f t="shared" ca="1" si="68"/>
        <v>0.21927865414202885</v>
      </c>
      <c r="G2217" s="74">
        <v>37.564309772873578</v>
      </c>
      <c r="H2217" s="74">
        <f t="shared" si="69"/>
        <v>2.9300905704589439</v>
      </c>
    </row>
    <row r="2218" spans="5:8" ht="15.6">
      <c r="E2218" s="279" t="s">
        <v>2544</v>
      </c>
      <c r="F2218" s="284">
        <f t="shared" ca="1" si="68"/>
        <v>0.26427137339266582</v>
      </c>
      <c r="G2218" s="74">
        <v>39.809022695071832</v>
      </c>
      <c r="H2218" s="74">
        <f t="shared" si="69"/>
        <v>0.68537764826069036</v>
      </c>
    </row>
    <row r="2219" spans="5:8" ht="15.6">
      <c r="E2219" s="279" t="s">
        <v>2545</v>
      </c>
      <c r="F2219" s="284">
        <f t="shared" ca="1" si="68"/>
        <v>0.14342708190449838</v>
      </c>
      <c r="G2219" s="74">
        <v>37.348253836825144</v>
      </c>
      <c r="H2219" s="74">
        <f t="shared" si="69"/>
        <v>3.1461465065073781</v>
      </c>
    </row>
    <row r="2220" spans="5:8" ht="15.6">
      <c r="E2220" s="279" t="s">
        <v>2546</v>
      </c>
      <c r="F2220" s="284">
        <f t="shared" ca="1" si="68"/>
        <v>0.28190997721651823</v>
      </c>
      <c r="G2220" s="74">
        <v>43.516169550552412</v>
      </c>
      <c r="H2220" s="74">
        <f t="shared" si="69"/>
        <v>-3.0217692072198901</v>
      </c>
    </row>
    <row r="2221" spans="5:8" ht="15.6">
      <c r="E2221" s="279" t="s">
        <v>2547</v>
      </c>
      <c r="F2221" s="284">
        <f t="shared" ca="1" si="68"/>
        <v>0.81974139298846427</v>
      </c>
      <c r="G2221" s="74">
        <v>35.122552434767094</v>
      </c>
      <c r="H2221" s="74">
        <f t="shared" si="69"/>
        <v>5.371847908565428</v>
      </c>
    </row>
    <row r="2222" spans="5:8" ht="15.6">
      <c r="E2222" s="279" t="s">
        <v>2548</v>
      </c>
      <c r="F2222" s="284">
        <f t="shared" ca="1" si="68"/>
        <v>0.64949376349895294</v>
      </c>
      <c r="G2222" s="74">
        <v>38.540688824808143</v>
      </c>
      <c r="H2222" s="74">
        <f t="shared" si="69"/>
        <v>1.9537115185243792</v>
      </c>
    </row>
    <row r="2223" spans="5:8" ht="15.6">
      <c r="E2223" s="279" t="s">
        <v>2549</v>
      </c>
      <c r="F2223" s="284">
        <f t="shared" ca="1" si="68"/>
        <v>0.28242247964312361</v>
      </c>
      <c r="G2223" s="74">
        <v>39.561648958399147</v>
      </c>
      <c r="H2223" s="74">
        <f t="shared" si="69"/>
        <v>0.9327513849333755</v>
      </c>
    </row>
    <row r="2224" spans="5:8" ht="15.6">
      <c r="E2224" s="279" t="s">
        <v>2550</v>
      </c>
      <c r="F2224" s="284">
        <f t="shared" ca="1" si="68"/>
        <v>7.6145272334165237E-2</v>
      </c>
      <c r="G2224" s="74">
        <v>40.994289902239373</v>
      </c>
      <c r="H2224" s="74">
        <f t="shared" si="69"/>
        <v>-0.49988955890685105</v>
      </c>
    </row>
    <row r="2225" spans="5:8" ht="15.6">
      <c r="E2225" s="279" t="s">
        <v>2551</v>
      </c>
      <c r="F2225" s="284">
        <f t="shared" ca="1" si="68"/>
        <v>0.8680506647479338</v>
      </c>
      <c r="G2225" s="74">
        <v>36.709129027948883</v>
      </c>
      <c r="H2225" s="74">
        <f t="shared" si="69"/>
        <v>3.785271315383639</v>
      </c>
    </row>
    <row r="2226" spans="5:8" ht="15.6">
      <c r="E2226" s="279" t="s">
        <v>2552</v>
      </c>
      <c r="F2226" s="284">
        <f t="shared" ca="1" si="68"/>
        <v>0.98997028725701142</v>
      </c>
      <c r="G2226" s="74">
        <v>36.235979377475942</v>
      </c>
      <c r="H2226" s="74">
        <f t="shared" si="69"/>
        <v>4.2584209658565797</v>
      </c>
    </row>
    <row r="2227" spans="5:8" ht="15.6">
      <c r="E2227" s="279" t="s">
        <v>2553</v>
      </c>
      <c r="F2227" s="284">
        <f t="shared" ca="1" si="68"/>
        <v>4.4990901879923051E-2</v>
      </c>
      <c r="G2227" s="74">
        <v>33.844863575671667</v>
      </c>
      <c r="H2227" s="74">
        <f t="shared" si="69"/>
        <v>6.6495367676608552</v>
      </c>
    </row>
    <row r="2228" spans="5:8" ht="15.6">
      <c r="E2228" s="279" t="s">
        <v>2554</v>
      </c>
      <c r="F2228" s="284">
        <f t="shared" ca="1" si="68"/>
        <v>0.6925540009779878</v>
      </c>
      <c r="G2228" s="74">
        <v>38.315577710007709</v>
      </c>
      <c r="H2228" s="74">
        <f t="shared" si="69"/>
        <v>2.1788226333248133</v>
      </c>
    </row>
    <row r="2229" spans="5:8" ht="15.6">
      <c r="E2229" s="279" t="s">
        <v>2555</v>
      </c>
      <c r="F2229" s="284">
        <f t="shared" ca="1" si="68"/>
        <v>1.3629844057725382E-3</v>
      </c>
      <c r="G2229" s="74">
        <v>34.15188972476215</v>
      </c>
      <c r="H2229" s="74">
        <f t="shared" si="69"/>
        <v>6.3425106185703726</v>
      </c>
    </row>
    <row r="2230" spans="5:8" ht="15.6">
      <c r="E2230" s="279" t="s">
        <v>2556</v>
      </c>
      <c r="F2230" s="284">
        <f t="shared" ca="1" si="68"/>
        <v>0.87941592965464965</v>
      </c>
      <c r="G2230" s="74">
        <v>41.94471154245074</v>
      </c>
      <c r="H2230" s="74">
        <f t="shared" si="69"/>
        <v>-1.450311199118218</v>
      </c>
    </row>
    <row r="2231" spans="5:8" ht="15.6">
      <c r="E2231" s="279" t="s">
        <v>2557</v>
      </c>
      <c r="F2231" s="284">
        <f t="shared" ca="1" si="68"/>
        <v>0.75356819759584881</v>
      </c>
      <c r="G2231" s="74">
        <v>36.831277427070319</v>
      </c>
      <c r="H2231" s="74">
        <f t="shared" si="69"/>
        <v>3.6631229162622034</v>
      </c>
    </row>
    <row r="2232" spans="5:8" ht="15.6">
      <c r="E2232" s="279" t="s">
        <v>2558</v>
      </c>
      <c r="F2232" s="284">
        <f t="shared" ca="1" si="68"/>
        <v>0.88936093219839663</v>
      </c>
      <c r="G2232" s="74">
        <v>33.254313725440866</v>
      </c>
      <c r="H2232" s="74">
        <f t="shared" si="69"/>
        <v>7.2400866178916559</v>
      </c>
    </row>
    <row r="2233" spans="5:8" ht="15.6">
      <c r="E2233" s="279" t="s">
        <v>2559</v>
      </c>
      <c r="F2233" s="284">
        <f t="shared" ca="1" si="68"/>
        <v>0.37690960489829062</v>
      </c>
      <c r="G2233" s="74">
        <v>37.325600770433731</v>
      </c>
      <c r="H2233" s="74">
        <f t="shared" si="69"/>
        <v>3.1687995728987914</v>
      </c>
    </row>
    <row r="2234" spans="5:8" ht="15.6">
      <c r="E2234" s="279" t="s">
        <v>2560</v>
      </c>
      <c r="F2234" s="284">
        <f t="shared" ca="1" si="68"/>
        <v>0.33578528079216508</v>
      </c>
      <c r="G2234" s="74">
        <v>40.890678892493199</v>
      </c>
      <c r="H2234" s="74">
        <f t="shared" si="69"/>
        <v>-0.39627854916067662</v>
      </c>
    </row>
    <row r="2235" spans="5:8" ht="15.6">
      <c r="E2235" s="279" t="s">
        <v>2561</v>
      </c>
      <c r="F2235" s="284">
        <f t="shared" ca="1" si="68"/>
        <v>0.56219983082415648</v>
      </c>
      <c r="G2235" s="74">
        <v>40.215003553490305</v>
      </c>
      <c r="H2235" s="74">
        <f t="shared" si="69"/>
        <v>0.27939678984221672</v>
      </c>
    </row>
    <row r="2236" spans="5:8" ht="15.6">
      <c r="E2236" s="279" t="s">
        <v>2562</v>
      </c>
      <c r="F2236" s="284">
        <f t="shared" ca="1" si="68"/>
        <v>0.20771683408723884</v>
      </c>
      <c r="G2236" s="74">
        <v>40.990645222344384</v>
      </c>
      <c r="H2236" s="74">
        <f t="shared" si="69"/>
        <v>-0.49624487901186143</v>
      </c>
    </row>
    <row r="2237" spans="5:8" ht="15.6">
      <c r="E2237" s="279" t="s">
        <v>2563</v>
      </c>
      <c r="F2237" s="284">
        <f t="shared" ca="1" si="68"/>
        <v>0.45922717226112852</v>
      </c>
      <c r="G2237" s="74">
        <v>41.096256046900024</v>
      </c>
      <c r="H2237" s="74">
        <f t="shared" si="69"/>
        <v>-0.60185570356750162</v>
      </c>
    </row>
    <row r="2238" spans="5:8" ht="15.6">
      <c r="E2238" s="279" t="s">
        <v>2564</v>
      </c>
      <c r="F2238" s="284">
        <f t="shared" ca="1" si="68"/>
        <v>0.71642979968668841</v>
      </c>
      <c r="G2238" s="74">
        <v>35.219924522814061</v>
      </c>
      <c r="H2238" s="74">
        <f t="shared" si="69"/>
        <v>5.274475820518461</v>
      </c>
    </row>
    <row r="2239" spans="5:8" ht="15.6">
      <c r="E2239" s="279" t="s">
        <v>2565</v>
      </c>
      <c r="F2239" s="284">
        <f t="shared" ca="1" si="68"/>
        <v>0.5005239372064515</v>
      </c>
      <c r="G2239" s="74">
        <v>36.722920791063878</v>
      </c>
      <c r="H2239" s="74">
        <f t="shared" si="69"/>
        <v>3.7714795522686444</v>
      </c>
    </row>
    <row r="2240" spans="5:8" ht="15.6">
      <c r="E2240" s="279" t="s">
        <v>2566</v>
      </c>
      <c r="F2240" s="284">
        <f t="shared" ca="1" si="68"/>
        <v>0.68256421388363531</v>
      </c>
      <c r="G2240" s="74">
        <v>38.645124757324695</v>
      </c>
      <c r="H2240" s="74">
        <f t="shared" si="69"/>
        <v>1.8492755860078276</v>
      </c>
    </row>
    <row r="2241" spans="5:8" ht="15.6">
      <c r="E2241" s="279" t="s">
        <v>2567</v>
      </c>
      <c r="F2241" s="284">
        <f t="shared" ca="1" si="68"/>
        <v>0.88370156449171866</v>
      </c>
      <c r="G2241" s="74">
        <v>37.060889468287336</v>
      </c>
      <c r="H2241" s="74">
        <f t="shared" si="69"/>
        <v>3.4335108750451866</v>
      </c>
    </row>
    <row r="2242" spans="5:8" ht="15.6">
      <c r="E2242" s="279" t="s">
        <v>2568</v>
      </c>
      <c r="F2242" s="284">
        <f t="shared" ca="1" si="68"/>
        <v>0.93137002377913536</v>
      </c>
      <c r="G2242" s="74">
        <v>39.992196715233383</v>
      </c>
      <c r="H2242" s="74">
        <f t="shared" si="69"/>
        <v>0.50220362809913865</v>
      </c>
    </row>
    <row r="2243" spans="5:8" ht="15.6">
      <c r="E2243" s="279" t="s">
        <v>2569</v>
      </c>
      <c r="F2243" s="284">
        <f t="shared" ca="1" si="68"/>
        <v>0.85704234282377445</v>
      </c>
      <c r="G2243" s="74">
        <v>40.421376537549129</v>
      </c>
      <c r="H2243" s="74">
        <f t="shared" si="69"/>
        <v>7.3023805783392959E-2</v>
      </c>
    </row>
    <row r="2244" spans="5:8" ht="15.6">
      <c r="E2244" s="279" t="s">
        <v>2570</v>
      </c>
      <c r="F2244" s="284">
        <f t="shared" ca="1" si="68"/>
        <v>0.56092558651798186</v>
      </c>
      <c r="G2244" s="74">
        <v>35.033408393761619</v>
      </c>
      <c r="H2244" s="74">
        <f t="shared" si="69"/>
        <v>5.4609919495709036</v>
      </c>
    </row>
    <row r="2245" spans="5:8" ht="15.6">
      <c r="E2245" s="279" t="s">
        <v>2571</v>
      </c>
      <c r="F2245" s="284">
        <f t="shared" ca="1" si="68"/>
        <v>0.49518814900781394</v>
      </c>
      <c r="G2245" s="74">
        <v>40.574897759406483</v>
      </c>
      <c r="H2245" s="74">
        <f t="shared" si="69"/>
        <v>-8.0497416073960437E-2</v>
      </c>
    </row>
    <row r="2246" spans="5:8" ht="15.6">
      <c r="E2246" s="279" t="s">
        <v>2572</v>
      </c>
      <c r="F2246" s="284">
        <f t="shared" ca="1" si="68"/>
        <v>0.67541628246986363</v>
      </c>
      <c r="G2246" s="74">
        <v>37.465206054723097</v>
      </c>
      <c r="H2246" s="74">
        <f t="shared" si="69"/>
        <v>3.0291942886094247</v>
      </c>
    </row>
    <row r="2247" spans="5:8" ht="15.6">
      <c r="E2247" s="279" t="s">
        <v>2573</v>
      </c>
      <c r="F2247" s="284">
        <f t="shared" ca="1" si="68"/>
        <v>0.85974399312986849</v>
      </c>
      <c r="G2247" s="74">
        <v>45.235761102429997</v>
      </c>
      <c r="H2247" s="74">
        <f t="shared" si="69"/>
        <v>-4.7413607590974749</v>
      </c>
    </row>
    <row r="2248" spans="5:8" ht="15.6">
      <c r="E2248" s="279" t="s">
        <v>2574</v>
      </c>
      <c r="F2248" s="284">
        <f t="shared" ca="1" si="68"/>
        <v>5.1786640200557343E-2</v>
      </c>
      <c r="G2248" s="74">
        <v>37.789258935413088</v>
      </c>
      <c r="H2248" s="74">
        <f t="shared" si="69"/>
        <v>2.7051414079194345</v>
      </c>
    </row>
    <row r="2249" spans="5:8" ht="15.6">
      <c r="E2249" s="279" t="s">
        <v>2575</v>
      </c>
      <c r="F2249" s="284">
        <f t="shared" ca="1" si="68"/>
        <v>0.11067790588359061</v>
      </c>
      <c r="G2249" s="74">
        <v>34.992775237351537</v>
      </c>
      <c r="H2249" s="74">
        <f t="shared" si="69"/>
        <v>5.5016251059809846</v>
      </c>
    </row>
    <row r="2250" spans="5:8" ht="15.6">
      <c r="E2250" s="279" t="s">
        <v>2576</v>
      </c>
      <c r="F2250" s="284">
        <f t="shared" ca="1" si="68"/>
        <v>0.30770599737992721</v>
      </c>
      <c r="G2250" s="74">
        <v>39.421528123911351</v>
      </c>
      <c r="H2250" s="74">
        <f t="shared" si="69"/>
        <v>1.0728722194211713</v>
      </c>
    </row>
    <row r="2251" spans="5:8" ht="15.6">
      <c r="E2251" s="279" t="s">
        <v>2577</v>
      </c>
      <c r="F2251" s="284">
        <f t="shared" ca="1" si="68"/>
        <v>0.9865170765912975</v>
      </c>
      <c r="G2251" s="74">
        <v>37.145969249856243</v>
      </c>
      <c r="H2251" s="74">
        <f t="shared" si="69"/>
        <v>3.3484310934762789</v>
      </c>
    </row>
    <row r="2252" spans="5:8" ht="15.6">
      <c r="E2252" s="279" t="s">
        <v>2578</v>
      </c>
      <c r="F2252" s="284">
        <f t="shared" ref="F2252:F2315" ca="1" si="70">RAND()</f>
        <v>0.95896868962337989</v>
      </c>
      <c r="G2252" s="74">
        <v>39.225673162880319</v>
      </c>
      <c r="H2252" s="74">
        <f t="shared" ref="H2252:H2315" si="71">$D$2-G2252</f>
        <v>1.2687271804522027</v>
      </c>
    </row>
    <row r="2253" spans="5:8" ht="15.6">
      <c r="E2253" s="279" t="s">
        <v>2579</v>
      </c>
      <c r="F2253" s="284">
        <f t="shared" ca="1" si="70"/>
        <v>0.2585247808888006</v>
      </c>
      <c r="G2253" s="74">
        <v>38.040909776649706</v>
      </c>
      <c r="H2253" s="74">
        <f t="shared" si="71"/>
        <v>2.4534905666828166</v>
      </c>
    </row>
    <row r="2254" spans="5:8" ht="15.6">
      <c r="E2254" s="279" t="s">
        <v>2580</v>
      </c>
      <c r="F2254" s="284">
        <f t="shared" ca="1" si="70"/>
        <v>0.74602136429750787</v>
      </c>
      <c r="G2254" s="74">
        <v>34.794224739554259</v>
      </c>
      <c r="H2254" s="74">
        <f t="shared" si="71"/>
        <v>5.7001756037782627</v>
      </c>
    </row>
    <row r="2255" spans="5:8" ht="15.6">
      <c r="E2255" s="279" t="s">
        <v>2581</v>
      </c>
      <c r="F2255" s="284">
        <f t="shared" ca="1" si="70"/>
        <v>0.36175391716422323</v>
      </c>
      <c r="G2255" s="74">
        <v>40.503099161003981</v>
      </c>
      <c r="H2255" s="74">
        <f t="shared" si="71"/>
        <v>-8.6988176714584142E-3</v>
      </c>
    </row>
    <row r="2256" spans="5:8" ht="15.6">
      <c r="E2256" s="279" t="s">
        <v>2582</v>
      </c>
      <c r="F2256" s="284">
        <f t="shared" ca="1" si="70"/>
        <v>0.32686920267437647</v>
      </c>
      <c r="G2256" s="74">
        <v>38.995753384637069</v>
      </c>
      <c r="H2256" s="74">
        <f t="shared" si="71"/>
        <v>1.4986469586954527</v>
      </c>
    </row>
    <row r="2257" spans="5:8" ht="15.6">
      <c r="E2257" s="279" t="s">
        <v>2583</v>
      </c>
      <c r="F2257" s="284">
        <f t="shared" ca="1" si="70"/>
        <v>0.74282693457278914</v>
      </c>
      <c r="G2257" s="74">
        <v>46.637458542226177</v>
      </c>
      <c r="H2257" s="74">
        <f t="shared" si="71"/>
        <v>-6.1430581988936552</v>
      </c>
    </row>
    <row r="2258" spans="5:8" ht="15.6">
      <c r="E2258" s="279" t="s">
        <v>2584</v>
      </c>
      <c r="F2258" s="284">
        <f t="shared" ca="1" si="70"/>
        <v>0.11485889014974604</v>
      </c>
      <c r="G2258" s="74">
        <v>38.740120234203047</v>
      </c>
      <c r="H2258" s="74">
        <f t="shared" si="71"/>
        <v>1.7542801091294749</v>
      </c>
    </row>
    <row r="2259" spans="5:8" ht="15.6">
      <c r="E2259" s="279" t="s">
        <v>2585</v>
      </c>
      <c r="F2259" s="284">
        <f t="shared" ca="1" si="70"/>
        <v>1.6529733566202576E-2</v>
      </c>
      <c r="G2259" s="74">
        <v>40.922169160301955</v>
      </c>
      <c r="H2259" s="74">
        <f t="shared" si="71"/>
        <v>-0.42776881696943292</v>
      </c>
    </row>
    <row r="2260" spans="5:8" ht="15.6">
      <c r="E2260" s="279" t="s">
        <v>2586</v>
      </c>
      <c r="F2260" s="284">
        <f t="shared" ca="1" si="70"/>
        <v>0.42776893643827207</v>
      </c>
      <c r="G2260" s="74">
        <v>38.546459790245891</v>
      </c>
      <c r="H2260" s="74">
        <f t="shared" si="71"/>
        <v>1.9479405530866316</v>
      </c>
    </row>
    <row r="2261" spans="5:8" ht="15.6">
      <c r="E2261" s="279" t="s">
        <v>2587</v>
      </c>
      <c r="F2261" s="284">
        <f t="shared" ca="1" si="70"/>
        <v>0.71463448186617695</v>
      </c>
      <c r="G2261" s="74">
        <v>41.593517651058754</v>
      </c>
      <c r="H2261" s="74">
        <f t="shared" si="71"/>
        <v>-1.0991173077262317</v>
      </c>
    </row>
    <row r="2262" spans="5:8" ht="15.6">
      <c r="E2262" s="279" t="s">
        <v>2588</v>
      </c>
      <c r="F2262" s="284">
        <f t="shared" ca="1" si="70"/>
        <v>0.51968361633531124</v>
      </c>
      <c r="G2262" s="74">
        <v>35.676897005813174</v>
      </c>
      <c r="H2262" s="74">
        <f t="shared" si="71"/>
        <v>4.8175033375193479</v>
      </c>
    </row>
    <row r="2263" spans="5:8" ht="15.6">
      <c r="E2263" s="279" t="s">
        <v>2589</v>
      </c>
      <c r="F2263" s="284">
        <f t="shared" ca="1" si="70"/>
        <v>0.82845976688505762</v>
      </c>
      <c r="G2263" s="74">
        <v>38.615839103360152</v>
      </c>
      <c r="H2263" s="74">
        <f t="shared" si="71"/>
        <v>1.8785612399723703</v>
      </c>
    </row>
    <row r="2264" spans="5:8" ht="15.6">
      <c r="E2264" s="279" t="s">
        <v>2590</v>
      </c>
      <c r="F2264" s="284">
        <f t="shared" ca="1" si="70"/>
        <v>0.3099998695589905</v>
      </c>
      <c r="G2264" s="74">
        <v>36.888636781088493</v>
      </c>
      <c r="H2264" s="74">
        <f t="shared" si="71"/>
        <v>3.6057635622440287</v>
      </c>
    </row>
    <row r="2265" spans="5:8" ht="15.6">
      <c r="E2265" s="279" t="s">
        <v>2591</v>
      </c>
      <c r="F2265" s="284">
        <f t="shared" ca="1" si="70"/>
        <v>0.18858408672195293</v>
      </c>
      <c r="G2265" s="74">
        <v>46.536826127136912</v>
      </c>
      <c r="H2265" s="74">
        <f t="shared" si="71"/>
        <v>-6.04242578380439</v>
      </c>
    </row>
    <row r="2266" spans="5:8" ht="15.6">
      <c r="E2266" s="279" t="s">
        <v>2592</v>
      </c>
      <c r="F2266" s="284">
        <f t="shared" ca="1" si="70"/>
        <v>0.10797572848671388</v>
      </c>
      <c r="G2266" s="74">
        <v>40.529477235397771</v>
      </c>
      <c r="H2266" s="74">
        <f t="shared" si="71"/>
        <v>-3.5076892065248444E-2</v>
      </c>
    </row>
    <row r="2267" spans="5:8" ht="15.6">
      <c r="E2267" s="279" t="s">
        <v>2593</v>
      </c>
      <c r="F2267" s="284">
        <f t="shared" ca="1" si="70"/>
        <v>0.69739325719909806</v>
      </c>
      <c r="G2267" s="74">
        <v>45.079041253944176</v>
      </c>
      <c r="H2267" s="74">
        <f t="shared" si="71"/>
        <v>-4.5846409106116539</v>
      </c>
    </row>
    <row r="2268" spans="5:8" ht="15.6">
      <c r="E2268" s="279" t="s">
        <v>2594</v>
      </c>
      <c r="F2268" s="284">
        <f t="shared" ca="1" si="70"/>
        <v>0.18754542588022149</v>
      </c>
      <c r="G2268" s="74">
        <v>40.827136785096052</v>
      </c>
      <c r="H2268" s="74">
        <f t="shared" si="71"/>
        <v>-0.33273644176352946</v>
      </c>
    </row>
    <row r="2269" spans="5:8" ht="15.6">
      <c r="E2269" s="279" t="s">
        <v>2595</v>
      </c>
      <c r="F2269" s="284">
        <f t="shared" ca="1" si="70"/>
        <v>0.42320628657686588</v>
      </c>
      <c r="G2269" s="74">
        <v>43.835802396097108</v>
      </c>
      <c r="H2269" s="74">
        <f t="shared" si="71"/>
        <v>-3.341402052764586</v>
      </c>
    </row>
    <row r="2270" spans="5:8" ht="15.6">
      <c r="E2270" s="279" t="s">
        <v>2596</v>
      </c>
      <c r="F2270" s="284">
        <f t="shared" ca="1" si="70"/>
        <v>0.28500357039008339</v>
      </c>
      <c r="G2270" s="74">
        <v>40.299472881271633</v>
      </c>
      <c r="H2270" s="74">
        <f t="shared" si="71"/>
        <v>0.19492746206088896</v>
      </c>
    </row>
    <row r="2271" spans="5:8" ht="15.6">
      <c r="E2271" s="279" t="s">
        <v>2597</v>
      </c>
      <c r="F2271" s="284">
        <f t="shared" ca="1" si="70"/>
        <v>0.9943566782756792</v>
      </c>
      <c r="G2271" s="74">
        <v>41.164247708681216</v>
      </c>
      <c r="H2271" s="74">
        <f t="shared" si="71"/>
        <v>-0.66984736534869427</v>
      </c>
    </row>
    <row r="2272" spans="5:8" ht="15.6">
      <c r="E2272" s="279" t="s">
        <v>2598</v>
      </c>
      <c r="F2272" s="284">
        <f t="shared" ca="1" si="70"/>
        <v>2.5693745191259221E-2</v>
      </c>
      <c r="G2272" s="74">
        <v>36.388956539680038</v>
      </c>
      <c r="H2272" s="74">
        <f t="shared" si="71"/>
        <v>4.1054438036524843</v>
      </c>
    </row>
    <row r="2273" spans="5:8" ht="15.6">
      <c r="E2273" s="279" t="s">
        <v>2599</v>
      </c>
      <c r="F2273" s="284">
        <f t="shared" ca="1" si="70"/>
        <v>0.51362817932838356</v>
      </c>
      <c r="G2273" s="74">
        <v>38.838033322485678</v>
      </c>
      <c r="H2273" s="74">
        <f t="shared" si="71"/>
        <v>1.6563670208468437</v>
      </c>
    </row>
    <row r="2274" spans="5:8" ht="15.6">
      <c r="E2274" s="279" t="s">
        <v>2600</v>
      </c>
      <c r="F2274" s="284">
        <f t="shared" ca="1" si="70"/>
        <v>0.83922551896641973</v>
      </c>
      <c r="G2274" s="74">
        <v>40.854961607422659</v>
      </c>
      <c r="H2274" s="74">
        <f t="shared" si="71"/>
        <v>-0.360561264090137</v>
      </c>
    </row>
    <row r="2275" spans="5:8" ht="15.6">
      <c r="E2275" s="279" t="s">
        <v>2601</v>
      </c>
      <c r="F2275" s="284">
        <f t="shared" ca="1" si="70"/>
        <v>0.71102414911265788</v>
      </c>
      <c r="G2275" s="74">
        <v>39.358196984462985</v>
      </c>
      <c r="H2275" s="74">
        <f t="shared" si="71"/>
        <v>1.1362033588695368</v>
      </c>
    </row>
    <row r="2276" spans="5:8" ht="15.6">
      <c r="E2276" s="279" t="s">
        <v>2602</v>
      </c>
      <c r="F2276" s="284">
        <f t="shared" ca="1" si="70"/>
        <v>0.90080203385624102</v>
      </c>
      <c r="G2276" s="74">
        <v>49.499815643614809</v>
      </c>
      <c r="H2276" s="74">
        <f t="shared" si="71"/>
        <v>-9.0054153002822872</v>
      </c>
    </row>
    <row r="2277" spans="5:8" ht="15.6">
      <c r="E2277" s="279" t="s">
        <v>2603</v>
      </c>
      <c r="F2277" s="284">
        <f t="shared" ca="1" si="70"/>
        <v>0.97204579420539761</v>
      </c>
      <c r="G2277" s="74">
        <v>38.837747955834772</v>
      </c>
      <c r="H2277" s="74">
        <f t="shared" si="71"/>
        <v>1.6566523874977506</v>
      </c>
    </row>
    <row r="2278" spans="5:8" ht="15.6">
      <c r="E2278" s="279" t="s">
        <v>2604</v>
      </c>
      <c r="F2278" s="284">
        <f t="shared" ca="1" si="70"/>
        <v>5.7382389058659E-2</v>
      </c>
      <c r="G2278" s="74">
        <v>39.500253747617307</v>
      </c>
      <c r="H2278" s="74">
        <f t="shared" si="71"/>
        <v>0.99414659571521469</v>
      </c>
    </row>
    <row r="2279" spans="5:8" ht="15.6">
      <c r="E2279" s="279" t="s">
        <v>2605</v>
      </c>
      <c r="F2279" s="284">
        <f t="shared" ca="1" si="70"/>
        <v>0.54584035782630236</v>
      </c>
      <c r="G2279" s="74">
        <v>36.432893588557278</v>
      </c>
      <c r="H2279" s="74">
        <f t="shared" si="71"/>
        <v>4.0615067547752446</v>
      </c>
    </row>
    <row r="2280" spans="5:8" ht="15.6">
      <c r="E2280" s="279" t="s">
        <v>2606</v>
      </c>
      <c r="F2280" s="284">
        <f t="shared" ca="1" si="70"/>
        <v>0.88542207557921304</v>
      </c>
      <c r="G2280" s="74">
        <v>36.677035522643621</v>
      </c>
      <c r="H2280" s="74">
        <f t="shared" si="71"/>
        <v>3.8173648206889013</v>
      </c>
    </row>
    <row r="2281" spans="5:8" ht="15.6">
      <c r="E2281" s="279" t="s">
        <v>2607</v>
      </c>
      <c r="F2281" s="284">
        <f t="shared" ca="1" si="70"/>
        <v>0.88562189577560413</v>
      </c>
      <c r="G2281" s="74">
        <v>38.534669622026946</v>
      </c>
      <c r="H2281" s="74">
        <f t="shared" si="71"/>
        <v>1.9597307213055757</v>
      </c>
    </row>
    <row r="2282" spans="5:8" ht="15.6">
      <c r="E2282" s="279" t="s">
        <v>2608</v>
      </c>
      <c r="F2282" s="284">
        <f t="shared" ca="1" si="70"/>
        <v>0.70683116034993765</v>
      </c>
      <c r="G2282" s="74">
        <v>43.387618971914321</v>
      </c>
      <c r="H2282" s="74">
        <f t="shared" si="71"/>
        <v>-2.8932186285817991</v>
      </c>
    </row>
    <row r="2283" spans="5:8" ht="15.6">
      <c r="E2283" s="279" t="s">
        <v>2609</v>
      </c>
      <c r="F2283" s="284">
        <f t="shared" ca="1" si="70"/>
        <v>0.51496308959708914</v>
      </c>
      <c r="G2283" s="74">
        <v>38.093828605599484</v>
      </c>
      <c r="H2283" s="74">
        <f t="shared" si="71"/>
        <v>2.4005717377330384</v>
      </c>
    </row>
    <row r="2284" spans="5:8" ht="15.6">
      <c r="E2284" s="279" t="s">
        <v>2610</v>
      </c>
      <c r="F2284" s="284">
        <f t="shared" ca="1" si="70"/>
        <v>0.52910250102080991</v>
      </c>
      <c r="G2284" s="74">
        <v>36.760347299682849</v>
      </c>
      <c r="H2284" s="74">
        <f t="shared" si="71"/>
        <v>3.7340530436496735</v>
      </c>
    </row>
    <row r="2285" spans="5:8" ht="15.6">
      <c r="E2285" s="279" t="s">
        <v>2611</v>
      </c>
      <c r="F2285" s="284">
        <f t="shared" ca="1" si="70"/>
        <v>0.42822516133545496</v>
      </c>
      <c r="G2285" s="74">
        <v>39.657860784383551</v>
      </c>
      <c r="H2285" s="74">
        <f t="shared" si="71"/>
        <v>0.83653955894897081</v>
      </c>
    </row>
    <row r="2286" spans="5:8" ht="15.6">
      <c r="E2286" s="279" t="s">
        <v>2612</v>
      </c>
      <c r="F2286" s="284">
        <f t="shared" ca="1" si="70"/>
        <v>0.44864708418231791</v>
      </c>
      <c r="G2286" s="74">
        <v>39.194409824807074</v>
      </c>
      <c r="H2286" s="74">
        <f t="shared" si="71"/>
        <v>1.2999905185254477</v>
      </c>
    </row>
    <row r="2287" spans="5:8" ht="15.6">
      <c r="E2287" s="279" t="s">
        <v>2613</v>
      </c>
      <c r="F2287" s="284">
        <f t="shared" ca="1" si="70"/>
        <v>0.66538271890665901</v>
      </c>
      <c r="G2287" s="74">
        <v>41.321331881615961</v>
      </c>
      <c r="H2287" s="74">
        <f t="shared" si="71"/>
        <v>-0.82693153828343924</v>
      </c>
    </row>
    <row r="2288" spans="5:8" ht="15.6">
      <c r="E2288" s="279" t="s">
        <v>2614</v>
      </c>
      <c r="F2288" s="284">
        <f t="shared" ca="1" si="70"/>
        <v>5.2769521003301123E-2</v>
      </c>
      <c r="G2288" s="74">
        <v>36.694681326650837</v>
      </c>
      <c r="H2288" s="74">
        <f t="shared" si="71"/>
        <v>3.799719016681685</v>
      </c>
    </row>
    <row r="2289" spans="5:8" ht="15.6">
      <c r="E2289" s="279" t="s">
        <v>2615</v>
      </c>
      <c r="F2289" s="284">
        <f t="shared" ca="1" si="70"/>
        <v>0.16948203016949648</v>
      </c>
      <c r="G2289" s="74">
        <v>43.412435051676205</v>
      </c>
      <c r="H2289" s="74">
        <f t="shared" si="71"/>
        <v>-2.9180347083436828</v>
      </c>
    </row>
    <row r="2290" spans="5:8" ht="15.6">
      <c r="E2290" s="279" t="s">
        <v>2616</v>
      </c>
      <c r="F2290" s="284">
        <f t="shared" ca="1" si="70"/>
        <v>0.72831671584446278</v>
      </c>
      <c r="G2290" s="74">
        <v>41.426254542781209</v>
      </c>
      <c r="H2290" s="74">
        <f t="shared" si="71"/>
        <v>-0.93185419944868642</v>
      </c>
    </row>
    <row r="2291" spans="5:8" ht="15.6">
      <c r="E2291" s="279" t="s">
        <v>2617</v>
      </c>
      <c r="F2291" s="284">
        <f t="shared" ca="1" si="70"/>
        <v>0.16621607910361291</v>
      </c>
      <c r="G2291" s="74">
        <v>41.567982710372704</v>
      </c>
      <c r="H2291" s="74">
        <f t="shared" si="71"/>
        <v>-1.0735823670401814</v>
      </c>
    </row>
    <row r="2292" spans="5:8" ht="15.6">
      <c r="E2292" s="279" t="s">
        <v>2618</v>
      </c>
      <c r="F2292" s="284">
        <f t="shared" ca="1" si="70"/>
        <v>0.78423765087625241</v>
      </c>
      <c r="G2292" s="74">
        <v>40.592281703155251</v>
      </c>
      <c r="H2292" s="74">
        <f t="shared" si="71"/>
        <v>-9.7881359822729053E-2</v>
      </c>
    </row>
    <row r="2293" spans="5:8" ht="15.6">
      <c r="E2293" s="279" t="s">
        <v>2619</v>
      </c>
      <c r="F2293" s="284">
        <f t="shared" ca="1" si="70"/>
        <v>0.44825126641278557</v>
      </c>
      <c r="G2293" s="74">
        <v>39.594261586631596</v>
      </c>
      <c r="H2293" s="74">
        <f t="shared" si="71"/>
        <v>0.90013875670092602</v>
      </c>
    </row>
    <row r="2294" spans="5:8" ht="15.6">
      <c r="E2294" s="279" t="s">
        <v>2620</v>
      </c>
      <c r="F2294" s="284">
        <f t="shared" ca="1" si="70"/>
        <v>0.62625052639333723</v>
      </c>
      <c r="G2294" s="74">
        <v>36.884086525687515</v>
      </c>
      <c r="H2294" s="74">
        <f t="shared" si="71"/>
        <v>3.6103138176450074</v>
      </c>
    </row>
    <row r="2295" spans="5:8" ht="15.6">
      <c r="E2295" s="279" t="s">
        <v>2621</v>
      </c>
      <c r="F2295" s="284">
        <f t="shared" ca="1" si="70"/>
        <v>0.15643191551545288</v>
      </c>
      <c r="G2295" s="74">
        <v>43.643010007302792</v>
      </c>
      <c r="H2295" s="74">
        <f t="shared" si="71"/>
        <v>-3.1486096639702694</v>
      </c>
    </row>
    <row r="2296" spans="5:8" ht="15.6">
      <c r="E2296" s="279" t="s">
        <v>2622</v>
      </c>
      <c r="F2296" s="284">
        <f t="shared" ca="1" si="70"/>
        <v>9.8741948521980372E-2</v>
      </c>
      <c r="G2296" s="74">
        <v>39.336146702479532</v>
      </c>
      <c r="H2296" s="74">
        <f t="shared" si="71"/>
        <v>1.1582536408529904</v>
      </c>
    </row>
    <row r="2297" spans="5:8" ht="15.6">
      <c r="E2297" s="279" t="s">
        <v>2623</v>
      </c>
      <c r="F2297" s="284">
        <f t="shared" ca="1" si="70"/>
        <v>0.88598810273658113</v>
      </c>
      <c r="G2297" s="74">
        <v>34.359812600725476</v>
      </c>
      <c r="H2297" s="74">
        <f t="shared" si="71"/>
        <v>6.1345877426070459</v>
      </c>
    </row>
    <row r="2298" spans="5:8" ht="15.6">
      <c r="E2298" s="279" t="s">
        <v>2624</v>
      </c>
      <c r="F2298" s="284">
        <f t="shared" ca="1" si="70"/>
        <v>0.41309737051515372</v>
      </c>
      <c r="G2298" s="74">
        <v>38.448721982123331</v>
      </c>
      <c r="H2298" s="74">
        <f t="shared" si="71"/>
        <v>2.0456783612091911</v>
      </c>
    </row>
    <row r="2299" spans="5:8" ht="15.6">
      <c r="E2299" s="279" t="s">
        <v>2625</v>
      </c>
      <c r="F2299" s="284">
        <f t="shared" ca="1" si="70"/>
        <v>0.99442506042656331</v>
      </c>
      <c r="G2299" s="74">
        <v>35.803207028412992</v>
      </c>
      <c r="H2299" s="74">
        <f t="shared" si="71"/>
        <v>4.6911933149195306</v>
      </c>
    </row>
    <row r="2300" spans="5:8" ht="15.6">
      <c r="E2300" s="279" t="s">
        <v>2626</v>
      </c>
      <c r="F2300" s="284">
        <f t="shared" ca="1" si="70"/>
        <v>0.96312795210001045</v>
      </c>
      <c r="G2300" s="74">
        <v>39.249301153691356</v>
      </c>
      <c r="H2300" s="74">
        <f t="shared" si="71"/>
        <v>1.2450991896411665</v>
      </c>
    </row>
    <row r="2301" spans="5:8" ht="15.6">
      <c r="E2301" s="279" t="s">
        <v>2627</v>
      </c>
      <c r="F2301" s="284">
        <f t="shared" ca="1" si="70"/>
        <v>0.78017006695698388</v>
      </c>
      <c r="G2301" s="74">
        <v>37.397221223015826</v>
      </c>
      <c r="H2301" s="74">
        <f t="shared" si="71"/>
        <v>3.0971791203166958</v>
      </c>
    </row>
    <row r="2302" spans="5:8" ht="15.6">
      <c r="E2302" s="279" t="s">
        <v>2628</v>
      </c>
      <c r="F2302" s="284">
        <f t="shared" ca="1" si="70"/>
        <v>0.15050738881217307</v>
      </c>
      <c r="G2302" s="74">
        <v>36.830216547241498</v>
      </c>
      <c r="H2302" s="74">
        <f t="shared" si="71"/>
        <v>3.6641837960910237</v>
      </c>
    </row>
    <row r="2303" spans="5:8" ht="15.6">
      <c r="E2303" s="279" t="s">
        <v>2629</v>
      </c>
      <c r="F2303" s="284">
        <f t="shared" ca="1" si="70"/>
        <v>0.99439513834020787</v>
      </c>
      <c r="G2303" s="74">
        <v>38.59289114804595</v>
      </c>
      <c r="H2303" s="74">
        <f t="shared" si="71"/>
        <v>1.9015091952865717</v>
      </c>
    </row>
    <row r="2304" spans="5:8" ht="15.6">
      <c r="E2304" s="279" t="s">
        <v>2630</v>
      </c>
      <c r="F2304" s="284">
        <f t="shared" ca="1" si="70"/>
        <v>1.1462613620661255E-2</v>
      </c>
      <c r="G2304" s="74">
        <v>40.774781982523336</v>
      </c>
      <c r="H2304" s="74">
        <f t="shared" si="71"/>
        <v>-0.28038163919081427</v>
      </c>
    </row>
    <row r="2305" spans="5:8" ht="15.6">
      <c r="E2305" s="279" t="s">
        <v>2631</v>
      </c>
      <c r="F2305" s="284">
        <f t="shared" ca="1" si="70"/>
        <v>0.11463862800177393</v>
      </c>
      <c r="G2305" s="74">
        <v>43.401968120452366</v>
      </c>
      <c r="H2305" s="74">
        <f t="shared" si="71"/>
        <v>-2.9075677771198443</v>
      </c>
    </row>
    <row r="2306" spans="5:8" ht="15.6">
      <c r="E2306" s="279" t="s">
        <v>2632</v>
      </c>
      <c r="F2306" s="284">
        <f t="shared" ca="1" si="70"/>
        <v>0.27577942052508919</v>
      </c>
      <c r="G2306" s="74">
        <v>37.422682400728668</v>
      </c>
      <c r="H2306" s="74">
        <f t="shared" si="71"/>
        <v>3.0717179426038541</v>
      </c>
    </row>
    <row r="2307" spans="5:8" ht="15.6">
      <c r="E2307" s="279" t="s">
        <v>2633</v>
      </c>
      <c r="F2307" s="284">
        <f t="shared" ca="1" si="70"/>
        <v>0.613943969481064</v>
      </c>
      <c r="G2307" s="74">
        <v>36.164073090690231</v>
      </c>
      <c r="H2307" s="74">
        <f t="shared" si="71"/>
        <v>4.3303272526422916</v>
      </c>
    </row>
    <row r="2308" spans="5:8" ht="15.6">
      <c r="E2308" s="279" t="s">
        <v>2634</v>
      </c>
      <c r="F2308" s="284">
        <f t="shared" ca="1" si="70"/>
        <v>0.8212046865177659</v>
      </c>
      <c r="G2308" s="74">
        <v>36.703672688408943</v>
      </c>
      <c r="H2308" s="74">
        <f t="shared" si="71"/>
        <v>3.7907276549235789</v>
      </c>
    </row>
    <row r="2309" spans="5:8" ht="15.6">
      <c r="E2309" s="279" t="s">
        <v>2635</v>
      </c>
      <c r="F2309" s="284">
        <f t="shared" ca="1" si="70"/>
        <v>0.187294590051306</v>
      </c>
      <c r="G2309" s="74">
        <v>40.033245944470458</v>
      </c>
      <c r="H2309" s="74">
        <f t="shared" si="71"/>
        <v>0.46115439886206389</v>
      </c>
    </row>
    <row r="2310" spans="5:8" ht="15.6">
      <c r="E2310" s="279" t="s">
        <v>2636</v>
      </c>
      <c r="F2310" s="284">
        <f t="shared" ca="1" si="70"/>
        <v>0.12037464282002763</v>
      </c>
      <c r="G2310" s="74">
        <v>40.311220781055354</v>
      </c>
      <c r="H2310" s="74">
        <f t="shared" si="71"/>
        <v>0.18317956227716792</v>
      </c>
    </row>
    <row r="2311" spans="5:8" ht="15.6">
      <c r="E2311" s="279" t="s">
        <v>2637</v>
      </c>
      <c r="F2311" s="284">
        <f t="shared" ca="1" si="70"/>
        <v>0.8295812632068863</v>
      </c>
      <c r="G2311" s="74">
        <v>38.933504774657621</v>
      </c>
      <c r="H2311" s="74">
        <f t="shared" si="71"/>
        <v>1.5608955686749013</v>
      </c>
    </row>
    <row r="2312" spans="5:8" ht="15.6">
      <c r="E2312" s="279" t="s">
        <v>2638</v>
      </c>
      <c r="F2312" s="284">
        <f t="shared" ca="1" si="70"/>
        <v>0.42607138978197934</v>
      </c>
      <c r="G2312" s="74">
        <v>40.215188588249248</v>
      </c>
      <c r="H2312" s="74">
        <f t="shared" si="71"/>
        <v>0.27921175508327423</v>
      </c>
    </row>
    <row r="2313" spans="5:8" ht="15.6">
      <c r="E2313" s="279" t="s">
        <v>2639</v>
      </c>
      <c r="F2313" s="284">
        <f t="shared" ca="1" si="70"/>
        <v>0.28080262454255378</v>
      </c>
      <c r="G2313" s="74">
        <v>43.113790716530133</v>
      </c>
      <c r="H2313" s="74">
        <f t="shared" si="71"/>
        <v>-2.6193903731976107</v>
      </c>
    </row>
    <row r="2314" spans="5:8" ht="15.6">
      <c r="E2314" s="279" t="s">
        <v>2640</v>
      </c>
      <c r="F2314" s="284">
        <f t="shared" ca="1" si="70"/>
        <v>0.12420495536559939</v>
      </c>
      <c r="G2314" s="74">
        <v>38.146293871088069</v>
      </c>
      <c r="H2314" s="74">
        <f t="shared" si="71"/>
        <v>2.3481064722444529</v>
      </c>
    </row>
    <row r="2315" spans="5:8" ht="15.6">
      <c r="E2315" s="279" t="s">
        <v>2641</v>
      </c>
      <c r="F2315" s="284">
        <f t="shared" ca="1" si="70"/>
        <v>0.44224175894367901</v>
      </c>
      <c r="G2315" s="74">
        <v>38.734832888395829</v>
      </c>
      <c r="H2315" s="74">
        <f t="shared" si="71"/>
        <v>1.7595674549366933</v>
      </c>
    </row>
    <row r="2316" spans="5:8" ht="15.6">
      <c r="E2316" s="279" t="s">
        <v>2642</v>
      </c>
      <c r="F2316" s="284">
        <f t="shared" ref="F2316:F2379" ca="1" si="72">RAND()</f>
        <v>0.28020829427418525</v>
      </c>
      <c r="G2316" s="74">
        <v>37.523479524562944</v>
      </c>
      <c r="H2316" s="74">
        <f t="shared" ref="H2316:H2379" si="73">$D$2-G2316</f>
        <v>2.9709208187695779</v>
      </c>
    </row>
    <row r="2317" spans="5:8" ht="15.6">
      <c r="E2317" s="279" t="s">
        <v>2643</v>
      </c>
      <c r="F2317" s="284">
        <f t="shared" ca="1" si="72"/>
        <v>5.1893749172912451E-2</v>
      </c>
      <c r="G2317" s="74">
        <v>39.120219169212426</v>
      </c>
      <c r="H2317" s="74">
        <f t="shared" si="73"/>
        <v>1.3741811741200962</v>
      </c>
    </row>
    <row r="2318" spans="5:8" ht="15.6">
      <c r="E2318" s="279" t="s">
        <v>2644</v>
      </c>
      <c r="F2318" s="284">
        <f t="shared" ca="1" si="72"/>
        <v>0.27784913971054337</v>
      </c>
      <c r="G2318" s="74">
        <v>48.47944418670744</v>
      </c>
      <c r="H2318" s="74">
        <f t="shared" si="73"/>
        <v>-7.9850438433749176</v>
      </c>
    </row>
    <row r="2319" spans="5:8" ht="15.6">
      <c r="E2319" s="279" t="s">
        <v>2645</v>
      </c>
      <c r="F2319" s="284">
        <f t="shared" ca="1" si="72"/>
        <v>0.767781917337369</v>
      </c>
      <c r="G2319" s="74">
        <v>39.438233584979301</v>
      </c>
      <c r="H2319" s="74">
        <f t="shared" si="73"/>
        <v>1.0561667583532213</v>
      </c>
    </row>
    <row r="2320" spans="5:8" ht="15.6">
      <c r="E2320" s="279" t="s">
        <v>2646</v>
      </c>
      <c r="F2320" s="284">
        <f t="shared" ca="1" si="72"/>
        <v>0.12182153649660765</v>
      </c>
      <c r="G2320" s="74">
        <v>42.446962298600504</v>
      </c>
      <c r="H2320" s="74">
        <f t="shared" si="73"/>
        <v>-1.9525619552679814</v>
      </c>
    </row>
    <row r="2321" spans="5:8" ht="15.6">
      <c r="E2321" s="279" t="s">
        <v>2647</v>
      </c>
      <c r="F2321" s="284">
        <f t="shared" ca="1" si="72"/>
        <v>0.91625005563097683</v>
      </c>
      <c r="G2321" s="74">
        <v>41.632353791942329</v>
      </c>
      <c r="H2321" s="74">
        <f t="shared" si="73"/>
        <v>-1.1379534486098066</v>
      </c>
    </row>
    <row r="2322" spans="5:8" ht="15.6">
      <c r="E2322" s="279" t="s">
        <v>2648</v>
      </c>
      <c r="F2322" s="284">
        <f t="shared" ca="1" si="72"/>
        <v>0.3290171410956767</v>
      </c>
      <c r="G2322" s="74">
        <v>35.031049797549898</v>
      </c>
      <c r="H2322" s="74">
        <f t="shared" si="73"/>
        <v>5.4633505457826246</v>
      </c>
    </row>
    <row r="2323" spans="5:8" ht="15.6">
      <c r="E2323" s="279" t="s">
        <v>2649</v>
      </c>
      <c r="F2323" s="284">
        <f t="shared" ca="1" si="72"/>
        <v>0.5191140726817417</v>
      </c>
      <c r="G2323" s="74">
        <v>37.909000019209586</v>
      </c>
      <c r="H2323" s="74">
        <f t="shared" si="73"/>
        <v>2.5854003241229364</v>
      </c>
    </row>
    <row r="2324" spans="5:8" ht="15.6">
      <c r="E2324" s="279" t="s">
        <v>2650</v>
      </c>
      <c r="F2324" s="284">
        <f t="shared" ca="1" si="72"/>
        <v>0.78152774603063135</v>
      </c>
      <c r="G2324" s="74">
        <v>36.437000876225767</v>
      </c>
      <c r="H2324" s="74">
        <f t="shared" si="73"/>
        <v>4.0573994671067553</v>
      </c>
    </row>
    <row r="2325" spans="5:8" ht="15.6">
      <c r="E2325" s="279" t="s">
        <v>2651</v>
      </c>
      <c r="F2325" s="284">
        <f t="shared" ca="1" si="72"/>
        <v>0.84177227958843182</v>
      </c>
      <c r="G2325" s="74">
        <v>40.613160644589946</v>
      </c>
      <c r="H2325" s="74">
        <f t="shared" si="73"/>
        <v>-0.11876030125742432</v>
      </c>
    </row>
    <row r="2326" spans="5:8" ht="15.6">
      <c r="E2326" s="279" t="s">
        <v>2652</v>
      </c>
      <c r="F2326" s="284">
        <f t="shared" ca="1" si="72"/>
        <v>0.40875576969850602</v>
      </c>
      <c r="G2326" s="74">
        <v>39.848342183625419</v>
      </c>
      <c r="H2326" s="74">
        <f t="shared" si="73"/>
        <v>0.64605815970710267</v>
      </c>
    </row>
    <row r="2327" spans="5:8" ht="15.6">
      <c r="E2327" s="279" t="s">
        <v>2653</v>
      </c>
      <c r="F2327" s="284">
        <f t="shared" ca="1" si="72"/>
        <v>6.2993833285138301E-2</v>
      </c>
      <c r="G2327" s="74">
        <v>39.055439687098421</v>
      </c>
      <c r="H2327" s="74">
        <f t="shared" si="73"/>
        <v>1.4389606562341015</v>
      </c>
    </row>
    <row r="2328" spans="5:8" ht="15.6">
      <c r="E2328" s="279" t="s">
        <v>2654</v>
      </c>
      <c r="F2328" s="284">
        <f t="shared" ca="1" si="72"/>
        <v>0.87429111691562156</v>
      </c>
      <c r="G2328" s="74">
        <v>32.893942172124042</v>
      </c>
      <c r="H2328" s="74">
        <f t="shared" si="73"/>
        <v>7.60045817120848</v>
      </c>
    </row>
    <row r="2329" spans="5:8" ht="15.6">
      <c r="E2329" s="279" t="s">
        <v>2655</v>
      </c>
      <c r="F2329" s="284">
        <f t="shared" ca="1" si="72"/>
        <v>0.46824048636759374</v>
      </c>
      <c r="G2329" s="74">
        <v>41.716780872285511</v>
      </c>
      <c r="H2329" s="74">
        <f t="shared" si="73"/>
        <v>-1.2223805289529892</v>
      </c>
    </row>
    <row r="2330" spans="5:8" ht="15.6">
      <c r="E2330" s="279" t="s">
        <v>2656</v>
      </c>
      <c r="F2330" s="284">
        <f t="shared" ca="1" si="72"/>
        <v>0.81450949311807341</v>
      </c>
      <c r="G2330" s="74">
        <v>36.21036270546707</v>
      </c>
      <c r="H2330" s="74">
        <f t="shared" si="73"/>
        <v>4.2840376378654526</v>
      </c>
    </row>
    <row r="2331" spans="5:8" ht="15.6">
      <c r="E2331" s="279" t="s">
        <v>2657</v>
      </c>
      <c r="F2331" s="284">
        <f t="shared" ca="1" si="72"/>
        <v>0.50487133472009449</v>
      </c>
      <c r="G2331" s="74">
        <v>43.533252097757448</v>
      </c>
      <c r="H2331" s="74">
        <f t="shared" si="73"/>
        <v>-3.0388517544249254</v>
      </c>
    </row>
    <row r="2332" spans="5:8" ht="15.6">
      <c r="E2332" s="279" t="s">
        <v>2658</v>
      </c>
      <c r="F2332" s="284">
        <f t="shared" ca="1" si="72"/>
        <v>0.2391944027038555</v>
      </c>
      <c r="G2332" s="74">
        <v>36.433046663013855</v>
      </c>
      <c r="H2332" s="74">
        <f t="shared" si="73"/>
        <v>4.0613536803186676</v>
      </c>
    </row>
    <row r="2333" spans="5:8" ht="15.6">
      <c r="E2333" s="279" t="s">
        <v>2659</v>
      </c>
      <c r="F2333" s="284">
        <f t="shared" ca="1" si="72"/>
        <v>0.74469626473115202</v>
      </c>
      <c r="G2333" s="74">
        <v>36.992604214487223</v>
      </c>
      <c r="H2333" s="74">
        <f t="shared" si="73"/>
        <v>3.5017961288452994</v>
      </c>
    </row>
    <row r="2334" spans="5:8" ht="15.6">
      <c r="E2334" s="279" t="s">
        <v>2660</v>
      </c>
      <c r="F2334" s="284">
        <f t="shared" ca="1" si="72"/>
        <v>0.87327502434386595</v>
      </c>
      <c r="G2334" s="74">
        <v>40.528365984018031</v>
      </c>
      <c r="H2334" s="74">
        <f t="shared" si="73"/>
        <v>-3.3965640685508447E-2</v>
      </c>
    </row>
    <row r="2335" spans="5:8" ht="15.6">
      <c r="E2335" s="279" t="s">
        <v>2661</v>
      </c>
      <c r="F2335" s="284">
        <f t="shared" ca="1" si="72"/>
        <v>0.50053114572604851</v>
      </c>
      <c r="G2335" s="74">
        <v>38.735195923983561</v>
      </c>
      <c r="H2335" s="74">
        <f t="shared" si="73"/>
        <v>1.7592044193489613</v>
      </c>
    </row>
    <row r="2336" spans="5:8" ht="15.6">
      <c r="E2336" s="279" t="s">
        <v>2662</v>
      </c>
      <c r="F2336" s="284">
        <f t="shared" ca="1" si="72"/>
        <v>0.73336693357288496</v>
      </c>
      <c r="G2336" s="74">
        <v>34.365126974035547</v>
      </c>
      <c r="H2336" s="74">
        <f t="shared" si="73"/>
        <v>6.1292733692969747</v>
      </c>
    </row>
    <row r="2337" spans="5:8" ht="15.6">
      <c r="E2337" s="279" t="s">
        <v>2663</v>
      </c>
      <c r="F2337" s="284">
        <f t="shared" ca="1" si="72"/>
        <v>0.86464681087825079</v>
      </c>
      <c r="G2337" s="74">
        <v>37.324525189334693</v>
      </c>
      <c r="H2337" s="74">
        <f t="shared" si="73"/>
        <v>3.1698751539978289</v>
      </c>
    </row>
    <row r="2338" spans="5:8" ht="15.6">
      <c r="E2338" s="279" t="s">
        <v>2664</v>
      </c>
      <c r="F2338" s="284">
        <f t="shared" ca="1" si="72"/>
        <v>0.80023770820710449</v>
      </c>
      <c r="G2338" s="74">
        <v>37.797474942513226</v>
      </c>
      <c r="H2338" s="74">
        <f t="shared" si="73"/>
        <v>2.6969254008192962</v>
      </c>
    </row>
    <row r="2339" spans="5:8" ht="15.6">
      <c r="E2339" s="279" t="s">
        <v>2665</v>
      </c>
      <c r="F2339" s="284">
        <f t="shared" ca="1" si="72"/>
        <v>4.9477521478840769E-2</v>
      </c>
      <c r="G2339" s="74">
        <v>35.181067144621096</v>
      </c>
      <c r="H2339" s="74">
        <f t="shared" si="73"/>
        <v>5.3133331987114261</v>
      </c>
    </row>
    <row r="2340" spans="5:8" ht="15.6">
      <c r="E2340" s="279" t="s">
        <v>2666</v>
      </c>
      <c r="F2340" s="284">
        <f t="shared" ca="1" si="72"/>
        <v>1.9958327333188253E-2</v>
      </c>
      <c r="G2340" s="74">
        <v>39.836138441528178</v>
      </c>
      <c r="H2340" s="74">
        <f t="shared" si="73"/>
        <v>0.65826190180434452</v>
      </c>
    </row>
    <row r="2341" spans="5:8" ht="15.6">
      <c r="E2341" s="279" t="s">
        <v>2667</v>
      </c>
      <c r="F2341" s="284">
        <f t="shared" ca="1" si="72"/>
        <v>0.50112794867890575</v>
      </c>
      <c r="G2341" s="74">
        <v>44.703234013222726</v>
      </c>
      <c r="H2341" s="74">
        <f t="shared" si="73"/>
        <v>-4.208833669890204</v>
      </c>
    </row>
    <row r="2342" spans="5:8" ht="15.6">
      <c r="E2342" s="279" t="s">
        <v>2668</v>
      </c>
      <c r="F2342" s="284">
        <f t="shared" ca="1" si="72"/>
        <v>0.74064385150638568</v>
      </c>
      <c r="G2342" s="74">
        <v>33.130950159766137</v>
      </c>
      <c r="H2342" s="74">
        <f t="shared" si="73"/>
        <v>7.3634501835663855</v>
      </c>
    </row>
    <row r="2343" spans="5:8" ht="15.6">
      <c r="E2343" s="279" t="s">
        <v>2669</v>
      </c>
      <c r="F2343" s="284">
        <f t="shared" ca="1" si="72"/>
        <v>0.79690915045222044</v>
      </c>
      <c r="G2343" s="74">
        <v>39.558018816498084</v>
      </c>
      <c r="H2343" s="74">
        <f t="shared" si="73"/>
        <v>0.9363815268344382</v>
      </c>
    </row>
    <row r="2344" spans="5:8" ht="15.6">
      <c r="E2344" s="279" t="s">
        <v>2670</v>
      </c>
      <c r="F2344" s="284">
        <f t="shared" ca="1" si="72"/>
        <v>0.8156980358072029</v>
      </c>
      <c r="G2344" s="74">
        <v>37.441041168842283</v>
      </c>
      <c r="H2344" s="74">
        <f t="shared" si="73"/>
        <v>3.0533591744902395</v>
      </c>
    </row>
    <row r="2345" spans="5:8" ht="15.6">
      <c r="E2345" s="279" t="s">
        <v>2671</v>
      </c>
      <c r="F2345" s="284">
        <f t="shared" ca="1" si="72"/>
        <v>0.13127758416405577</v>
      </c>
      <c r="G2345" s="74">
        <v>40.710817442075879</v>
      </c>
      <c r="H2345" s="74">
        <f t="shared" si="73"/>
        <v>-0.21641709874335646</v>
      </c>
    </row>
    <row r="2346" spans="5:8" ht="15.6">
      <c r="E2346" s="279" t="s">
        <v>2672</v>
      </c>
      <c r="F2346" s="284">
        <f t="shared" ca="1" si="72"/>
        <v>0.62301179164699438</v>
      </c>
      <c r="G2346" s="74">
        <v>36.442648436726934</v>
      </c>
      <c r="H2346" s="74">
        <f t="shared" si="73"/>
        <v>4.0517519066055883</v>
      </c>
    </row>
    <row r="2347" spans="5:8" ht="15.6">
      <c r="E2347" s="279" t="s">
        <v>2673</v>
      </c>
      <c r="F2347" s="284">
        <f t="shared" ca="1" si="72"/>
        <v>0.88824888043442507</v>
      </c>
      <c r="G2347" s="74">
        <v>36.99018543525127</v>
      </c>
      <c r="H2347" s="74">
        <f t="shared" si="73"/>
        <v>3.5042149080812521</v>
      </c>
    </row>
    <row r="2348" spans="5:8" ht="15.6">
      <c r="E2348" s="279" t="s">
        <v>2674</v>
      </c>
      <c r="F2348" s="284">
        <f t="shared" ca="1" si="72"/>
        <v>0.26234039338753246</v>
      </c>
      <c r="G2348" s="74">
        <v>43.855860522484541</v>
      </c>
      <c r="H2348" s="74">
        <f t="shared" si="73"/>
        <v>-3.3614601791520187</v>
      </c>
    </row>
    <row r="2349" spans="5:8" ht="15.6">
      <c r="E2349" s="279" t="s">
        <v>2675</v>
      </c>
      <c r="F2349" s="284">
        <f t="shared" ca="1" si="72"/>
        <v>0.12597850871475558</v>
      </c>
      <c r="G2349" s="74">
        <v>45.283533476280645</v>
      </c>
      <c r="H2349" s="74">
        <f t="shared" si="73"/>
        <v>-4.7891331329481233</v>
      </c>
    </row>
    <row r="2350" spans="5:8" ht="15.6">
      <c r="E2350" s="279" t="s">
        <v>2676</v>
      </c>
      <c r="F2350" s="284">
        <f t="shared" ca="1" si="72"/>
        <v>0.45259214730304531</v>
      </c>
      <c r="G2350" s="74">
        <v>42.726097578137626</v>
      </c>
      <c r="H2350" s="74">
        <f t="shared" si="73"/>
        <v>-2.2316972348051038</v>
      </c>
    </row>
    <row r="2351" spans="5:8" ht="15.6">
      <c r="E2351" s="279" t="s">
        <v>2677</v>
      </c>
      <c r="F2351" s="284">
        <f t="shared" ca="1" si="72"/>
        <v>0.69682480023792837</v>
      </c>
      <c r="G2351" s="74">
        <v>38.294135214408172</v>
      </c>
      <c r="H2351" s="74">
        <f t="shared" si="73"/>
        <v>2.2002651289243502</v>
      </c>
    </row>
    <row r="2352" spans="5:8" ht="15.6">
      <c r="E2352" s="279" t="s">
        <v>2678</v>
      </c>
      <c r="F2352" s="284">
        <f t="shared" ca="1" si="72"/>
        <v>0.64437910366051443</v>
      </c>
      <c r="G2352" s="74">
        <v>41.665304888065641</v>
      </c>
      <c r="H2352" s="74">
        <f t="shared" si="73"/>
        <v>-1.1709045447331192</v>
      </c>
    </row>
    <row r="2353" spans="5:8" ht="15.6">
      <c r="E2353" s="279" t="s">
        <v>2679</v>
      </c>
      <c r="F2353" s="284">
        <f t="shared" ca="1" si="72"/>
        <v>0.10733898149028986</v>
      </c>
      <c r="G2353" s="74">
        <v>33.896993673430941</v>
      </c>
      <c r="H2353" s="74">
        <f t="shared" si="73"/>
        <v>6.5974066699015808</v>
      </c>
    </row>
    <row r="2354" spans="5:8" ht="15.6">
      <c r="E2354" s="279" t="s">
        <v>2680</v>
      </c>
      <c r="F2354" s="284">
        <f t="shared" ca="1" si="72"/>
        <v>0.25771564305904371</v>
      </c>
      <c r="G2354" s="74">
        <v>40.578817649811263</v>
      </c>
      <c r="H2354" s="74">
        <f t="shared" si="73"/>
        <v>-8.4417306478741239E-2</v>
      </c>
    </row>
    <row r="2355" spans="5:8" ht="15.6">
      <c r="E2355" s="279" t="s">
        <v>2681</v>
      </c>
      <c r="F2355" s="284">
        <f t="shared" ca="1" si="72"/>
        <v>0.30229220530149936</v>
      </c>
      <c r="G2355" s="74">
        <v>38.540206607318481</v>
      </c>
      <c r="H2355" s="74">
        <f t="shared" si="73"/>
        <v>1.9541937360140409</v>
      </c>
    </row>
    <row r="2356" spans="5:8" ht="15.6">
      <c r="E2356" s="279" t="s">
        <v>2682</v>
      </c>
      <c r="F2356" s="284">
        <f t="shared" ca="1" si="72"/>
        <v>0.30089409408776691</v>
      </c>
      <c r="G2356" s="74">
        <v>42.852652698343725</v>
      </c>
      <c r="H2356" s="74">
        <f t="shared" si="73"/>
        <v>-2.3582523550112029</v>
      </c>
    </row>
    <row r="2357" spans="5:8" ht="15.6">
      <c r="E2357" s="279" t="s">
        <v>2683</v>
      </c>
      <c r="F2357" s="284">
        <f t="shared" ca="1" si="72"/>
        <v>0.38467172522726911</v>
      </c>
      <c r="G2357" s="74">
        <v>37.721429687430039</v>
      </c>
      <c r="H2357" s="74">
        <f t="shared" si="73"/>
        <v>2.7729706559024834</v>
      </c>
    </row>
    <row r="2358" spans="5:8" ht="15.6">
      <c r="E2358" s="279" t="s">
        <v>2684</v>
      </c>
      <c r="F2358" s="284">
        <f t="shared" ca="1" si="72"/>
        <v>0.88670692698777398</v>
      </c>
      <c r="G2358" s="74">
        <v>38.521537232666695</v>
      </c>
      <c r="H2358" s="74">
        <f t="shared" si="73"/>
        <v>1.972863110665827</v>
      </c>
    </row>
    <row r="2359" spans="5:8" ht="15.6">
      <c r="E2359" s="279" t="s">
        <v>2685</v>
      </c>
      <c r="F2359" s="284">
        <f t="shared" ca="1" si="72"/>
        <v>0.47265879324710236</v>
      </c>
      <c r="G2359" s="74">
        <v>35.875094792144829</v>
      </c>
      <c r="H2359" s="74">
        <f t="shared" si="73"/>
        <v>4.6193055511876935</v>
      </c>
    </row>
    <row r="2360" spans="5:8" ht="15.6">
      <c r="E2360" s="279" t="s">
        <v>2686</v>
      </c>
      <c r="F2360" s="284">
        <f t="shared" ca="1" si="72"/>
        <v>0.91806100147095471</v>
      </c>
      <c r="G2360" s="74">
        <v>38.323608109103837</v>
      </c>
      <c r="H2360" s="74">
        <f t="shared" si="73"/>
        <v>2.1707922342286849</v>
      </c>
    </row>
    <row r="2361" spans="5:8" ht="15.6">
      <c r="E2361" s="279" t="s">
        <v>2687</v>
      </c>
      <c r="F2361" s="284">
        <f t="shared" ca="1" si="72"/>
        <v>0.96723347047823749</v>
      </c>
      <c r="G2361" s="74">
        <v>39.127469978123045</v>
      </c>
      <c r="H2361" s="74">
        <f t="shared" si="73"/>
        <v>1.3669303652094769</v>
      </c>
    </row>
    <row r="2362" spans="5:8" ht="15.6">
      <c r="E2362" s="279" t="s">
        <v>2688</v>
      </c>
      <c r="F2362" s="284">
        <f t="shared" ca="1" si="72"/>
        <v>0.80595132314667617</v>
      </c>
      <c r="G2362" s="74">
        <v>38.995152944350053</v>
      </c>
      <c r="H2362" s="74">
        <f t="shared" si="73"/>
        <v>1.4992473989824688</v>
      </c>
    </row>
    <row r="2363" spans="5:8" ht="15.6">
      <c r="E2363" s="279" t="s">
        <v>2689</v>
      </c>
      <c r="F2363" s="284">
        <f t="shared" ca="1" si="72"/>
        <v>0.61746204568980689</v>
      </c>
      <c r="G2363" s="74">
        <v>42.383959206857</v>
      </c>
      <c r="H2363" s="74">
        <f t="shared" si="73"/>
        <v>-1.8895588635244778</v>
      </c>
    </row>
    <row r="2364" spans="5:8" ht="15.6">
      <c r="E2364" s="279" t="s">
        <v>2690</v>
      </c>
      <c r="F2364" s="284">
        <f t="shared" ca="1" si="72"/>
        <v>0.70146098085478104</v>
      </c>
      <c r="G2364" s="74">
        <v>39.037240393578777</v>
      </c>
      <c r="H2364" s="74">
        <f t="shared" si="73"/>
        <v>1.4571599497537449</v>
      </c>
    </row>
    <row r="2365" spans="5:8" ht="15.6">
      <c r="E2365" s="279" t="s">
        <v>2691</v>
      </c>
      <c r="F2365" s="284">
        <f t="shared" ca="1" si="72"/>
        <v>0.19550868723357917</v>
      </c>
      <c r="G2365" s="74">
        <v>40.449956139860191</v>
      </c>
      <c r="H2365" s="74">
        <f t="shared" si="73"/>
        <v>4.4444203472330912E-2</v>
      </c>
    </row>
    <row r="2366" spans="5:8" ht="15.6">
      <c r="E2366" s="279" t="s">
        <v>2692</v>
      </c>
      <c r="F2366" s="284">
        <f t="shared" ca="1" si="72"/>
        <v>0.62372857153491812</v>
      </c>
      <c r="G2366" s="74">
        <v>35.080803067242627</v>
      </c>
      <c r="H2366" s="74">
        <f t="shared" si="73"/>
        <v>5.4135972760898952</v>
      </c>
    </row>
    <row r="2367" spans="5:8" ht="15.6">
      <c r="E2367" s="279" t="s">
        <v>2693</v>
      </c>
      <c r="F2367" s="284">
        <f t="shared" ca="1" si="72"/>
        <v>4.1226383209967188E-2</v>
      </c>
      <c r="G2367" s="74">
        <v>43.534705431950321</v>
      </c>
      <c r="H2367" s="74">
        <f t="shared" si="73"/>
        <v>-3.0403050886177994</v>
      </c>
    </row>
    <row r="2368" spans="5:8" ht="15.6">
      <c r="E2368" s="279" t="s">
        <v>2694</v>
      </c>
      <c r="F2368" s="284">
        <f t="shared" ca="1" si="72"/>
        <v>0.54808158779253557</v>
      </c>
      <c r="G2368" s="74">
        <v>38.525095919260536</v>
      </c>
      <c r="H2368" s="74">
        <f t="shared" si="73"/>
        <v>1.9693044240719857</v>
      </c>
    </row>
    <row r="2369" spans="5:8" ht="15.6">
      <c r="E2369" s="279" t="s">
        <v>2695</v>
      </c>
      <c r="F2369" s="284">
        <f t="shared" ca="1" si="72"/>
        <v>0.49679999575328926</v>
      </c>
      <c r="G2369" s="74">
        <v>38.792281540011665</v>
      </c>
      <c r="H2369" s="74">
        <f t="shared" si="73"/>
        <v>1.7021188033208574</v>
      </c>
    </row>
    <row r="2370" spans="5:8" ht="15.6">
      <c r="E2370" s="279" t="s">
        <v>2696</v>
      </c>
      <c r="F2370" s="284">
        <f t="shared" ca="1" si="72"/>
        <v>2.2374296070829636E-2</v>
      </c>
      <c r="G2370" s="74">
        <v>37.41367329044764</v>
      </c>
      <c r="H2370" s="74">
        <f t="shared" si="73"/>
        <v>3.0807270528848818</v>
      </c>
    </row>
    <row r="2371" spans="5:8" ht="15.6">
      <c r="E2371" s="279" t="s">
        <v>2697</v>
      </c>
      <c r="F2371" s="284">
        <f t="shared" ca="1" si="72"/>
        <v>0.3993943877634436</v>
      </c>
      <c r="G2371" s="74">
        <v>42.2326820449601</v>
      </c>
      <c r="H2371" s="74">
        <f t="shared" si="73"/>
        <v>-1.738281701627578</v>
      </c>
    </row>
    <row r="2372" spans="5:8" ht="15.6">
      <c r="E2372" s="279" t="s">
        <v>2698</v>
      </c>
      <c r="F2372" s="284">
        <f t="shared" ca="1" si="72"/>
        <v>9.3446556456175278E-2</v>
      </c>
      <c r="G2372" s="74">
        <v>39.352158042655816</v>
      </c>
      <c r="H2372" s="74">
        <f t="shared" si="73"/>
        <v>1.1422423006767062</v>
      </c>
    </row>
    <row r="2373" spans="5:8" ht="15.6">
      <c r="E2373" s="279" t="s">
        <v>2699</v>
      </c>
      <c r="F2373" s="284">
        <f t="shared" ca="1" si="72"/>
        <v>1.4267910311446252E-2</v>
      </c>
      <c r="G2373" s="74">
        <v>38.766220375009901</v>
      </c>
      <c r="H2373" s="74">
        <f t="shared" si="73"/>
        <v>1.7281799683226211</v>
      </c>
    </row>
    <row r="2374" spans="5:8" ht="15.6">
      <c r="E2374" s="279" t="s">
        <v>2700</v>
      </c>
      <c r="F2374" s="284">
        <f t="shared" ca="1" si="72"/>
        <v>0.68341669461219712</v>
      </c>
      <c r="G2374" s="74">
        <v>41.840210333978334</v>
      </c>
      <c r="H2374" s="74">
        <f t="shared" si="73"/>
        <v>-1.3458099906458116</v>
      </c>
    </row>
    <row r="2375" spans="5:8" ht="15.6">
      <c r="E2375" s="279" t="s">
        <v>2701</v>
      </c>
      <c r="F2375" s="284">
        <f t="shared" ca="1" si="72"/>
        <v>0.82406285088291609</v>
      </c>
      <c r="G2375" s="74">
        <v>33.976499912786167</v>
      </c>
      <c r="H2375" s="74">
        <f t="shared" si="73"/>
        <v>6.517900430546355</v>
      </c>
    </row>
    <row r="2376" spans="5:8" ht="15.6">
      <c r="E2376" s="279" t="s">
        <v>2702</v>
      </c>
      <c r="F2376" s="284">
        <f t="shared" ca="1" si="72"/>
        <v>0.58357046059242679</v>
      </c>
      <c r="G2376" s="74">
        <v>36.962432904597584</v>
      </c>
      <c r="H2376" s="74">
        <f t="shared" si="73"/>
        <v>3.531967438734938</v>
      </c>
    </row>
    <row r="2377" spans="5:8" ht="15.6">
      <c r="E2377" s="279" t="s">
        <v>2703</v>
      </c>
      <c r="F2377" s="284">
        <f t="shared" ca="1" si="72"/>
        <v>0.77784874695584194</v>
      </c>
      <c r="G2377" s="74">
        <v>42.893645895422587</v>
      </c>
      <c r="H2377" s="74">
        <f t="shared" si="73"/>
        <v>-2.3992455520900648</v>
      </c>
    </row>
    <row r="2378" spans="5:8" ht="15.6">
      <c r="E2378" s="279" t="s">
        <v>2704</v>
      </c>
      <c r="F2378" s="284">
        <f t="shared" ca="1" si="72"/>
        <v>1.2741582535983675E-2</v>
      </c>
      <c r="G2378" s="74">
        <v>36.589182263700025</v>
      </c>
      <c r="H2378" s="74">
        <f t="shared" si="73"/>
        <v>3.9052180796324976</v>
      </c>
    </row>
    <row r="2379" spans="5:8" ht="15.6">
      <c r="E2379" s="279" t="s">
        <v>2705</v>
      </c>
      <c r="F2379" s="284">
        <f t="shared" ca="1" si="72"/>
        <v>0.14991193194395203</v>
      </c>
      <c r="G2379" s="74">
        <v>37.861511635775628</v>
      </c>
      <c r="H2379" s="74">
        <f t="shared" si="73"/>
        <v>2.6328887075568943</v>
      </c>
    </row>
    <row r="2380" spans="5:8" ht="15.6">
      <c r="E2380" s="279" t="s">
        <v>2706</v>
      </c>
      <c r="F2380" s="284">
        <f t="shared" ref="F2380:F2443" ca="1" si="74">RAND()</f>
        <v>0.55033048685858399</v>
      </c>
      <c r="G2380" s="74">
        <v>35.924789507265686</v>
      </c>
      <c r="H2380" s="74">
        <f t="shared" ref="H2380:H2443" si="75">$D$2-G2380</f>
        <v>4.5696108360668362</v>
      </c>
    </row>
    <row r="2381" spans="5:8" ht="15.6">
      <c r="E2381" s="279" t="s">
        <v>2707</v>
      </c>
      <c r="F2381" s="284">
        <f t="shared" ca="1" si="74"/>
        <v>0.78272666534042035</v>
      </c>
      <c r="G2381" s="74">
        <v>37.858929216918767</v>
      </c>
      <c r="H2381" s="74">
        <f t="shared" si="75"/>
        <v>2.6354711264137549</v>
      </c>
    </row>
    <row r="2382" spans="5:8" ht="15.6">
      <c r="E2382" s="279" t="s">
        <v>2708</v>
      </c>
      <c r="F2382" s="284">
        <f t="shared" ca="1" si="74"/>
        <v>0.26558619807285189</v>
      </c>
      <c r="G2382" s="74">
        <v>38.230941807181601</v>
      </c>
      <c r="H2382" s="74">
        <f t="shared" si="75"/>
        <v>2.263458536150921</v>
      </c>
    </row>
    <row r="2383" spans="5:8" ht="15.6">
      <c r="E2383" s="279" t="s">
        <v>2709</v>
      </c>
      <c r="F2383" s="284">
        <f t="shared" ca="1" si="74"/>
        <v>0.17840346193261092</v>
      </c>
      <c r="G2383" s="74">
        <v>34.102139266947809</v>
      </c>
      <c r="H2383" s="74">
        <f t="shared" si="75"/>
        <v>6.3922610763847132</v>
      </c>
    </row>
    <row r="2384" spans="5:8" ht="15.6">
      <c r="E2384" s="279" t="s">
        <v>2710</v>
      </c>
      <c r="F2384" s="284">
        <f t="shared" ca="1" si="74"/>
        <v>0.59544127672396607</v>
      </c>
      <c r="G2384" s="74">
        <v>38.098934133091937</v>
      </c>
      <c r="H2384" s="74">
        <f t="shared" si="75"/>
        <v>2.3954662102405848</v>
      </c>
    </row>
    <row r="2385" spans="5:8" ht="15.6">
      <c r="E2385" s="279" t="s">
        <v>2711</v>
      </c>
      <c r="F2385" s="284">
        <f t="shared" ca="1" si="74"/>
        <v>0.25503312469426176</v>
      </c>
      <c r="G2385" s="74">
        <v>40.746071120320025</v>
      </c>
      <c r="H2385" s="74">
        <f t="shared" si="75"/>
        <v>-0.25167077698750262</v>
      </c>
    </row>
    <row r="2386" spans="5:8" ht="15.6">
      <c r="E2386" s="279" t="s">
        <v>2712</v>
      </c>
      <c r="F2386" s="284">
        <f t="shared" ca="1" si="74"/>
        <v>0.7895667846945621</v>
      </c>
      <c r="G2386" s="74">
        <v>36.293423425334751</v>
      </c>
      <c r="H2386" s="74">
        <f t="shared" si="75"/>
        <v>4.200976917997771</v>
      </c>
    </row>
    <row r="2387" spans="5:8" ht="15.6">
      <c r="E2387" s="279" t="s">
        <v>2713</v>
      </c>
      <c r="F2387" s="284">
        <f t="shared" ca="1" si="74"/>
        <v>7.2107213052493568E-2</v>
      </c>
      <c r="G2387" s="74">
        <v>37.397347836659101</v>
      </c>
      <c r="H2387" s="74">
        <f t="shared" si="75"/>
        <v>3.0970525066734211</v>
      </c>
    </row>
    <row r="2388" spans="5:8" ht="15.6">
      <c r="E2388" s="279" t="s">
        <v>2714</v>
      </c>
      <c r="F2388" s="284">
        <f t="shared" ca="1" si="74"/>
        <v>9.5272621456603757E-2</v>
      </c>
      <c r="G2388" s="74">
        <v>35.833180587784554</v>
      </c>
      <c r="H2388" s="74">
        <f t="shared" si="75"/>
        <v>4.6612197555479682</v>
      </c>
    </row>
    <row r="2389" spans="5:8" ht="15.6">
      <c r="E2389" s="279" t="s">
        <v>2715</v>
      </c>
      <c r="F2389" s="284">
        <f t="shared" ca="1" si="74"/>
        <v>0.40048893592995971</v>
      </c>
      <c r="G2389" s="74">
        <v>34.913811030177051</v>
      </c>
      <c r="H2389" s="74">
        <f t="shared" si="75"/>
        <v>5.5805893131554711</v>
      </c>
    </row>
    <row r="2390" spans="5:8" ht="15.6">
      <c r="E2390" s="279" t="s">
        <v>2716</v>
      </c>
      <c r="F2390" s="284">
        <f t="shared" ca="1" si="74"/>
        <v>0.80806554890404825</v>
      </c>
      <c r="G2390" s="74">
        <v>36.741313661578161</v>
      </c>
      <c r="H2390" s="74">
        <f t="shared" si="75"/>
        <v>3.7530866817543611</v>
      </c>
    </row>
    <row r="2391" spans="5:8" ht="15.6">
      <c r="E2391" s="279" t="s">
        <v>2717</v>
      </c>
      <c r="F2391" s="284">
        <f t="shared" ca="1" si="74"/>
        <v>0.84251702812899054</v>
      </c>
      <c r="G2391" s="74">
        <v>37.085167626261722</v>
      </c>
      <c r="H2391" s="74">
        <f t="shared" si="75"/>
        <v>3.4092327170708003</v>
      </c>
    </row>
    <row r="2392" spans="5:8" ht="15.6">
      <c r="E2392" s="279" t="s">
        <v>2718</v>
      </c>
      <c r="F2392" s="284">
        <f t="shared" ca="1" si="74"/>
        <v>0.88837604785794311</v>
      </c>
      <c r="G2392" s="74">
        <v>43.513600685054413</v>
      </c>
      <c r="H2392" s="74">
        <f t="shared" si="75"/>
        <v>-3.0192003417218913</v>
      </c>
    </row>
    <row r="2393" spans="5:8" ht="15.6">
      <c r="E2393" s="279" t="s">
        <v>2719</v>
      </c>
      <c r="F2393" s="284">
        <f t="shared" ca="1" si="74"/>
        <v>0.92685866580804821</v>
      </c>
      <c r="G2393" s="74">
        <v>39.607192486872123</v>
      </c>
      <c r="H2393" s="74">
        <f t="shared" si="75"/>
        <v>0.88720785646039957</v>
      </c>
    </row>
    <row r="2394" spans="5:8" ht="15.6">
      <c r="E2394" s="279" t="s">
        <v>2720</v>
      </c>
      <c r="F2394" s="284">
        <f t="shared" ca="1" si="74"/>
        <v>0.50383605503492879</v>
      </c>
      <c r="G2394" s="74">
        <v>43.244754703243387</v>
      </c>
      <c r="H2394" s="74">
        <f t="shared" si="75"/>
        <v>-2.7503543599108653</v>
      </c>
    </row>
    <row r="2395" spans="5:8" ht="15.6">
      <c r="E2395" s="279" t="s">
        <v>2721</v>
      </c>
      <c r="F2395" s="284">
        <f t="shared" ca="1" si="74"/>
        <v>0.30499844186421365</v>
      </c>
      <c r="G2395" s="74">
        <v>39.209404195119809</v>
      </c>
      <c r="H2395" s="74">
        <f t="shared" si="75"/>
        <v>1.2849961482127128</v>
      </c>
    </row>
    <row r="2396" spans="5:8" ht="15.6">
      <c r="E2396" s="279" t="s">
        <v>2722</v>
      </c>
      <c r="F2396" s="284">
        <f t="shared" ca="1" si="74"/>
        <v>4.1481859314222325E-2</v>
      </c>
      <c r="G2396" s="74">
        <v>40.672961154448146</v>
      </c>
      <c r="H2396" s="74">
        <f t="shared" si="75"/>
        <v>-0.17856081111562361</v>
      </c>
    </row>
    <row r="2397" spans="5:8" ht="15.6">
      <c r="E2397" s="279" t="s">
        <v>2723</v>
      </c>
      <c r="F2397" s="284">
        <f t="shared" ca="1" si="74"/>
        <v>0.31414322523828253</v>
      </c>
      <c r="G2397" s="74">
        <v>40.024642122385863</v>
      </c>
      <c r="H2397" s="74">
        <f t="shared" si="75"/>
        <v>0.46975822094665887</v>
      </c>
    </row>
    <row r="2398" spans="5:8" ht="15.6">
      <c r="E2398" s="279" t="s">
        <v>2724</v>
      </c>
      <c r="F2398" s="284">
        <f t="shared" ca="1" si="74"/>
        <v>0.21738622979711852</v>
      </c>
      <c r="G2398" s="74">
        <v>38.759425187838836</v>
      </c>
      <c r="H2398" s="74">
        <f t="shared" si="75"/>
        <v>1.7349751554936859</v>
      </c>
    </row>
    <row r="2399" spans="5:8" ht="15.6">
      <c r="E2399" s="279" t="s">
        <v>2725</v>
      </c>
      <c r="F2399" s="284">
        <f t="shared" ca="1" si="74"/>
        <v>0.65839868479276842</v>
      </c>
      <c r="G2399" s="74">
        <v>37.279790005933336</v>
      </c>
      <c r="H2399" s="74">
        <f t="shared" si="75"/>
        <v>3.2146103373991863</v>
      </c>
    </row>
    <row r="2400" spans="5:8" ht="15.6">
      <c r="E2400" s="279" t="s">
        <v>2726</v>
      </c>
      <c r="F2400" s="284">
        <f t="shared" ca="1" si="74"/>
        <v>0.29407656326892495</v>
      </c>
      <c r="G2400" s="74">
        <v>42.155336065713961</v>
      </c>
      <c r="H2400" s="74">
        <f t="shared" si="75"/>
        <v>-1.6609357223814385</v>
      </c>
    </row>
    <row r="2401" spans="5:8" ht="15.6">
      <c r="E2401" s="279" t="s">
        <v>2727</v>
      </c>
      <c r="F2401" s="284">
        <f t="shared" ca="1" si="74"/>
        <v>0.27676018183161055</v>
      </c>
      <c r="G2401" s="74">
        <v>41.959102780823265</v>
      </c>
      <c r="H2401" s="74">
        <f t="shared" si="75"/>
        <v>-1.4647024374907431</v>
      </c>
    </row>
    <row r="2402" spans="5:8" ht="15.6">
      <c r="E2402" s="279" t="s">
        <v>2728</v>
      </c>
      <c r="F2402" s="284">
        <f t="shared" ca="1" si="74"/>
        <v>0.78628363409253432</v>
      </c>
      <c r="G2402" s="74">
        <v>35.906527434230682</v>
      </c>
      <c r="H2402" s="74">
        <f t="shared" si="75"/>
        <v>4.58787290910184</v>
      </c>
    </row>
    <row r="2403" spans="5:8" ht="15.6">
      <c r="E2403" s="279" t="s">
        <v>2729</v>
      </c>
      <c r="F2403" s="284">
        <f t="shared" ca="1" si="74"/>
        <v>0.42022962937821307</v>
      </c>
      <c r="G2403" s="74">
        <v>40.829907330445316</v>
      </c>
      <c r="H2403" s="74">
        <f t="shared" si="75"/>
        <v>-0.33550698711279381</v>
      </c>
    </row>
    <row r="2404" spans="5:8" ht="15.6">
      <c r="E2404" s="279" t="s">
        <v>2730</v>
      </c>
      <c r="F2404" s="284">
        <f t="shared" ca="1" si="74"/>
        <v>0.78146244665456688</v>
      </c>
      <c r="G2404" s="74">
        <v>35.662856643499211</v>
      </c>
      <c r="H2404" s="74">
        <f t="shared" si="75"/>
        <v>4.8315436998333112</v>
      </c>
    </row>
    <row r="2405" spans="5:8" ht="15.6">
      <c r="E2405" s="279" t="s">
        <v>2731</v>
      </c>
      <c r="F2405" s="284">
        <f t="shared" ca="1" si="74"/>
        <v>0.14647784808408559</v>
      </c>
      <c r="G2405" s="74">
        <v>38.889851532958971</v>
      </c>
      <c r="H2405" s="74">
        <f t="shared" si="75"/>
        <v>1.6045488103735508</v>
      </c>
    </row>
    <row r="2406" spans="5:8" ht="15.6">
      <c r="E2406" s="279" t="s">
        <v>2732</v>
      </c>
      <c r="F2406" s="284">
        <f t="shared" ca="1" si="74"/>
        <v>0.14590264194058122</v>
      </c>
      <c r="G2406" s="74">
        <v>38.633276977046307</v>
      </c>
      <c r="H2406" s="74">
        <f t="shared" si="75"/>
        <v>1.8611233662862148</v>
      </c>
    </row>
    <row r="2407" spans="5:8" ht="15.6">
      <c r="E2407" s="279" t="s">
        <v>2733</v>
      </c>
      <c r="F2407" s="284">
        <f t="shared" ca="1" si="74"/>
        <v>0.21337113428834509</v>
      </c>
      <c r="G2407" s="74">
        <v>37.820155603692925</v>
      </c>
      <c r="H2407" s="74">
        <f t="shared" si="75"/>
        <v>2.6742447396395974</v>
      </c>
    </row>
    <row r="2408" spans="5:8" ht="15.6">
      <c r="E2408" s="279" t="s">
        <v>2734</v>
      </c>
      <c r="F2408" s="284">
        <f t="shared" ca="1" si="74"/>
        <v>0.52825200178618803</v>
      </c>
      <c r="G2408" s="74">
        <v>41.003639290268694</v>
      </c>
      <c r="H2408" s="74">
        <f t="shared" si="75"/>
        <v>-0.509238946936172</v>
      </c>
    </row>
    <row r="2409" spans="5:8" ht="15.6">
      <c r="E2409" s="279" t="s">
        <v>2735</v>
      </c>
      <c r="F2409" s="284">
        <f t="shared" ca="1" si="74"/>
        <v>0.97260053177546901</v>
      </c>
      <c r="G2409" s="74">
        <v>36.569702415995607</v>
      </c>
      <c r="H2409" s="74">
        <f t="shared" si="75"/>
        <v>3.9246979273369149</v>
      </c>
    </row>
    <row r="2410" spans="5:8" ht="15.6">
      <c r="E2410" s="279" t="s">
        <v>2736</v>
      </c>
      <c r="F2410" s="284">
        <f t="shared" ca="1" si="74"/>
        <v>0.94984315827760479</v>
      </c>
      <c r="G2410" s="74">
        <v>39.152768123207679</v>
      </c>
      <c r="H2410" s="74">
        <f t="shared" si="75"/>
        <v>1.3416322201248434</v>
      </c>
    </row>
    <row r="2411" spans="5:8" ht="15.6">
      <c r="E2411" s="279" t="s">
        <v>2737</v>
      </c>
      <c r="F2411" s="284">
        <f t="shared" ca="1" si="74"/>
        <v>0.52099840543583664</v>
      </c>
      <c r="G2411" s="74">
        <v>38.834726197206408</v>
      </c>
      <c r="H2411" s="74">
        <f t="shared" si="75"/>
        <v>1.6596741461261146</v>
      </c>
    </row>
    <row r="2412" spans="5:8" ht="15.6">
      <c r="E2412" s="279" t="s">
        <v>2738</v>
      </c>
      <c r="F2412" s="284">
        <f t="shared" ca="1" si="74"/>
        <v>0.46915412014929991</v>
      </c>
      <c r="G2412" s="74">
        <v>38.249133754201466</v>
      </c>
      <c r="H2412" s="74">
        <f t="shared" si="75"/>
        <v>2.2452665891310559</v>
      </c>
    </row>
    <row r="2413" spans="5:8" ht="15.6">
      <c r="E2413" s="279" t="s">
        <v>2739</v>
      </c>
      <c r="F2413" s="284">
        <f t="shared" ca="1" si="74"/>
        <v>0.87064828010030626</v>
      </c>
      <c r="G2413" s="74">
        <v>39.023072366633265</v>
      </c>
      <c r="H2413" s="74">
        <f t="shared" si="75"/>
        <v>1.4713279766992571</v>
      </c>
    </row>
    <row r="2414" spans="5:8" ht="15.6">
      <c r="E2414" s="279" t="s">
        <v>2740</v>
      </c>
      <c r="F2414" s="284">
        <f t="shared" ca="1" si="74"/>
        <v>3.1274247673793387E-2</v>
      </c>
      <c r="G2414" s="74">
        <v>39.631198593557592</v>
      </c>
      <c r="H2414" s="74">
        <f t="shared" si="75"/>
        <v>0.86320174977493025</v>
      </c>
    </row>
    <row r="2415" spans="5:8" ht="15.6">
      <c r="E2415" s="279" t="s">
        <v>2741</v>
      </c>
      <c r="F2415" s="284">
        <f t="shared" ca="1" si="74"/>
        <v>0.37153340959891479</v>
      </c>
      <c r="G2415" s="74">
        <v>40.035405905270657</v>
      </c>
      <c r="H2415" s="74">
        <f t="shared" si="75"/>
        <v>0.45899443806186468</v>
      </c>
    </row>
    <row r="2416" spans="5:8" ht="15.6">
      <c r="E2416" s="279" t="s">
        <v>2742</v>
      </c>
      <c r="F2416" s="284">
        <f t="shared" ca="1" si="74"/>
        <v>0.38010534563860687</v>
      </c>
      <c r="G2416" s="74">
        <v>41.610430977390095</v>
      </c>
      <c r="H2416" s="74">
        <f t="shared" si="75"/>
        <v>-1.116030634057573</v>
      </c>
    </row>
    <row r="2417" spans="5:8" ht="15.6">
      <c r="E2417" s="279" t="s">
        <v>2743</v>
      </c>
      <c r="F2417" s="284">
        <f t="shared" ca="1" si="74"/>
        <v>6.6757168142301704E-2</v>
      </c>
      <c r="G2417" s="74">
        <v>38.443808190821187</v>
      </c>
      <c r="H2417" s="74">
        <f t="shared" si="75"/>
        <v>2.0505921525113351</v>
      </c>
    </row>
    <row r="2418" spans="5:8" ht="15.6">
      <c r="E2418" s="279" t="s">
        <v>2744</v>
      </c>
      <c r="F2418" s="284">
        <f t="shared" ca="1" si="74"/>
        <v>0.76451077194521233</v>
      </c>
      <c r="G2418" s="74">
        <v>38.769958065804929</v>
      </c>
      <c r="H2418" s="74">
        <f t="shared" si="75"/>
        <v>1.7244422775275936</v>
      </c>
    </row>
    <row r="2419" spans="5:8" ht="15.6">
      <c r="E2419" s="279" t="s">
        <v>2745</v>
      </c>
      <c r="F2419" s="284">
        <f t="shared" ca="1" si="74"/>
        <v>0.39796009733632953</v>
      </c>
      <c r="G2419" s="74">
        <v>40.411784431962239</v>
      </c>
      <c r="H2419" s="74">
        <f t="shared" si="75"/>
        <v>8.2615911370282902E-2</v>
      </c>
    </row>
    <row r="2420" spans="5:8" ht="15.6">
      <c r="E2420" s="279" t="s">
        <v>2746</v>
      </c>
      <c r="F2420" s="284">
        <f t="shared" ca="1" si="74"/>
        <v>0.20854619768482563</v>
      </c>
      <c r="G2420" s="74">
        <v>38.008328837142678</v>
      </c>
      <c r="H2420" s="74">
        <f t="shared" si="75"/>
        <v>2.4860715061898446</v>
      </c>
    </row>
    <row r="2421" spans="5:8" ht="15.6">
      <c r="E2421" s="279" t="s">
        <v>2747</v>
      </c>
      <c r="F2421" s="284">
        <f t="shared" ca="1" si="74"/>
        <v>0.32925202223887573</v>
      </c>
      <c r="G2421" s="74">
        <v>37.894776929898093</v>
      </c>
      <c r="H2421" s="74">
        <f t="shared" si="75"/>
        <v>2.5996234134344292</v>
      </c>
    </row>
    <row r="2422" spans="5:8" ht="15.6">
      <c r="E2422" s="279" t="s">
        <v>2748</v>
      </c>
      <c r="F2422" s="284">
        <f t="shared" ca="1" si="74"/>
        <v>0.6971247268897276</v>
      </c>
      <c r="G2422" s="74">
        <v>42.831225604081254</v>
      </c>
      <c r="H2422" s="74">
        <f t="shared" si="75"/>
        <v>-2.3368252607487321</v>
      </c>
    </row>
    <row r="2423" spans="5:8" ht="15.6">
      <c r="E2423" s="279" t="s">
        <v>2749</v>
      </c>
      <c r="F2423" s="284">
        <f t="shared" ca="1" si="74"/>
        <v>0.19007317555213921</v>
      </c>
      <c r="G2423" s="74">
        <v>38.414933965076564</v>
      </c>
      <c r="H2423" s="74">
        <f t="shared" si="75"/>
        <v>2.0794663782559581</v>
      </c>
    </row>
    <row r="2424" spans="5:8" ht="15.6">
      <c r="E2424" s="279" t="s">
        <v>2750</v>
      </c>
      <c r="F2424" s="284">
        <f t="shared" ca="1" si="74"/>
        <v>0.55498535091525703</v>
      </c>
      <c r="G2424" s="74">
        <v>40.241396876193079</v>
      </c>
      <c r="H2424" s="74">
        <f t="shared" si="75"/>
        <v>0.25300346713944322</v>
      </c>
    </row>
    <row r="2425" spans="5:8" ht="15.6">
      <c r="E2425" s="279" t="s">
        <v>2751</v>
      </c>
      <c r="F2425" s="284">
        <f t="shared" ca="1" si="74"/>
        <v>6.19066572630671E-2</v>
      </c>
      <c r="G2425" s="74">
        <v>39.39287822662088</v>
      </c>
      <c r="H2425" s="74">
        <f t="shared" si="75"/>
        <v>1.1015221167116422</v>
      </c>
    </row>
    <row r="2426" spans="5:8" ht="15.6">
      <c r="E2426" s="279" t="s">
        <v>2752</v>
      </c>
      <c r="F2426" s="284">
        <f t="shared" ca="1" si="74"/>
        <v>0.24748962982460887</v>
      </c>
      <c r="G2426" s="74">
        <v>38.984317018872815</v>
      </c>
      <c r="H2426" s="74">
        <f t="shared" si="75"/>
        <v>1.5100833244597069</v>
      </c>
    </row>
    <row r="2427" spans="5:8" ht="15.6">
      <c r="E2427" s="279" t="s">
        <v>2753</v>
      </c>
      <c r="F2427" s="284">
        <f t="shared" ca="1" si="74"/>
        <v>0.88250571678776968</v>
      </c>
      <c r="G2427" s="74">
        <v>42.4021134974425</v>
      </c>
      <c r="H2427" s="74">
        <f t="shared" si="75"/>
        <v>-1.9077131541099774</v>
      </c>
    </row>
    <row r="2428" spans="5:8" ht="15.6">
      <c r="E2428" s="279" t="s">
        <v>2754</v>
      </c>
      <c r="F2428" s="284">
        <f t="shared" ca="1" si="74"/>
        <v>0.41249284130029495</v>
      </c>
      <c r="G2428" s="74">
        <v>41.108383556951701</v>
      </c>
      <c r="H2428" s="74">
        <f t="shared" si="75"/>
        <v>-0.61398321361917851</v>
      </c>
    </row>
    <row r="2429" spans="5:8" ht="15.6">
      <c r="E2429" s="279" t="s">
        <v>2755</v>
      </c>
      <c r="F2429" s="284">
        <f t="shared" ca="1" si="74"/>
        <v>0.55364474184964363</v>
      </c>
      <c r="G2429" s="74">
        <v>38.501212219146112</v>
      </c>
      <c r="H2429" s="74">
        <f t="shared" si="75"/>
        <v>1.9931881241864104</v>
      </c>
    </row>
    <row r="2430" spans="5:8" ht="15.6">
      <c r="E2430" s="279" t="s">
        <v>2756</v>
      </c>
      <c r="F2430" s="284">
        <f t="shared" ca="1" si="74"/>
        <v>0.15089838109755915</v>
      </c>
      <c r="G2430" s="74">
        <v>33.672483571532439</v>
      </c>
      <c r="H2430" s="74">
        <f t="shared" si="75"/>
        <v>6.8219167718000833</v>
      </c>
    </row>
    <row r="2431" spans="5:8" ht="15.6">
      <c r="E2431" s="279" t="s">
        <v>2757</v>
      </c>
      <c r="F2431" s="284">
        <f t="shared" ca="1" si="74"/>
        <v>0.73710167332473575</v>
      </c>
      <c r="G2431" s="74">
        <v>39.959135688015991</v>
      </c>
      <c r="H2431" s="74">
        <f t="shared" si="75"/>
        <v>0.53526465531653145</v>
      </c>
    </row>
    <row r="2432" spans="5:8" ht="15.6">
      <c r="E2432" s="279" t="s">
        <v>2758</v>
      </c>
      <c r="F2432" s="284">
        <f t="shared" ca="1" si="74"/>
        <v>0.10211706455468306</v>
      </c>
      <c r="G2432" s="74">
        <v>44.156677315146482</v>
      </c>
      <c r="H2432" s="74">
        <f t="shared" si="75"/>
        <v>-3.6622769718139594</v>
      </c>
    </row>
    <row r="2433" spans="5:8" ht="15.6">
      <c r="E2433" s="279" t="s">
        <v>2759</v>
      </c>
      <c r="F2433" s="284">
        <f t="shared" ca="1" si="74"/>
        <v>0.9805091748844369</v>
      </c>
      <c r="G2433" s="74">
        <v>39.214586391570826</v>
      </c>
      <c r="H2433" s="74">
        <f t="shared" si="75"/>
        <v>1.279813951761696</v>
      </c>
    </row>
    <row r="2434" spans="5:8" ht="15.6">
      <c r="E2434" s="279" t="s">
        <v>2760</v>
      </c>
      <c r="F2434" s="284">
        <f t="shared" ca="1" si="74"/>
        <v>0.46577191025777465</v>
      </c>
      <c r="G2434" s="74">
        <v>40.53192662583529</v>
      </c>
      <c r="H2434" s="74">
        <f t="shared" si="75"/>
        <v>-3.7526282502767572E-2</v>
      </c>
    </row>
    <row r="2435" spans="5:8" ht="15.6">
      <c r="E2435" s="279" t="s">
        <v>2761</v>
      </c>
      <c r="F2435" s="284">
        <f t="shared" ca="1" si="74"/>
        <v>5.5962417829596989E-2</v>
      </c>
      <c r="G2435" s="74">
        <v>39.307369607175907</v>
      </c>
      <c r="H2435" s="74">
        <f t="shared" si="75"/>
        <v>1.1870307361566148</v>
      </c>
    </row>
    <row r="2436" spans="5:8" ht="15.6">
      <c r="E2436" s="279" t="s">
        <v>2762</v>
      </c>
      <c r="F2436" s="284">
        <f t="shared" ca="1" si="74"/>
        <v>0.69366059014653947</v>
      </c>
      <c r="G2436" s="74">
        <v>40.111101914428644</v>
      </c>
      <c r="H2436" s="74">
        <f t="shared" si="75"/>
        <v>0.38329842890387766</v>
      </c>
    </row>
    <row r="2437" spans="5:8" ht="15.6">
      <c r="E2437" s="279" t="s">
        <v>2763</v>
      </c>
      <c r="F2437" s="284">
        <f t="shared" ca="1" si="74"/>
        <v>0.43979126304385574</v>
      </c>
      <c r="G2437" s="74">
        <v>43.307545406673796</v>
      </c>
      <c r="H2437" s="74">
        <f t="shared" si="75"/>
        <v>-2.813145063341274</v>
      </c>
    </row>
    <row r="2438" spans="5:8" ht="15.6">
      <c r="E2438" s="279" t="s">
        <v>2764</v>
      </c>
      <c r="F2438" s="284">
        <f t="shared" ca="1" si="74"/>
        <v>0.41216576043989483</v>
      </c>
      <c r="G2438" s="74">
        <v>44.509169916081035</v>
      </c>
      <c r="H2438" s="74">
        <f t="shared" si="75"/>
        <v>-4.0147695727485129</v>
      </c>
    </row>
    <row r="2439" spans="5:8" ht="15.6">
      <c r="E2439" s="279" t="s">
        <v>2765</v>
      </c>
      <c r="F2439" s="284">
        <f t="shared" ca="1" si="74"/>
        <v>0.68826159122154851</v>
      </c>
      <c r="G2439" s="74">
        <v>41.045145685532106</v>
      </c>
      <c r="H2439" s="74">
        <f t="shared" si="75"/>
        <v>-0.55074534219958338</v>
      </c>
    </row>
    <row r="2440" spans="5:8" ht="15.6">
      <c r="E2440" s="279" t="s">
        <v>2766</v>
      </c>
      <c r="F2440" s="284">
        <f t="shared" ca="1" si="74"/>
        <v>0.13164361855193851</v>
      </c>
      <c r="G2440" s="74">
        <v>39.539490115605446</v>
      </c>
      <c r="H2440" s="74">
        <f t="shared" si="75"/>
        <v>0.95491022772707623</v>
      </c>
    </row>
    <row r="2441" spans="5:8" ht="15.6">
      <c r="E2441" s="279" t="s">
        <v>2767</v>
      </c>
      <c r="F2441" s="284">
        <f t="shared" ca="1" si="74"/>
        <v>5.7622903096191114E-2</v>
      </c>
      <c r="G2441" s="74">
        <v>42.465507599925907</v>
      </c>
      <c r="H2441" s="74">
        <f t="shared" si="75"/>
        <v>-1.9711072565933847</v>
      </c>
    </row>
    <row r="2442" spans="5:8" ht="15.6">
      <c r="E2442" s="279" t="s">
        <v>2768</v>
      </c>
      <c r="F2442" s="284">
        <f t="shared" ca="1" si="74"/>
        <v>0.53370552404510097</v>
      </c>
      <c r="G2442" s="74">
        <v>39.369311609937242</v>
      </c>
      <c r="H2442" s="74">
        <f t="shared" si="75"/>
        <v>1.1250887333952804</v>
      </c>
    </row>
    <row r="2443" spans="5:8" ht="15.6">
      <c r="E2443" s="279" t="s">
        <v>2769</v>
      </c>
      <c r="F2443" s="284">
        <f t="shared" ca="1" si="74"/>
        <v>0.322159053756643</v>
      </c>
      <c r="G2443" s="74">
        <v>40.095843218436869</v>
      </c>
      <c r="H2443" s="74">
        <f t="shared" si="75"/>
        <v>0.3985571248956532</v>
      </c>
    </row>
    <row r="2444" spans="5:8" ht="15.6">
      <c r="E2444" s="279" t="s">
        <v>2770</v>
      </c>
      <c r="F2444" s="284">
        <f t="shared" ref="F2444:F2507" ca="1" si="76">RAND()</f>
        <v>0.56639003434205215</v>
      </c>
      <c r="G2444" s="74">
        <v>39.14480882663392</v>
      </c>
      <c r="H2444" s="74">
        <f t="shared" ref="H2444:H2507" si="77">$D$2-G2444</f>
        <v>1.3495915166986023</v>
      </c>
    </row>
    <row r="2445" spans="5:8" ht="15.6">
      <c r="E2445" s="279" t="s">
        <v>2771</v>
      </c>
      <c r="F2445" s="284">
        <f t="shared" ca="1" si="76"/>
        <v>0.60426824085506115</v>
      </c>
      <c r="G2445" s="74">
        <v>39.358320758814628</v>
      </c>
      <c r="H2445" s="74">
        <f t="shared" si="77"/>
        <v>1.1360795845178941</v>
      </c>
    </row>
    <row r="2446" spans="5:8" ht="15.6">
      <c r="E2446" s="279" t="s">
        <v>2772</v>
      </c>
      <c r="F2446" s="284">
        <f t="shared" ca="1" si="76"/>
        <v>0.13195430355477633</v>
      </c>
      <c r="G2446" s="74">
        <v>37.7057817494589</v>
      </c>
      <c r="H2446" s="74">
        <f t="shared" si="77"/>
        <v>2.7886185938736219</v>
      </c>
    </row>
    <row r="2447" spans="5:8" ht="15.6">
      <c r="E2447" s="279" t="s">
        <v>2773</v>
      </c>
      <c r="F2447" s="284">
        <f t="shared" ca="1" si="76"/>
        <v>0.88515066544537235</v>
      </c>
      <c r="G2447" s="74">
        <v>36.212580675669649</v>
      </c>
      <c r="H2447" s="74">
        <f t="shared" si="77"/>
        <v>4.281819667662873</v>
      </c>
    </row>
    <row r="2448" spans="5:8" ht="15.6">
      <c r="E2448" s="279" t="s">
        <v>2774</v>
      </c>
      <c r="F2448" s="284">
        <f t="shared" ca="1" si="76"/>
        <v>0.25124834848216004</v>
      </c>
      <c r="G2448" s="74">
        <v>42.786281311427061</v>
      </c>
      <c r="H2448" s="74">
        <f t="shared" si="77"/>
        <v>-2.2918809680945387</v>
      </c>
    </row>
    <row r="2449" spans="5:8" ht="15.6">
      <c r="E2449" s="279" t="s">
        <v>2775</v>
      </c>
      <c r="F2449" s="284">
        <f t="shared" ca="1" si="76"/>
        <v>0.23994829756321379</v>
      </c>
      <c r="G2449" s="74">
        <v>39.502158118244878</v>
      </c>
      <c r="H2449" s="74">
        <f t="shared" si="77"/>
        <v>0.9922422250876437</v>
      </c>
    </row>
    <row r="2450" spans="5:8" ht="15.6">
      <c r="E2450" s="279" t="s">
        <v>2776</v>
      </c>
      <c r="F2450" s="284">
        <f t="shared" ca="1" si="76"/>
        <v>0.44412549414154723</v>
      </c>
      <c r="G2450" s="74">
        <v>38.853391543290776</v>
      </c>
      <c r="H2450" s="74">
        <f t="shared" si="77"/>
        <v>1.641008800041746</v>
      </c>
    </row>
    <row r="2451" spans="5:8" ht="15.6">
      <c r="E2451" s="279" t="s">
        <v>2777</v>
      </c>
      <c r="F2451" s="284">
        <f t="shared" ca="1" si="76"/>
        <v>0.88371105657815618</v>
      </c>
      <c r="G2451" s="74">
        <v>38.319581490747694</v>
      </c>
      <c r="H2451" s="74">
        <f t="shared" si="77"/>
        <v>2.1748188525848278</v>
      </c>
    </row>
    <row r="2452" spans="5:8" ht="15.6">
      <c r="E2452" s="279" t="s">
        <v>2778</v>
      </c>
      <c r="F2452" s="284">
        <f t="shared" ca="1" si="76"/>
        <v>0.18364322621965812</v>
      </c>
      <c r="G2452" s="74">
        <v>39.537020026931692</v>
      </c>
      <c r="H2452" s="74">
        <f t="shared" si="77"/>
        <v>0.95738031640082966</v>
      </c>
    </row>
    <row r="2453" spans="5:8" ht="15.6">
      <c r="E2453" s="279" t="s">
        <v>2779</v>
      </c>
      <c r="F2453" s="284">
        <f t="shared" ca="1" si="76"/>
        <v>0.16393251912523377</v>
      </c>
      <c r="G2453" s="74">
        <v>37.954848927965529</v>
      </c>
      <c r="H2453" s="74">
        <f t="shared" si="77"/>
        <v>2.5395514153669936</v>
      </c>
    </row>
    <row r="2454" spans="5:8" ht="15.6">
      <c r="E2454" s="279" t="s">
        <v>2780</v>
      </c>
      <c r="F2454" s="284">
        <f t="shared" ca="1" si="76"/>
        <v>0.11951505959477648</v>
      </c>
      <c r="G2454" s="74">
        <v>37.157065196701026</v>
      </c>
      <c r="H2454" s="74">
        <f t="shared" si="77"/>
        <v>3.3373351466314958</v>
      </c>
    </row>
    <row r="2455" spans="5:8" ht="15.6">
      <c r="E2455" s="279" t="s">
        <v>2781</v>
      </c>
      <c r="F2455" s="284">
        <f t="shared" ca="1" si="76"/>
        <v>0.82294159689591351</v>
      </c>
      <c r="G2455" s="74">
        <v>38.286656563795177</v>
      </c>
      <c r="H2455" s="74">
        <f t="shared" si="77"/>
        <v>2.2077437795373456</v>
      </c>
    </row>
    <row r="2456" spans="5:8" ht="15.6">
      <c r="E2456" s="279" t="s">
        <v>2782</v>
      </c>
      <c r="F2456" s="284">
        <f t="shared" ca="1" si="76"/>
        <v>0.34005064601077739</v>
      </c>
      <c r="G2456" s="74">
        <v>41.267067247662183</v>
      </c>
      <c r="H2456" s="74">
        <f t="shared" si="77"/>
        <v>-0.77266690432966101</v>
      </c>
    </row>
    <row r="2457" spans="5:8" ht="15.6">
      <c r="E2457" s="279" t="s">
        <v>2783</v>
      </c>
      <c r="F2457" s="284">
        <f t="shared" ca="1" si="76"/>
        <v>0.17364421997061086</v>
      </c>
      <c r="G2457" s="74">
        <v>33.457877351564228</v>
      </c>
      <c r="H2457" s="74">
        <f t="shared" si="77"/>
        <v>7.0365229917682939</v>
      </c>
    </row>
    <row r="2458" spans="5:8" ht="15.6">
      <c r="E2458" s="279" t="s">
        <v>2784</v>
      </c>
      <c r="F2458" s="284">
        <f t="shared" ca="1" si="76"/>
        <v>0.2089096330529272</v>
      </c>
      <c r="G2458" s="74">
        <v>38.247010735204427</v>
      </c>
      <c r="H2458" s="74">
        <f t="shared" si="77"/>
        <v>2.2473896081280955</v>
      </c>
    </row>
    <row r="2459" spans="5:8" ht="15.6">
      <c r="E2459" s="279" t="s">
        <v>2785</v>
      </c>
      <c r="F2459" s="284">
        <f t="shared" ca="1" si="76"/>
        <v>2.0505624443057813E-2</v>
      </c>
      <c r="G2459" s="74">
        <v>42.326344440380701</v>
      </c>
      <c r="H2459" s="74">
        <f t="shared" si="77"/>
        <v>-1.8319440970481793</v>
      </c>
    </row>
    <row r="2460" spans="5:8" ht="15.6">
      <c r="E2460" s="279" t="s">
        <v>2786</v>
      </c>
      <c r="F2460" s="284">
        <f t="shared" ca="1" si="76"/>
        <v>0.74275682515790853</v>
      </c>
      <c r="G2460" s="74">
        <v>40.61665889733586</v>
      </c>
      <c r="H2460" s="74">
        <f t="shared" si="77"/>
        <v>-0.12225855400333785</v>
      </c>
    </row>
    <row r="2461" spans="5:8" ht="15.6">
      <c r="E2461" s="279" t="s">
        <v>2787</v>
      </c>
      <c r="F2461" s="284">
        <f t="shared" ca="1" si="76"/>
        <v>0.45935041655501285</v>
      </c>
      <c r="G2461" s="74">
        <v>41.036947165630679</v>
      </c>
      <c r="H2461" s="74">
        <f t="shared" si="77"/>
        <v>-0.54254682229815643</v>
      </c>
    </row>
    <row r="2462" spans="5:8" ht="15.6">
      <c r="E2462" s="279" t="s">
        <v>2788</v>
      </c>
      <c r="F2462" s="284">
        <f t="shared" ca="1" si="76"/>
        <v>0.37296329562361696</v>
      </c>
      <c r="G2462" s="74">
        <v>39.10191125653003</v>
      </c>
      <c r="H2462" s="74">
        <f t="shared" si="77"/>
        <v>1.3924890868024917</v>
      </c>
    </row>
    <row r="2463" spans="5:8" ht="15.6">
      <c r="E2463" s="279" t="s">
        <v>2789</v>
      </c>
      <c r="F2463" s="284">
        <f t="shared" ca="1" si="76"/>
        <v>9.4127195343295056E-2</v>
      </c>
      <c r="G2463" s="74">
        <v>37.199574489510297</v>
      </c>
      <c r="H2463" s="74">
        <f t="shared" si="77"/>
        <v>3.2948258538222248</v>
      </c>
    </row>
    <row r="2464" spans="5:8" ht="15.6">
      <c r="E2464" s="279" t="s">
        <v>2790</v>
      </c>
      <c r="F2464" s="284">
        <f t="shared" ca="1" si="76"/>
        <v>0.68797427747482176</v>
      </c>
      <c r="G2464" s="74">
        <v>39.445370337437431</v>
      </c>
      <c r="H2464" s="74">
        <f t="shared" si="77"/>
        <v>1.0490300058950908</v>
      </c>
    </row>
    <row r="2465" spans="5:8" ht="15.6">
      <c r="E2465" s="279" t="s">
        <v>2791</v>
      </c>
      <c r="F2465" s="284">
        <f t="shared" ca="1" si="76"/>
        <v>0.43360854975017116</v>
      </c>
      <c r="G2465" s="74">
        <v>36.079935393888505</v>
      </c>
      <c r="H2465" s="74">
        <f t="shared" si="77"/>
        <v>4.4144649494440173</v>
      </c>
    </row>
    <row r="2466" spans="5:8" ht="15.6">
      <c r="E2466" s="279" t="s">
        <v>2792</v>
      </c>
      <c r="F2466" s="284">
        <f t="shared" ca="1" si="76"/>
        <v>0.20558701251272526</v>
      </c>
      <c r="G2466" s="74">
        <v>37.913527815873351</v>
      </c>
      <c r="H2466" s="74">
        <f t="shared" si="77"/>
        <v>2.5808725274591708</v>
      </c>
    </row>
    <row r="2467" spans="5:8" ht="15.6">
      <c r="E2467" s="279" t="s">
        <v>2793</v>
      </c>
      <c r="F2467" s="284">
        <f t="shared" ca="1" si="76"/>
        <v>0.70352097021133886</v>
      </c>
      <c r="G2467" s="74">
        <v>44.449942571459161</v>
      </c>
      <c r="H2467" s="74">
        <f t="shared" si="77"/>
        <v>-3.9555422281266388</v>
      </c>
    </row>
    <row r="2468" spans="5:8" ht="15.6">
      <c r="E2468" s="279" t="s">
        <v>2794</v>
      </c>
      <c r="F2468" s="284">
        <f t="shared" ca="1" si="76"/>
        <v>0.3158006892966615</v>
      </c>
      <c r="G2468" s="74">
        <v>40.926368866053046</v>
      </c>
      <c r="H2468" s="74">
        <f t="shared" si="77"/>
        <v>-0.43196852272052411</v>
      </c>
    </row>
    <row r="2469" spans="5:8" ht="15.6">
      <c r="E2469" s="279" t="s">
        <v>2795</v>
      </c>
      <c r="F2469" s="284">
        <f t="shared" ca="1" si="76"/>
        <v>0.21727493630989803</v>
      </c>
      <c r="G2469" s="74">
        <v>36.538514511943205</v>
      </c>
      <c r="H2469" s="74">
        <f t="shared" si="77"/>
        <v>3.9558858313893168</v>
      </c>
    </row>
    <row r="2470" spans="5:8" ht="15.6">
      <c r="E2470" s="279" t="s">
        <v>2796</v>
      </c>
      <c r="F2470" s="284">
        <f t="shared" ca="1" si="76"/>
        <v>0.81310409448041177</v>
      </c>
      <c r="G2470" s="74">
        <v>33.451257286269701</v>
      </c>
      <c r="H2470" s="74">
        <f t="shared" si="77"/>
        <v>7.0431430570628208</v>
      </c>
    </row>
    <row r="2471" spans="5:8" ht="15.6">
      <c r="E2471" s="279" t="s">
        <v>2797</v>
      </c>
      <c r="F2471" s="284">
        <f t="shared" ca="1" si="76"/>
        <v>9.2961265071696553E-2</v>
      </c>
      <c r="G2471" s="74">
        <v>36.866542596174902</v>
      </c>
      <c r="H2471" s="74">
        <f t="shared" si="77"/>
        <v>3.6278577471576199</v>
      </c>
    </row>
    <row r="2472" spans="5:8" ht="15.6">
      <c r="E2472" s="279" t="s">
        <v>2798</v>
      </c>
      <c r="F2472" s="284">
        <f t="shared" ca="1" si="76"/>
        <v>0.38239818138980985</v>
      </c>
      <c r="G2472" s="74">
        <v>38.961205459347319</v>
      </c>
      <c r="H2472" s="74">
        <f t="shared" si="77"/>
        <v>1.5331948839852032</v>
      </c>
    </row>
    <row r="2473" spans="5:8" ht="15.6">
      <c r="E2473" s="279" t="s">
        <v>2799</v>
      </c>
      <c r="F2473" s="284">
        <f t="shared" ca="1" si="76"/>
        <v>0.31791783241928173</v>
      </c>
      <c r="G2473" s="74">
        <v>38.969831320112441</v>
      </c>
      <c r="H2473" s="74">
        <f t="shared" si="77"/>
        <v>1.5245690232200815</v>
      </c>
    </row>
    <row r="2474" spans="5:8" ht="15.6">
      <c r="E2474" s="279" t="s">
        <v>2800</v>
      </c>
      <c r="F2474" s="284">
        <f t="shared" ca="1" si="76"/>
        <v>0.13035094179096696</v>
      </c>
      <c r="G2474" s="74">
        <v>39.329130328372251</v>
      </c>
      <c r="H2474" s="74">
        <f t="shared" si="77"/>
        <v>1.1652700149602708</v>
      </c>
    </row>
    <row r="2475" spans="5:8" ht="15.6">
      <c r="E2475" s="279" t="s">
        <v>2801</v>
      </c>
      <c r="F2475" s="284">
        <f t="shared" ca="1" si="76"/>
        <v>0.56302518085463771</v>
      </c>
      <c r="G2475" s="74">
        <v>35.756563432009685</v>
      </c>
      <c r="H2475" s="74">
        <f t="shared" si="77"/>
        <v>4.7378369113228374</v>
      </c>
    </row>
    <row r="2476" spans="5:8" ht="15.6">
      <c r="E2476" s="279" t="s">
        <v>2802</v>
      </c>
      <c r="F2476" s="284">
        <f t="shared" ca="1" si="76"/>
        <v>0.24448247863068739</v>
      </c>
      <c r="G2476" s="74">
        <v>38.682460478559122</v>
      </c>
      <c r="H2476" s="74">
        <f t="shared" si="77"/>
        <v>1.8119398647734002</v>
      </c>
    </row>
    <row r="2477" spans="5:8" ht="15.6">
      <c r="E2477" s="279" t="s">
        <v>2803</v>
      </c>
      <c r="F2477" s="284">
        <f t="shared" ca="1" si="76"/>
        <v>0.17254902346917289</v>
      </c>
      <c r="G2477" s="74">
        <v>39.829497146153024</v>
      </c>
      <c r="H2477" s="74">
        <f t="shared" si="77"/>
        <v>0.66490319717949831</v>
      </c>
    </row>
    <row r="2478" spans="5:8" ht="15.6">
      <c r="E2478" s="279" t="s">
        <v>2804</v>
      </c>
      <c r="F2478" s="284">
        <f t="shared" ca="1" si="76"/>
        <v>0.35737180321107243</v>
      </c>
      <c r="G2478" s="74">
        <v>38.39679910884356</v>
      </c>
      <c r="H2478" s="74">
        <f t="shared" si="77"/>
        <v>2.0976012344889625</v>
      </c>
    </row>
    <row r="2479" spans="5:8" ht="15.6">
      <c r="E2479" s="279" t="s">
        <v>2805</v>
      </c>
      <c r="F2479" s="284">
        <f t="shared" ca="1" si="76"/>
        <v>0.54862661863128326</v>
      </c>
      <c r="G2479" s="74">
        <v>38.040165588499768</v>
      </c>
      <c r="H2479" s="74">
        <f t="shared" si="77"/>
        <v>2.4542347548327541</v>
      </c>
    </row>
    <row r="2480" spans="5:8" ht="15.6">
      <c r="E2480" s="279" t="s">
        <v>2806</v>
      </c>
      <c r="F2480" s="284">
        <f t="shared" ca="1" si="76"/>
        <v>0.29047166046498463</v>
      </c>
      <c r="G2480" s="74">
        <v>41.34582159374127</v>
      </c>
      <c r="H2480" s="74">
        <f t="shared" si="77"/>
        <v>-0.85142125040874816</v>
      </c>
    </row>
    <row r="2481" spans="5:8" ht="15.6">
      <c r="E2481" s="279" t="s">
        <v>2807</v>
      </c>
      <c r="F2481" s="284">
        <f t="shared" ca="1" si="76"/>
        <v>0.53854884438836192</v>
      </c>
      <c r="G2481" s="74">
        <v>36.926446073101744</v>
      </c>
      <c r="H2481" s="74">
        <f t="shared" si="77"/>
        <v>3.5679542702307785</v>
      </c>
    </row>
    <row r="2482" spans="5:8" ht="15.6">
      <c r="E2482" s="279" t="s">
        <v>2808</v>
      </c>
      <c r="F2482" s="284">
        <f t="shared" ca="1" si="76"/>
        <v>0.84257576281103708</v>
      </c>
      <c r="G2482" s="74">
        <v>36.530513463590935</v>
      </c>
      <c r="H2482" s="74">
        <f t="shared" si="77"/>
        <v>3.9638868797415867</v>
      </c>
    </row>
    <row r="2483" spans="5:8" ht="15.6">
      <c r="E2483" s="279" t="s">
        <v>2809</v>
      </c>
      <c r="F2483" s="284">
        <f t="shared" ca="1" si="76"/>
        <v>0.26266127169661757</v>
      </c>
      <c r="G2483" s="74">
        <v>40.440942660208975</v>
      </c>
      <c r="H2483" s="74">
        <f t="shared" si="77"/>
        <v>5.3457683123546929E-2</v>
      </c>
    </row>
    <row r="2484" spans="5:8" ht="15.6">
      <c r="E2484" s="279" t="s">
        <v>2810</v>
      </c>
      <c r="F2484" s="284">
        <f t="shared" ca="1" si="76"/>
        <v>0.25749507192763366</v>
      </c>
      <c r="G2484" s="74">
        <v>35.797162656966471</v>
      </c>
      <c r="H2484" s="74">
        <f t="shared" si="77"/>
        <v>4.6972376863660514</v>
      </c>
    </row>
    <row r="2485" spans="5:8" ht="15.6">
      <c r="E2485" s="279" t="s">
        <v>2811</v>
      </c>
      <c r="F2485" s="284">
        <f t="shared" ca="1" si="76"/>
        <v>0.68385296129267414</v>
      </c>
      <c r="G2485" s="74">
        <v>38.172183381072109</v>
      </c>
      <c r="H2485" s="74">
        <f t="shared" si="77"/>
        <v>2.3222169622604127</v>
      </c>
    </row>
    <row r="2486" spans="5:8" ht="15.6">
      <c r="E2486" s="279" t="s">
        <v>2812</v>
      </c>
      <c r="F2486" s="284">
        <f t="shared" ca="1" si="76"/>
        <v>0.43833219394149292</v>
      </c>
      <c r="G2486" s="74">
        <v>40.679449726668885</v>
      </c>
      <c r="H2486" s="74">
        <f t="shared" si="77"/>
        <v>-0.18504938333636289</v>
      </c>
    </row>
    <row r="2487" spans="5:8" ht="15.6">
      <c r="E2487" s="279" t="s">
        <v>2813</v>
      </c>
      <c r="F2487" s="284">
        <f t="shared" ca="1" si="76"/>
        <v>0.87874700780014769</v>
      </c>
      <c r="G2487" s="74">
        <v>32.303788763626692</v>
      </c>
      <c r="H2487" s="74">
        <f t="shared" si="77"/>
        <v>8.1906115797058305</v>
      </c>
    </row>
    <row r="2488" spans="5:8" ht="15.6">
      <c r="E2488" s="279" t="s">
        <v>2814</v>
      </c>
      <c r="F2488" s="284">
        <f t="shared" ca="1" si="76"/>
        <v>0.24160488451822659</v>
      </c>
      <c r="G2488" s="74">
        <v>38.071933262342633</v>
      </c>
      <c r="H2488" s="74">
        <f t="shared" si="77"/>
        <v>2.4224670809898896</v>
      </c>
    </row>
    <row r="2489" spans="5:8" ht="15.6">
      <c r="E2489" s="279" t="s">
        <v>2815</v>
      </c>
      <c r="F2489" s="284">
        <f t="shared" ca="1" si="76"/>
        <v>0.73942460735834281</v>
      </c>
      <c r="G2489" s="74">
        <v>36.553018087238229</v>
      </c>
      <c r="H2489" s="74">
        <f t="shared" si="77"/>
        <v>3.9413822560942933</v>
      </c>
    </row>
    <row r="2490" spans="5:8" ht="15.6">
      <c r="E2490" s="279" t="s">
        <v>2816</v>
      </c>
      <c r="F2490" s="284">
        <f t="shared" ca="1" si="76"/>
        <v>0.62515397491508395</v>
      </c>
      <c r="G2490" s="74">
        <v>36.308149820260773</v>
      </c>
      <c r="H2490" s="74">
        <f t="shared" si="77"/>
        <v>4.1862505230717488</v>
      </c>
    </row>
    <row r="2491" spans="5:8" ht="15.6">
      <c r="E2491" s="279" t="s">
        <v>2817</v>
      </c>
      <c r="F2491" s="284">
        <f t="shared" ca="1" si="76"/>
        <v>0.19804524108257904</v>
      </c>
      <c r="G2491" s="74">
        <v>37.669706676213579</v>
      </c>
      <c r="H2491" s="74">
        <f t="shared" si="77"/>
        <v>2.8246936671189431</v>
      </c>
    </row>
    <row r="2492" spans="5:8" ht="15.6">
      <c r="E2492" s="279" t="s">
        <v>2818</v>
      </c>
      <c r="F2492" s="284">
        <f t="shared" ca="1" si="76"/>
        <v>5.6094505157421204E-2</v>
      </c>
      <c r="G2492" s="74">
        <v>44.835499929362662</v>
      </c>
      <c r="H2492" s="74">
        <f t="shared" si="77"/>
        <v>-4.3410995860301398</v>
      </c>
    </row>
    <row r="2493" spans="5:8" ht="15.6">
      <c r="E2493" s="279" t="s">
        <v>2819</v>
      </c>
      <c r="F2493" s="284">
        <f t="shared" ca="1" si="76"/>
        <v>0.29038717686740445</v>
      </c>
      <c r="G2493" s="74">
        <v>39.377487626841983</v>
      </c>
      <c r="H2493" s="74">
        <f t="shared" si="77"/>
        <v>1.116912716490539</v>
      </c>
    </row>
    <row r="2494" spans="5:8" ht="15.6">
      <c r="E2494" s="279" t="s">
        <v>2820</v>
      </c>
      <c r="F2494" s="284">
        <f t="shared" ca="1" si="76"/>
        <v>0.14675181102019175</v>
      </c>
      <c r="G2494" s="74">
        <v>39.66624720054719</v>
      </c>
      <c r="H2494" s="74">
        <f t="shared" si="77"/>
        <v>0.82815314278533236</v>
      </c>
    </row>
    <row r="2495" spans="5:8" ht="15.6">
      <c r="E2495" s="279" t="s">
        <v>2821</v>
      </c>
      <c r="F2495" s="284">
        <f t="shared" ca="1" si="76"/>
        <v>0.23695652534881784</v>
      </c>
      <c r="G2495" s="74">
        <v>41.282074860861719</v>
      </c>
      <c r="H2495" s="74">
        <f t="shared" si="77"/>
        <v>-0.78767451752919726</v>
      </c>
    </row>
    <row r="2496" spans="5:8" ht="15.6">
      <c r="E2496" s="279" t="s">
        <v>2822</v>
      </c>
      <c r="F2496" s="284">
        <f t="shared" ca="1" si="76"/>
        <v>0.97909903561744072</v>
      </c>
      <c r="G2496" s="74">
        <v>34.412018421277089</v>
      </c>
      <c r="H2496" s="74">
        <f t="shared" si="77"/>
        <v>6.0823819220554327</v>
      </c>
    </row>
    <row r="2497" spans="5:8" ht="15.6">
      <c r="E2497" s="279" t="s">
        <v>2823</v>
      </c>
      <c r="F2497" s="284">
        <f t="shared" ca="1" si="76"/>
        <v>8.4457461690349178E-2</v>
      </c>
      <c r="G2497" s="74">
        <v>42.343972242548425</v>
      </c>
      <c r="H2497" s="74">
        <f t="shared" si="77"/>
        <v>-1.8495718992159027</v>
      </c>
    </row>
    <row r="2498" spans="5:8" ht="15.6">
      <c r="E2498" s="279" t="s">
        <v>2824</v>
      </c>
      <c r="F2498" s="284">
        <f t="shared" ca="1" si="76"/>
        <v>3.2849776224928462E-2</v>
      </c>
      <c r="G2498" s="74">
        <v>37.531973803054193</v>
      </c>
      <c r="H2498" s="74">
        <f t="shared" si="77"/>
        <v>2.9624265402783294</v>
      </c>
    </row>
    <row r="2499" spans="5:8" ht="15.6">
      <c r="E2499" s="279" t="s">
        <v>2825</v>
      </c>
      <c r="F2499" s="284">
        <f t="shared" ca="1" si="76"/>
        <v>0.91382955963661749</v>
      </c>
      <c r="G2499" s="74">
        <v>41.180903462882092</v>
      </c>
      <c r="H2499" s="74">
        <f t="shared" si="77"/>
        <v>-0.68650311954957033</v>
      </c>
    </row>
    <row r="2500" spans="5:8" ht="15.6">
      <c r="E2500" s="279" t="s">
        <v>2826</v>
      </c>
      <c r="F2500" s="284">
        <f t="shared" ca="1" si="76"/>
        <v>0.63878562742827194</v>
      </c>
      <c r="G2500" s="74">
        <v>35.664954243729944</v>
      </c>
      <c r="H2500" s="74">
        <f t="shared" si="77"/>
        <v>4.8294460996025776</v>
      </c>
    </row>
    <row r="2501" spans="5:8" ht="15.6">
      <c r="E2501" s="279" t="s">
        <v>2827</v>
      </c>
      <c r="F2501" s="284">
        <f t="shared" ca="1" si="76"/>
        <v>0.23509661894822387</v>
      </c>
      <c r="G2501" s="74">
        <v>38.381716188821642</v>
      </c>
      <c r="H2501" s="74">
        <f t="shared" si="77"/>
        <v>2.1126841545108803</v>
      </c>
    </row>
    <row r="2502" spans="5:8" ht="15.6">
      <c r="E2502" s="279" t="s">
        <v>2828</v>
      </c>
      <c r="F2502" s="284">
        <f t="shared" ca="1" si="76"/>
        <v>2.4594558529225541E-2</v>
      </c>
      <c r="G2502" s="74">
        <v>44.380649813749173</v>
      </c>
      <c r="H2502" s="74">
        <f t="shared" si="77"/>
        <v>-3.8862494704166508</v>
      </c>
    </row>
    <row r="2503" spans="5:8" ht="15.6">
      <c r="E2503" s="279" t="s">
        <v>2829</v>
      </c>
      <c r="F2503" s="284">
        <f t="shared" ca="1" si="76"/>
        <v>9.5653342673545527E-2</v>
      </c>
      <c r="G2503" s="74">
        <v>34.709456913055554</v>
      </c>
      <c r="H2503" s="74">
        <f t="shared" si="77"/>
        <v>5.784943430276968</v>
      </c>
    </row>
    <row r="2504" spans="5:8" ht="15.6">
      <c r="E2504" s="279" t="s">
        <v>2830</v>
      </c>
      <c r="F2504" s="284">
        <f t="shared" ca="1" si="76"/>
        <v>0.83266054460330174</v>
      </c>
      <c r="G2504" s="74">
        <v>38.767507443235843</v>
      </c>
      <c r="H2504" s="74">
        <f t="shared" si="77"/>
        <v>1.7268929000966793</v>
      </c>
    </row>
    <row r="2505" spans="5:8" ht="15.6">
      <c r="E2505" s="279" t="s">
        <v>2831</v>
      </c>
      <c r="F2505" s="284">
        <f t="shared" ca="1" si="76"/>
        <v>0.33677109482772027</v>
      </c>
      <c r="G2505" s="74">
        <v>41.36882740738649</v>
      </c>
      <c r="H2505" s="74">
        <f t="shared" si="77"/>
        <v>-0.87442706405396819</v>
      </c>
    </row>
    <row r="2506" spans="5:8" ht="15.6">
      <c r="E2506" s="279" t="s">
        <v>2832</v>
      </c>
      <c r="F2506" s="284">
        <f t="shared" ca="1" si="76"/>
        <v>0.69442503574102998</v>
      </c>
      <c r="G2506" s="74">
        <v>41.288392980532876</v>
      </c>
      <c r="H2506" s="74">
        <f t="shared" si="77"/>
        <v>-0.79399263720035407</v>
      </c>
    </row>
    <row r="2507" spans="5:8" ht="15.6">
      <c r="E2507" s="279" t="s">
        <v>2833</v>
      </c>
      <c r="F2507" s="284">
        <f t="shared" ca="1" si="76"/>
        <v>0.84130455745194377</v>
      </c>
      <c r="G2507" s="74">
        <v>37.871320535042607</v>
      </c>
      <c r="H2507" s="74">
        <f t="shared" si="77"/>
        <v>2.6230798082899156</v>
      </c>
    </row>
    <row r="2508" spans="5:8" ht="15.6">
      <c r="E2508" s="279" t="s">
        <v>2834</v>
      </c>
      <c r="F2508" s="284">
        <f t="shared" ref="F2508:F2571" ca="1" si="78">RAND()</f>
        <v>0.35712022432244561</v>
      </c>
      <c r="G2508" s="74">
        <v>35.289702166318932</v>
      </c>
      <c r="H2508" s="74">
        <f t="shared" ref="H2508:H2571" si="79">$D$2-G2508</f>
        <v>5.2046981770135901</v>
      </c>
    </row>
    <row r="2509" spans="5:8" ht="15.6">
      <c r="E2509" s="279" t="s">
        <v>2835</v>
      </c>
      <c r="F2509" s="284">
        <f t="shared" ca="1" si="78"/>
        <v>0.72685752840887685</v>
      </c>
      <c r="G2509" s="74">
        <v>39.108612081663487</v>
      </c>
      <c r="H2509" s="74">
        <f t="shared" si="79"/>
        <v>1.3857882616690347</v>
      </c>
    </row>
    <row r="2510" spans="5:8" ht="15.6">
      <c r="E2510" s="279" t="s">
        <v>2836</v>
      </c>
      <c r="F2510" s="284">
        <f t="shared" ca="1" si="78"/>
        <v>0.42751187085930775</v>
      </c>
      <c r="G2510" s="74">
        <v>40.611558299410746</v>
      </c>
      <c r="H2510" s="74">
        <f t="shared" si="79"/>
        <v>-0.11715795607822344</v>
      </c>
    </row>
    <row r="2511" spans="5:8" ht="15.6">
      <c r="E2511" s="279" t="s">
        <v>2837</v>
      </c>
      <c r="F2511" s="284">
        <f t="shared" ca="1" si="78"/>
        <v>9.5928234032709114E-2</v>
      </c>
      <c r="G2511" s="74">
        <v>40.062583382016435</v>
      </c>
      <c r="H2511" s="74">
        <f t="shared" si="79"/>
        <v>0.4318169613160876</v>
      </c>
    </row>
    <row r="2512" spans="5:8" ht="15.6">
      <c r="E2512" s="279" t="s">
        <v>2838</v>
      </c>
      <c r="F2512" s="284">
        <f t="shared" ca="1" si="78"/>
        <v>0.72998025087422103</v>
      </c>
      <c r="G2512" s="74">
        <v>39.835856041787558</v>
      </c>
      <c r="H2512" s="74">
        <f t="shared" si="79"/>
        <v>0.65854430154496413</v>
      </c>
    </row>
    <row r="2513" spans="5:8" ht="15.6">
      <c r="E2513" s="279" t="s">
        <v>2839</v>
      </c>
      <c r="F2513" s="284">
        <f t="shared" ca="1" si="78"/>
        <v>0.6708624613589601</v>
      </c>
      <c r="G2513" s="74">
        <v>39.995277173833529</v>
      </c>
      <c r="H2513" s="74">
        <f t="shared" si="79"/>
        <v>0.49912316949899349</v>
      </c>
    </row>
    <row r="2514" spans="5:8" ht="15.6">
      <c r="E2514" s="279" t="s">
        <v>2840</v>
      </c>
      <c r="F2514" s="284">
        <f t="shared" ca="1" si="78"/>
        <v>0.76944017330812142</v>
      </c>
      <c r="G2514" s="74">
        <v>41.786084842261097</v>
      </c>
      <c r="H2514" s="74">
        <f t="shared" si="79"/>
        <v>-1.291684498928575</v>
      </c>
    </row>
    <row r="2515" spans="5:8" ht="15.6">
      <c r="E2515" s="279" t="s">
        <v>2841</v>
      </c>
      <c r="F2515" s="284">
        <f t="shared" ca="1" si="78"/>
        <v>0.96464690146343546</v>
      </c>
      <c r="G2515" s="74">
        <v>41.338320881789961</v>
      </c>
      <c r="H2515" s="74">
        <f t="shared" si="79"/>
        <v>-0.84392053845743931</v>
      </c>
    </row>
    <row r="2516" spans="5:8" ht="15.6">
      <c r="E2516" s="279" t="s">
        <v>2842</v>
      </c>
      <c r="F2516" s="284">
        <f t="shared" ca="1" si="78"/>
        <v>0.82254619925071026</v>
      </c>
      <c r="G2516" s="74">
        <v>37.730788300586703</v>
      </c>
      <c r="H2516" s="74">
        <f t="shared" si="79"/>
        <v>2.7636120427458195</v>
      </c>
    </row>
    <row r="2517" spans="5:8" ht="15.6">
      <c r="E2517" s="279" t="s">
        <v>2843</v>
      </c>
      <c r="F2517" s="284">
        <f t="shared" ca="1" si="78"/>
        <v>0.87860250542191554</v>
      </c>
      <c r="G2517" s="74">
        <v>37.451660187544533</v>
      </c>
      <c r="H2517" s="74">
        <f t="shared" si="79"/>
        <v>3.042740155787989</v>
      </c>
    </row>
    <row r="2518" spans="5:8" ht="15.6">
      <c r="E2518" s="279" t="s">
        <v>2844</v>
      </c>
      <c r="F2518" s="284">
        <f t="shared" ca="1" si="78"/>
        <v>0.50715814561838257</v>
      </c>
      <c r="G2518" s="74">
        <v>38.752266539270011</v>
      </c>
      <c r="H2518" s="74">
        <f t="shared" si="79"/>
        <v>1.7421338040625116</v>
      </c>
    </row>
    <row r="2519" spans="5:8" ht="15.6">
      <c r="E2519" s="279" t="s">
        <v>2845</v>
      </c>
      <c r="F2519" s="284">
        <f t="shared" ca="1" si="78"/>
        <v>0.50305945027521415</v>
      </c>
      <c r="G2519" s="74">
        <v>38.513804274046024</v>
      </c>
      <c r="H2519" s="74">
        <f t="shared" si="79"/>
        <v>1.9805960692864986</v>
      </c>
    </row>
    <row r="2520" spans="5:8" ht="15.6">
      <c r="E2520" s="279" t="s">
        <v>2846</v>
      </c>
      <c r="F2520" s="284">
        <f t="shared" ca="1" si="78"/>
        <v>3.2139162237762253E-2</v>
      </c>
      <c r="G2520" s="74">
        <v>40.240058464297995</v>
      </c>
      <c r="H2520" s="74">
        <f t="shared" si="79"/>
        <v>0.2543418790345271</v>
      </c>
    </row>
    <row r="2521" spans="5:8" ht="15.6">
      <c r="E2521" s="279" t="s">
        <v>2847</v>
      </c>
      <c r="F2521" s="284">
        <f t="shared" ca="1" si="78"/>
        <v>0.29575946934145247</v>
      </c>
      <c r="G2521" s="74">
        <v>38.012102437156891</v>
      </c>
      <c r="H2521" s="74">
        <f t="shared" si="79"/>
        <v>2.4822979061756314</v>
      </c>
    </row>
    <row r="2522" spans="5:8" ht="15.6">
      <c r="E2522" s="279" t="s">
        <v>2848</v>
      </c>
      <c r="F2522" s="284">
        <f t="shared" ca="1" si="78"/>
        <v>0.72142063370675602</v>
      </c>
      <c r="G2522" s="74">
        <v>34.168265685632548</v>
      </c>
      <c r="H2522" s="74">
        <f t="shared" si="79"/>
        <v>6.3261346576999742</v>
      </c>
    </row>
    <row r="2523" spans="5:8" ht="15.6">
      <c r="E2523" s="279" t="s">
        <v>2849</v>
      </c>
      <c r="F2523" s="284">
        <f t="shared" ca="1" si="78"/>
        <v>0.43572747158906755</v>
      </c>
      <c r="G2523" s="74">
        <v>44.886591906193004</v>
      </c>
      <c r="H2523" s="74">
        <f t="shared" si="79"/>
        <v>-4.3921915628604822</v>
      </c>
    </row>
    <row r="2524" spans="5:8" ht="15.6">
      <c r="E2524" s="279" t="s">
        <v>2850</v>
      </c>
      <c r="F2524" s="284">
        <f t="shared" ca="1" si="78"/>
        <v>0.41931306841440275</v>
      </c>
      <c r="G2524" s="74">
        <v>45.675487268445771</v>
      </c>
      <c r="H2524" s="74">
        <f t="shared" si="79"/>
        <v>-5.1810869251132488</v>
      </c>
    </row>
    <row r="2525" spans="5:8" ht="15.6">
      <c r="E2525" s="279" t="s">
        <v>2851</v>
      </c>
      <c r="F2525" s="284">
        <f t="shared" ca="1" si="78"/>
        <v>0.64315376333534702</v>
      </c>
      <c r="G2525" s="74">
        <v>38.901590151336606</v>
      </c>
      <c r="H2525" s="74">
        <f t="shared" si="79"/>
        <v>1.5928101919959161</v>
      </c>
    </row>
    <row r="2526" spans="5:8" ht="15.6">
      <c r="E2526" s="279" t="s">
        <v>2852</v>
      </c>
      <c r="F2526" s="284">
        <f t="shared" ca="1" si="78"/>
        <v>0.72875538671093076</v>
      </c>
      <c r="G2526" s="74">
        <v>36.507411169119486</v>
      </c>
      <c r="H2526" s="74">
        <f t="shared" si="79"/>
        <v>3.9869891742130363</v>
      </c>
    </row>
    <row r="2527" spans="5:8" ht="15.6">
      <c r="E2527" s="279" t="s">
        <v>2853</v>
      </c>
      <c r="F2527" s="284">
        <f t="shared" ca="1" si="78"/>
        <v>0.30721637786896094</v>
      </c>
      <c r="G2527" s="74">
        <v>41.680089630126979</v>
      </c>
      <c r="H2527" s="74">
        <f t="shared" si="79"/>
        <v>-1.1856892867944566</v>
      </c>
    </row>
    <row r="2528" spans="5:8" ht="15.6">
      <c r="E2528" s="279" t="s">
        <v>2854</v>
      </c>
      <c r="F2528" s="284">
        <f t="shared" ca="1" si="78"/>
        <v>0.60702886985496407</v>
      </c>
      <c r="G2528" s="74">
        <v>37.473937564699987</v>
      </c>
      <c r="H2528" s="74">
        <f t="shared" si="79"/>
        <v>3.0204627786325347</v>
      </c>
    </row>
    <row r="2529" spans="5:8" ht="15.6">
      <c r="E2529" s="279" t="s">
        <v>2855</v>
      </c>
      <c r="F2529" s="284">
        <f t="shared" ca="1" si="78"/>
        <v>0.75619235823522424</v>
      </c>
      <c r="G2529" s="74">
        <v>40.436371875683662</v>
      </c>
      <c r="H2529" s="74">
        <f t="shared" si="79"/>
        <v>5.8028467648860271E-2</v>
      </c>
    </row>
    <row r="2530" spans="5:8" ht="15.6">
      <c r="E2530" s="279" t="s">
        <v>2856</v>
      </c>
      <c r="F2530" s="284">
        <f t="shared" ca="1" si="78"/>
        <v>0.12804394856106893</v>
      </c>
      <c r="G2530" s="74">
        <v>39.195200191342394</v>
      </c>
      <c r="H2530" s="74">
        <f t="shared" si="79"/>
        <v>1.2992001519901279</v>
      </c>
    </row>
    <row r="2531" spans="5:8" ht="15.6">
      <c r="E2531" s="279" t="s">
        <v>2857</v>
      </c>
      <c r="F2531" s="284">
        <f t="shared" ca="1" si="78"/>
        <v>0.71930519494163536</v>
      </c>
      <c r="G2531" s="74">
        <v>40.688179090780039</v>
      </c>
      <c r="H2531" s="74">
        <f t="shared" si="79"/>
        <v>-0.19377874744751722</v>
      </c>
    </row>
    <row r="2532" spans="5:8" ht="15.6">
      <c r="E2532" s="279" t="s">
        <v>2858</v>
      </c>
      <c r="F2532" s="284">
        <f t="shared" ca="1" si="78"/>
        <v>0.76221642123574207</v>
      </c>
      <c r="G2532" s="74">
        <v>34.05353876602959</v>
      </c>
      <c r="H2532" s="74">
        <f t="shared" si="79"/>
        <v>6.4408615773029325</v>
      </c>
    </row>
    <row r="2533" spans="5:8" ht="15.6">
      <c r="E2533" s="279" t="s">
        <v>2859</v>
      </c>
      <c r="F2533" s="284">
        <f t="shared" ca="1" si="78"/>
        <v>0.60093005918730313</v>
      </c>
      <c r="G2533" s="74">
        <v>38.220200116754512</v>
      </c>
      <c r="H2533" s="74">
        <f t="shared" si="79"/>
        <v>2.2742002265780101</v>
      </c>
    </row>
    <row r="2534" spans="5:8" ht="15.6">
      <c r="E2534" s="279" t="s">
        <v>2860</v>
      </c>
      <c r="F2534" s="284">
        <f t="shared" ca="1" si="78"/>
        <v>0.13239262859439282</v>
      </c>
      <c r="G2534" s="74">
        <v>40.256873353746045</v>
      </c>
      <c r="H2534" s="74">
        <f t="shared" si="79"/>
        <v>0.23752698958647755</v>
      </c>
    </row>
    <row r="2535" spans="5:8" ht="15.6">
      <c r="E2535" s="279" t="s">
        <v>2861</v>
      </c>
      <c r="F2535" s="284">
        <f t="shared" ca="1" si="78"/>
        <v>7.5342464165424339E-2</v>
      </c>
      <c r="G2535" s="74">
        <v>39.674236667401544</v>
      </c>
      <c r="H2535" s="74">
        <f t="shared" si="79"/>
        <v>0.82016367593097783</v>
      </c>
    </row>
    <row r="2536" spans="5:8" ht="15.6">
      <c r="E2536" s="279" t="s">
        <v>2862</v>
      </c>
      <c r="F2536" s="284">
        <f t="shared" ca="1" si="78"/>
        <v>0.12260837307151828</v>
      </c>
      <c r="G2536" s="74">
        <v>41.924621289393592</v>
      </c>
      <c r="H2536" s="74">
        <f t="shared" si="79"/>
        <v>-1.4302209460610698</v>
      </c>
    </row>
    <row r="2537" spans="5:8" ht="15.6">
      <c r="E2537" s="279" t="s">
        <v>2863</v>
      </c>
      <c r="F2537" s="284">
        <f t="shared" ca="1" si="78"/>
        <v>0.65088846387908861</v>
      </c>
      <c r="G2537" s="74">
        <v>40.852969649593092</v>
      </c>
      <c r="H2537" s="74">
        <f t="shared" si="79"/>
        <v>-0.35856930626056993</v>
      </c>
    </row>
    <row r="2538" spans="5:8" ht="15.6">
      <c r="E2538" s="279" t="s">
        <v>2864</v>
      </c>
      <c r="F2538" s="284">
        <f t="shared" ca="1" si="78"/>
        <v>0.78981566275054527</v>
      </c>
      <c r="G2538" s="74">
        <v>42.563773956372202</v>
      </c>
      <c r="H2538" s="74">
        <f t="shared" si="79"/>
        <v>-2.06937361303968</v>
      </c>
    </row>
    <row r="2539" spans="5:8" ht="15.6">
      <c r="E2539" s="279" t="s">
        <v>2865</v>
      </c>
      <c r="F2539" s="284">
        <f t="shared" ca="1" si="78"/>
        <v>0.23265333204763394</v>
      </c>
      <c r="G2539" s="74">
        <v>39.741081725073776</v>
      </c>
      <c r="H2539" s="74">
        <f t="shared" si="79"/>
        <v>0.75331861825874569</v>
      </c>
    </row>
    <row r="2540" spans="5:8" ht="15.6">
      <c r="E2540" s="279" t="s">
        <v>2866</v>
      </c>
      <c r="F2540" s="284">
        <f t="shared" ca="1" si="78"/>
        <v>0.87408332741650052</v>
      </c>
      <c r="G2540" s="74">
        <v>41.763277405433826</v>
      </c>
      <c r="H2540" s="74">
        <f t="shared" si="79"/>
        <v>-1.2688770621013035</v>
      </c>
    </row>
    <row r="2541" spans="5:8" ht="15.6">
      <c r="E2541" s="279" t="s">
        <v>2867</v>
      </c>
      <c r="F2541" s="284">
        <f t="shared" ca="1" si="78"/>
        <v>0.72203710495863649</v>
      </c>
      <c r="G2541" s="74">
        <v>36.139305280653367</v>
      </c>
      <c r="H2541" s="74">
        <f t="shared" si="79"/>
        <v>4.3550950626791547</v>
      </c>
    </row>
    <row r="2542" spans="5:8" ht="15.6">
      <c r="E2542" s="279" t="s">
        <v>2868</v>
      </c>
      <c r="F2542" s="284">
        <f t="shared" ca="1" si="78"/>
        <v>0.23211773727658258</v>
      </c>
      <c r="G2542" s="74">
        <v>39.175690916776375</v>
      </c>
      <c r="H2542" s="74">
        <f t="shared" si="79"/>
        <v>1.318709426556147</v>
      </c>
    </row>
    <row r="2543" spans="5:8" ht="15.6">
      <c r="E2543" s="279" t="s">
        <v>2869</v>
      </c>
      <c r="F2543" s="284">
        <f t="shared" ca="1" si="78"/>
        <v>0.70601943991981997</v>
      </c>
      <c r="G2543" s="74">
        <v>40.977004950051956</v>
      </c>
      <c r="H2543" s="74">
        <f t="shared" si="79"/>
        <v>-0.48260460671943406</v>
      </c>
    </row>
    <row r="2544" spans="5:8" ht="15.6">
      <c r="E2544" s="279" t="s">
        <v>2870</v>
      </c>
      <c r="F2544" s="284">
        <f t="shared" ca="1" si="78"/>
        <v>0.85274133857266665</v>
      </c>
      <c r="G2544" s="74">
        <v>39.405461687919491</v>
      </c>
      <c r="H2544" s="74">
        <f t="shared" si="79"/>
        <v>1.0889386554130311</v>
      </c>
    </row>
    <row r="2545" spans="5:8" ht="15.6">
      <c r="E2545" s="279" t="s">
        <v>2871</v>
      </c>
      <c r="F2545" s="284">
        <f t="shared" ca="1" si="78"/>
        <v>0.41286651321415613</v>
      </c>
      <c r="G2545" s="74">
        <v>41.483814953109075</v>
      </c>
      <c r="H2545" s="74">
        <f t="shared" si="79"/>
        <v>-0.98941460977655282</v>
      </c>
    </row>
    <row r="2546" spans="5:8" ht="15.6">
      <c r="E2546" s="279" t="s">
        <v>2872</v>
      </c>
      <c r="F2546" s="284">
        <f t="shared" ca="1" si="78"/>
        <v>0.17159321386185455</v>
      </c>
      <c r="G2546" s="74">
        <v>40.694886649564523</v>
      </c>
      <c r="H2546" s="74">
        <f t="shared" si="79"/>
        <v>-0.20048630623200125</v>
      </c>
    </row>
    <row r="2547" spans="5:8" ht="15.6">
      <c r="E2547" s="279" t="s">
        <v>2873</v>
      </c>
      <c r="F2547" s="284">
        <f t="shared" ca="1" si="78"/>
        <v>0.38006645069337974</v>
      </c>
      <c r="G2547" s="74">
        <v>38.093049457024733</v>
      </c>
      <c r="H2547" s="74">
        <f t="shared" si="79"/>
        <v>2.4013508863077888</v>
      </c>
    </row>
    <row r="2548" spans="5:8" ht="15.6">
      <c r="E2548" s="279" t="s">
        <v>2874</v>
      </c>
      <c r="F2548" s="284">
        <f t="shared" ca="1" si="78"/>
        <v>0.86700587182553213</v>
      </c>
      <c r="G2548" s="74">
        <v>37.74097716229543</v>
      </c>
      <c r="H2548" s="74">
        <f t="shared" si="79"/>
        <v>2.7534231810370926</v>
      </c>
    </row>
    <row r="2549" spans="5:8" ht="15.6">
      <c r="E2549" s="279" t="s">
        <v>2875</v>
      </c>
      <c r="F2549" s="284">
        <f t="shared" ca="1" si="78"/>
        <v>0.86633409086719371</v>
      </c>
      <c r="G2549" s="74">
        <v>36.278997953548931</v>
      </c>
      <c r="H2549" s="74">
        <f t="shared" si="79"/>
        <v>4.2154023897835913</v>
      </c>
    </row>
    <row r="2550" spans="5:8" ht="15.6">
      <c r="E2550" s="279" t="s">
        <v>2876</v>
      </c>
      <c r="F2550" s="284">
        <f t="shared" ca="1" si="78"/>
        <v>0.85711921829220017</v>
      </c>
      <c r="G2550" s="74">
        <v>41.541357129347041</v>
      </c>
      <c r="H2550" s="74">
        <f t="shared" si="79"/>
        <v>-1.046956786014519</v>
      </c>
    </row>
    <row r="2551" spans="5:8" ht="15.6">
      <c r="E2551" s="279" t="s">
        <v>2877</v>
      </c>
      <c r="F2551" s="284">
        <f t="shared" ca="1" si="78"/>
        <v>0.10998578851540108</v>
      </c>
      <c r="G2551" s="74">
        <v>37.38409530901879</v>
      </c>
      <c r="H2551" s="74">
        <f t="shared" si="79"/>
        <v>3.1103050343137326</v>
      </c>
    </row>
    <row r="2552" spans="5:8" ht="15.6">
      <c r="E2552" s="279" t="s">
        <v>2878</v>
      </c>
      <c r="F2552" s="284">
        <f t="shared" ca="1" si="78"/>
        <v>0.84856488854894085</v>
      </c>
      <c r="G2552" s="74">
        <v>42.437289138790703</v>
      </c>
      <c r="H2552" s="74">
        <f t="shared" si="79"/>
        <v>-1.9428887954581811</v>
      </c>
    </row>
    <row r="2553" spans="5:8" ht="15.6">
      <c r="E2553" s="279" t="s">
        <v>2879</v>
      </c>
      <c r="F2553" s="284">
        <f t="shared" ca="1" si="78"/>
        <v>0.58751649263432237</v>
      </c>
      <c r="G2553" s="74">
        <v>37.702667064889305</v>
      </c>
      <c r="H2553" s="74">
        <f t="shared" si="79"/>
        <v>2.7917332784432176</v>
      </c>
    </row>
    <row r="2554" spans="5:8" ht="15.6">
      <c r="E2554" s="279" t="s">
        <v>2880</v>
      </c>
      <c r="F2554" s="284">
        <f t="shared" ca="1" si="78"/>
        <v>0.29573703902360848</v>
      </c>
      <c r="G2554" s="74">
        <v>38.174732149892264</v>
      </c>
      <c r="H2554" s="74">
        <f t="shared" si="79"/>
        <v>2.3196681934402577</v>
      </c>
    </row>
    <row r="2555" spans="5:8" ht="15.6">
      <c r="E2555" s="279" t="s">
        <v>2881</v>
      </c>
      <c r="F2555" s="284">
        <f t="shared" ca="1" si="78"/>
        <v>0.96398107434935998</v>
      </c>
      <c r="G2555" s="74">
        <v>39.918011740434011</v>
      </c>
      <c r="H2555" s="74">
        <f t="shared" si="79"/>
        <v>0.57638860289851124</v>
      </c>
    </row>
    <row r="2556" spans="5:8" ht="15.6">
      <c r="E2556" s="279" t="s">
        <v>2882</v>
      </c>
      <c r="F2556" s="284">
        <f t="shared" ca="1" si="78"/>
        <v>0.63676690082675302</v>
      </c>
      <c r="G2556" s="74">
        <v>42.88045094075374</v>
      </c>
      <c r="H2556" s="74">
        <f t="shared" si="79"/>
        <v>-2.3860505974212174</v>
      </c>
    </row>
    <row r="2557" spans="5:8" ht="15.6">
      <c r="E2557" s="279" t="s">
        <v>2883</v>
      </c>
      <c r="F2557" s="284">
        <f t="shared" ca="1" si="78"/>
        <v>0.25219364183508364</v>
      </c>
      <c r="G2557" s="74">
        <v>39.173967297789133</v>
      </c>
      <c r="H2557" s="74">
        <f t="shared" si="79"/>
        <v>1.320433045543389</v>
      </c>
    </row>
    <row r="2558" spans="5:8" ht="15.6">
      <c r="E2558" s="279" t="s">
        <v>2884</v>
      </c>
      <c r="F2558" s="284">
        <f t="shared" ca="1" si="78"/>
        <v>0.8762765540464279</v>
      </c>
      <c r="G2558" s="74">
        <v>38.040779367648767</v>
      </c>
      <c r="H2558" s="74">
        <f t="shared" si="79"/>
        <v>2.453620975683755</v>
      </c>
    </row>
    <row r="2559" spans="5:8" ht="15.6">
      <c r="E2559" s="279" t="s">
        <v>2885</v>
      </c>
      <c r="F2559" s="284">
        <f t="shared" ca="1" si="78"/>
        <v>0.15433957051680069</v>
      </c>
      <c r="G2559" s="74">
        <v>37.866990908341883</v>
      </c>
      <c r="H2559" s="74">
        <f t="shared" si="79"/>
        <v>2.6274094349906392</v>
      </c>
    </row>
    <row r="2560" spans="5:8" ht="15.6">
      <c r="E2560" s="279" t="s">
        <v>2886</v>
      </c>
      <c r="F2560" s="284">
        <f t="shared" ca="1" si="78"/>
        <v>0.15847881522036777</v>
      </c>
      <c r="G2560" s="74">
        <v>42.557802083128784</v>
      </c>
      <c r="H2560" s="74">
        <f t="shared" si="79"/>
        <v>-2.0634017397962623</v>
      </c>
    </row>
    <row r="2561" spans="5:8" ht="15.6">
      <c r="E2561" s="279" t="s">
        <v>2887</v>
      </c>
      <c r="F2561" s="284">
        <f t="shared" ca="1" si="78"/>
        <v>0.46551959248239871</v>
      </c>
      <c r="G2561" s="74">
        <v>34.679373623385459</v>
      </c>
      <c r="H2561" s="74">
        <f t="shared" si="79"/>
        <v>5.8150267199470633</v>
      </c>
    </row>
    <row r="2562" spans="5:8" ht="15.6">
      <c r="E2562" s="279" t="s">
        <v>2888</v>
      </c>
      <c r="F2562" s="284">
        <f t="shared" ca="1" si="78"/>
        <v>0.75368965421467193</v>
      </c>
      <c r="G2562" s="74">
        <v>36.560095409239885</v>
      </c>
      <c r="H2562" s="74">
        <f t="shared" si="79"/>
        <v>3.934304934092637</v>
      </c>
    </row>
    <row r="2563" spans="5:8" ht="15.6">
      <c r="E2563" s="279" t="s">
        <v>2889</v>
      </c>
      <c r="F2563" s="284">
        <f t="shared" ca="1" si="78"/>
        <v>0.34371016330354753</v>
      </c>
      <c r="G2563" s="74">
        <v>39.522266758660969</v>
      </c>
      <c r="H2563" s="74">
        <f t="shared" si="79"/>
        <v>0.97213358467155331</v>
      </c>
    </row>
    <row r="2564" spans="5:8" ht="15.6">
      <c r="E2564" s="279" t="s">
        <v>2890</v>
      </c>
      <c r="F2564" s="284">
        <f t="shared" ca="1" si="78"/>
        <v>0.56034796205779158</v>
      </c>
      <c r="G2564" s="74">
        <v>37.617918636556688</v>
      </c>
      <c r="H2564" s="74">
        <f t="shared" si="79"/>
        <v>2.8764817067758344</v>
      </c>
    </row>
    <row r="2565" spans="5:8" ht="15.6">
      <c r="E2565" s="279" t="s">
        <v>2891</v>
      </c>
      <c r="F2565" s="284">
        <f t="shared" ca="1" si="78"/>
        <v>0.82547490136588619</v>
      </c>
      <c r="G2565" s="74">
        <v>37.413662799410993</v>
      </c>
      <c r="H2565" s="74">
        <f t="shared" si="79"/>
        <v>3.0807375439215292</v>
      </c>
    </row>
    <row r="2566" spans="5:8" ht="15.6">
      <c r="E2566" s="279" t="s">
        <v>2892</v>
      </c>
      <c r="F2566" s="284">
        <f t="shared" ca="1" si="78"/>
        <v>0.77992626405458587</v>
      </c>
      <c r="G2566" s="74">
        <v>36.664408675219768</v>
      </c>
      <c r="H2566" s="74">
        <f t="shared" si="79"/>
        <v>3.8299916681127542</v>
      </c>
    </row>
    <row r="2567" spans="5:8" ht="15.6">
      <c r="E2567" s="279" t="s">
        <v>2893</v>
      </c>
      <c r="F2567" s="284">
        <f t="shared" ca="1" si="78"/>
        <v>0.32235924523462056</v>
      </c>
      <c r="G2567" s="74">
        <v>39.169407058900347</v>
      </c>
      <c r="H2567" s="74">
        <f t="shared" si="79"/>
        <v>1.3249932844321748</v>
      </c>
    </row>
    <row r="2568" spans="5:8" ht="15.6">
      <c r="E2568" s="279" t="s">
        <v>2894</v>
      </c>
      <c r="F2568" s="284">
        <f t="shared" ca="1" si="78"/>
        <v>0.94440357202345593</v>
      </c>
      <c r="G2568" s="74">
        <v>37.071594138218749</v>
      </c>
      <c r="H2568" s="74">
        <f t="shared" si="79"/>
        <v>3.4228062051137726</v>
      </c>
    </row>
    <row r="2569" spans="5:8" ht="15.6">
      <c r="E2569" s="279" t="s">
        <v>2895</v>
      </c>
      <c r="F2569" s="284">
        <f t="shared" ca="1" si="78"/>
        <v>0.63107850255872899</v>
      </c>
      <c r="G2569" s="74">
        <v>35.209130518897467</v>
      </c>
      <c r="H2569" s="74">
        <f t="shared" si="79"/>
        <v>5.2852698244350549</v>
      </c>
    </row>
    <row r="2570" spans="5:8" ht="15.6">
      <c r="E2570" s="279" t="s">
        <v>2896</v>
      </c>
      <c r="F2570" s="284">
        <f t="shared" ca="1" si="78"/>
        <v>0.81237672708956266</v>
      </c>
      <c r="G2570" s="74">
        <v>42.134773091113281</v>
      </c>
      <c r="H2570" s="74">
        <f t="shared" si="79"/>
        <v>-1.6403727477807593</v>
      </c>
    </row>
    <row r="2571" spans="5:8" ht="15.6">
      <c r="E2571" s="279" t="s">
        <v>2897</v>
      </c>
      <c r="F2571" s="284">
        <f t="shared" ca="1" si="78"/>
        <v>0.13697435062135055</v>
      </c>
      <c r="G2571" s="74">
        <v>42.137822287831831</v>
      </c>
      <c r="H2571" s="74">
        <f t="shared" si="79"/>
        <v>-1.643421944499309</v>
      </c>
    </row>
    <row r="2572" spans="5:8" ht="15.6">
      <c r="E2572" s="279" t="s">
        <v>2898</v>
      </c>
      <c r="F2572" s="284">
        <f t="shared" ref="F2572:F2635" ca="1" si="80">RAND()</f>
        <v>6.5601082130132715E-2</v>
      </c>
      <c r="G2572" s="74">
        <v>39.245775723129668</v>
      </c>
      <c r="H2572" s="74">
        <f t="shared" ref="H2572:H2635" si="81">$D$2-G2572</f>
        <v>1.2486246202028539</v>
      </c>
    </row>
    <row r="2573" spans="5:8" ht="15.6">
      <c r="E2573" s="279" t="s">
        <v>2899</v>
      </c>
      <c r="F2573" s="284">
        <f t="shared" ca="1" si="80"/>
        <v>0.95930052498722207</v>
      </c>
      <c r="G2573" s="74">
        <v>34.411337722259653</v>
      </c>
      <c r="H2573" s="74">
        <f t="shared" si="81"/>
        <v>6.0830626210728695</v>
      </c>
    </row>
    <row r="2574" spans="5:8" ht="15.6">
      <c r="E2574" s="279" t="s">
        <v>2900</v>
      </c>
      <c r="F2574" s="284">
        <f t="shared" ca="1" si="80"/>
        <v>0.14211965405304849</v>
      </c>
      <c r="G2574" s="74">
        <v>39.567490436532687</v>
      </c>
      <c r="H2574" s="74">
        <f t="shared" si="81"/>
        <v>0.92690990679983543</v>
      </c>
    </row>
    <row r="2575" spans="5:8" ht="15.6">
      <c r="E2575" s="279" t="s">
        <v>2901</v>
      </c>
      <c r="F2575" s="284">
        <f t="shared" ca="1" si="80"/>
        <v>0.99455816028716792</v>
      </c>
      <c r="G2575" s="74">
        <v>42.799460162195153</v>
      </c>
      <c r="H2575" s="74">
        <f t="shared" si="81"/>
        <v>-2.305059818862631</v>
      </c>
    </row>
    <row r="2576" spans="5:8" ht="15.6">
      <c r="E2576" s="279" t="s">
        <v>2902</v>
      </c>
      <c r="F2576" s="284">
        <f t="shared" ca="1" si="80"/>
        <v>0.19187599088880625</v>
      </c>
      <c r="G2576" s="74">
        <v>34.968449694630287</v>
      </c>
      <c r="H2576" s="74">
        <f t="shared" si="81"/>
        <v>5.525950648702235</v>
      </c>
    </row>
    <row r="2577" spans="5:8" ht="15.6">
      <c r="E2577" s="279" t="s">
        <v>2903</v>
      </c>
      <c r="F2577" s="284">
        <f t="shared" ca="1" si="80"/>
        <v>0.31015745418730645</v>
      </c>
      <c r="G2577" s="74">
        <v>43.156089511027027</v>
      </c>
      <c r="H2577" s="74">
        <f t="shared" si="81"/>
        <v>-2.6616891676945045</v>
      </c>
    </row>
    <row r="2578" spans="5:8" ht="15.6">
      <c r="E2578" s="279" t="s">
        <v>2904</v>
      </c>
      <c r="F2578" s="284">
        <f t="shared" ca="1" si="80"/>
        <v>0.6419911615751317</v>
      </c>
      <c r="G2578" s="74">
        <v>39.207260580790106</v>
      </c>
      <c r="H2578" s="74">
        <f t="shared" si="81"/>
        <v>1.2871397625424166</v>
      </c>
    </row>
    <row r="2579" spans="5:8" ht="15.6">
      <c r="E2579" s="279" t="s">
        <v>2905</v>
      </c>
      <c r="F2579" s="284">
        <f t="shared" ca="1" si="80"/>
        <v>0.53256609183327341</v>
      </c>
      <c r="G2579" s="74">
        <v>39.203486565588143</v>
      </c>
      <c r="H2579" s="74">
        <f t="shared" si="81"/>
        <v>1.2909137777443789</v>
      </c>
    </row>
    <row r="2580" spans="5:8" ht="15.6">
      <c r="E2580" s="279" t="s">
        <v>2906</v>
      </c>
      <c r="F2580" s="284">
        <f t="shared" ca="1" si="80"/>
        <v>0.78933941487661141</v>
      </c>
      <c r="G2580" s="74">
        <v>38.103591614557807</v>
      </c>
      <c r="H2580" s="74">
        <f t="shared" si="81"/>
        <v>2.3908087287747151</v>
      </c>
    </row>
    <row r="2581" spans="5:8" ht="15.6">
      <c r="E2581" s="279" t="s">
        <v>2907</v>
      </c>
      <c r="F2581" s="284">
        <f t="shared" ca="1" si="80"/>
        <v>0.67278837570254979</v>
      </c>
      <c r="G2581" s="74">
        <v>38.434316889673326</v>
      </c>
      <c r="H2581" s="74">
        <f t="shared" si="81"/>
        <v>2.0600834536591961</v>
      </c>
    </row>
    <row r="2582" spans="5:8" ht="15.6">
      <c r="E2582" s="279" t="s">
        <v>2908</v>
      </c>
      <c r="F2582" s="284">
        <f t="shared" ca="1" si="80"/>
        <v>0.7345736627621644</v>
      </c>
      <c r="G2582" s="74">
        <v>38.294571358956112</v>
      </c>
      <c r="H2582" s="74">
        <f t="shared" si="81"/>
        <v>2.1998289843764098</v>
      </c>
    </row>
    <row r="2583" spans="5:8" ht="15.6">
      <c r="E2583" s="279" t="s">
        <v>2909</v>
      </c>
      <c r="F2583" s="284">
        <f t="shared" ca="1" si="80"/>
        <v>0.96752478935176722</v>
      </c>
      <c r="G2583" s="74">
        <v>37.890023829334062</v>
      </c>
      <c r="H2583" s="74">
        <f t="shared" si="81"/>
        <v>2.60437651399846</v>
      </c>
    </row>
    <row r="2584" spans="5:8" ht="15.6">
      <c r="E2584" s="279" t="s">
        <v>2910</v>
      </c>
      <c r="F2584" s="284">
        <f t="shared" ca="1" si="80"/>
        <v>0.75658953688073094</v>
      </c>
      <c r="G2584" s="74">
        <v>36.033716138412153</v>
      </c>
      <c r="H2584" s="74">
        <f t="shared" si="81"/>
        <v>4.4606842049203692</v>
      </c>
    </row>
    <row r="2585" spans="5:8" ht="15.6">
      <c r="E2585" s="279" t="s">
        <v>2911</v>
      </c>
      <c r="F2585" s="284">
        <f t="shared" ca="1" si="80"/>
        <v>0.73801244808499322</v>
      </c>
      <c r="G2585" s="74">
        <v>38.26595998948612</v>
      </c>
      <c r="H2585" s="74">
        <f t="shared" si="81"/>
        <v>2.2284403538464019</v>
      </c>
    </row>
    <row r="2586" spans="5:8" ht="15.6">
      <c r="E2586" s="279" t="s">
        <v>2912</v>
      </c>
      <c r="F2586" s="284">
        <f t="shared" ca="1" si="80"/>
        <v>0.22110215774737352</v>
      </c>
      <c r="G2586" s="74">
        <v>36.115972500773601</v>
      </c>
      <c r="H2586" s="74">
        <f t="shared" si="81"/>
        <v>4.3784278425589207</v>
      </c>
    </row>
    <row r="2587" spans="5:8" ht="15.6">
      <c r="E2587" s="279" t="s">
        <v>2913</v>
      </c>
      <c r="F2587" s="284">
        <f t="shared" ca="1" si="80"/>
        <v>9.2785823495993291E-2</v>
      </c>
      <c r="G2587" s="74">
        <v>43.277064936242397</v>
      </c>
      <c r="H2587" s="74">
        <f t="shared" si="81"/>
        <v>-2.7826645929098746</v>
      </c>
    </row>
    <row r="2588" spans="5:8" ht="15.6">
      <c r="E2588" s="279" t="s">
        <v>2914</v>
      </c>
      <c r="F2588" s="284">
        <f t="shared" ca="1" si="80"/>
        <v>2.4113161670571093E-2</v>
      </c>
      <c r="G2588" s="74">
        <v>41.151019384121227</v>
      </c>
      <c r="H2588" s="74">
        <f t="shared" si="81"/>
        <v>-0.65661904078870492</v>
      </c>
    </row>
    <row r="2589" spans="5:8" ht="15.6">
      <c r="E2589" s="279" t="s">
        <v>2915</v>
      </c>
      <c r="F2589" s="284">
        <f t="shared" ca="1" si="80"/>
        <v>0.23361951398467606</v>
      </c>
      <c r="G2589" s="74">
        <v>36.3893046737522</v>
      </c>
      <c r="H2589" s="74">
        <f t="shared" si="81"/>
        <v>4.1050956695803222</v>
      </c>
    </row>
    <row r="2590" spans="5:8" ht="15.6">
      <c r="E2590" s="279" t="s">
        <v>2916</v>
      </c>
      <c r="F2590" s="284">
        <f t="shared" ca="1" si="80"/>
        <v>0.71843974072798633</v>
      </c>
      <c r="G2590" s="74">
        <v>38.378918967410613</v>
      </c>
      <c r="H2590" s="74">
        <f t="shared" si="81"/>
        <v>2.1154813759219095</v>
      </c>
    </row>
    <row r="2591" spans="5:8" ht="15.6">
      <c r="E2591" s="279" t="s">
        <v>2917</v>
      </c>
      <c r="F2591" s="284">
        <f t="shared" ca="1" si="80"/>
        <v>0.68555728534988658</v>
      </c>
      <c r="G2591" s="74">
        <v>40.358883222474326</v>
      </c>
      <c r="H2591" s="74">
        <f t="shared" si="81"/>
        <v>0.13551712085819645</v>
      </c>
    </row>
    <row r="2592" spans="5:8" ht="15.6">
      <c r="E2592" s="279" t="s">
        <v>2918</v>
      </c>
      <c r="F2592" s="284">
        <f t="shared" ca="1" si="80"/>
        <v>0.89768421596369874</v>
      </c>
      <c r="G2592" s="74">
        <v>41.438964673345872</v>
      </c>
      <c r="H2592" s="74">
        <f t="shared" si="81"/>
        <v>-0.94456433001334972</v>
      </c>
    </row>
    <row r="2593" spans="5:8" ht="15.6">
      <c r="E2593" s="279" t="s">
        <v>2919</v>
      </c>
      <c r="F2593" s="284">
        <f t="shared" ca="1" si="80"/>
        <v>0.39631087632301087</v>
      </c>
      <c r="G2593" s="74">
        <v>40.353799739599758</v>
      </c>
      <c r="H2593" s="74">
        <f t="shared" si="81"/>
        <v>0.14060060373276428</v>
      </c>
    </row>
    <row r="2594" spans="5:8" ht="15.6">
      <c r="E2594" s="279" t="s">
        <v>2920</v>
      </c>
      <c r="F2594" s="284">
        <f t="shared" ca="1" si="80"/>
        <v>0.47388105965008476</v>
      </c>
      <c r="G2594" s="74">
        <v>40.456517321200451</v>
      </c>
      <c r="H2594" s="74">
        <f t="shared" si="81"/>
        <v>3.7883022132071176E-2</v>
      </c>
    </row>
    <row r="2595" spans="5:8" ht="15.6">
      <c r="E2595" s="279" t="s">
        <v>2921</v>
      </c>
      <c r="F2595" s="284">
        <f t="shared" ca="1" si="80"/>
        <v>0.54137507299727594</v>
      </c>
      <c r="G2595" s="74">
        <v>42.736293433045326</v>
      </c>
      <c r="H2595" s="74">
        <f t="shared" si="81"/>
        <v>-2.2418930897128035</v>
      </c>
    </row>
    <row r="2596" spans="5:8" ht="15.6">
      <c r="E2596" s="279" t="s">
        <v>2922</v>
      </c>
      <c r="F2596" s="284">
        <f t="shared" ca="1" si="80"/>
        <v>0.65527614409030721</v>
      </c>
      <c r="G2596" s="74">
        <v>41.159530105588964</v>
      </c>
      <c r="H2596" s="74">
        <f t="shared" si="81"/>
        <v>-0.66512976225644138</v>
      </c>
    </row>
    <row r="2597" spans="5:8" ht="15.6">
      <c r="E2597" s="279" t="s">
        <v>2923</v>
      </c>
      <c r="F2597" s="284">
        <f t="shared" ca="1" si="80"/>
        <v>0.4525057650206874</v>
      </c>
      <c r="G2597" s="74">
        <v>44.099906842569368</v>
      </c>
      <c r="H2597" s="74">
        <f t="shared" si="81"/>
        <v>-3.6055064992368457</v>
      </c>
    </row>
    <row r="2598" spans="5:8" ht="15.6">
      <c r="E2598" s="279" t="s">
        <v>2924</v>
      </c>
      <c r="F2598" s="284">
        <f t="shared" ca="1" si="80"/>
        <v>0.43868014054963855</v>
      </c>
      <c r="G2598" s="74">
        <v>37.17988632016462</v>
      </c>
      <c r="H2598" s="74">
        <f t="shared" si="81"/>
        <v>3.3145140231679022</v>
      </c>
    </row>
    <row r="2599" spans="5:8" ht="15.6">
      <c r="E2599" s="279" t="s">
        <v>2925</v>
      </c>
      <c r="F2599" s="284">
        <f t="shared" ca="1" si="80"/>
        <v>5.8335024681027248E-2</v>
      </c>
      <c r="G2599" s="74">
        <v>35.997183711112243</v>
      </c>
      <c r="H2599" s="74">
        <f t="shared" si="81"/>
        <v>4.4972166322202796</v>
      </c>
    </row>
    <row r="2600" spans="5:8" ht="15.6">
      <c r="E2600" s="279" t="s">
        <v>2926</v>
      </c>
      <c r="F2600" s="284">
        <f t="shared" ca="1" si="80"/>
        <v>0.41143713105302337</v>
      </c>
      <c r="G2600" s="74">
        <v>42.199119513872162</v>
      </c>
      <c r="H2600" s="74">
        <f t="shared" si="81"/>
        <v>-1.7047191705396401</v>
      </c>
    </row>
    <row r="2601" spans="5:8" ht="15.6">
      <c r="E2601" s="279" t="s">
        <v>2927</v>
      </c>
      <c r="F2601" s="284">
        <f t="shared" ca="1" si="80"/>
        <v>0.97258704427958165</v>
      </c>
      <c r="G2601" s="74">
        <v>43.181558131658512</v>
      </c>
      <c r="H2601" s="74">
        <f t="shared" si="81"/>
        <v>-2.6871577883259903</v>
      </c>
    </row>
    <row r="2602" spans="5:8" ht="15.6">
      <c r="E2602" s="279" t="s">
        <v>2928</v>
      </c>
      <c r="F2602" s="284">
        <f t="shared" ca="1" si="80"/>
        <v>0.34051782556250509</v>
      </c>
      <c r="G2602" s="74">
        <v>35.648251149661419</v>
      </c>
      <c r="H2602" s="74">
        <f t="shared" si="81"/>
        <v>4.8461491936711028</v>
      </c>
    </row>
    <row r="2603" spans="5:8" ht="15.6">
      <c r="E2603" s="279" t="s">
        <v>2929</v>
      </c>
      <c r="F2603" s="284">
        <f t="shared" ca="1" si="80"/>
        <v>0.49548158302876644</v>
      </c>
      <c r="G2603" s="74">
        <v>42.275284897836855</v>
      </c>
      <c r="H2603" s="74">
        <f t="shared" si="81"/>
        <v>-1.7808845545043326</v>
      </c>
    </row>
    <row r="2604" spans="5:8" ht="15.6">
      <c r="E2604" s="279" t="s">
        <v>2930</v>
      </c>
      <c r="F2604" s="284">
        <f t="shared" ca="1" si="80"/>
        <v>0.51887287909908375</v>
      </c>
      <c r="G2604" s="74">
        <v>40.478414168594306</v>
      </c>
      <c r="H2604" s="74">
        <f t="shared" si="81"/>
        <v>1.5986174738216619E-2</v>
      </c>
    </row>
    <row r="2605" spans="5:8" ht="15.6">
      <c r="E2605" s="279" t="s">
        <v>2931</v>
      </c>
      <c r="F2605" s="284">
        <f t="shared" ca="1" si="80"/>
        <v>0.158562030125867</v>
      </c>
      <c r="G2605" s="74">
        <v>35.76137273168461</v>
      </c>
      <c r="H2605" s="74">
        <f t="shared" si="81"/>
        <v>4.7330276116479126</v>
      </c>
    </row>
    <row r="2606" spans="5:8" ht="15.6">
      <c r="E2606" s="279" t="s">
        <v>2932</v>
      </c>
      <c r="F2606" s="284">
        <f t="shared" ca="1" si="80"/>
        <v>0.78621035964376473</v>
      </c>
      <c r="G2606" s="74">
        <v>40.847504043680821</v>
      </c>
      <c r="H2606" s="74">
        <f t="shared" si="81"/>
        <v>-0.3531037003482993</v>
      </c>
    </row>
    <row r="2607" spans="5:8" ht="15.6">
      <c r="E2607" s="279" t="s">
        <v>2933</v>
      </c>
      <c r="F2607" s="284">
        <f t="shared" ca="1" si="80"/>
        <v>0.90085700895685972</v>
      </c>
      <c r="G2607" s="74">
        <v>39.428938288180255</v>
      </c>
      <c r="H2607" s="74">
        <f t="shared" si="81"/>
        <v>1.0654620551522669</v>
      </c>
    </row>
    <row r="2608" spans="5:8" ht="15.6">
      <c r="E2608" s="279" t="s">
        <v>2934</v>
      </c>
      <c r="F2608" s="284">
        <f t="shared" ca="1" si="80"/>
        <v>0.75395662360130167</v>
      </c>
      <c r="G2608" s="74">
        <v>42.552710086610517</v>
      </c>
      <c r="H2608" s="74">
        <f t="shared" si="81"/>
        <v>-2.0583097432779951</v>
      </c>
    </row>
    <row r="2609" spans="5:8" ht="15.6">
      <c r="E2609" s="279" t="s">
        <v>2935</v>
      </c>
      <c r="F2609" s="284">
        <f t="shared" ca="1" si="80"/>
        <v>4.1310374390068461E-2</v>
      </c>
      <c r="G2609" s="74">
        <v>39.14072050196593</v>
      </c>
      <c r="H2609" s="74">
        <f t="shared" si="81"/>
        <v>1.353679841366592</v>
      </c>
    </row>
    <row r="2610" spans="5:8" ht="15.6">
      <c r="E2610" s="279" t="s">
        <v>2936</v>
      </c>
      <c r="F2610" s="284">
        <f t="shared" ca="1" si="80"/>
        <v>8.0258651992488494E-2</v>
      </c>
      <c r="G2610" s="74">
        <v>39.176218595890582</v>
      </c>
      <c r="H2610" s="74">
        <f t="shared" si="81"/>
        <v>1.3181817474419404</v>
      </c>
    </row>
    <row r="2611" spans="5:8" ht="15.6">
      <c r="E2611" s="279" t="s">
        <v>2937</v>
      </c>
      <c r="F2611" s="284">
        <f t="shared" ca="1" si="80"/>
        <v>0.49145376486251058</v>
      </c>
      <c r="G2611" s="74">
        <v>39.240388355944674</v>
      </c>
      <c r="H2611" s="74">
        <f t="shared" si="81"/>
        <v>1.2540119873878481</v>
      </c>
    </row>
    <row r="2612" spans="5:8" ht="15.6">
      <c r="E2612" s="279" t="s">
        <v>2938</v>
      </c>
      <c r="F2612" s="284">
        <f t="shared" ca="1" si="80"/>
        <v>0.69620350644031626</v>
      </c>
      <c r="G2612" s="74">
        <v>34.859385776992447</v>
      </c>
      <c r="H2612" s="74">
        <f t="shared" si="81"/>
        <v>5.6350145663400752</v>
      </c>
    </row>
    <row r="2613" spans="5:8" ht="15.6">
      <c r="E2613" s="279" t="s">
        <v>2939</v>
      </c>
      <c r="F2613" s="284">
        <f t="shared" ca="1" si="80"/>
        <v>0.34472932326972905</v>
      </c>
      <c r="G2613" s="74">
        <v>34.387881846975318</v>
      </c>
      <c r="H2613" s="74">
        <f t="shared" si="81"/>
        <v>6.1065184963572037</v>
      </c>
    </row>
    <row r="2614" spans="5:8" ht="15.6">
      <c r="E2614" s="279" t="s">
        <v>2940</v>
      </c>
      <c r="F2614" s="284">
        <f t="shared" ca="1" si="80"/>
        <v>4.0296424012826071E-2</v>
      </c>
      <c r="G2614" s="74">
        <v>40.006228037929908</v>
      </c>
      <c r="H2614" s="74">
        <f t="shared" si="81"/>
        <v>0.48817230540261392</v>
      </c>
    </row>
    <row r="2615" spans="5:8" ht="15.6">
      <c r="E2615" s="279" t="s">
        <v>2941</v>
      </c>
      <c r="F2615" s="284">
        <f t="shared" ca="1" si="80"/>
        <v>0.96232951431432501</v>
      </c>
      <c r="G2615" s="74">
        <v>39.964714106444923</v>
      </c>
      <c r="H2615" s="74">
        <f t="shared" si="81"/>
        <v>0.52968623688759919</v>
      </c>
    </row>
    <row r="2616" spans="5:8" ht="15.6">
      <c r="E2616" s="279" t="s">
        <v>2942</v>
      </c>
      <c r="F2616" s="284">
        <f t="shared" ca="1" si="80"/>
        <v>0.89672907490748699</v>
      </c>
      <c r="G2616" s="74">
        <v>36.733827379499921</v>
      </c>
      <c r="H2616" s="74">
        <f t="shared" si="81"/>
        <v>3.7605729638326011</v>
      </c>
    </row>
    <row r="2617" spans="5:8" ht="15.6">
      <c r="E2617" s="279" t="s">
        <v>2943</v>
      </c>
      <c r="F2617" s="284">
        <f t="shared" ca="1" si="80"/>
        <v>0.39183831785195333</v>
      </c>
      <c r="G2617" s="74">
        <v>42.668886852139231</v>
      </c>
      <c r="H2617" s="74">
        <f t="shared" si="81"/>
        <v>-2.1744865088067087</v>
      </c>
    </row>
    <row r="2618" spans="5:8" ht="15.6">
      <c r="E2618" s="279" t="s">
        <v>2944</v>
      </c>
      <c r="F2618" s="284">
        <f t="shared" ca="1" si="80"/>
        <v>9.6093270674801112E-2</v>
      </c>
      <c r="G2618" s="74">
        <v>41.722946438561948</v>
      </c>
      <c r="H2618" s="74">
        <f t="shared" si="81"/>
        <v>-1.2285460952294258</v>
      </c>
    </row>
    <row r="2619" spans="5:8" ht="15.6">
      <c r="E2619" s="279" t="s">
        <v>2945</v>
      </c>
      <c r="F2619" s="284">
        <f t="shared" ca="1" si="80"/>
        <v>2.4876830570036423E-3</v>
      </c>
      <c r="G2619" s="74">
        <v>35.962597743319527</v>
      </c>
      <c r="H2619" s="74">
        <f t="shared" si="81"/>
        <v>4.5318026000129947</v>
      </c>
    </row>
    <row r="2620" spans="5:8" ht="15.6">
      <c r="E2620" s="279" t="s">
        <v>2946</v>
      </c>
      <c r="F2620" s="284">
        <f t="shared" ca="1" si="80"/>
        <v>0.45786925289113489</v>
      </c>
      <c r="G2620" s="74">
        <v>37.772071414119473</v>
      </c>
      <c r="H2620" s="74">
        <f t="shared" si="81"/>
        <v>2.7223289292130488</v>
      </c>
    </row>
    <row r="2621" spans="5:8" ht="15.6">
      <c r="E2621" s="279" t="s">
        <v>2947</v>
      </c>
      <c r="F2621" s="284">
        <f t="shared" ca="1" si="80"/>
        <v>0.766900559746866</v>
      </c>
      <c r="G2621" s="74">
        <v>37.224870612715264</v>
      </c>
      <c r="H2621" s="74">
        <f t="shared" si="81"/>
        <v>3.2695297306172577</v>
      </c>
    </row>
    <row r="2622" spans="5:8" ht="15.6">
      <c r="E2622" s="279" t="s">
        <v>2948</v>
      </c>
      <c r="F2622" s="284">
        <f t="shared" ca="1" si="80"/>
        <v>0.10496441625762154</v>
      </c>
      <c r="G2622" s="74">
        <v>37.53664368651193</v>
      </c>
      <c r="H2622" s="74">
        <f t="shared" si="81"/>
        <v>2.9577566568205924</v>
      </c>
    </row>
    <row r="2623" spans="5:8" ht="15.6">
      <c r="E2623" s="279" t="s">
        <v>2949</v>
      </c>
      <c r="F2623" s="284">
        <f t="shared" ca="1" si="80"/>
        <v>0.71243503146529674</v>
      </c>
      <c r="G2623" s="74">
        <v>38.241601343226996</v>
      </c>
      <c r="H2623" s="74">
        <f t="shared" si="81"/>
        <v>2.2527990001055258</v>
      </c>
    </row>
    <row r="2624" spans="5:8" ht="15.6">
      <c r="E2624" s="279" t="s">
        <v>2950</v>
      </c>
      <c r="F2624" s="284">
        <f t="shared" ca="1" si="80"/>
        <v>0.88879313849244124</v>
      </c>
      <c r="G2624" s="74">
        <v>41.193017011441619</v>
      </c>
      <c r="H2624" s="74">
        <f t="shared" si="81"/>
        <v>-0.69861666810909639</v>
      </c>
    </row>
    <row r="2625" spans="5:8" ht="15.6">
      <c r="E2625" s="279" t="s">
        <v>2951</v>
      </c>
      <c r="F2625" s="284">
        <f t="shared" ca="1" si="80"/>
        <v>0.5460651425527806</v>
      </c>
      <c r="G2625" s="74">
        <v>40.585740592209802</v>
      </c>
      <c r="H2625" s="74">
        <f t="shared" si="81"/>
        <v>-9.1340248877280317E-2</v>
      </c>
    </row>
    <row r="2626" spans="5:8" ht="15.6">
      <c r="E2626" s="279" t="s">
        <v>2952</v>
      </c>
      <c r="F2626" s="284">
        <f t="shared" ca="1" si="80"/>
        <v>0.13025567569860586</v>
      </c>
      <c r="G2626" s="74">
        <v>39.284937422511099</v>
      </c>
      <c r="H2626" s="74">
        <f t="shared" si="81"/>
        <v>1.2094629208214229</v>
      </c>
    </row>
    <row r="2627" spans="5:8" ht="15.6">
      <c r="E2627" s="279" t="s">
        <v>2953</v>
      </c>
      <c r="F2627" s="284">
        <f t="shared" ca="1" si="80"/>
        <v>0.12313218540270721</v>
      </c>
      <c r="G2627" s="74">
        <v>34.4961825465384</v>
      </c>
      <c r="H2627" s="74">
        <f t="shared" si="81"/>
        <v>5.9982177967941226</v>
      </c>
    </row>
    <row r="2628" spans="5:8" ht="15.6">
      <c r="E2628" s="279" t="s">
        <v>2954</v>
      </c>
      <c r="F2628" s="284">
        <f t="shared" ca="1" si="80"/>
        <v>0.97870317651544236</v>
      </c>
      <c r="G2628" s="74">
        <v>40.275191678490074</v>
      </c>
      <c r="H2628" s="74">
        <f t="shared" si="81"/>
        <v>0.21920866484244783</v>
      </c>
    </row>
    <row r="2629" spans="5:8" ht="15.6">
      <c r="E2629" s="279" t="s">
        <v>2955</v>
      </c>
      <c r="F2629" s="284">
        <f t="shared" ca="1" si="80"/>
        <v>0.21194055598451933</v>
      </c>
      <c r="G2629" s="74">
        <v>40.054538015959537</v>
      </c>
      <c r="H2629" s="74">
        <f t="shared" si="81"/>
        <v>0.43986232737298536</v>
      </c>
    </row>
    <row r="2630" spans="5:8" ht="15.6">
      <c r="E2630" s="279" t="s">
        <v>2956</v>
      </c>
      <c r="F2630" s="284">
        <f t="shared" ca="1" si="80"/>
        <v>0.29950248659093415</v>
      </c>
      <c r="G2630" s="74">
        <v>37.730378443174963</v>
      </c>
      <c r="H2630" s="74">
        <f t="shared" si="81"/>
        <v>2.7640219001575588</v>
      </c>
    </row>
    <row r="2631" spans="5:8" ht="15.6">
      <c r="E2631" s="279" t="s">
        <v>2957</v>
      </c>
      <c r="F2631" s="284">
        <f t="shared" ca="1" si="80"/>
        <v>0.69029584094548224</v>
      </c>
      <c r="G2631" s="74">
        <v>42.067001361451794</v>
      </c>
      <c r="H2631" s="74">
        <f t="shared" si="81"/>
        <v>-1.572601018119272</v>
      </c>
    </row>
    <row r="2632" spans="5:8" ht="15.6">
      <c r="E2632" s="279" t="s">
        <v>2958</v>
      </c>
      <c r="F2632" s="284">
        <f t="shared" ca="1" si="80"/>
        <v>0.95881112677756253</v>
      </c>
      <c r="G2632" s="74">
        <v>39.021480093910775</v>
      </c>
      <c r="H2632" s="74">
        <f t="shared" si="81"/>
        <v>1.4729202494217475</v>
      </c>
    </row>
    <row r="2633" spans="5:8" ht="15.6">
      <c r="E2633" s="279" t="s">
        <v>2959</v>
      </c>
      <c r="F2633" s="284">
        <f t="shared" ca="1" si="80"/>
        <v>0.36529037479810733</v>
      </c>
      <c r="G2633" s="74">
        <v>37.903270423472826</v>
      </c>
      <c r="H2633" s="74">
        <f t="shared" si="81"/>
        <v>2.5911299198596964</v>
      </c>
    </row>
    <row r="2634" spans="5:8" ht="15.6">
      <c r="E2634" s="279" t="s">
        <v>2960</v>
      </c>
      <c r="F2634" s="284">
        <f t="shared" ca="1" si="80"/>
        <v>0.85616238729100347</v>
      </c>
      <c r="G2634" s="74">
        <v>35.154294431188603</v>
      </c>
      <c r="H2634" s="74">
        <f t="shared" si="81"/>
        <v>5.3401059121439189</v>
      </c>
    </row>
    <row r="2635" spans="5:8" ht="15.6">
      <c r="E2635" s="279" t="s">
        <v>2961</v>
      </c>
      <c r="F2635" s="284">
        <f t="shared" ca="1" si="80"/>
        <v>0.10698073121534923</v>
      </c>
      <c r="G2635" s="74">
        <v>38.442417538875105</v>
      </c>
      <c r="H2635" s="74">
        <f t="shared" si="81"/>
        <v>2.0519828044574169</v>
      </c>
    </row>
    <row r="2636" spans="5:8" ht="15.6">
      <c r="E2636" s="279" t="s">
        <v>2962</v>
      </c>
      <c r="F2636" s="284">
        <f t="shared" ref="F2636:F2699" ca="1" si="82">RAND()</f>
        <v>0.65632926769812439</v>
      </c>
      <c r="G2636" s="74">
        <v>41.533852423418118</v>
      </c>
      <c r="H2636" s="74">
        <f t="shared" ref="H2636:H2699" si="83">$D$2-G2636</f>
        <v>-1.0394520800855958</v>
      </c>
    </row>
    <row r="2637" spans="5:8" ht="15.6">
      <c r="E2637" s="279" t="s">
        <v>2963</v>
      </c>
      <c r="F2637" s="284">
        <f t="shared" ca="1" si="82"/>
        <v>0.21369059347726493</v>
      </c>
      <c r="G2637" s="74">
        <v>34.650889774657372</v>
      </c>
      <c r="H2637" s="74">
        <f t="shared" si="83"/>
        <v>5.8435105686751498</v>
      </c>
    </row>
    <row r="2638" spans="5:8" ht="15.6">
      <c r="E2638" s="279" t="s">
        <v>2964</v>
      </c>
      <c r="F2638" s="284">
        <f t="shared" ca="1" si="82"/>
        <v>0.68999255972337492</v>
      </c>
      <c r="G2638" s="74">
        <v>41.309542113235246</v>
      </c>
      <c r="H2638" s="74">
        <f t="shared" si="83"/>
        <v>-0.81514176990272347</v>
      </c>
    </row>
    <row r="2639" spans="5:8" ht="15.6">
      <c r="E2639" s="279" t="s">
        <v>2965</v>
      </c>
      <c r="F2639" s="284">
        <f t="shared" ca="1" si="82"/>
        <v>0.68446737661337009</v>
      </c>
      <c r="G2639" s="74">
        <v>42.163740436992775</v>
      </c>
      <c r="H2639" s="74">
        <f t="shared" si="83"/>
        <v>-1.6693400936602529</v>
      </c>
    </row>
    <row r="2640" spans="5:8" ht="15.6">
      <c r="E2640" s="279" t="s">
        <v>2966</v>
      </c>
      <c r="F2640" s="284">
        <f t="shared" ca="1" si="82"/>
        <v>0.71741638106791517</v>
      </c>
      <c r="G2640" s="74">
        <v>37.510602873523908</v>
      </c>
      <c r="H2640" s="74">
        <f t="shared" si="83"/>
        <v>2.9837974698086143</v>
      </c>
    </row>
    <row r="2641" spans="5:8" ht="15.6">
      <c r="E2641" s="279" t="s">
        <v>2967</v>
      </c>
      <c r="F2641" s="284">
        <f t="shared" ca="1" si="82"/>
        <v>0.87708634840797017</v>
      </c>
      <c r="G2641" s="74">
        <v>40.834902652138709</v>
      </c>
      <c r="H2641" s="74">
        <f t="shared" si="83"/>
        <v>-0.3405023088061867</v>
      </c>
    </row>
    <row r="2642" spans="5:8" ht="15.6">
      <c r="E2642" s="279" t="s">
        <v>2968</v>
      </c>
      <c r="F2642" s="284">
        <f t="shared" ca="1" si="82"/>
        <v>0.14194347490734227</v>
      </c>
      <c r="G2642" s="74">
        <v>40.179445880305458</v>
      </c>
      <c r="H2642" s="74">
        <f t="shared" si="83"/>
        <v>0.31495446302706398</v>
      </c>
    </row>
    <row r="2643" spans="5:8" ht="15.6">
      <c r="E2643" s="279" t="s">
        <v>2969</v>
      </c>
      <c r="F2643" s="284">
        <f t="shared" ca="1" si="82"/>
        <v>0.36006477083935906</v>
      </c>
      <c r="G2643" s="74">
        <v>35.868666417763237</v>
      </c>
      <c r="H2643" s="74">
        <f t="shared" si="83"/>
        <v>4.6257339255692855</v>
      </c>
    </row>
    <row r="2644" spans="5:8" ht="15.6">
      <c r="E2644" s="279" t="s">
        <v>2970</v>
      </c>
      <c r="F2644" s="284">
        <f t="shared" ca="1" si="82"/>
        <v>0.30054933162253661</v>
      </c>
      <c r="G2644" s="74">
        <v>38.540860555515742</v>
      </c>
      <c r="H2644" s="74">
        <f t="shared" si="83"/>
        <v>1.9535397878167799</v>
      </c>
    </row>
    <row r="2645" spans="5:8" ht="15.6">
      <c r="E2645" s="279" t="s">
        <v>2971</v>
      </c>
      <c r="F2645" s="284">
        <f t="shared" ca="1" si="82"/>
        <v>0.62906152462781251</v>
      </c>
      <c r="G2645" s="74">
        <v>39.466735118585724</v>
      </c>
      <c r="H2645" s="74">
        <f t="shared" si="83"/>
        <v>1.0276652247467979</v>
      </c>
    </row>
    <row r="2646" spans="5:8" ht="15.6">
      <c r="E2646" s="279" t="s">
        <v>2972</v>
      </c>
      <c r="F2646" s="284">
        <f t="shared" ca="1" si="82"/>
        <v>0.24415132959142927</v>
      </c>
      <c r="G2646" s="74">
        <v>38.622667312061125</v>
      </c>
      <c r="H2646" s="74">
        <f t="shared" si="83"/>
        <v>1.8717330312713969</v>
      </c>
    </row>
    <row r="2647" spans="5:8" ht="15.6">
      <c r="E2647" s="279" t="s">
        <v>2973</v>
      </c>
      <c r="F2647" s="284">
        <f t="shared" ca="1" si="82"/>
        <v>0.49810256506301809</v>
      </c>
      <c r="G2647" s="74">
        <v>42.360596567733708</v>
      </c>
      <c r="H2647" s="74">
        <f t="shared" si="83"/>
        <v>-1.866196224401186</v>
      </c>
    </row>
    <row r="2648" spans="5:8" ht="15.6">
      <c r="E2648" s="279" t="s">
        <v>2974</v>
      </c>
      <c r="F2648" s="284">
        <f t="shared" ca="1" si="82"/>
        <v>0.13631674538980354</v>
      </c>
      <c r="G2648" s="74">
        <v>41.990373589101573</v>
      </c>
      <c r="H2648" s="74">
        <f t="shared" si="83"/>
        <v>-1.4959732457690507</v>
      </c>
    </row>
    <row r="2649" spans="5:8" ht="15.6">
      <c r="E2649" s="279" t="s">
        <v>2975</v>
      </c>
      <c r="F2649" s="284">
        <f t="shared" ca="1" si="82"/>
        <v>0.72822952163439181</v>
      </c>
      <c r="G2649" s="74">
        <v>36.623137622747883</v>
      </c>
      <c r="H2649" s="74">
        <f t="shared" si="83"/>
        <v>3.8712627205846388</v>
      </c>
    </row>
    <row r="2650" spans="5:8" ht="15.6">
      <c r="E2650" s="279" t="s">
        <v>2976</v>
      </c>
      <c r="F2650" s="284">
        <f t="shared" ca="1" si="82"/>
        <v>0.26796057440255228</v>
      </c>
      <c r="G2650" s="74">
        <v>35.652126711303104</v>
      </c>
      <c r="H2650" s="74">
        <f t="shared" si="83"/>
        <v>4.8422736320294177</v>
      </c>
    </row>
    <row r="2651" spans="5:8" ht="15.6">
      <c r="E2651" s="279" t="s">
        <v>2977</v>
      </c>
      <c r="F2651" s="284">
        <f t="shared" ca="1" si="82"/>
        <v>0.54397054906988562</v>
      </c>
      <c r="G2651" s="74">
        <v>39.247179039378402</v>
      </c>
      <c r="H2651" s="74">
        <f t="shared" si="83"/>
        <v>1.2472213039541202</v>
      </c>
    </row>
    <row r="2652" spans="5:8" ht="15.6">
      <c r="E2652" s="279" t="s">
        <v>2978</v>
      </c>
      <c r="F2652" s="284">
        <f t="shared" ca="1" si="82"/>
        <v>0.4208261942860364</v>
      </c>
      <c r="G2652" s="74">
        <v>40.53245548645144</v>
      </c>
      <c r="H2652" s="74">
        <f t="shared" si="83"/>
        <v>-3.8055143118917556E-2</v>
      </c>
    </row>
    <row r="2653" spans="5:8" ht="15.6">
      <c r="E2653" s="279" t="s">
        <v>2979</v>
      </c>
      <c r="F2653" s="284">
        <f t="shared" ca="1" si="82"/>
        <v>0.11584965793352886</v>
      </c>
      <c r="G2653" s="74">
        <v>38.352115741406422</v>
      </c>
      <c r="H2653" s="74">
        <f t="shared" si="83"/>
        <v>2.1422846019261002</v>
      </c>
    </row>
    <row r="2654" spans="5:8" ht="15.6">
      <c r="E2654" s="279" t="s">
        <v>2980</v>
      </c>
      <c r="F2654" s="284">
        <f t="shared" ca="1" si="82"/>
        <v>0.23938213720298906</v>
      </c>
      <c r="G2654" s="74">
        <v>38.150838213324157</v>
      </c>
      <c r="H2654" s="74">
        <f t="shared" si="83"/>
        <v>2.3435621300083653</v>
      </c>
    </row>
    <row r="2655" spans="5:8" ht="15.6">
      <c r="E2655" s="279" t="s">
        <v>2981</v>
      </c>
      <c r="F2655" s="284">
        <f t="shared" ca="1" si="82"/>
        <v>8.9188534344451731E-2</v>
      </c>
      <c r="G2655" s="74">
        <v>40.497878869517635</v>
      </c>
      <c r="H2655" s="74">
        <f t="shared" si="83"/>
        <v>-3.4785261851126847E-3</v>
      </c>
    </row>
    <row r="2656" spans="5:8" ht="15.6">
      <c r="E2656" s="279" t="s">
        <v>2982</v>
      </c>
      <c r="F2656" s="284">
        <f t="shared" ca="1" si="82"/>
        <v>0.30880055947963647</v>
      </c>
      <c r="G2656" s="74">
        <v>35.765053168602542</v>
      </c>
      <c r="H2656" s="74">
        <f t="shared" si="83"/>
        <v>4.7293471747299805</v>
      </c>
    </row>
    <row r="2657" spans="5:8" ht="15.6">
      <c r="E2657" s="279" t="s">
        <v>2983</v>
      </c>
      <c r="F2657" s="284">
        <f t="shared" ca="1" si="82"/>
        <v>0.34653279062158215</v>
      </c>
      <c r="G2657" s="74">
        <v>39.050851753349626</v>
      </c>
      <c r="H2657" s="74">
        <f t="shared" si="83"/>
        <v>1.4435485899828961</v>
      </c>
    </row>
    <row r="2658" spans="5:8" ht="15.6">
      <c r="E2658" s="279" t="s">
        <v>2984</v>
      </c>
      <c r="F2658" s="284">
        <f t="shared" ca="1" si="82"/>
        <v>7.7072795185577747E-2</v>
      </c>
      <c r="G2658" s="74">
        <v>39.99535788629165</v>
      </c>
      <c r="H2658" s="74">
        <f t="shared" si="83"/>
        <v>0.49904245704087202</v>
      </c>
    </row>
    <row r="2659" spans="5:8" ht="15.6">
      <c r="E2659" s="279" t="s">
        <v>2985</v>
      </c>
      <c r="F2659" s="284">
        <f t="shared" ca="1" si="82"/>
        <v>0.23567314877831391</v>
      </c>
      <c r="G2659" s="74">
        <v>38.311081311249431</v>
      </c>
      <c r="H2659" s="74">
        <f t="shared" si="83"/>
        <v>2.1833190320830909</v>
      </c>
    </row>
    <row r="2660" spans="5:8" ht="15.6">
      <c r="E2660" s="279" t="s">
        <v>2986</v>
      </c>
      <c r="F2660" s="284">
        <f t="shared" ca="1" si="82"/>
        <v>0.69022075213067069</v>
      </c>
      <c r="G2660" s="74">
        <v>39.943279681639623</v>
      </c>
      <c r="H2660" s="74">
        <f t="shared" si="83"/>
        <v>0.55112066169289875</v>
      </c>
    </row>
    <row r="2661" spans="5:8" ht="15.6">
      <c r="E2661" s="279" t="s">
        <v>2987</v>
      </c>
      <c r="F2661" s="284">
        <f t="shared" ca="1" si="82"/>
        <v>0.54382033866262247</v>
      </c>
      <c r="G2661" s="74">
        <v>39.304826945030058</v>
      </c>
      <c r="H2661" s="74">
        <f t="shared" si="83"/>
        <v>1.1895733983024641</v>
      </c>
    </row>
    <row r="2662" spans="5:8" ht="15.6">
      <c r="E2662" s="279" t="s">
        <v>2988</v>
      </c>
      <c r="F2662" s="284">
        <f t="shared" ca="1" si="82"/>
        <v>0.94377905219773284</v>
      </c>
      <c r="G2662" s="74">
        <v>41.341766039067636</v>
      </c>
      <c r="H2662" s="74">
        <f t="shared" si="83"/>
        <v>-0.84736569573511389</v>
      </c>
    </row>
    <row r="2663" spans="5:8" ht="15.6">
      <c r="E2663" s="279" t="s">
        <v>2989</v>
      </c>
      <c r="F2663" s="284">
        <f t="shared" ca="1" si="82"/>
        <v>0.45300758893159643</v>
      </c>
      <c r="G2663" s="74">
        <v>48.002955253698133</v>
      </c>
      <c r="H2663" s="74">
        <f t="shared" si="83"/>
        <v>-7.5085549103656106</v>
      </c>
    </row>
    <row r="2664" spans="5:8" ht="15.6">
      <c r="E2664" s="279" t="s">
        <v>2990</v>
      </c>
      <c r="F2664" s="284">
        <f t="shared" ca="1" si="82"/>
        <v>0.48602166595037199</v>
      </c>
      <c r="G2664" s="74">
        <v>43.514869000560928</v>
      </c>
      <c r="H2664" s="74">
        <f t="shared" si="83"/>
        <v>-3.0204686572284061</v>
      </c>
    </row>
    <row r="2665" spans="5:8" ht="15.6">
      <c r="E2665" s="279" t="s">
        <v>2991</v>
      </c>
      <c r="F2665" s="284">
        <f t="shared" ca="1" si="82"/>
        <v>0.7660876054107435</v>
      </c>
      <c r="G2665" s="74">
        <v>36.253561850788927</v>
      </c>
      <c r="H2665" s="74">
        <f t="shared" si="83"/>
        <v>4.2408384925435954</v>
      </c>
    </row>
    <row r="2666" spans="5:8" ht="15.6">
      <c r="E2666" s="279" t="s">
        <v>2992</v>
      </c>
      <c r="F2666" s="284">
        <f t="shared" ca="1" si="82"/>
        <v>0.29378154299996273</v>
      </c>
      <c r="G2666" s="74">
        <v>41.885287821326138</v>
      </c>
      <c r="H2666" s="74">
        <f t="shared" si="83"/>
        <v>-1.3908874779936156</v>
      </c>
    </row>
    <row r="2667" spans="5:8" ht="15.6">
      <c r="E2667" s="279" t="s">
        <v>2993</v>
      </c>
      <c r="F2667" s="284">
        <f t="shared" ca="1" si="82"/>
        <v>0.47114668044470542</v>
      </c>
      <c r="G2667" s="74">
        <v>40.467013084777342</v>
      </c>
      <c r="H2667" s="74">
        <f t="shared" si="83"/>
        <v>2.7387258555179983E-2</v>
      </c>
    </row>
    <row r="2668" spans="5:8" ht="15.6">
      <c r="E2668" s="279" t="s">
        <v>2994</v>
      </c>
      <c r="F2668" s="284">
        <f t="shared" ca="1" si="82"/>
        <v>5.7618765191098098E-2</v>
      </c>
      <c r="G2668" s="74">
        <v>37.293124084074186</v>
      </c>
      <c r="H2668" s="74">
        <f t="shared" si="83"/>
        <v>3.2012762592583357</v>
      </c>
    </row>
    <row r="2669" spans="5:8" ht="15.6">
      <c r="E2669" s="279" t="s">
        <v>2995</v>
      </c>
      <c r="F2669" s="284">
        <f t="shared" ca="1" si="82"/>
        <v>0.10587349054952711</v>
      </c>
      <c r="G2669" s="74">
        <v>37.207546922885186</v>
      </c>
      <c r="H2669" s="74">
        <f t="shared" si="83"/>
        <v>3.2868534204473363</v>
      </c>
    </row>
    <row r="2670" spans="5:8" ht="15.6">
      <c r="E2670" s="279" t="s">
        <v>2996</v>
      </c>
      <c r="F2670" s="284">
        <f t="shared" ca="1" si="82"/>
        <v>0.73958202975172038</v>
      </c>
      <c r="G2670" s="74">
        <v>38.710093895470997</v>
      </c>
      <c r="H2670" s="74">
        <f t="shared" si="83"/>
        <v>1.7843064478615247</v>
      </c>
    </row>
    <row r="2671" spans="5:8" ht="15.6">
      <c r="E2671" s="279" t="s">
        <v>2997</v>
      </c>
      <c r="F2671" s="284">
        <f t="shared" ca="1" si="82"/>
        <v>0.85229979645399123</v>
      </c>
      <c r="G2671" s="74">
        <v>44.936063612977577</v>
      </c>
      <c r="H2671" s="74">
        <f t="shared" si="83"/>
        <v>-4.4416632696450549</v>
      </c>
    </row>
    <row r="2672" spans="5:8" ht="15.6">
      <c r="E2672" s="279" t="s">
        <v>2998</v>
      </c>
      <c r="F2672" s="284">
        <f t="shared" ca="1" si="82"/>
        <v>0.21730059506209276</v>
      </c>
      <c r="G2672" s="74">
        <v>33.081383514697656</v>
      </c>
      <c r="H2672" s="74">
        <f t="shared" si="83"/>
        <v>7.4130168286348663</v>
      </c>
    </row>
    <row r="2673" spans="5:8" ht="15.6">
      <c r="E2673" s="279" t="s">
        <v>2999</v>
      </c>
      <c r="F2673" s="284">
        <f t="shared" ca="1" si="82"/>
        <v>0.25443016488766879</v>
      </c>
      <c r="G2673" s="74">
        <v>42.41623350498206</v>
      </c>
      <c r="H2673" s="74">
        <f t="shared" si="83"/>
        <v>-1.9218331616495377</v>
      </c>
    </row>
    <row r="2674" spans="5:8" ht="15.6">
      <c r="E2674" s="279" t="s">
        <v>3000</v>
      </c>
      <c r="F2674" s="284">
        <f t="shared" ca="1" si="82"/>
        <v>0.10409627805733246</v>
      </c>
      <c r="G2674" s="74">
        <v>42.83915141081016</v>
      </c>
      <c r="H2674" s="74">
        <f t="shared" si="83"/>
        <v>-2.3447510674776382</v>
      </c>
    </row>
    <row r="2675" spans="5:8" ht="15.6">
      <c r="E2675" s="279" t="s">
        <v>3001</v>
      </c>
      <c r="F2675" s="284">
        <f t="shared" ca="1" si="82"/>
        <v>0.86751470729641778</v>
      </c>
      <c r="G2675" s="74">
        <v>39.088178163961409</v>
      </c>
      <c r="H2675" s="74">
        <f t="shared" si="83"/>
        <v>1.4062221793711132</v>
      </c>
    </row>
    <row r="2676" spans="5:8" ht="15.6">
      <c r="E2676" s="279" t="s">
        <v>3002</v>
      </c>
      <c r="F2676" s="284">
        <f t="shared" ca="1" si="82"/>
        <v>0.40673138058286828</v>
      </c>
      <c r="G2676" s="74">
        <v>40.695180963059158</v>
      </c>
      <c r="H2676" s="74">
        <f t="shared" si="83"/>
        <v>-0.20078061972663619</v>
      </c>
    </row>
    <row r="2677" spans="5:8" ht="15.6">
      <c r="E2677" s="279" t="s">
        <v>3003</v>
      </c>
      <c r="F2677" s="284">
        <f t="shared" ca="1" si="82"/>
        <v>0.94479790591979607</v>
      </c>
      <c r="G2677" s="74">
        <v>42.217139201918343</v>
      </c>
      <c r="H2677" s="74">
        <f t="shared" si="83"/>
        <v>-1.7227388585858208</v>
      </c>
    </row>
    <row r="2678" spans="5:8" ht="15.6">
      <c r="E2678" s="279" t="s">
        <v>3004</v>
      </c>
      <c r="F2678" s="284">
        <f t="shared" ca="1" si="82"/>
        <v>0.92641054199209061</v>
      </c>
      <c r="G2678" s="74">
        <v>42.053320576987403</v>
      </c>
      <c r="H2678" s="74">
        <f t="shared" si="83"/>
        <v>-1.5589202336548809</v>
      </c>
    </row>
    <row r="2679" spans="5:8" ht="15.6">
      <c r="E2679" s="279" t="s">
        <v>3005</v>
      </c>
      <c r="F2679" s="284">
        <f t="shared" ca="1" si="82"/>
        <v>0.97626908366176623</v>
      </c>
      <c r="G2679" s="74">
        <v>40.850897246500843</v>
      </c>
      <c r="H2679" s="74">
        <f t="shared" si="83"/>
        <v>-0.3564969031683205</v>
      </c>
    </row>
    <row r="2680" spans="5:8" ht="15.6">
      <c r="E2680" s="279" t="s">
        <v>3006</v>
      </c>
      <c r="F2680" s="284">
        <f t="shared" ca="1" si="82"/>
        <v>0.189072291591738</v>
      </c>
      <c r="G2680" s="74">
        <v>40.632712948237845</v>
      </c>
      <c r="H2680" s="74">
        <f t="shared" si="83"/>
        <v>-0.13831260490532316</v>
      </c>
    </row>
    <row r="2681" spans="5:8" ht="15.6">
      <c r="E2681" s="279" t="s">
        <v>3007</v>
      </c>
      <c r="F2681" s="284">
        <f t="shared" ca="1" si="82"/>
        <v>0.10053264290709552</v>
      </c>
      <c r="G2681" s="74">
        <v>34.478763257996192</v>
      </c>
      <c r="H2681" s="74">
        <f t="shared" si="83"/>
        <v>6.0156370853363299</v>
      </c>
    </row>
    <row r="2682" spans="5:8" ht="15.6">
      <c r="E2682" s="279" t="s">
        <v>3008</v>
      </c>
      <c r="F2682" s="284">
        <f t="shared" ca="1" si="82"/>
        <v>0.13347334682777345</v>
      </c>
      <c r="G2682" s="74">
        <v>39.043168694129946</v>
      </c>
      <c r="H2682" s="74">
        <f t="shared" si="83"/>
        <v>1.4512316492025761</v>
      </c>
    </row>
    <row r="2683" spans="5:8" ht="15.6">
      <c r="E2683" s="279" t="s">
        <v>3009</v>
      </c>
      <c r="F2683" s="284">
        <f t="shared" ca="1" si="82"/>
        <v>0.74191166744615977</v>
      </c>
      <c r="G2683" s="74">
        <v>38.110435257710833</v>
      </c>
      <c r="H2683" s="74">
        <f t="shared" si="83"/>
        <v>2.3839650856216892</v>
      </c>
    </row>
    <row r="2684" spans="5:8" ht="15.6">
      <c r="E2684" s="279" t="s">
        <v>3010</v>
      </c>
      <c r="F2684" s="284">
        <f t="shared" ca="1" si="82"/>
        <v>0.75308393963828668</v>
      </c>
      <c r="G2684" s="74">
        <v>40.438151068369223</v>
      </c>
      <c r="H2684" s="74">
        <f t="shared" si="83"/>
        <v>5.6249274963299456E-2</v>
      </c>
    </row>
    <row r="2685" spans="5:8" ht="15.6">
      <c r="E2685" s="279" t="s">
        <v>3011</v>
      </c>
      <c r="F2685" s="284">
        <f t="shared" ca="1" si="82"/>
        <v>0.71196677614670745</v>
      </c>
      <c r="G2685" s="74">
        <v>37.572035379048117</v>
      </c>
      <c r="H2685" s="74">
        <f t="shared" si="83"/>
        <v>2.9223649642844052</v>
      </c>
    </row>
    <row r="2686" spans="5:8" ht="15.6">
      <c r="E2686" s="279" t="s">
        <v>3012</v>
      </c>
      <c r="F2686" s="284">
        <f t="shared" ca="1" si="82"/>
        <v>0.11649260609626666</v>
      </c>
      <c r="G2686" s="74">
        <v>41.236035221671301</v>
      </c>
      <c r="H2686" s="74">
        <f t="shared" si="83"/>
        <v>-0.74163487833877895</v>
      </c>
    </row>
    <row r="2687" spans="5:8" ht="15.6">
      <c r="E2687" s="279" t="s">
        <v>3013</v>
      </c>
      <c r="F2687" s="284">
        <f t="shared" ca="1" si="82"/>
        <v>0.39944180125700712</v>
      </c>
      <c r="G2687" s="74">
        <v>41.446302458212365</v>
      </c>
      <c r="H2687" s="74">
        <f t="shared" si="83"/>
        <v>-0.951902114879843</v>
      </c>
    </row>
    <row r="2688" spans="5:8" ht="15.6">
      <c r="E2688" s="279" t="s">
        <v>3014</v>
      </c>
      <c r="F2688" s="284">
        <f t="shared" ca="1" si="82"/>
        <v>0.66623202775659607</v>
      </c>
      <c r="G2688" s="74">
        <v>38.441499946883262</v>
      </c>
      <c r="H2688" s="74">
        <f t="shared" si="83"/>
        <v>2.0529003964492603</v>
      </c>
    </row>
    <row r="2689" spans="5:8" ht="15.6">
      <c r="E2689" s="279" t="s">
        <v>3015</v>
      </c>
      <c r="F2689" s="284">
        <f t="shared" ca="1" si="82"/>
        <v>0.92195733879895958</v>
      </c>
      <c r="G2689" s="74">
        <v>40.575029385943267</v>
      </c>
      <c r="H2689" s="74">
        <f t="shared" si="83"/>
        <v>-8.0629042610745216E-2</v>
      </c>
    </row>
    <row r="2690" spans="5:8" ht="15.6">
      <c r="E2690" s="279" t="s">
        <v>3016</v>
      </c>
      <c r="F2690" s="284">
        <f t="shared" ca="1" si="82"/>
        <v>0.45604191537422512</v>
      </c>
      <c r="G2690" s="74">
        <v>43.174768716723356</v>
      </c>
      <c r="H2690" s="74">
        <f t="shared" si="83"/>
        <v>-2.6803683733908343</v>
      </c>
    </row>
    <row r="2691" spans="5:8" ht="15.6">
      <c r="E2691" s="279" t="s">
        <v>3017</v>
      </c>
      <c r="F2691" s="284">
        <f t="shared" ca="1" si="82"/>
        <v>1.2695449705001582E-2</v>
      </c>
      <c r="G2691" s="74">
        <v>41.713257949151568</v>
      </c>
      <c r="H2691" s="74">
        <f t="shared" si="83"/>
        <v>-1.2188576058190463</v>
      </c>
    </row>
    <row r="2692" spans="5:8" ht="15.6">
      <c r="E2692" s="279" t="s">
        <v>3018</v>
      </c>
      <c r="F2692" s="284">
        <f t="shared" ca="1" si="82"/>
        <v>0.80675081786562663</v>
      </c>
      <c r="G2692" s="74">
        <v>37.298597745649815</v>
      </c>
      <c r="H2692" s="74">
        <f t="shared" si="83"/>
        <v>3.1958025976827074</v>
      </c>
    </row>
    <row r="2693" spans="5:8" ht="15.6">
      <c r="E2693" s="279" t="s">
        <v>3019</v>
      </c>
      <c r="F2693" s="284">
        <f t="shared" ca="1" si="82"/>
        <v>0.82066512057633401</v>
      </c>
      <c r="G2693" s="74">
        <v>37.281035020764222</v>
      </c>
      <c r="H2693" s="74">
        <f t="shared" si="83"/>
        <v>3.2133653225683005</v>
      </c>
    </row>
    <row r="2694" spans="5:8" ht="15.6">
      <c r="E2694" s="279" t="s">
        <v>3020</v>
      </c>
      <c r="F2694" s="284">
        <f t="shared" ca="1" si="82"/>
        <v>0.35329444608582439</v>
      </c>
      <c r="G2694" s="74">
        <v>36.488162719174944</v>
      </c>
      <c r="H2694" s="74">
        <f t="shared" si="83"/>
        <v>4.0062376241575777</v>
      </c>
    </row>
    <row r="2695" spans="5:8" ht="15.6">
      <c r="E2695" s="279" t="s">
        <v>3021</v>
      </c>
      <c r="F2695" s="284">
        <f t="shared" ca="1" si="82"/>
        <v>0.27394063839334082</v>
      </c>
      <c r="G2695" s="74">
        <v>40.889367353655892</v>
      </c>
      <c r="H2695" s="74">
        <f t="shared" si="83"/>
        <v>-0.39496701032337</v>
      </c>
    </row>
    <row r="2696" spans="5:8" ht="15.6">
      <c r="E2696" s="279" t="s">
        <v>3022</v>
      </c>
      <c r="F2696" s="284">
        <f t="shared" ca="1" si="82"/>
        <v>0.55756281998150314</v>
      </c>
      <c r="G2696" s="74">
        <v>40.550882987354342</v>
      </c>
      <c r="H2696" s="74">
        <f t="shared" si="83"/>
        <v>-5.6482644021819794E-2</v>
      </c>
    </row>
    <row r="2697" spans="5:8" ht="15.6">
      <c r="E2697" s="279" t="s">
        <v>3023</v>
      </c>
      <c r="F2697" s="284">
        <f t="shared" ca="1" si="82"/>
        <v>0.94525919164627081</v>
      </c>
      <c r="G2697" s="74">
        <v>40.266482831850837</v>
      </c>
      <c r="H2697" s="74">
        <f t="shared" si="83"/>
        <v>0.22791751148168515</v>
      </c>
    </row>
    <row r="2698" spans="5:8" ht="15.6">
      <c r="E2698" s="279" t="s">
        <v>3024</v>
      </c>
      <c r="F2698" s="284">
        <f t="shared" ca="1" si="82"/>
        <v>0.4474133465823148</v>
      </c>
      <c r="G2698" s="74">
        <v>40.28888840815226</v>
      </c>
      <c r="H2698" s="74">
        <f t="shared" si="83"/>
        <v>0.20551193518026167</v>
      </c>
    </row>
    <row r="2699" spans="5:8" ht="15.6">
      <c r="E2699" s="279" t="s">
        <v>3025</v>
      </c>
      <c r="F2699" s="284">
        <f t="shared" ca="1" si="82"/>
        <v>0.44890267746283696</v>
      </c>
      <c r="G2699" s="74">
        <v>41.401616015308107</v>
      </c>
      <c r="H2699" s="74">
        <f t="shared" si="83"/>
        <v>-0.90721567197558528</v>
      </c>
    </row>
    <row r="2700" spans="5:8" ht="15.6">
      <c r="E2700" s="279" t="s">
        <v>3026</v>
      </c>
      <c r="F2700" s="284">
        <f t="shared" ref="F2700:F2763" ca="1" si="84">RAND()</f>
        <v>0.7753454435515309</v>
      </c>
      <c r="G2700" s="74">
        <v>43.260877439249739</v>
      </c>
      <c r="H2700" s="74">
        <f t="shared" ref="H2700:H2763" si="85">$D$2-G2700</f>
        <v>-2.7664770959172174</v>
      </c>
    </row>
    <row r="2701" spans="5:8" ht="15.6">
      <c r="E2701" s="279" t="s">
        <v>3027</v>
      </c>
      <c r="F2701" s="284">
        <f t="shared" ca="1" si="84"/>
        <v>0.77362311451842236</v>
      </c>
      <c r="G2701" s="74">
        <v>42.267413254345705</v>
      </c>
      <c r="H2701" s="74">
        <f t="shared" si="85"/>
        <v>-1.7730129110131827</v>
      </c>
    </row>
    <row r="2702" spans="5:8" ht="15.6">
      <c r="E2702" s="279" t="s">
        <v>3028</v>
      </c>
      <c r="F2702" s="284">
        <f t="shared" ca="1" si="84"/>
        <v>0.47654070586080521</v>
      </c>
      <c r="G2702" s="74">
        <v>36.114540393842901</v>
      </c>
      <c r="H2702" s="74">
        <f t="shared" si="85"/>
        <v>4.3798599494896209</v>
      </c>
    </row>
    <row r="2703" spans="5:8" ht="15.6">
      <c r="E2703" s="279" t="s">
        <v>3029</v>
      </c>
      <c r="F2703" s="284">
        <f t="shared" ca="1" si="84"/>
        <v>0.31587126510578134</v>
      </c>
      <c r="G2703" s="74">
        <v>37.623769921018209</v>
      </c>
      <c r="H2703" s="74">
        <f t="shared" si="85"/>
        <v>2.8706304223143135</v>
      </c>
    </row>
    <row r="2704" spans="5:8" ht="15.6">
      <c r="E2704" s="279" t="s">
        <v>3030</v>
      </c>
      <c r="F2704" s="284">
        <f t="shared" ca="1" si="84"/>
        <v>0.6201907168008014</v>
      </c>
      <c r="G2704" s="74">
        <v>40.149044035750293</v>
      </c>
      <c r="H2704" s="74">
        <f t="shared" si="85"/>
        <v>0.34535630758222879</v>
      </c>
    </row>
    <row r="2705" spans="5:8" ht="15.6">
      <c r="E2705" s="279" t="s">
        <v>3031</v>
      </c>
      <c r="F2705" s="284">
        <f t="shared" ca="1" si="84"/>
        <v>0.40521884756589199</v>
      </c>
      <c r="G2705" s="74">
        <v>43.940579529476921</v>
      </c>
      <c r="H2705" s="74">
        <f t="shared" si="85"/>
        <v>-3.4461791861443984</v>
      </c>
    </row>
    <row r="2706" spans="5:8" ht="15.6">
      <c r="E2706" s="279" t="s">
        <v>3032</v>
      </c>
      <c r="F2706" s="284">
        <f t="shared" ca="1" si="84"/>
        <v>0.77667741496915033</v>
      </c>
      <c r="G2706" s="74">
        <v>32.879263852740863</v>
      </c>
      <c r="H2706" s="74">
        <f t="shared" si="85"/>
        <v>7.6151364905916594</v>
      </c>
    </row>
    <row r="2707" spans="5:8" ht="15.6">
      <c r="E2707" s="279" t="s">
        <v>3033</v>
      </c>
      <c r="F2707" s="284">
        <f t="shared" ca="1" si="84"/>
        <v>0.144434505830487</v>
      </c>
      <c r="G2707" s="74">
        <v>41.45054991129463</v>
      </c>
      <c r="H2707" s="74">
        <f t="shared" si="85"/>
        <v>-0.95614956796210748</v>
      </c>
    </row>
    <row r="2708" spans="5:8" ht="15.6">
      <c r="E2708" s="279" t="s">
        <v>3034</v>
      </c>
      <c r="F2708" s="284">
        <f t="shared" ca="1" si="84"/>
        <v>0.79808690652812964</v>
      </c>
      <c r="G2708" s="74">
        <v>38.152755431159328</v>
      </c>
      <c r="H2708" s="74">
        <f t="shared" si="85"/>
        <v>2.3416449121731944</v>
      </c>
    </row>
    <row r="2709" spans="5:8" ht="15.6">
      <c r="E2709" s="279" t="s">
        <v>3035</v>
      </c>
      <c r="F2709" s="284">
        <f t="shared" ca="1" si="84"/>
        <v>0.58274957525428561</v>
      </c>
      <c r="G2709" s="74">
        <v>35.355623643642389</v>
      </c>
      <c r="H2709" s="74">
        <f t="shared" si="85"/>
        <v>5.1387766996901334</v>
      </c>
    </row>
    <row r="2710" spans="5:8" ht="15.6">
      <c r="E2710" s="279" t="s">
        <v>3036</v>
      </c>
      <c r="F2710" s="284">
        <f t="shared" ca="1" si="84"/>
        <v>0.86260622118460117</v>
      </c>
      <c r="G2710" s="74">
        <v>41.036976560126526</v>
      </c>
      <c r="H2710" s="74">
        <f t="shared" si="85"/>
        <v>-0.54257621679400359</v>
      </c>
    </row>
    <row r="2711" spans="5:8" ht="15.6">
      <c r="E2711" s="279" t="s">
        <v>3037</v>
      </c>
      <c r="F2711" s="284">
        <f t="shared" ca="1" si="84"/>
        <v>0.78953347382312355</v>
      </c>
      <c r="G2711" s="74">
        <v>42.105245077982339</v>
      </c>
      <c r="H2711" s="74">
        <f t="shared" si="85"/>
        <v>-1.6108447346498167</v>
      </c>
    </row>
    <row r="2712" spans="5:8" ht="15.6">
      <c r="E2712" s="279" t="s">
        <v>3038</v>
      </c>
      <c r="F2712" s="284">
        <f t="shared" ca="1" si="84"/>
        <v>0.23039070234470915</v>
      </c>
      <c r="G2712" s="74">
        <v>35.127468738530709</v>
      </c>
      <c r="H2712" s="74">
        <f t="shared" si="85"/>
        <v>5.3669316048018132</v>
      </c>
    </row>
    <row r="2713" spans="5:8" ht="15.6">
      <c r="E2713" s="279" t="s">
        <v>3039</v>
      </c>
      <c r="F2713" s="284">
        <f t="shared" ca="1" si="84"/>
        <v>0.69941165972251873</v>
      </c>
      <c r="G2713" s="74">
        <v>38.304776017072165</v>
      </c>
      <c r="H2713" s="74">
        <f t="shared" si="85"/>
        <v>2.1896243262603576</v>
      </c>
    </row>
    <row r="2714" spans="5:8" ht="15.6">
      <c r="E2714" s="279" t="s">
        <v>3040</v>
      </c>
      <c r="F2714" s="284">
        <f t="shared" ca="1" si="84"/>
        <v>0.24744100267892366</v>
      </c>
      <c r="G2714" s="74">
        <v>39.883647714058462</v>
      </c>
      <c r="H2714" s="74">
        <f t="shared" si="85"/>
        <v>0.61075262927406015</v>
      </c>
    </row>
    <row r="2715" spans="5:8" ht="15.6">
      <c r="E2715" s="279" t="s">
        <v>3041</v>
      </c>
      <c r="F2715" s="284">
        <f t="shared" ca="1" si="84"/>
        <v>0.94787223143373278</v>
      </c>
      <c r="G2715" s="74">
        <v>40.031586145970486</v>
      </c>
      <c r="H2715" s="74">
        <f t="shared" si="85"/>
        <v>0.46281419736203588</v>
      </c>
    </row>
    <row r="2716" spans="5:8" ht="15.6">
      <c r="E2716" s="279" t="s">
        <v>3042</v>
      </c>
      <c r="F2716" s="284">
        <f t="shared" ca="1" si="84"/>
        <v>0.11067658221388244</v>
      </c>
      <c r="G2716" s="74">
        <v>40.577954570620861</v>
      </c>
      <c r="H2716" s="74">
        <f t="shared" si="85"/>
        <v>-8.3554227288338723E-2</v>
      </c>
    </row>
    <row r="2717" spans="5:8" ht="15.6">
      <c r="E2717" s="279" t="s">
        <v>3043</v>
      </c>
      <c r="F2717" s="284">
        <f t="shared" ca="1" si="84"/>
        <v>0.32034547554157744</v>
      </c>
      <c r="G2717" s="74">
        <v>33.675256807725226</v>
      </c>
      <c r="H2717" s="74">
        <f t="shared" si="85"/>
        <v>6.8191435356072958</v>
      </c>
    </row>
    <row r="2718" spans="5:8" ht="15.6">
      <c r="E2718" s="279" t="s">
        <v>3044</v>
      </c>
      <c r="F2718" s="284">
        <f t="shared" ca="1" si="84"/>
        <v>0.54151244968844736</v>
      </c>
      <c r="G2718" s="74">
        <v>40.270512357941797</v>
      </c>
      <c r="H2718" s="74">
        <f t="shared" si="85"/>
        <v>0.22388798539072496</v>
      </c>
    </row>
    <row r="2719" spans="5:8" ht="15.6">
      <c r="E2719" s="279" t="s">
        <v>3045</v>
      </c>
      <c r="F2719" s="284">
        <f t="shared" ca="1" si="84"/>
        <v>0.79263386113692536</v>
      </c>
      <c r="G2719" s="74">
        <v>38.440715277376995</v>
      </c>
      <c r="H2719" s="74">
        <f t="shared" si="85"/>
        <v>2.053685065955527</v>
      </c>
    </row>
    <row r="2720" spans="5:8" ht="15.6">
      <c r="E2720" s="279" t="s">
        <v>3046</v>
      </c>
      <c r="F2720" s="284">
        <f t="shared" ca="1" si="84"/>
        <v>0.79448430943782311</v>
      </c>
      <c r="G2720" s="74">
        <v>37.932975133971503</v>
      </c>
      <c r="H2720" s="74">
        <f t="shared" si="85"/>
        <v>2.561425209361019</v>
      </c>
    </row>
    <row r="2721" spans="5:8" ht="15.6">
      <c r="E2721" s="279" t="s">
        <v>3047</v>
      </c>
      <c r="F2721" s="284">
        <f t="shared" ca="1" si="84"/>
        <v>0.21529540662243396</v>
      </c>
      <c r="G2721" s="74">
        <v>38.150039721540203</v>
      </c>
      <c r="H2721" s="74">
        <f t="shared" si="85"/>
        <v>2.344360621792319</v>
      </c>
    </row>
    <row r="2722" spans="5:8" ht="15.6">
      <c r="E2722" s="279" t="s">
        <v>3048</v>
      </c>
      <c r="F2722" s="284">
        <f t="shared" ca="1" si="84"/>
        <v>0.58234886780818429</v>
      </c>
      <c r="G2722" s="74">
        <v>39.258407164687469</v>
      </c>
      <c r="H2722" s="74">
        <f t="shared" si="85"/>
        <v>1.2359931786450531</v>
      </c>
    </row>
    <row r="2723" spans="5:8" ht="15.6">
      <c r="E2723" s="279" t="s">
        <v>3049</v>
      </c>
      <c r="F2723" s="284">
        <f t="shared" ca="1" si="84"/>
        <v>3.4614402271008204E-2</v>
      </c>
      <c r="G2723" s="74">
        <v>37.773367005591766</v>
      </c>
      <c r="H2723" s="74">
        <f t="shared" si="85"/>
        <v>2.7210333377407565</v>
      </c>
    </row>
    <row r="2724" spans="5:8" ht="15.6">
      <c r="E2724" s="279" t="s">
        <v>3050</v>
      </c>
      <c r="F2724" s="284">
        <f t="shared" ca="1" si="84"/>
        <v>0.58014948381512277</v>
      </c>
      <c r="G2724" s="74">
        <v>38.547211056450443</v>
      </c>
      <c r="H2724" s="74">
        <f t="shared" si="85"/>
        <v>1.9471892868820788</v>
      </c>
    </row>
    <row r="2725" spans="5:8" ht="15.6">
      <c r="E2725" s="279" t="s">
        <v>3051</v>
      </c>
      <c r="F2725" s="284">
        <f t="shared" ca="1" si="84"/>
        <v>0.93611702003013886</v>
      </c>
      <c r="G2725" s="74">
        <v>41.627572657524603</v>
      </c>
      <c r="H2725" s="74">
        <f t="shared" si="85"/>
        <v>-1.1331723141920804</v>
      </c>
    </row>
    <row r="2726" spans="5:8" ht="15.6">
      <c r="E2726" s="279" t="s">
        <v>3052</v>
      </c>
      <c r="F2726" s="284">
        <f t="shared" ca="1" si="84"/>
        <v>0.82425444341112752</v>
      </c>
      <c r="G2726" s="74">
        <v>41.244043028956938</v>
      </c>
      <c r="H2726" s="74">
        <f t="shared" si="85"/>
        <v>-0.74964268562441561</v>
      </c>
    </row>
    <row r="2727" spans="5:8" ht="15.6">
      <c r="E2727" s="279" t="s">
        <v>3053</v>
      </c>
      <c r="F2727" s="284">
        <f t="shared" ca="1" si="84"/>
        <v>0.81007760196412493</v>
      </c>
      <c r="G2727" s="74">
        <v>38.187609252447267</v>
      </c>
      <c r="H2727" s="74">
        <f t="shared" si="85"/>
        <v>2.3067910908852554</v>
      </c>
    </row>
    <row r="2728" spans="5:8" ht="15.6">
      <c r="E2728" s="279" t="s">
        <v>3054</v>
      </c>
      <c r="F2728" s="284">
        <f t="shared" ca="1" si="84"/>
        <v>0.15987438400753062</v>
      </c>
      <c r="G2728" s="74">
        <v>38.65962322332966</v>
      </c>
      <c r="H2728" s="74">
        <f t="shared" si="85"/>
        <v>1.8347771200028617</v>
      </c>
    </row>
    <row r="2729" spans="5:8" ht="15.6">
      <c r="E2729" s="279" t="s">
        <v>3055</v>
      </c>
      <c r="F2729" s="284">
        <f t="shared" ca="1" si="84"/>
        <v>0.82230854776456896</v>
      </c>
      <c r="G2729" s="74">
        <v>45.559521174045408</v>
      </c>
      <c r="H2729" s="74">
        <f t="shared" si="85"/>
        <v>-5.0651208307128854</v>
      </c>
    </row>
    <row r="2730" spans="5:8" ht="15.6">
      <c r="E2730" s="279" t="s">
        <v>3056</v>
      </c>
      <c r="F2730" s="284">
        <f t="shared" ca="1" si="84"/>
        <v>8.0651024394853388E-2</v>
      </c>
      <c r="G2730" s="74">
        <v>42.541355204451733</v>
      </c>
      <c r="H2730" s="74">
        <f t="shared" si="85"/>
        <v>-2.046954861119211</v>
      </c>
    </row>
    <row r="2731" spans="5:8" ht="15.6">
      <c r="E2731" s="279" t="s">
        <v>3057</v>
      </c>
      <c r="F2731" s="284">
        <f t="shared" ca="1" si="84"/>
        <v>0.85215799053188068</v>
      </c>
      <c r="G2731" s="74">
        <v>39.944413680786454</v>
      </c>
      <c r="H2731" s="74">
        <f t="shared" si="85"/>
        <v>0.54998666254606832</v>
      </c>
    </row>
    <row r="2732" spans="5:8" ht="15.6">
      <c r="E2732" s="279" t="s">
        <v>3058</v>
      </c>
      <c r="F2732" s="284">
        <f t="shared" ca="1" si="84"/>
        <v>5.4396236058006475E-2</v>
      </c>
      <c r="G2732" s="74">
        <v>45.076070564971019</v>
      </c>
      <c r="H2732" s="74">
        <f t="shared" si="85"/>
        <v>-4.5816702216384968</v>
      </c>
    </row>
    <row r="2733" spans="5:8" ht="15.6">
      <c r="E2733" s="279" t="s">
        <v>3059</v>
      </c>
      <c r="F2733" s="284">
        <f t="shared" ca="1" si="84"/>
        <v>0.70097155731617189</v>
      </c>
      <c r="G2733" s="74">
        <v>36.216131654663691</v>
      </c>
      <c r="H2733" s="74">
        <f t="shared" si="85"/>
        <v>4.278268688668831</v>
      </c>
    </row>
    <row r="2734" spans="5:8" ht="15.6">
      <c r="E2734" s="279" t="s">
        <v>3060</v>
      </c>
      <c r="F2734" s="284">
        <f t="shared" ca="1" si="84"/>
        <v>0.20827802872899537</v>
      </c>
      <c r="G2734" s="74">
        <v>40.415598271228177</v>
      </c>
      <c r="H2734" s="74">
        <f t="shared" si="85"/>
        <v>7.88020721043452E-2</v>
      </c>
    </row>
    <row r="2735" spans="5:8" ht="15.6">
      <c r="E2735" s="279" t="s">
        <v>3061</v>
      </c>
      <c r="F2735" s="284">
        <f t="shared" ca="1" si="84"/>
        <v>0.64542332235401578</v>
      </c>
      <c r="G2735" s="74">
        <v>40.953808036853005</v>
      </c>
      <c r="H2735" s="74">
        <f t="shared" si="85"/>
        <v>-0.4594076935204825</v>
      </c>
    </row>
    <row r="2736" spans="5:8" ht="15.6">
      <c r="E2736" s="279" t="s">
        <v>3062</v>
      </c>
      <c r="F2736" s="284">
        <f t="shared" ca="1" si="84"/>
        <v>0.93808758914751689</v>
      </c>
      <c r="G2736" s="74">
        <v>39.683832641604724</v>
      </c>
      <c r="H2736" s="74">
        <f t="shared" si="85"/>
        <v>0.81056770172779835</v>
      </c>
    </row>
    <row r="2737" spans="5:8" ht="15.6">
      <c r="E2737" s="279" t="s">
        <v>3063</v>
      </c>
      <c r="F2737" s="284">
        <f t="shared" ca="1" si="84"/>
        <v>0.17287944609645522</v>
      </c>
      <c r="G2737" s="74">
        <v>38.02670968350607</v>
      </c>
      <c r="H2737" s="74">
        <f t="shared" si="85"/>
        <v>2.4676906598264523</v>
      </c>
    </row>
    <row r="2738" spans="5:8" ht="15.6">
      <c r="E2738" s="279" t="s">
        <v>3064</v>
      </c>
      <c r="F2738" s="284">
        <f t="shared" ca="1" si="84"/>
        <v>0.7021221117733375</v>
      </c>
      <c r="G2738" s="74">
        <v>40.853998296498979</v>
      </c>
      <c r="H2738" s="74">
        <f t="shared" si="85"/>
        <v>-0.35959795316645682</v>
      </c>
    </row>
    <row r="2739" spans="5:8" ht="15.6">
      <c r="E2739" s="279" t="s">
        <v>3065</v>
      </c>
      <c r="F2739" s="284">
        <f t="shared" ca="1" si="84"/>
        <v>0.26622250376069789</v>
      </c>
      <c r="G2739" s="74">
        <v>40.928037459774124</v>
      </c>
      <c r="H2739" s="74">
        <f t="shared" si="85"/>
        <v>-0.43363711644160219</v>
      </c>
    </row>
    <row r="2740" spans="5:8" ht="15.6">
      <c r="E2740" s="279" t="s">
        <v>3066</v>
      </c>
      <c r="F2740" s="284">
        <f t="shared" ca="1" si="84"/>
        <v>0.80483488843246864</v>
      </c>
      <c r="G2740" s="74">
        <v>43.903579245214885</v>
      </c>
      <c r="H2740" s="74">
        <f t="shared" si="85"/>
        <v>-3.4091789018823633</v>
      </c>
    </row>
    <row r="2741" spans="5:8" ht="15.6">
      <c r="E2741" s="279" t="s">
        <v>3067</v>
      </c>
      <c r="F2741" s="284">
        <f t="shared" ca="1" si="84"/>
        <v>1.816008121694257E-2</v>
      </c>
      <c r="G2741" s="74">
        <v>41.514171706994567</v>
      </c>
      <c r="H2741" s="74">
        <f t="shared" si="85"/>
        <v>-1.0197713636620449</v>
      </c>
    </row>
    <row r="2742" spans="5:8" ht="15.6">
      <c r="E2742" s="279" t="s">
        <v>3068</v>
      </c>
      <c r="F2742" s="284">
        <f t="shared" ca="1" si="84"/>
        <v>0.11747974225223912</v>
      </c>
      <c r="G2742" s="74">
        <v>35.313066806464718</v>
      </c>
      <c r="H2742" s="74">
        <f t="shared" si="85"/>
        <v>5.181333536867804</v>
      </c>
    </row>
    <row r="2743" spans="5:8" ht="15.6">
      <c r="E2743" s="279" t="s">
        <v>3069</v>
      </c>
      <c r="F2743" s="284">
        <f t="shared" ca="1" si="84"/>
        <v>0.34410742429926766</v>
      </c>
      <c r="G2743" s="74">
        <v>37.171409966489442</v>
      </c>
      <c r="H2743" s="74">
        <f t="shared" si="85"/>
        <v>3.3229903768430802</v>
      </c>
    </row>
    <row r="2744" spans="5:8" ht="15.6">
      <c r="E2744" s="279" t="s">
        <v>3070</v>
      </c>
      <c r="F2744" s="284">
        <f t="shared" ca="1" si="84"/>
        <v>0.34900107964023575</v>
      </c>
      <c r="G2744" s="74">
        <v>35.258639027403625</v>
      </c>
      <c r="H2744" s="74">
        <f t="shared" si="85"/>
        <v>5.2357613159288974</v>
      </c>
    </row>
    <row r="2745" spans="5:8" ht="15.6">
      <c r="E2745" s="279" t="s">
        <v>3071</v>
      </c>
      <c r="F2745" s="284">
        <f t="shared" ca="1" si="84"/>
        <v>0.48881067759466357</v>
      </c>
      <c r="G2745" s="74">
        <v>40.69247172312091</v>
      </c>
      <c r="H2745" s="74">
        <f t="shared" si="85"/>
        <v>-0.19807137978838796</v>
      </c>
    </row>
    <row r="2746" spans="5:8" ht="15.6">
      <c r="E2746" s="279" t="s">
        <v>3072</v>
      </c>
      <c r="F2746" s="284">
        <f t="shared" ca="1" si="84"/>
        <v>4.3677454251503822E-2</v>
      </c>
      <c r="G2746" s="74">
        <v>39.547612602704412</v>
      </c>
      <c r="H2746" s="74">
        <f t="shared" si="85"/>
        <v>0.94678774062811044</v>
      </c>
    </row>
    <row r="2747" spans="5:8" ht="15.6">
      <c r="E2747" s="279" t="s">
        <v>3073</v>
      </c>
      <c r="F2747" s="284">
        <f t="shared" ca="1" si="84"/>
        <v>0.40607628255898909</v>
      </c>
      <c r="G2747" s="74">
        <v>44.027228145888998</v>
      </c>
      <c r="H2747" s="74">
        <f t="shared" si="85"/>
        <v>-3.5328278025564757</v>
      </c>
    </row>
    <row r="2748" spans="5:8" ht="15.6">
      <c r="E2748" s="279" t="s">
        <v>3074</v>
      </c>
      <c r="F2748" s="284">
        <f t="shared" ca="1" si="84"/>
        <v>0.5300316817943177</v>
      </c>
      <c r="G2748" s="74">
        <v>37.978617585480301</v>
      </c>
      <c r="H2748" s="74">
        <f t="shared" si="85"/>
        <v>2.5157827578522216</v>
      </c>
    </row>
    <row r="2749" spans="5:8" ht="15.6">
      <c r="E2749" s="279" t="s">
        <v>3075</v>
      </c>
      <c r="F2749" s="284">
        <f t="shared" ca="1" si="84"/>
        <v>0.68899460018205627</v>
      </c>
      <c r="G2749" s="74">
        <v>33.845160059191777</v>
      </c>
      <c r="H2749" s="74">
        <f t="shared" si="85"/>
        <v>6.6492402841407454</v>
      </c>
    </row>
    <row r="2750" spans="5:8" ht="15.6">
      <c r="E2750" s="279" t="s">
        <v>3076</v>
      </c>
      <c r="F2750" s="284">
        <f t="shared" ca="1" si="84"/>
        <v>0.92700668101469308</v>
      </c>
      <c r="G2750" s="74">
        <v>40.465943243543371</v>
      </c>
      <c r="H2750" s="74">
        <f t="shared" si="85"/>
        <v>2.8457099789150675E-2</v>
      </c>
    </row>
    <row r="2751" spans="5:8" ht="15.6">
      <c r="E2751" s="279" t="s">
        <v>3077</v>
      </c>
      <c r="F2751" s="284">
        <f t="shared" ca="1" si="84"/>
        <v>5.3181171709265618E-3</v>
      </c>
      <c r="G2751" s="74">
        <v>39.031680543274042</v>
      </c>
      <c r="H2751" s="74">
        <f t="shared" si="85"/>
        <v>1.4627198000584798</v>
      </c>
    </row>
    <row r="2752" spans="5:8" ht="15.6">
      <c r="E2752" s="279" t="s">
        <v>3078</v>
      </c>
      <c r="F2752" s="284">
        <f t="shared" ca="1" si="84"/>
        <v>0.63249265246749131</v>
      </c>
      <c r="G2752" s="74">
        <v>39.430195200533412</v>
      </c>
      <c r="H2752" s="74">
        <f t="shared" si="85"/>
        <v>1.0642051427991106</v>
      </c>
    </row>
    <row r="2753" spans="5:8" ht="15.6">
      <c r="E2753" s="279" t="s">
        <v>3079</v>
      </c>
      <c r="F2753" s="284">
        <f t="shared" ca="1" si="84"/>
        <v>0.92090061008946889</v>
      </c>
      <c r="G2753" s="74">
        <v>39.914726558553994</v>
      </c>
      <c r="H2753" s="74">
        <f t="shared" si="85"/>
        <v>0.57967378477852805</v>
      </c>
    </row>
    <row r="2754" spans="5:8" ht="15.6">
      <c r="E2754" s="279" t="s">
        <v>3080</v>
      </c>
      <c r="F2754" s="284">
        <f t="shared" ca="1" si="84"/>
        <v>0.3688307512570026</v>
      </c>
      <c r="G2754" s="74">
        <v>39.45307262506828</v>
      </c>
      <c r="H2754" s="74">
        <f t="shared" si="85"/>
        <v>1.0413277182642418</v>
      </c>
    </row>
    <row r="2755" spans="5:8" ht="15.6">
      <c r="E2755" s="279" t="s">
        <v>3081</v>
      </c>
      <c r="F2755" s="284">
        <f t="shared" ca="1" si="84"/>
        <v>0.88769579398938303</v>
      </c>
      <c r="G2755" s="74">
        <v>37.275321183054032</v>
      </c>
      <c r="H2755" s="74">
        <f t="shared" si="85"/>
        <v>3.2190791602784898</v>
      </c>
    </row>
    <row r="2756" spans="5:8" ht="15.6">
      <c r="E2756" s="279" t="s">
        <v>3082</v>
      </c>
      <c r="F2756" s="284">
        <f t="shared" ca="1" si="84"/>
        <v>0.37395912036073098</v>
      </c>
      <c r="G2756" s="74">
        <v>40.673572074017912</v>
      </c>
      <c r="H2756" s="74">
        <f t="shared" si="85"/>
        <v>-0.17917173068538972</v>
      </c>
    </row>
    <row r="2757" spans="5:8" ht="15.6">
      <c r="E2757" s="279" t="s">
        <v>3083</v>
      </c>
      <c r="F2757" s="284">
        <f t="shared" ca="1" si="84"/>
        <v>0.77894850457260767</v>
      </c>
      <c r="G2757" s="74">
        <v>41.419451115974717</v>
      </c>
      <c r="H2757" s="74">
        <f t="shared" si="85"/>
        <v>-0.92505077264219437</v>
      </c>
    </row>
    <row r="2758" spans="5:8" ht="15.6">
      <c r="E2758" s="279" t="s">
        <v>3084</v>
      </c>
      <c r="F2758" s="284">
        <f t="shared" ca="1" si="84"/>
        <v>0.75529007129121795</v>
      </c>
      <c r="G2758" s="74">
        <v>37.351826148395553</v>
      </c>
      <c r="H2758" s="74">
        <f t="shared" si="85"/>
        <v>3.1425741949369694</v>
      </c>
    </row>
    <row r="2759" spans="5:8" ht="15.6">
      <c r="E2759" s="279" t="s">
        <v>3085</v>
      </c>
      <c r="F2759" s="284">
        <f t="shared" ca="1" si="84"/>
        <v>0.73283323045843496</v>
      </c>
      <c r="G2759" s="74">
        <v>42.00597792876453</v>
      </c>
      <c r="H2759" s="74">
        <f t="shared" si="85"/>
        <v>-1.5115775854320077</v>
      </c>
    </row>
    <row r="2760" spans="5:8" ht="15.6">
      <c r="E2760" s="279" t="s">
        <v>3086</v>
      </c>
      <c r="F2760" s="284">
        <f t="shared" ca="1" si="84"/>
        <v>0.60719077091316831</v>
      </c>
      <c r="G2760" s="74">
        <v>36.661951311159655</v>
      </c>
      <c r="H2760" s="74">
        <f t="shared" si="85"/>
        <v>3.8324490321728675</v>
      </c>
    </row>
    <row r="2761" spans="5:8" ht="15.6">
      <c r="E2761" s="279" t="s">
        <v>3087</v>
      </c>
      <c r="F2761" s="284">
        <f t="shared" ca="1" si="84"/>
        <v>0.62862901744126276</v>
      </c>
      <c r="G2761" s="74">
        <v>39.69718926010907</v>
      </c>
      <c r="H2761" s="74">
        <f t="shared" si="85"/>
        <v>0.79721108322345202</v>
      </c>
    </row>
    <row r="2762" spans="5:8" ht="15.6">
      <c r="E2762" s="279" t="s">
        <v>3088</v>
      </c>
      <c r="F2762" s="284">
        <f t="shared" ca="1" si="84"/>
        <v>0.43554298597526231</v>
      </c>
      <c r="G2762" s="74">
        <v>33.732085683002332</v>
      </c>
      <c r="H2762" s="74">
        <f t="shared" si="85"/>
        <v>6.7623146603301905</v>
      </c>
    </row>
    <row r="2763" spans="5:8" ht="15.6">
      <c r="E2763" s="279" t="s">
        <v>3089</v>
      </c>
      <c r="F2763" s="284">
        <f t="shared" ca="1" si="84"/>
        <v>0.40079038662694522</v>
      </c>
      <c r="G2763" s="74">
        <v>39.309659321659019</v>
      </c>
      <c r="H2763" s="74">
        <f t="shared" si="85"/>
        <v>1.1847410216735028</v>
      </c>
    </row>
    <row r="2764" spans="5:8" ht="15.6">
      <c r="E2764" s="279" t="s">
        <v>3090</v>
      </c>
      <c r="F2764" s="284">
        <f t="shared" ref="F2764:F2827" ca="1" si="86">RAND()</f>
        <v>0.50176044041358303</v>
      </c>
      <c r="G2764" s="74">
        <v>38.123289717416355</v>
      </c>
      <c r="H2764" s="74">
        <f t="shared" ref="H2764:H2827" si="87">$D$2-G2764</f>
        <v>2.3711106259161667</v>
      </c>
    </row>
    <row r="2765" spans="5:8" ht="15.6">
      <c r="E2765" s="279" t="s">
        <v>3091</v>
      </c>
      <c r="F2765" s="284">
        <f t="shared" ca="1" si="86"/>
        <v>0.44940788656940556</v>
      </c>
      <c r="G2765" s="74">
        <v>34.721562563213269</v>
      </c>
      <c r="H2765" s="74">
        <f t="shared" si="87"/>
        <v>5.7728377801192536</v>
      </c>
    </row>
    <row r="2766" spans="5:8" ht="15.6">
      <c r="E2766" s="279" t="s">
        <v>3092</v>
      </c>
      <c r="F2766" s="284">
        <f t="shared" ca="1" si="86"/>
        <v>0.3072101029149743</v>
      </c>
      <c r="G2766" s="74">
        <v>37.508684831547775</v>
      </c>
      <c r="H2766" s="74">
        <f t="shared" si="87"/>
        <v>2.9857155117847469</v>
      </c>
    </row>
    <row r="2767" spans="5:8" ht="15.6">
      <c r="E2767" s="279" t="s">
        <v>3093</v>
      </c>
      <c r="F2767" s="284">
        <f t="shared" ca="1" si="86"/>
        <v>4.2371856700684218E-2</v>
      </c>
      <c r="G2767" s="74">
        <v>43.555646163878606</v>
      </c>
      <c r="H2767" s="74">
        <f t="shared" si="87"/>
        <v>-3.061245820546084</v>
      </c>
    </row>
    <row r="2768" spans="5:8" ht="15.6">
      <c r="E2768" s="279" t="s">
        <v>3094</v>
      </c>
      <c r="F2768" s="284">
        <f t="shared" ca="1" si="86"/>
        <v>0.90304255607142303</v>
      </c>
      <c r="G2768" s="74">
        <v>41.139427759895433</v>
      </c>
      <c r="H2768" s="74">
        <f t="shared" si="87"/>
        <v>-0.64502741656291107</v>
      </c>
    </row>
    <row r="2769" spans="5:8" ht="15.6">
      <c r="E2769" s="279" t="s">
        <v>3095</v>
      </c>
      <c r="F2769" s="284">
        <f t="shared" ca="1" si="86"/>
        <v>0.58491859605845731</v>
      </c>
      <c r="G2769" s="74">
        <v>42.673801308208859</v>
      </c>
      <c r="H2769" s="74">
        <f t="shared" si="87"/>
        <v>-2.1794009648763364</v>
      </c>
    </row>
    <row r="2770" spans="5:8" ht="15.6">
      <c r="E2770" s="279" t="s">
        <v>3096</v>
      </c>
      <c r="F2770" s="284">
        <f t="shared" ca="1" si="86"/>
        <v>0.76680939857270292</v>
      </c>
      <c r="G2770" s="74">
        <v>37.895485676035122</v>
      </c>
      <c r="H2770" s="74">
        <f t="shared" si="87"/>
        <v>2.5989146672974002</v>
      </c>
    </row>
    <row r="2771" spans="5:8" ht="15.6">
      <c r="E2771" s="279" t="s">
        <v>3097</v>
      </c>
      <c r="F2771" s="284">
        <f t="shared" ca="1" si="86"/>
        <v>0.67421704845441266</v>
      </c>
      <c r="G2771" s="74">
        <v>41.640022605031433</v>
      </c>
      <c r="H2771" s="74">
        <f t="shared" si="87"/>
        <v>-1.1456222616989109</v>
      </c>
    </row>
    <row r="2772" spans="5:8" ht="15.6">
      <c r="E2772" s="279" t="s">
        <v>3098</v>
      </c>
      <c r="F2772" s="284">
        <f t="shared" ca="1" si="86"/>
        <v>0.48809307565645688</v>
      </c>
      <c r="G2772" s="74">
        <v>42.828306568062295</v>
      </c>
      <c r="H2772" s="74">
        <f t="shared" si="87"/>
        <v>-2.3339062247297733</v>
      </c>
    </row>
    <row r="2773" spans="5:8" ht="15.6">
      <c r="E2773" s="279" t="s">
        <v>3099</v>
      </c>
      <c r="F2773" s="284">
        <f t="shared" ca="1" si="86"/>
        <v>2.5501177599358993E-2</v>
      </c>
      <c r="G2773" s="74">
        <v>34.919290869090176</v>
      </c>
      <c r="H2773" s="74">
        <f t="shared" si="87"/>
        <v>5.5751094742423462</v>
      </c>
    </row>
    <row r="2774" spans="5:8" ht="15.6">
      <c r="E2774" s="279" t="s">
        <v>3100</v>
      </c>
      <c r="F2774" s="284">
        <f t="shared" ca="1" si="86"/>
        <v>0.88683483790788942</v>
      </c>
      <c r="G2774" s="74">
        <v>42.176268359660483</v>
      </c>
      <c r="H2774" s="74">
        <f t="shared" si="87"/>
        <v>-1.6818680163279609</v>
      </c>
    </row>
    <row r="2775" spans="5:8" ht="15.6">
      <c r="E2775" s="279" t="s">
        <v>3101</v>
      </c>
      <c r="F2775" s="284">
        <f t="shared" ca="1" si="86"/>
        <v>0.12188533127721768</v>
      </c>
      <c r="G2775" s="74">
        <v>45.544286551892405</v>
      </c>
      <c r="H2775" s="74">
        <f t="shared" si="87"/>
        <v>-5.049886208559883</v>
      </c>
    </row>
    <row r="2776" spans="5:8" ht="15.6">
      <c r="E2776" s="279" t="s">
        <v>3102</v>
      </c>
      <c r="F2776" s="284">
        <f t="shared" ca="1" si="86"/>
        <v>0.3062253505513628</v>
      </c>
      <c r="G2776" s="74">
        <v>38.710803829483972</v>
      </c>
      <c r="H2776" s="74">
        <f t="shared" si="87"/>
        <v>1.7835965138485506</v>
      </c>
    </row>
    <row r="2777" spans="5:8" ht="15.6">
      <c r="E2777" s="279" t="s">
        <v>3103</v>
      </c>
      <c r="F2777" s="284">
        <f t="shared" ca="1" si="86"/>
        <v>0.37188889297860062</v>
      </c>
      <c r="G2777" s="74">
        <v>39.977626098525207</v>
      </c>
      <c r="H2777" s="74">
        <f t="shared" si="87"/>
        <v>0.5167742448073156</v>
      </c>
    </row>
    <row r="2778" spans="5:8" ht="15.6">
      <c r="E2778" s="279" t="s">
        <v>3104</v>
      </c>
      <c r="F2778" s="284">
        <f t="shared" ca="1" si="86"/>
        <v>0.15364528104082498</v>
      </c>
      <c r="G2778" s="74">
        <v>39.782094999130194</v>
      </c>
      <c r="H2778" s="74">
        <f t="shared" si="87"/>
        <v>0.71230534420232772</v>
      </c>
    </row>
    <row r="2779" spans="5:8" ht="15.6">
      <c r="E2779" s="279" t="s">
        <v>3105</v>
      </c>
      <c r="F2779" s="284">
        <f t="shared" ca="1" si="86"/>
        <v>0.17116297948887038</v>
      </c>
      <c r="G2779" s="74">
        <v>35.950459128610788</v>
      </c>
      <c r="H2779" s="74">
        <f t="shared" si="87"/>
        <v>4.543941214721734</v>
      </c>
    </row>
    <row r="2780" spans="5:8" ht="15.6">
      <c r="E2780" s="279" t="s">
        <v>3106</v>
      </c>
      <c r="F2780" s="284">
        <f t="shared" ca="1" si="86"/>
        <v>0.35717069346993779</v>
      </c>
      <c r="G2780" s="74">
        <v>41.053210747652344</v>
      </c>
      <c r="H2780" s="74">
        <f t="shared" si="87"/>
        <v>-0.55881040431982143</v>
      </c>
    </row>
    <row r="2781" spans="5:8" ht="15.6">
      <c r="E2781" s="279" t="s">
        <v>3107</v>
      </c>
      <c r="F2781" s="284">
        <f t="shared" ca="1" si="86"/>
        <v>0.30506805205430509</v>
      </c>
      <c r="G2781" s="74">
        <v>37.44942628197132</v>
      </c>
      <c r="H2781" s="74">
        <f t="shared" si="87"/>
        <v>3.0449740613612022</v>
      </c>
    </row>
    <row r="2782" spans="5:8" ht="15.6">
      <c r="E2782" s="279" t="s">
        <v>3108</v>
      </c>
      <c r="F2782" s="284">
        <f t="shared" ca="1" si="86"/>
        <v>0.39467895835130673</v>
      </c>
      <c r="G2782" s="74">
        <v>39.63318082115611</v>
      </c>
      <c r="H2782" s="74">
        <f t="shared" si="87"/>
        <v>0.86121952217641251</v>
      </c>
    </row>
    <row r="2783" spans="5:8" ht="15.6">
      <c r="E2783" s="279" t="s">
        <v>3109</v>
      </c>
      <c r="F2783" s="284">
        <f t="shared" ca="1" si="86"/>
        <v>0.10287142164176866</v>
      </c>
      <c r="G2783" s="74">
        <v>40.708476103483726</v>
      </c>
      <c r="H2783" s="74">
        <f t="shared" si="87"/>
        <v>-0.21407576015120355</v>
      </c>
    </row>
    <row r="2784" spans="5:8" ht="15.6">
      <c r="E2784" s="279" t="s">
        <v>3110</v>
      </c>
      <c r="F2784" s="284">
        <f t="shared" ca="1" si="86"/>
        <v>0.61435938587369987</v>
      </c>
      <c r="G2784" s="74">
        <v>36.955062302758407</v>
      </c>
      <c r="H2784" s="74">
        <f t="shared" si="87"/>
        <v>3.5393380405741155</v>
      </c>
    </row>
    <row r="2785" spans="5:8" ht="15.6">
      <c r="E2785" s="279" t="s">
        <v>3111</v>
      </c>
      <c r="F2785" s="284">
        <f t="shared" ca="1" si="86"/>
        <v>5.3844025017239061E-2</v>
      </c>
      <c r="G2785" s="74">
        <v>39.123274683250287</v>
      </c>
      <c r="H2785" s="74">
        <f t="shared" si="87"/>
        <v>1.3711256600822352</v>
      </c>
    </row>
    <row r="2786" spans="5:8" ht="15.6">
      <c r="E2786" s="279" t="s">
        <v>3112</v>
      </c>
      <c r="F2786" s="284">
        <f t="shared" ca="1" si="86"/>
        <v>0.19606703692496896</v>
      </c>
      <c r="G2786" s="74">
        <v>39.14520327864814</v>
      </c>
      <c r="H2786" s="74">
        <f t="shared" si="87"/>
        <v>1.3491970646843825</v>
      </c>
    </row>
    <row r="2787" spans="5:8" ht="15.6">
      <c r="E2787" s="279" t="s">
        <v>3113</v>
      </c>
      <c r="F2787" s="284">
        <f t="shared" ca="1" si="86"/>
        <v>0.44580254982824585</v>
      </c>
      <c r="G2787" s="74">
        <v>40.501439484129165</v>
      </c>
      <c r="H2787" s="74">
        <f t="shared" si="87"/>
        <v>-7.0391407966425845E-3</v>
      </c>
    </row>
    <row r="2788" spans="5:8" ht="15.6">
      <c r="E2788" s="279" t="s">
        <v>3114</v>
      </c>
      <c r="F2788" s="284">
        <f t="shared" ca="1" si="86"/>
        <v>0.73162470437226323</v>
      </c>
      <c r="G2788" s="74">
        <v>36.296427110242412</v>
      </c>
      <c r="H2788" s="74">
        <f t="shared" si="87"/>
        <v>4.1979732330901101</v>
      </c>
    </row>
    <row r="2789" spans="5:8" ht="15.6">
      <c r="E2789" s="279" t="s">
        <v>3115</v>
      </c>
      <c r="F2789" s="284">
        <f t="shared" ca="1" si="86"/>
        <v>0.86068765129056735</v>
      </c>
      <c r="G2789" s="74">
        <v>42.036447621714572</v>
      </c>
      <c r="H2789" s="74">
        <f t="shared" si="87"/>
        <v>-1.54204727838205</v>
      </c>
    </row>
    <row r="2790" spans="5:8" ht="15.6">
      <c r="E2790" s="279" t="s">
        <v>3116</v>
      </c>
      <c r="F2790" s="284">
        <f t="shared" ca="1" si="86"/>
        <v>0.29389691400393159</v>
      </c>
      <c r="G2790" s="74">
        <v>40.797300956811746</v>
      </c>
      <c r="H2790" s="74">
        <f t="shared" si="87"/>
        <v>-0.30290061347922403</v>
      </c>
    </row>
    <row r="2791" spans="5:8" ht="15.6">
      <c r="E2791" s="279" t="s">
        <v>3117</v>
      </c>
      <c r="F2791" s="284">
        <f t="shared" ca="1" si="86"/>
        <v>3.8890759616601822E-2</v>
      </c>
      <c r="G2791" s="74">
        <v>39.000532678784872</v>
      </c>
      <c r="H2791" s="74">
        <f t="shared" si="87"/>
        <v>1.4938676645476505</v>
      </c>
    </row>
    <row r="2792" spans="5:8" ht="15.6">
      <c r="E2792" s="279" t="s">
        <v>3118</v>
      </c>
      <c r="F2792" s="284">
        <f t="shared" ca="1" si="86"/>
        <v>0.91863507956019974</v>
      </c>
      <c r="G2792" s="74">
        <v>37.014147437213268</v>
      </c>
      <c r="H2792" s="74">
        <f t="shared" si="87"/>
        <v>3.4802529061192544</v>
      </c>
    </row>
    <row r="2793" spans="5:8" ht="15.6">
      <c r="E2793" s="279" t="s">
        <v>3119</v>
      </c>
      <c r="F2793" s="284">
        <f t="shared" ca="1" si="86"/>
        <v>0.69483792840078185</v>
      </c>
      <c r="G2793" s="74">
        <v>33.599881884035895</v>
      </c>
      <c r="H2793" s="74">
        <f t="shared" si="87"/>
        <v>6.8945184592966271</v>
      </c>
    </row>
    <row r="2794" spans="5:8" ht="15.6">
      <c r="E2794" s="279" t="s">
        <v>3120</v>
      </c>
      <c r="F2794" s="284">
        <f t="shared" ca="1" si="86"/>
        <v>0.67185151602514714</v>
      </c>
      <c r="G2794" s="74">
        <v>37.526727251033577</v>
      </c>
      <c r="H2794" s="74">
        <f t="shared" si="87"/>
        <v>2.9676730922989449</v>
      </c>
    </row>
    <row r="2795" spans="5:8" ht="15.6">
      <c r="E2795" s="279" t="s">
        <v>3121</v>
      </c>
      <c r="F2795" s="284">
        <f t="shared" ca="1" si="86"/>
        <v>0.58426506737488137</v>
      </c>
      <c r="G2795" s="74">
        <v>36.723762222139712</v>
      </c>
      <c r="H2795" s="74">
        <f t="shared" si="87"/>
        <v>3.7706381211928104</v>
      </c>
    </row>
    <row r="2796" spans="5:8" ht="15.6">
      <c r="E2796" s="279" t="s">
        <v>3122</v>
      </c>
      <c r="F2796" s="284">
        <f t="shared" ca="1" si="86"/>
        <v>6.3806254997529233E-2</v>
      </c>
      <c r="G2796" s="74">
        <v>35.012069915423574</v>
      </c>
      <c r="H2796" s="74">
        <f t="shared" si="87"/>
        <v>5.4823304279089484</v>
      </c>
    </row>
    <row r="2797" spans="5:8" ht="15.6">
      <c r="E2797" s="279" t="s">
        <v>3123</v>
      </c>
      <c r="F2797" s="284">
        <f t="shared" ca="1" si="86"/>
        <v>0.87728273912799937</v>
      </c>
      <c r="G2797" s="74">
        <v>38.342859217400743</v>
      </c>
      <c r="H2797" s="74">
        <f t="shared" si="87"/>
        <v>2.1515411259317787</v>
      </c>
    </row>
    <row r="2798" spans="5:8" ht="15.6">
      <c r="E2798" s="279" t="s">
        <v>3124</v>
      </c>
      <c r="F2798" s="284">
        <f t="shared" ca="1" si="86"/>
        <v>0.94065869456951401</v>
      </c>
      <c r="G2798" s="74">
        <v>34.738049758725943</v>
      </c>
      <c r="H2798" s="74">
        <f t="shared" si="87"/>
        <v>5.7563505846065794</v>
      </c>
    </row>
    <row r="2799" spans="5:8" ht="15.6">
      <c r="E2799" s="279" t="s">
        <v>3125</v>
      </c>
      <c r="F2799" s="284">
        <f t="shared" ca="1" si="86"/>
        <v>0.48857635463783422</v>
      </c>
      <c r="G2799" s="74">
        <v>41.388873044183157</v>
      </c>
      <c r="H2799" s="74">
        <f t="shared" si="87"/>
        <v>-0.89447270085063479</v>
      </c>
    </row>
    <row r="2800" spans="5:8" ht="15.6">
      <c r="E2800" s="279" t="s">
        <v>3126</v>
      </c>
      <c r="F2800" s="284">
        <f t="shared" ca="1" si="86"/>
        <v>0.10352015173736995</v>
      </c>
      <c r="G2800" s="74">
        <v>38.286084627339164</v>
      </c>
      <c r="H2800" s="74">
        <f t="shared" si="87"/>
        <v>2.2083157159933577</v>
      </c>
    </row>
    <row r="2801" spans="5:8" ht="15.6">
      <c r="E2801" s="279" t="s">
        <v>3127</v>
      </c>
      <c r="F2801" s="284">
        <f t="shared" ca="1" si="86"/>
        <v>0.26013202828667392</v>
      </c>
      <c r="G2801" s="74">
        <v>36.037192165203876</v>
      </c>
      <c r="H2801" s="74">
        <f t="shared" si="87"/>
        <v>4.4572081781286457</v>
      </c>
    </row>
    <row r="2802" spans="5:8" ht="15.6">
      <c r="E2802" s="279" t="s">
        <v>3128</v>
      </c>
      <c r="F2802" s="284">
        <f t="shared" ca="1" si="86"/>
        <v>0.83551941717666522</v>
      </c>
      <c r="G2802" s="74">
        <v>40.227398164354234</v>
      </c>
      <c r="H2802" s="74">
        <f t="shared" si="87"/>
        <v>0.26700217897828793</v>
      </c>
    </row>
    <row r="2803" spans="5:8" ht="15.6">
      <c r="E2803" s="279" t="s">
        <v>3129</v>
      </c>
      <c r="F2803" s="284">
        <f t="shared" ca="1" si="86"/>
        <v>0.56743803478284094</v>
      </c>
      <c r="G2803" s="74">
        <v>38.993862738762054</v>
      </c>
      <c r="H2803" s="74">
        <f t="shared" si="87"/>
        <v>1.5005376045704679</v>
      </c>
    </row>
    <row r="2804" spans="5:8" ht="15.6">
      <c r="E2804" s="279" t="s">
        <v>3130</v>
      </c>
      <c r="F2804" s="284">
        <f t="shared" ca="1" si="86"/>
        <v>0.19014840769454688</v>
      </c>
      <c r="G2804" s="74">
        <v>39.593341040235643</v>
      </c>
      <c r="H2804" s="74">
        <f t="shared" si="87"/>
        <v>0.9010593030968792</v>
      </c>
    </row>
    <row r="2805" spans="5:8" ht="15.6">
      <c r="E2805" s="279" t="s">
        <v>3131</v>
      </c>
      <c r="F2805" s="284">
        <f t="shared" ca="1" si="86"/>
        <v>8.5947229036869688E-2</v>
      </c>
      <c r="G2805" s="74">
        <v>39.775864281756149</v>
      </c>
      <c r="H2805" s="74">
        <f t="shared" si="87"/>
        <v>0.71853606157637273</v>
      </c>
    </row>
    <row r="2806" spans="5:8" ht="15.6">
      <c r="E2806" s="279" t="s">
        <v>3132</v>
      </c>
      <c r="F2806" s="284">
        <f t="shared" ca="1" si="86"/>
        <v>3.1561808007189551E-2</v>
      </c>
      <c r="G2806" s="74">
        <v>38.546886230608791</v>
      </c>
      <c r="H2806" s="74">
        <f t="shared" si="87"/>
        <v>1.9475141127237308</v>
      </c>
    </row>
    <row r="2807" spans="5:8" ht="15.6">
      <c r="E2807" s="279" t="s">
        <v>3133</v>
      </c>
      <c r="F2807" s="284">
        <f t="shared" ca="1" si="86"/>
        <v>0.58071413612853684</v>
      </c>
      <c r="G2807" s="74">
        <v>37.032524199094439</v>
      </c>
      <c r="H2807" s="74">
        <f t="shared" si="87"/>
        <v>3.461876144238083</v>
      </c>
    </row>
    <row r="2808" spans="5:8" ht="15.6">
      <c r="E2808" s="279" t="s">
        <v>3134</v>
      </c>
      <c r="F2808" s="284">
        <f t="shared" ca="1" si="86"/>
        <v>0.3552896133177893</v>
      </c>
      <c r="G2808" s="74">
        <v>33.83606076568099</v>
      </c>
      <c r="H2808" s="74">
        <f t="shared" si="87"/>
        <v>6.6583395776515317</v>
      </c>
    </row>
    <row r="2809" spans="5:8" ht="15.6">
      <c r="E2809" s="279" t="s">
        <v>3135</v>
      </c>
      <c r="F2809" s="284">
        <f t="shared" ca="1" si="86"/>
        <v>0.38776836265538839</v>
      </c>
      <c r="G2809" s="74">
        <v>38.770227410354437</v>
      </c>
      <c r="H2809" s="74">
        <f t="shared" si="87"/>
        <v>1.7241729329780853</v>
      </c>
    </row>
    <row r="2810" spans="5:8" ht="15.6">
      <c r="E2810" s="279" t="s">
        <v>3136</v>
      </c>
      <c r="F2810" s="284">
        <f t="shared" ca="1" si="86"/>
        <v>0.33490512539276729</v>
      </c>
      <c r="G2810" s="74">
        <v>35.119571429959691</v>
      </c>
      <c r="H2810" s="74">
        <f t="shared" si="87"/>
        <v>5.3748289133728306</v>
      </c>
    </row>
    <row r="2811" spans="5:8" ht="15.6">
      <c r="E2811" s="279" t="s">
        <v>3137</v>
      </c>
      <c r="F2811" s="284">
        <f t="shared" ca="1" si="86"/>
        <v>0.77646088857740136</v>
      </c>
      <c r="G2811" s="74">
        <v>35.618131175470765</v>
      </c>
      <c r="H2811" s="74">
        <f t="shared" si="87"/>
        <v>4.8762691678617571</v>
      </c>
    </row>
    <row r="2812" spans="5:8" ht="15.6">
      <c r="E2812" s="279" t="s">
        <v>3138</v>
      </c>
      <c r="F2812" s="284">
        <f t="shared" ca="1" si="86"/>
        <v>0.30125697307729049</v>
      </c>
      <c r="G2812" s="74">
        <v>39.796670158666828</v>
      </c>
      <c r="H2812" s="74">
        <f t="shared" si="87"/>
        <v>0.69773018466569425</v>
      </c>
    </row>
    <row r="2813" spans="5:8" ht="15.6">
      <c r="E2813" s="279" t="s">
        <v>3139</v>
      </c>
      <c r="F2813" s="284">
        <f t="shared" ca="1" si="86"/>
        <v>0.73999952831011984</v>
      </c>
      <c r="G2813" s="74">
        <v>38.553543367797268</v>
      </c>
      <c r="H2813" s="74">
        <f t="shared" si="87"/>
        <v>1.9408569755352545</v>
      </c>
    </row>
    <row r="2814" spans="5:8" ht="15.6">
      <c r="E2814" s="279" t="s">
        <v>3140</v>
      </c>
      <c r="F2814" s="284">
        <f t="shared" ca="1" si="86"/>
        <v>0.64092139687716609</v>
      </c>
      <c r="G2814" s="74">
        <v>40.736311660927889</v>
      </c>
      <c r="H2814" s="74">
        <f t="shared" si="87"/>
        <v>-0.24191131759536688</v>
      </c>
    </row>
    <row r="2815" spans="5:8" ht="15.6">
      <c r="E2815" s="279" t="s">
        <v>3141</v>
      </c>
      <c r="F2815" s="284">
        <f t="shared" ca="1" si="86"/>
        <v>0.69570983996848978</v>
      </c>
      <c r="G2815" s="74">
        <v>41.962090945844302</v>
      </c>
      <c r="H2815" s="74">
        <f t="shared" si="87"/>
        <v>-1.4676906025117802</v>
      </c>
    </row>
    <row r="2816" spans="5:8" ht="15.6">
      <c r="E2816" s="279" t="s">
        <v>3142</v>
      </c>
      <c r="F2816" s="284">
        <f t="shared" ca="1" si="86"/>
        <v>0.42049769287069028</v>
      </c>
      <c r="G2816" s="74">
        <v>34.664603809246508</v>
      </c>
      <c r="H2816" s="74">
        <f t="shared" si="87"/>
        <v>5.8297965340860145</v>
      </c>
    </row>
    <row r="2817" spans="5:8" ht="15.6">
      <c r="E2817" s="279" t="s">
        <v>3143</v>
      </c>
      <c r="F2817" s="284">
        <f t="shared" ca="1" si="86"/>
        <v>0.72366716468209213</v>
      </c>
      <c r="G2817" s="74">
        <v>38.15512237834713</v>
      </c>
      <c r="H2817" s="74">
        <f t="shared" si="87"/>
        <v>2.3392779649853921</v>
      </c>
    </row>
    <row r="2818" spans="5:8" ht="15.6">
      <c r="E2818" s="279" t="s">
        <v>3144</v>
      </c>
      <c r="F2818" s="284">
        <f t="shared" ca="1" si="86"/>
        <v>0.87970684798602128</v>
      </c>
      <c r="G2818" s="74">
        <v>38.306936883205573</v>
      </c>
      <c r="H2818" s="74">
        <f t="shared" si="87"/>
        <v>2.1874634601269491</v>
      </c>
    </row>
    <row r="2819" spans="5:8" ht="15.6">
      <c r="E2819" s="279" t="s">
        <v>3145</v>
      </c>
      <c r="F2819" s="284">
        <f t="shared" ca="1" si="86"/>
        <v>6.2492442158592176E-2</v>
      </c>
      <c r="G2819" s="74">
        <v>41.358816790158421</v>
      </c>
      <c r="H2819" s="74">
        <f t="shared" si="87"/>
        <v>-0.86441644682589924</v>
      </c>
    </row>
    <row r="2820" spans="5:8" ht="15.6">
      <c r="E2820" s="279" t="s">
        <v>3146</v>
      </c>
      <c r="F2820" s="284">
        <f t="shared" ca="1" si="86"/>
        <v>4.6030336653284598E-2</v>
      </c>
      <c r="G2820" s="74">
        <v>43.272693657021087</v>
      </c>
      <c r="H2820" s="74">
        <f t="shared" si="87"/>
        <v>-2.7782933136885646</v>
      </c>
    </row>
    <row r="2821" spans="5:8" ht="15.6">
      <c r="E2821" s="279" t="s">
        <v>3147</v>
      </c>
      <c r="F2821" s="284">
        <f t="shared" ca="1" si="86"/>
        <v>0.84412891471618756</v>
      </c>
      <c r="G2821" s="74">
        <v>40.623778752045176</v>
      </c>
      <c r="H2821" s="74">
        <f t="shared" si="87"/>
        <v>-0.12937840871265394</v>
      </c>
    </row>
    <row r="2822" spans="5:8" ht="15.6">
      <c r="E2822" s="279" t="s">
        <v>3148</v>
      </c>
      <c r="F2822" s="284">
        <f t="shared" ca="1" si="86"/>
        <v>0.51665382276657823</v>
      </c>
      <c r="G2822" s="74">
        <v>41.265857348718491</v>
      </c>
      <c r="H2822" s="74">
        <f t="shared" si="87"/>
        <v>-0.77145700538596884</v>
      </c>
    </row>
    <row r="2823" spans="5:8" ht="15.6">
      <c r="E2823" s="279" t="s">
        <v>3149</v>
      </c>
      <c r="F2823" s="284">
        <f t="shared" ca="1" si="86"/>
        <v>5.80071960404972E-2</v>
      </c>
      <c r="G2823" s="74">
        <v>38.274295513338565</v>
      </c>
      <c r="H2823" s="74">
        <f t="shared" si="87"/>
        <v>2.2201048299939572</v>
      </c>
    </row>
    <row r="2824" spans="5:8" ht="15.6">
      <c r="E2824" s="279" t="s">
        <v>3150</v>
      </c>
      <c r="F2824" s="284">
        <f t="shared" ca="1" si="86"/>
        <v>0.87815525825907981</v>
      </c>
      <c r="G2824" s="74">
        <v>39.51732649081481</v>
      </c>
      <c r="H2824" s="74">
        <f t="shared" si="87"/>
        <v>0.97707385251771228</v>
      </c>
    </row>
    <row r="2825" spans="5:8" ht="15.6">
      <c r="E2825" s="279" t="s">
        <v>3151</v>
      </c>
      <c r="F2825" s="284">
        <f t="shared" ca="1" si="86"/>
        <v>0.6294314844020954</v>
      </c>
      <c r="G2825" s="74">
        <v>39.753512756074763</v>
      </c>
      <c r="H2825" s="74">
        <f t="shared" si="87"/>
        <v>0.74088758725775961</v>
      </c>
    </row>
    <row r="2826" spans="5:8" ht="15.6">
      <c r="E2826" s="279" t="s">
        <v>3152</v>
      </c>
      <c r="F2826" s="284">
        <f t="shared" ca="1" si="86"/>
        <v>0.36630894993013741</v>
      </c>
      <c r="G2826" s="74">
        <v>34.298591616353399</v>
      </c>
      <c r="H2826" s="74">
        <f t="shared" si="87"/>
        <v>6.1958087269791235</v>
      </c>
    </row>
    <row r="2827" spans="5:8" ht="15.6">
      <c r="E2827" s="279" t="s">
        <v>3153</v>
      </c>
      <c r="F2827" s="284">
        <f t="shared" ca="1" si="86"/>
        <v>0.58295560579638284</v>
      </c>
      <c r="G2827" s="74">
        <v>34.134895001166001</v>
      </c>
      <c r="H2827" s="74">
        <f t="shared" si="87"/>
        <v>6.3595053421665213</v>
      </c>
    </row>
    <row r="2828" spans="5:8" ht="15.6">
      <c r="E2828" s="279" t="s">
        <v>3154</v>
      </c>
      <c r="F2828" s="284">
        <f t="shared" ref="F2828:F2891" ca="1" si="88">RAND()</f>
        <v>0.14695144801771864</v>
      </c>
      <c r="G2828" s="74">
        <v>33.078888099742386</v>
      </c>
      <c r="H2828" s="74">
        <f t="shared" ref="H2828:H2891" si="89">$D$2-G2828</f>
        <v>7.4155122435901362</v>
      </c>
    </row>
    <row r="2829" spans="5:8" ht="15.6">
      <c r="E2829" s="279" t="s">
        <v>3155</v>
      </c>
      <c r="F2829" s="284">
        <f t="shared" ca="1" si="88"/>
        <v>0.10909299129599337</v>
      </c>
      <c r="G2829" s="74">
        <v>40.041223101656534</v>
      </c>
      <c r="H2829" s="74">
        <f t="shared" si="89"/>
        <v>0.45317724167598783</v>
      </c>
    </row>
    <row r="2830" spans="5:8" ht="15.6">
      <c r="E2830" s="279" t="s">
        <v>3156</v>
      </c>
      <c r="F2830" s="284">
        <f t="shared" ca="1" si="88"/>
        <v>0.43146172188165888</v>
      </c>
      <c r="G2830" s="74">
        <v>45.014393387769104</v>
      </c>
      <c r="H2830" s="74">
        <f t="shared" si="89"/>
        <v>-4.5199930444365819</v>
      </c>
    </row>
    <row r="2831" spans="5:8" ht="15.6">
      <c r="E2831" s="279" t="s">
        <v>3157</v>
      </c>
      <c r="F2831" s="284">
        <f t="shared" ca="1" si="88"/>
        <v>0.91114348931285905</v>
      </c>
      <c r="G2831" s="74">
        <v>38.2746123294489</v>
      </c>
      <c r="H2831" s="74">
        <f t="shared" si="89"/>
        <v>2.2197880138836226</v>
      </c>
    </row>
    <row r="2832" spans="5:8" ht="15.6">
      <c r="E2832" s="279" t="s">
        <v>3158</v>
      </c>
      <c r="F2832" s="284">
        <f t="shared" ca="1" si="88"/>
        <v>1.9103305247497815E-2</v>
      </c>
      <c r="G2832" s="74">
        <v>34.559270345452205</v>
      </c>
      <c r="H2832" s="74">
        <f t="shared" si="89"/>
        <v>5.9351299978803169</v>
      </c>
    </row>
    <row r="2833" spans="5:8" ht="15.6">
      <c r="E2833" s="279" t="s">
        <v>3159</v>
      </c>
      <c r="F2833" s="284">
        <f t="shared" ca="1" si="88"/>
        <v>0.33135166332949884</v>
      </c>
      <c r="G2833" s="74">
        <v>42.815420841285864</v>
      </c>
      <c r="H2833" s="74">
        <f t="shared" si="89"/>
        <v>-2.3210204979533415</v>
      </c>
    </row>
    <row r="2834" spans="5:8" ht="15.6">
      <c r="E2834" s="279" t="s">
        <v>3160</v>
      </c>
      <c r="F2834" s="284">
        <f t="shared" ca="1" si="88"/>
        <v>0.45462105396411145</v>
      </c>
      <c r="G2834" s="74">
        <v>38.560336437743274</v>
      </c>
      <c r="H2834" s="74">
        <f t="shared" si="89"/>
        <v>1.9340639055892481</v>
      </c>
    </row>
    <row r="2835" spans="5:8" ht="15.6">
      <c r="E2835" s="279" t="s">
        <v>3161</v>
      </c>
      <c r="F2835" s="284">
        <f t="shared" ca="1" si="88"/>
        <v>0.18808697743435687</v>
      </c>
      <c r="G2835" s="74">
        <v>35.639823117050462</v>
      </c>
      <c r="H2835" s="74">
        <f t="shared" si="89"/>
        <v>4.8545772262820606</v>
      </c>
    </row>
    <row r="2836" spans="5:8" ht="15.6">
      <c r="E2836" s="279" t="s">
        <v>3162</v>
      </c>
      <c r="F2836" s="284">
        <f t="shared" ca="1" si="88"/>
        <v>0.10474667809876759</v>
      </c>
      <c r="G2836" s="74">
        <v>37.400597438368557</v>
      </c>
      <c r="H2836" s="74">
        <f t="shared" si="89"/>
        <v>3.0938029049639653</v>
      </c>
    </row>
    <row r="2837" spans="5:8" ht="15.6">
      <c r="E2837" s="279" t="s">
        <v>3163</v>
      </c>
      <c r="F2837" s="284">
        <f t="shared" ca="1" si="88"/>
        <v>0.18413875262582213</v>
      </c>
      <c r="G2837" s="74">
        <v>40.040815259769204</v>
      </c>
      <c r="H2837" s="74">
        <f t="shared" si="89"/>
        <v>0.45358508356331839</v>
      </c>
    </row>
    <row r="2838" spans="5:8" ht="15.6">
      <c r="E2838" s="279" t="s">
        <v>3164</v>
      </c>
      <c r="F2838" s="284">
        <f t="shared" ca="1" si="88"/>
        <v>0.62251648700256568</v>
      </c>
      <c r="G2838" s="74">
        <v>41.413655020914334</v>
      </c>
      <c r="H2838" s="74">
        <f t="shared" si="89"/>
        <v>-0.91925467758181156</v>
      </c>
    </row>
    <row r="2839" spans="5:8" ht="15.6">
      <c r="E2839" s="279" t="s">
        <v>3165</v>
      </c>
      <c r="F2839" s="284">
        <f t="shared" ca="1" si="88"/>
        <v>0.8291665702765415</v>
      </c>
      <c r="G2839" s="74">
        <v>45.209761158024243</v>
      </c>
      <c r="H2839" s="74">
        <f t="shared" si="89"/>
        <v>-4.7153608146917207</v>
      </c>
    </row>
    <row r="2840" spans="5:8" ht="15.6">
      <c r="E2840" s="279" t="s">
        <v>3166</v>
      </c>
      <c r="F2840" s="284">
        <f t="shared" ca="1" si="88"/>
        <v>0.40004984457805459</v>
      </c>
      <c r="G2840" s="74">
        <v>38.595268748640834</v>
      </c>
      <c r="H2840" s="74">
        <f t="shared" si="89"/>
        <v>1.8991315946916885</v>
      </c>
    </row>
    <row r="2841" spans="5:8" ht="15.6">
      <c r="E2841" s="279" t="s">
        <v>3167</v>
      </c>
      <c r="F2841" s="284">
        <f t="shared" ca="1" si="88"/>
        <v>0.21032547727840489</v>
      </c>
      <c r="G2841" s="74">
        <v>40.569445864229273</v>
      </c>
      <c r="H2841" s="74">
        <f t="shared" si="89"/>
        <v>-7.5045520896750872E-2</v>
      </c>
    </row>
    <row r="2842" spans="5:8" ht="15.6">
      <c r="E2842" s="279" t="s">
        <v>3168</v>
      </c>
      <c r="F2842" s="284">
        <f t="shared" ca="1" si="88"/>
        <v>0.35303539258861616</v>
      </c>
      <c r="G2842" s="74">
        <v>42.976450524291955</v>
      </c>
      <c r="H2842" s="74">
        <f t="shared" si="89"/>
        <v>-2.4820501809594333</v>
      </c>
    </row>
    <row r="2843" spans="5:8" ht="15.6">
      <c r="E2843" s="279" t="s">
        <v>3169</v>
      </c>
      <c r="F2843" s="284">
        <f t="shared" ca="1" si="88"/>
        <v>0.81198292911965264</v>
      </c>
      <c r="G2843" s="74">
        <v>41.564443062211055</v>
      </c>
      <c r="H2843" s="74">
        <f t="shared" si="89"/>
        <v>-1.0700427188785326</v>
      </c>
    </row>
    <row r="2844" spans="5:8" ht="15.6">
      <c r="E2844" s="279" t="s">
        <v>3170</v>
      </c>
      <c r="F2844" s="284">
        <f t="shared" ca="1" si="88"/>
        <v>0.69460552372723983</v>
      </c>
      <c r="G2844" s="74">
        <v>40.101322334726603</v>
      </c>
      <c r="H2844" s="74">
        <f t="shared" si="89"/>
        <v>0.39307800860591868</v>
      </c>
    </row>
    <row r="2845" spans="5:8" ht="15.6">
      <c r="E2845" s="279" t="s">
        <v>3171</v>
      </c>
      <c r="F2845" s="284">
        <f t="shared" ca="1" si="88"/>
        <v>0.43503536320131342</v>
      </c>
      <c r="G2845" s="74">
        <v>35.834037862148342</v>
      </c>
      <c r="H2845" s="74">
        <f t="shared" si="89"/>
        <v>4.6603624811841797</v>
      </c>
    </row>
    <row r="2846" spans="5:8" ht="15.6">
      <c r="E2846" s="279" t="s">
        <v>3172</v>
      </c>
      <c r="F2846" s="284">
        <f t="shared" ca="1" si="88"/>
        <v>0.35120976999357434</v>
      </c>
      <c r="G2846" s="74">
        <v>40.007695849648158</v>
      </c>
      <c r="H2846" s="74">
        <f t="shared" si="89"/>
        <v>0.48670449368436408</v>
      </c>
    </row>
    <row r="2847" spans="5:8" ht="15.6">
      <c r="E2847" s="279" t="s">
        <v>3173</v>
      </c>
      <c r="F2847" s="284">
        <f t="shared" ca="1" si="88"/>
        <v>0.14177925981313821</v>
      </c>
      <c r="G2847" s="74">
        <v>37.643542658596537</v>
      </c>
      <c r="H2847" s="74">
        <f t="shared" si="89"/>
        <v>2.8508576847359848</v>
      </c>
    </row>
    <row r="2848" spans="5:8" ht="15.6">
      <c r="E2848" s="279" t="s">
        <v>3174</v>
      </c>
      <c r="F2848" s="284">
        <f t="shared" ca="1" si="88"/>
        <v>0.32065069022206183</v>
      </c>
      <c r="G2848" s="74">
        <v>36.42506905727025</v>
      </c>
      <c r="H2848" s="74">
        <f t="shared" si="89"/>
        <v>4.0693312860622726</v>
      </c>
    </row>
    <row r="2849" spans="5:8" ht="15.6">
      <c r="E2849" s="279" t="s">
        <v>3175</v>
      </c>
      <c r="F2849" s="284">
        <f t="shared" ca="1" si="88"/>
        <v>0.2632746280086139</v>
      </c>
      <c r="G2849" s="74">
        <v>36.755977539524416</v>
      </c>
      <c r="H2849" s="74">
        <f t="shared" si="89"/>
        <v>3.7384228038081062</v>
      </c>
    </row>
    <row r="2850" spans="5:8" ht="15.6">
      <c r="E2850" s="279" t="s">
        <v>3176</v>
      </c>
      <c r="F2850" s="284">
        <f t="shared" ca="1" si="88"/>
        <v>0.7116214593856528</v>
      </c>
      <c r="G2850" s="74">
        <v>42.484461793289078</v>
      </c>
      <c r="H2850" s="74">
        <f t="shared" si="89"/>
        <v>-1.9900614499565563</v>
      </c>
    </row>
    <row r="2851" spans="5:8" ht="15.6">
      <c r="E2851" s="279" t="s">
        <v>3177</v>
      </c>
      <c r="F2851" s="284">
        <f t="shared" ca="1" si="88"/>
        <v>0.63503004444270017</v>
      </c>
      <c r="G2851" s="74">
        <v>42.402206847065258</v>
      </c>
      <c r="H2851" s="74">
        <f t="shared" si="89"/>
        <v>-1.9078065037327363</v>
      </c>
    </row>
    <row r="2852" spans="5:8" ht="15.6">
      <c r="E2852" s="279" t="s">
        <v>3178</v>
      </c>
      <c r="F2852" s="284">
        <f t="shared" ca="1" si="88"/>
        <v>0.28510843759137006</v>
      </c>
      <c r="G2852" s="74">
        <v>39.58706312097069</v>
      </c>
      <c r="H2852" s="74">
        <f t="shared" si="89"/>
        <v>0.90733722236183212</v>
      </c>
    </row>
    <row r="2853" spans="5:8" ht="15.6">
      <c r="E2853" s="279" t="s">
        <v>3179</v>
      </c>
      <c r="F2853" s="284">
        <f t="shared" ca="1" si="88"/>
        <v>0.38631803127293973</v>
      </c>
      <c r="G2853" s="74">
        <v>36.549841624714624</v>
      </c>
      <c r="H2853" s="74">
        <f t="shared" si="89"/>
        <v>3.9445587186178983</v>
      </c>
    </row>
    <row r="2854" spans="5:8" ht="15.6">
      <c r="E2854" s="279" t="s">
        <v>3180</v>
      </c>
      <c r="F2854" s="284">
        <f t="shared" ca="1" si="88"/>
        <v>0.9515053375271334</v>
      </c>
      <c r="G2854" s="74">
        <v>40.390576448288421</v>
      </c>
      <c r="H2854" s="74">
        <f t="shared" si="89"/>
        <v>0.10382389504410128</v>
      </c>
    </row>
    <row r="2855" spans="5:8" ht="15.6">
      <c r="E2855" s="279" t="s">
        <v>3181</v>
      </c>
      <c r="F2855" s="284">
        <f t="shared" ca="1" si="88"/>
        <v>0.38196801621044485</v>
      </c>
      <c r="G2855" s="74">
        <v>36.482416601140194</v>
      </c>
      <c r="H2855" s="74">
        <f t="shared" si="89"/>
        <v>4.0119837421923279</v>
      </c>
    </row>
    <row r="2856" spans="5:8" ht="15.6">
      <c r="E2856" s="279" t="s">
        <v>3182</v>
      </c>
      <c r="F2856" s="284">
        <f t="shared" ca="1" si="88"/>
        <v>0.4574329626199618</v>
      </c>
      <c r="G2856" s="74">
        <v>39.239510500427144</v>
      </c>
      <c r="H2856" s="74">
        <f t="shared" si="89"/>
        <v>1.2548898429053779</v>
      </c>
    </row>
    <row r="2857" spans="5:8" ht="15.6">
      <c r="E2857" s="279" t="s">
        <v>3183</v>
      </c>
      <c r="F2857" s="284">
        <f t="shared" ca="1" si="88"/>
        <v>0.94049224107626961</v>
      </c>
      <c r="G2857" s="74">
        <v>39.695578523071667</v>
      </c>
      <c r="H2857" s="74">
        <f t="shared" si="89"/>
        <v>0.79882182026085502</v>
      </c>
    </row>
    <row r="2858" spans="5:8" ht="15.6">
      <c r="E2858" s="279" t="s">
        <v>3184</v>
      </c>
      <c r="F2858" s="284">
        <f t="shared" ca="1" si="88"/>
        <v>0.1561777964357095</v>
      </c>
      <c r="G2858" s="74">
        <v>39.631350059069888</v>
      </c>
      <c r="H2858" s="74">
        <f t="shared" si="89"/>
        <v>0.86305028426263419</v>
      </c>
    </row>
    <row r="2859" spans="5:8" ht="15.6">
      <c r="E2859" s="279" t="s">
        <v>3185</v>
      </c>
      <c r="F2859" s="284">
        <f t="shared" ca="1" si="88"/>
        <v>0.52271744046578594</v>
      </c>
      <c r="G2859" s="74">
        <v>39.171651483998474</v>
      </c>
      <c r="H2859" s="74">
        <f t="shared" si="89"/>
        <v>1.3227488593340482</v>
      </c>
    </row>
    <row r="2860" spans="5:8" ht="15.6">
      <c r="E2860" s="279" t="s">
        <v>3186</v>
      </c>
      <c r="F2860" s="284">
        <f t="shared" ca="1" si="88"/>
        <v>0.34177294212809139</v>
      </c>
      <c r="G2860" s="74">
        <v>43.065715906665687</v>
      </c>
      <c r="H2860" s="74">
        <f t="shared" si="89"/>
        <v>-2.5713155633331652</v>
      </c>
    </row>
    <row r="2861" spans="5:8" ht="15.6">
      <c r="E2861" s="279" t="s">
        <v>3187</v>
      </c>
      <c r="F2861" s="284">
        <f t="shared" ca="1" si="88"/>
        <v>0.13847542560111181</v>
      </c>
      <c r="G2861" s="74">
        <v>35.412189037798171</v>
      </c>
      <c r="H2861" s="74">
        <f t="shared" si="89"/>
        <v>5.0822113055343507</v>
      </c>
    </row>
    <row r="2862" spans="5:8" ht="15.6">
      <c r="E2862" s="279" t="s">
        <v>3188</v>
      </c>
      <c r="F2862" s="284">
        <f t="shared" ca="1" si="88"/>
        <v>0.72692378693139359</v>
      </c>
      <c r="G2862" s="74">
        <v>43.722557447655539</v>
      </c>
      <c r="H2862" s="74">
        <f t="shared" si="89"/>
        <v>-3.2281571043230173</v>
      </c>
    </row>
    <row r="2863" spans="5:8" ht="15.6">
      <c r="E2863" s="279" t="s">
        <v>3189</v>
      </c>
      <c r="F2863" s="284">
        <f t="shared" ca="1" si="88"/>
        <v>0.91212558796846277</v>
      </c>
      <c r="G2863" s="74">
        <v>40.362528958045871</v>
      </c>
      <c r="H2863" s="74">
        <f t="shared" si="89"/>
        <v>0.13187138528665088</v>
      </c>
    </row>
    <row r="2864" spans="5:8" ht="15.6">
      <c r="E2864" s="279" t="s">
        <v>3190</v>
      </c>
      <c r="F2864" s="284">
        <f t="shared" ca="1" si="88"/>
        <v>0.23260452285191124</v>
      </c>
      <c r="G2864" s="74">
        <v>41.454229210748963</v>
      </c>
      <c r="H2864" s="74">
        <f t="shared" si="89"/>
        <v>-0.9598288674164408</v>
      </c>
    </row>
    <row r="2865" spans="5:8" ht="15.6">
      <c r="E2865" s="279" t="s">
        <v>3191</v>
      </c>
      <c r="F2865" s="284">
        <f t="shared" ca="1" si="88"/>
        <v>0.34919037998025304</v>
      </c>
      <c r="G2865" s="74">
        <v>42.57254554109079</v>
      </c>
      <c r="H2865" s="74">
        <f t="shared" si="89"/>
        <v>-2.0781451977582677</v>
      </c>
    </row>
    <row r="2866" spans="5:8" ht="15.6">
      <c r="E2866" s="279" t="s">
        <v>3192</v>
      </c>
      <c r="F2866" s="284">
        <f t="shared" ca="1" si="88"/>
        <v>8.8108084315813295E-2</v>
      </c>
      <c r="G2866" s="74">
        <v>42.996736309914255</v>
      </c>
      <c r="H2866" s="74">
        <f t="shared" si="89"/>
        <v>-2.5023359665817324</v>
      </c>
    </row>
    <row r="2867" spans="5:8" ht="15.6">
      <c r="E2867" s="279" t="s">
        <v>3193</v>
      </c>
      <c r="F2867" s="284">
        <f t="shared" ca="1" si="88"/>
        <v>0.85949676016482834</v>
      </c>
      <c r="G2867" s="74">
        <v>43.257885597696209</v>
      </c>
      <c r="H2867" s="74">
        <f t="shared" si="89"/>
        <v>-2.7634852543636867</v>
      </c>
    </row>
    <row r="2868" spans="5:8" ht="15.6">
      <c r="E2868" s="279" t="s">
        <v>3194</v>
      </c>
      <c r="F2868" s="284">
        <f t="shared" ca="1" si="88"/>
        <v>0.80063622105283128</v>
      </c>
      <c r="G2868" s="74">
        <v>35.970565036490228</v>
      </c>
      <c r="H2868" s="74">
        <f t="shared" si="89"/>
        <v>4.5238353068422938</v>
      </c>
    </row>
    <row r="2869" spans="5:8" ht="15.6">
      <c r="E2869" s="279" t="s">
        <v>3195</v>
      </c>
      <c r="F2869" s="284">
        <f t="shared" ca="1" si="88"/>
        <v>0.58086872384925814</v>
      </c>
      <c r="G2869" s="74">
        <v>36.964208832828113</v>
      </c>
      <c r="H2869" s="74">
        <f t="shared" si="89"/>
        <v>3.5301915105044088</v>
      </c>
    </row>
    <row r="2870" spans="5:8" ht="15.6">
      <c r="E2870" s="279" t="s">
        <v>3196</v>
      </c>
      <c r="F2870" s="284">
        <f t="shared" ca="1" si="88"/>
        <v>5.9347801482090512E-2</v>
      </c>
      <c r="G2870" s="74">
        <v>38.77873962279731</v>
      </c>
      <c r="H2870" s="74">
        <f t="shared" si="89"/>
        <v>1.7156607205352117</v>
      </c>
    </row>
    <row r="2871" spans="5:8" ht="15.6">
      <c r="E2871" s="279" t="s">
        <v>3197</v>
      </c>
      <c r="F2871" s="284">
        <f t="shared" ca="1" si="88"/>
        <v>0.90664240325032885</v>
      </c>
      <c r="G2871" s="74">
        <v>44.012814076137552</v>
      </c>
      <c r="H2871" s="74">
        <f t="shared" si="89"/>
        <v>-3.5184137328050298</v>
      </c>
    </row>
    <row r="2872" spans="5:8" ht="15.6">
      <c r="E2872" s="279" t="s">
        <v>3198</v>
      </c>
      <c r="F2872" s="284">
        <f t="shared" ca="1" si="88"/>
        <v>8.9105446935842214E-2</v>
      </c>
      <c r="G2872" s="74">
        <v>42.954348290980334</v>
      </c>
      <c r="H2872" s="74">
        <f t="shared" si="89"/>
        <v>-2.4599479476478123</v>
      </c>
    </row>
    <row r="2873" spans="5:8" ht="15.6">
      <c r="E2873" s="279" t="s">
        <v>3199</v>
      </c>
      <c r="F2873" s="284">
        <f t="shared" ca="1" si="88"/>
        <v>9.896330983291679E-3</v>
      </c>
      <c r="G2873" s="74">
        <v>41.56333836161938</v>
      </c>
      <c r="H2873" s="74">
        <f t="shared" si="89"/>
        <v>-1.0689380182868575</v>
      </c>
    </row>
    <row r="2874" spans="5:8" ht="15.6">
      <c r="E2874" s="279" t="s">
        <v>3200</v>
      </c>
      <c r="F2874" s="284">
        <f t="shared" ca="1" si="88"/>
        <v>0.34668714100648312</v>
      </c>
      <c r="G2874" s="74">
        <v>36.40604046382407</v>
      </c>
      <c r="H2874" s="74">
        <f t="shared" si="89"/>
        <v>4.0883598795084524</v>
      </c>
    </row>
    <row r="2875" spans="5:8" ht="15.6">
      <c r="E2875" s="279" t="s">
        <v>3201</v>
      </c>
      <c r="F2875" s="284">
        <f t="shared" ca="1" si="88"/>
        <v>0.80835074930946316</v>
      </c>
      <c r="G2875" s="74">
        <v>45.049446904996145</v>
      </c>
      <c r="H2875" s="74">
        <f t="shared" si="89"/>
        <v>-4.5550465616636231</v>
      </c>
    </row>
    <row r="2876" spans="5:8" ht="15.6">
      <c r="E2876" s="279" t="s">
        <v>3202</v>
      </c>
      <c r="F2876" s="284">
        <f t="shared" ca="1" si="88"/>
        <v>0.61783934510233363</v>
      </c>
      <c r="G2876" s="74">
        <v>38.699651205239427</v>
      </c>
      <c r="H2876" s="74">
        <f t="shared" si="89"/>
        <v>1.7947491380930956</v>
      </c>
    </row>
    <row r="2877" spans="5:8" ht="15.6">
      <c r="E2877" s="279" t="s">
        <v>3203</v>
      </c>
      <c r="F2877" s="284">
        <f t="shared" ca="1" si="88"/>
        <v>1.020232894287465E-2</v>
      </c>
      <c r="G2877" s="74">
        <v>39.540729741406999</v>
      </c>
      <c r="H2877" s="74">
        <f t="shared" si="89"/>
        <v>0.95367060192552344</v>
      </c>
    </row>
    <row r="2878" spans="5:8" ht="15.6">
      <c r="E2878" s="279" t="s">
        <v>3204</v>
      </c>
      <c r="F2878" s="284">
        <f t="shared" ca="1" si="88"/>
        <v>0.5564351846379777</v>
      </c>
      <c r="G2878" s="74">
        <v>38.868785009655255</v>
      </c>
      <c r="H2878" s="74">
        <f t="shared" si="89"/>
        <v>1.625615333677267</v>
      </c>
    </row>
    <row r="2879" spans="5:8" ht="15.6">
      <c r="E2879" s="279" t="s">
        <v>3205</v>
      </c>
      <c r="F2879" s="284">
        <f t="shared" ca="1" si="88"/>
        <v>0.23959186807791089</v>
      </c>
      <c r="G2879" s="74">
        <v>41.363543601560558</v>
      </c>
      <c r="H2879" s="74">
        <f t="shared" si="89"/>
        <v>-0.86914325822803562</v>
      </c>
    </row>
    <row r="2880" spans="5:8" ht="15.6">
      <c r="E2880" s="279" t="s">
        <v>3206</v>
      </c>
      <c r="F2880" s="284">
        <f t="shared" ca="1" si="88"/>
        <v>1.9899561258020504E-2</v>
      </c>
      <c r="G2880" s="74">
        <v>38.398196051368942</v>
      </c>
      <c r="H2880" s="74">
        <f t="shared" si="89"/>
        <v>2.0962042919635806</v>
      </c>
    </row>
    <row r="2881" spans="5:8" ht="15.6">
      <c r="E2881" s="279" t="s">
        <v>3207</v>
      </c>
      <c r="F2881" s="284">
        <f t="shared" ca="1" si="88"/>
        <v>0.17453630528261832</v>
      </c>
      <c r="G2881" s="74">
        <v>36.185007845460731</v>
      </c>
      <c r="H2881" s="74">
        <f t="shared" si="89"/>
        <v>4.3093924978717908</v>
      </c>
    </row>
    <row r="2882" spans="5:8" ht="15.6">
      <c r="E2882" s="279" t="s">
        <v>3208</v>
      </c>
      <c r="F2882" s="284">
        <f t="shared" ca="1" si="88"/>
        <v>0.1133613665767359</v>
      </c>
      <c r="G2882" s="74">
        <v>41.456558361344172</v>
      </c>
      <c r="H2882" s="74">
        <f t="shared" si="89"/>
        <v>-0.96215801801164957</v>
      </c>
    </row>
    <row r="2883" spans="5:8" ht="15.6">
      <c r="E2883" s="279" t="s">
        <v>3209</v>
      </c>
      <c r="F2883" s="284">
        <f t="shared" ca="1" si="88"/>
        <v>0.89823774326769834</v>
      </c>
      <c r="G2883" s="74">
        <v>35.814279842608762</v>
      </c>
      <c r="H2883" s="74">
        <f t="shared" si="89"/>
        <v>4.6801205007237598</v>
      </c>
    </row>
    <row r="2884" spans="5:8" ht="15.6">
      <c r="E2884" s="279" t="s">
        <v>3210</v>
      </c>
      <c r="F2884" s="284">
        <f t="shared" ca="1" si="88"/>
        <v>0.34533586344745504</v>
      </c>
      <c r="G2884" s="74">
        <v>37.100337706183126</v>
      </c>
      <c r="H2884" s="74">
        <f t="shared" si="89"/>
        <v>3.3940626371493963</v>
      </c>
    </row>
    <row r="2885" spans="5:8" ht="15.6">
      <c r="E2885" s="279" t="s">
        <v>3211</v>
      </c>
      <c r="F2885" s="284">
        <f t="shared" ca="1" si="88"/>
        <v>0.87500353388481178</v>
      </c>
      <c r="G2885" s="74">
        <v>38.688518595111837</v>
      </c>
      <c r="H2885" s="74">
        <f t="shared" si="89"/>
        <v>1.8058817482206848</v>
      </c>
    </row>
    <row r="2886" spans="5:8" ht="15.6">
      <c r="E2886" s="279" t="s">
        <v>3212</v>
      </c>
      <c r="F2886" s="284">
        <f t="shared" ca="1" si="88"/>
        <v>0.37401475842514476</v>
      </c>
      <c r="G2886" s="74">
        <v>38.372659986605875</v>
      </c>
      <c r="H2886" s="74">
        <f t="shared" si="89"/>
        <v>2.1217403567266473</v>
      </c>
    </row>
    <row r="2887" spans="5:8" ht="15.6">
      <c r="E2887" s="279" t="s">
        <v>3213</v>
      </c>
      <c r="F2887" s="284">
        <f t="shared" ca="1" si="88"/>
        <v>0.90113736402455535</v>
      </c>
      <c r="G2887" s="74">
        <v>39.249954424750541</v>
      </c>
      <c r="H2887" s="74">
        <f t="shared" si="89"/>
        <v>1.2444459185819809</v>
      </c>
    </row>
    <row r="2888" spans="5:8" ht="15.6">
      <c r="E2888" s="279" t="s">
        <v>3214</v>
      </c>
      <c r="F2888" s="284">
        <f t="shared" ca="1" si="88"/>
        <v>0.22401696912318314</v>
      </c>
      <c r="G2888" s="74">
        <v>35.805670250596698</v>
      </c>
      <c r="H2888" s="74">
        <f t="shared" si="89"/>
        <v>4.688730092735824</v>
      </c>
    </row>
    <row r="2889" spans="5:8" ht="15.6">
      <c r="E2889" s="279" t="s">
        <v>3215</v>
      </c>
      <c r="F2889" s="284">
        <f t="shared" ca="1" si="88"/>
        <v>0.5701591135996259</v>
      </c>
      <c r="G2889" s="74">
        <v>37.075996276275831</v>
      </c>
      <c r="H2889" s="74">
        <f t="shared" si="89"/>
        <v>3.4184040670566915</v>
      </c>
    </row>
    <row r="2890" spans="5:8" ht="15.6">
      <c r="E2890" s="279" t="s">
        <v>3216</v>
      </c>
      <c r="F2890" s="284">
        <f t="shared" ca="1" si="88"/>
        <v>0.69014789972316615</v>
      </c>
      <c r="G2890" s="74">
        <v>36.441581091437484</v>
      </c>
      <c r="H2890" s="74">
        <f t="shared" si="89"/>
        <v>4.0528192518950377</v>
      </c>
    </row>
    <row r="2891" spans="5:8" ht="15.6">
      <c r="E2891" s="279" t="s">
        <v>3217</v>
      </c>
      <c r="F2891" s="284">
        <f t="shared" ca="1" si="88"/>
        <v>0.20850499857062987</v>
      </c>
      <c r="G2891" s="74">
        <v>37.110738471078591</v>
      </c>
      <c r="H2891" s="74">
        <f t="shared" si="89"/>
        <v>3.3836618722539313</v>
      </c>
    </row>
    <row r="2892" spans="5:8" ht="15.6">
      <c r="E2892" s="279" t="s">
        <v>3218</v>
      </c>
      <c r="F2892" s="284">
        <f t="shared" ref="F2892:F2955" ca="1" si="90">RAND()</f>
        <v>0.25590536146047838</v>
      </c>
      <c r="G2892" s="74">
        <v>41.588060415560768</v>
      </c>
      <c r="H2892" s="74">
        <f t="shared" ref="H2892:H2955" si="91">$D$2-G2892</f>
        <v>-1.0936600722282463</v>
      </c>
    </row>
    <row r="2893" spans="5:8" ht="15.6">
      <c r="E2893" s="279" t="s">
        <v>3219</v>
      </c>
      <c r="F2893" s="284">
        <f t="shared" ca="1" si="90"/>
        <v>0.41581234206888695</v>
      </c>
      <c r="G2893" s="74">
        <v>39.959139448406411</v>
      </c>
      <c r="H2893" s="74">
        <f t="shared" si="91"/>
        <v>0.53526089492611106</v>
      </c>
    </row>
    <row r="2894" spans="5:8" ht="15.6">
      <c r="E2894" s="279" t="s">
        <v>3220</v>
      </c>
      <c r="F2894" s="284">
        <f t="shared" ca="1" si="90"/>
        <v>0.35759433105924032</v>
      </c>
      <c r="G2894" s="74">
        <v>32.596974851856558</v>
      </c>
      <c r="H2894" s="74">
        <f t="shared" si="91"/>
        <v>7.8974254914759641</v>
      </c>
    </row>
    <row r="2895" spans="5:8" ht="15.6">
      <c r="E2895" s="279" t="s">
        <v>3221</v>
      </c>
      <c r="F2895" s="284">
        <f t="shared" ca="1" si="90"/>
        <v>0.24613798400525433</v>
      </c>
      <c r="G2895" s="74">
        <v>39.938356826196205</v>
      </c>
      <c r="H2895" s="74">
        <f t="shared" si="91"/>
        <v>0.55604351713631672</v>
      </c>
    </row>
    <row r="2896" spans="5:8" ht="15.6">
      <c r="E2896" s="279" t="s">
        <v>3222</v>
      </c>
      <c r="F2896" s="284">
        <f t="shared" ca="1" si="90"/>
        <v>0.9092201733505102</v>
      </c>
      <c r="G2896" s="74">
        <v>40.445838421352356</v>
      </c>
      <c r="H2896" s="74">
        <f t="shared" si="91"/>
        <v>4.8561921980166289E-2</v>
      </c>
    </row>
    <row r="2897" spans="5:8" ht="15.6">
      <c r="E2897" s="279" t="s">
        <v>3223</v>
      </c>
      <c r="F2897" s="284">
        <f t="shared" ca="1" si="90"/>
        <v>0.96893415781178815</v>
      </c>
      <c r="G2897" s="74">
        <v>40.39267303508484</v>
      </c>
      <c r="H2897" s="74">
        <f t="shared" si="91"/>
        <v>0.10172730824768195</v>
      </c>
    </row>
    <row r="2898" spans="5:8" ht="15.6">
      <c r="E2898" s="279" t="s">
        <v>3224</v>
      </c>
      <c r="F2898" s="284">
        <f t="shared" ca="1" si="90"/>
        <v>0.52370767702523724</v>
      </c>
      <c r="G2898" s="74">
        <v>41.525872184552817</v>
      </c>
      <c r="H2898" s="74">
        <f t="shared" si="91"/>
        <v>-1.031471841220295</v>
      </c>
    </row>
    <row r="2899" spans="5:8" ht="15.6">
      <c r="E2899" s="279" t="s">
        <v>3225</v>
      </c>
      <c r="F2899" s="284">
        <f t="shared" ca="1" si="90"/>
        <v>0.37085017069874859</v>
      </c>
      <c r="G2899" s="74">
        <v>40.168081781329072</v>
      </c>
      <c r="H2899" s="74">
        <f t="shared" si="91"/>
        <v>0.32631856200345055</v>
      </c>
    </row>
    <row r="2900" spans="5:8" ht="15.6">
      <c r="E2900" s="279" t="s">
        <v>3226</v>
      </c>
      <c r="F2900" s="284">
        <f t="shared" ca="1" si="90"/>
        <v>0.77251533814813389</v>
      </c>
      <c r="G2900" s="74">
        <v>40.650251965250469</v>
      </c>
      <c r="H2900" s="74">
        <f t="shared" si="91"/>
        <v>-0.15585162191794666</v>
      </c>
    </row>
    <row r="2901" spans="5:8" ht="15.6">
      <c r="E2901" s="279" t="s">
        <v>3227</v>
      </c>
      <c r="F2901" s="284">
        <f t="shared" ca="1" si="90"/>
        <v>0.96093298763826052</v>
      </c>
      <c r="G2901" s="74">
        <v>42.32660301770521</v>
      </c>
      <c r="H2901" s="74">
        <f t="shared" si="91"/>
        <v>-1.832202674372688</v>
      </c>
    </row>
    <row r="2902" spans="5:8" ht="15.6">
      <c r="E2902" s="279" t="s">
        <v>3228</v>
      </c>
      <c r="F2902" s="284">
        <f t="shared" ca="1" si="90"/>
        <v>0.62264838483255724</v>
      </c>
      <c r="G2902" s="74">
        <v>40.144986698920256</v>
      </c>
      <c r="H2902" s="74">
        <f t="shared" si="91"/>
        <v>0.34941364441226597</v>
      </c>
    </row>
    <row r="2903" spans="5:8" ht="15.6">
      <c r="E2903" s="279" t="s">
        <v>3229</v>
      </c>
      <c r="F2903" s="284">
        <f t="shared" ca="1" si="90"/>
        <v>0.45392243817920752</v>
      </c>
      <c r="G2903" s="74">
        <v>40.497988365836981</v>
      </c>
      <c r="H2903" s="74">
        <f t="shared" si="91"/>
        <v>-3.5880225044593317E-3</v>
      </c>
    </row>
    <row r="2904" spans="5:8" ht="15.6">
      <c r="E2904" s="279" t="s">
        <v>3230</v>
      </c>
      <c r="F2904" s="284">
        <f t="shared" ca="1" si="90"/>
        <v>1.0635184072672943E-2</v>
      </c>
      <c r="G2904" s="74">
        <v>38.284185399921405</v>
      </c>
      <c r="H2904" s="74">
        <f t="shared" si="91"/>
        <v>2.2102149434111169</v>
      </c>
    </row>
    <row r="2905" spans="5:8" ht="15.6">
      <c r="E2905" s="279" t="s">
        <v>3231</v>
      </c>
      <c r="F2905" s="284">
        <f t="shared" ca="1" si="90"/>
        <v>0.47749590247339324</v>
      </c>
      <c r="G2905" s="74">
        <v>34.327933146480461</v>
      </c>
      <c r="H2905" s="74">
        <f t="shared" si="91"/>
        <v>6.1664671968520608</v>
      </c>
    </row>
    <row r="2906" spans="5:8" ht="15.6">
      <c r="E2906" s="279" t="s">
        <v>3232</v>
      </c>
      <c r="F2906" s="284">
        <f t="shared" ca="1" si="90"/>
        <v>0.67438364193820144</v>
      </c>
      <c r="G2906" s="74">
        <v>37.811502115368263</v>
      </c>
      <c r="H2906" s="74">
        <f t="shared" si="91"/>
        <v>2.6828982279642588</v>
      </c>
    </row>
    <row r="2907" spans="5:8" ht="15.6">
      <c r="E2907" s="279" t="s">
        <v>3233</v>
      </c>
      <c r="F2907" s="284">
        <f t="shared" ca="1" si="90"/>
        <v>0.97165315928586771</v>
      </c>
      <c r="G2907" s="74">
        <v>40.002970408487172</v>
      </c>
      <c r="H2907" s="74">
        <f t="shared" si="91"/>
        <v>0.49142993484534969</v>
      </c>
    </row>
    <row r="2908" spans="5:8" ht="15.6">
      <c r="E2908" s="279" t="s">
        <v>3234</v>
      </c>
      <c r="F2908" s="284">
        <f t="shared" ca="1" si="90"/>
        <v>0.83554808022425731</v>
      </c>
      <c r="G2908" s="74">
        <v>43.580909659701874</v>
      </c>
      <c r="H2908" s="74">
        <f t="shared" si="91"/>
        <v>-3.0865093163693516</v>
      </c>
    </row>
    <row r="2909" spans="5:8" ht="15.6">
      <c r="E2909" s="279" t="s">
        <v>3235</v>
      </c>
      <c r="F2909" s="284">
        <f t="shared" ca="1" si="90"/>
        <v>0.78053974351080069</v>
      </c>
      <c r="G2909" s="74">
        <v>36.545113039234913</v>
      </c>
      <c r="H2909" s="74">
        <f t="shared" si="91"/>
        <v>3.9492873040976093</v>
      </c>
    </row>
    <row r="2910" spans="5:8" ht="15.6">
      <c r="E2910" s="279" t="s">
        <v>3236</v>
      </c>
      <c r="F2910" s="284">
        <f t="shared" ca="1" si="90"/>
        <v>0.71705631078444121</v>
      </c>
      <c r="G2910" s="74">
        <v>40.804278531057321</v>
      </c>
      <c r="H2910" s="74">
        <f t="shared" si="91"/>
        <v>-0.30987818772479869</v>
      </c>
    </row>
    <row r="2911" spans="5:8" ht="15.6">
      <c r="E2911" s="279" t="s">
        <v>3237</v>
      </c>
      <c r="F2911" s="284">
        <f t="shared" ca="1" si="90"/>
        <v>0.63997127464091463</v>
      </c>
      <c r="G2911" s="74">
        <v>38.739781568078577</v>
      </c>
      <c r="H2911" s="74">
        <f t="shared" si="91"/>
        <v>1.7546187752539453</v>
      </c>
    </row>
    <row r="2912" spans="5:8" ht="15.6">
      <c r="E2912" s="279" t="s">
        <v>3238</v>
      </c>
      <c r="F2912" s="284">
        <f t="shared" ca="1" si="90"/>
        <v>0.31467043693244223</v>
      </c>
      <c r="G2912" s="74">
        <v>36.298731769940247</v>
      </c>
      <c r="H2912" s="74">
        <f t="shared" si="91"/>
        <v>4.1956685733922754</v>
      </c>
    </row>
    <row r="2913" spans="5:8" ht="15.6">
      <c r="E2913" s="279" t="s">
        <v>3239</v>
      </c>
      <c r="F2913" s="284">
        <f t="shared" ca="1" si="90"/>
        <v>0.43489571941419547</v>
      </c>
      <c r="G2913" s="74">
        <v>41.970973160348656</v>
      </c>
      <c r="H2913" s="74">
        <f t="shared" si="91"/>
        <v>-1.4765728170161339</v>
      </c>
    </row>
    <row r="2914" spans="5:8" ht="15.6">
      <c r="E2914" s="279" t="s">
        <v>3240</v>
      </c>
      <c r="F2914" s="284">
        <f t="shared" ca="1" si="90"/>
        <v>0.50352623014651299</v>
      </c>
      <c r="G2914" s="74">
        <v>37.620500226259153</v>
      </c>
      <c r="H2914" s="74">
        <f t="shared" si="91"/>
        <v>2.8739001170733687</v>
      </c>
    </row>
    <row r="2915" spans="5:8" ht="15.6">
      <c r="E2915" s="279" t="s">
        <v>3241</v>
      </c>
      <c r="F2915" s="284">
        <f t="shared" ca="1" si="90"/>
        <v>0.58046697213302412</v>
      </c>
      <c r="G2915" s="74">
        <v>39.303660629513722</v>
      </c>
      <c r="H2915" s="74">
        <f t="shared" si="91"/>
        <v>1.1907397138188003</v>
      </c>
    </row>
    <row r="2916" spans="5:8" ht="15.6">
      <c r="E2916" s="279" t="s">
        <v>3242</v>
      </c>
      <c r="F2916" s="284">
        <f t="shared" ca="1" si="90"/>
        <v>0.44018947322392599</v>
      </c>
      <c r="G2916" s="74">
        <v>38.448394957719266</v>
      </c>
      <c r="H2916" s="74">
        <f t="shared" si="91"/>
        <v>2.0460053856132561</v>
      </c>
    </row>
    <row r="2917" spans="5:8" ht="15.6">
      <c r="E2917" s="279" t="s">
        <v>3243</v>
      </c>
      <c r="F2917" s="284">
        <f t="shared" ca="1" si="90"/>
        <v>0.24826487828358246</v>
      </c>
      <c r="G2917" s="74">
        <v>36.267891471065035</v>
      </c>
      <c r="H2917" s="74">
        <f t="shared" si="91"/>
        <v>4.2265088722674875</v>
      </c>
    </row>
    <row r="2918" spans="5:8" ht="15.6">
      <c r="E2918" s="279" t="s">
        <v>3244</v>
      </c>
      <c r="F2918" s="284">
        <f t="shared" ca="1" si="90"/>
        <v>0.21215153871460668</v>
      </c>
      <c r="G2918" s="74">
        <v>41.362581241356104</v>
      </c>
      <c r="H2918" s="74">
        <f t="shared" si="91"/>
        <v>-0.86818089802358145</v>
      </c>
    </row>
    <row r="2919" spans="5:8" ht="15.6">
      <c r="E2919" s="279" t="s">
        <v>3245</v>
      </c>
      <c r="F2919" s="284">
        <f t="shared" ca="1" si="90"/>
        <v>0.76731373920397483</v>
      </c>
      <c r="G2919" s="74">
        <v>39.389437635279606</v>
      </c>
      <c r="H2919" s="74">
        <f t="shared" si="91"/>
        <v>1.1049627080529163</v>
      </c>
    </row>
    <row r="2920" spans="5:8" ht="15.6">
      <c r="E2920" s="279" t="s">
        <v>3246</v>
      </c>
      <c r="F2920" s="284">
        <f t="shared" ca="1" si="90"/>
        <v>0.16023907289321448</v>
      </c>
      <c r="G2920" s="74">
        <v>36.35282877800686</v>
      </c>
      <c r="H2920" s="74">
        <f t="shared" si="91"/>
        <v>4.1415715653256626</v>
      </c>
    </row>
    <row r="2921" spans="5:8" ht="15.6">
      <c r="E2921" s="279" t="s">
        <v>3247</v>
      </c>
      <c r="F2921" s="284">
        <f t="shared" ca="1" si="90"/>
        <v>0.36200443300809182</v>
      </c>
      <c r="G2921" s="74">
        <v>39.516416717267838</v>
      </c>
      <c r="H2921" s="74">
        <f t="shared" si="91"/>
        <v>0.97798362606468459</v>
      </c>
    </row>
    <row r="2922" spans="5:8" ht="15.6">
      <c r="E2922" s="279" t="s">
        <v>3248</v>
      </c>
      <c r="F2922" s="284">
        <f t="shared" ca="1" si="90"/>
        <v>0.40164492961588816</v>
      </c>
      <c r="G2922" s="74">
        <v>38.582383254789789</v>
      </c>
      <c r="H2922" s="74">
        <f t="shared" si="91"/>
        <v>1.9120170885427328</v>
      </c>
    </row>
    <row r="2923" spans="5:8" ht="15.6">
      <c r="E2923" s="279" t="s">
        <v>3249</v>
      </c>
      <c r="F2923" s="284">
        <f t="shared" ca="1" si="90"/>
        <v>0.33414642102428926</v>
      </c>
      <c r="G2923" s="74">
        <v>38.958892910128654</v>
      </c>
      <c r="H2923" s="74">
        <f t="shared" si="91"/>
        <v>1.5355074332038683</v>
      </c>
    </row>
    <row r="2924" spans="5:8" ht="15.6">
      <c r="E2924" s="279" t="s">
        <v>3250</v>
      </c>
      <c r="F2924" s="284">
        <f t="shared" ca="1" si="90"/>
        <v>0.6247782253790789</v>
      </c>
      <c r="G2924" s="74">
        <v>39.428878601263179</v>
      </c>
      <c r="H2924" s="74">
        <f t="shared" si="91"/>
        <v>1.0655217420693432</v>
      </c>
    </row>
    <row r="2925" spans="5:8" ht="15.6">
      <c r="E2925" s="279" t="s">
        <v>3251</v>
      </c>
      <c r="F2925" s="284">
        <f t="shared" ca="1" si="90"/>
        <v>2.8717632296077711E-2</v>
      </c>
      <c r="G2925" s="74">
        <v>43.877463545857552</v>
      </c>
      <c r="H2925" s="74">
        <f t="shared" si="91"/>
        <v>-3.3830632025250296</v>
      </c>
    </row>
    <row r="2926" spans="5:8" ht="15.6">
      <c r="E2926" s="279" t="s">
        <v>3252</v>
      </c>
      <c r="F2926" s="284">
        <f t="shared" ca="1" si="90"/>
        <v>0.22959203371050452</v>
      </c>
      <c r="G2926" s="74">
        <v>35.674562268912666</v>
      </c>
      <c r="H2926" s="74">
        <f t="shared" si="91"/>
        <v>4.8198380744198559</v>
      </c>
    </row>
    <row r="2927" spans="5:8" ht="15.6">
      <c r="E2927" s="279" t="s">
        <v>3253</v>
      </c>
      <c r="F2927" s="284">
        <f t="shared" ca="1" si="90"/>
        <v>0.12502094521762874</v>
      </c>
      <c r="G2927" s="74">
        <v>38.315022909367656</v>
      </c>
      <c r="H2927" s="74">
        <f t="shared" si="91"/>
        <v>2.1793774339648664</v>
      </c>
    </row>
    <row r="2928" spans="5:8" ht="15.6">
      <c r="E2928" s="279" t="s">
        <v>3254</v>
      </c>
      <c r="F2928" s="284">
        <f t="shared" ca="1" si="90"/>
        <v>0.56266872177321969</v>
      </c>
      <c r="G2928" s="74">
        <v>39.058206004843143</v>
      </c>
      <c r="H2928" s="74">
        <f t="shared" si="91"/>
        <v>1.4361943384893792</v>
      </c>
    </row>
    <row r="2929" spans="5:8" ht="15.6">
      <c r="E2929" s="279" t="s">
        <v>3255</v>
      </c>
      <c r="F2929" s="284">
        <f t="shared" ca="1" si="90"/>
        <v>3.5588588700144475E-2</v>
      </c>
      <c r="G2929" s="74">
        <v>34.31419372549793</v>
      </c>
      <c r="H2929" s="74">
        <f t="shared" si="91"/>
        <v>6.1802066178345925</v>
      </c>
    </row>
    <row r="2930" spans="5:8" ht="15.6">
      <c r="E2930" s="279" t="s">
        <v>3256</v>
      </c>
      <c r="F2930" s="284">
        <f t="shared" ca="1" si="90"/>
        <v>0.40528716363596362</v>
      </c>
      <c r="G2930" s="74">
        <v>41.426771710404346</v>
      </c>
      <c r="H2930" s="74">
        <f t="shared" si="91"/>
        <v>-0.93237136707182344</v>
      </c>
    </row>
    <row r="2931" spans="5:8" ht="15.6">
      <c r="E2931" s="279" t="s">
        <v>3257</v>
      </c>
      <c r="F2931" s="284">
        <f t="shared" ca="1" si="90"/>
        <v>0.56250484396804357</v>
      </c>
      <c r="G2931" s="74">
        <v>35.338324257159286</v>
      </c>
      <c r="H2931" s="74">
        <f t="shared" si="91"/>
        <v>5.1560760861732362</v>
      </c>
    </row>
    <row r="2932" spans="5:8" ht="15.6">
      <c r="E2932" s="279" t="s">
        <v>3258</v>
      </c>
      <c r="F2932" s="284">
        <f t="shared" ca="1" si="90"/>
        <v>0.77297913977572308</v>
      </c>
      <c r="G2932" s="74">
        <v>33.421208537533616</v>
      </c>
      <c r="H2932" s="74">
        <f t="shared" si="91"/>
        <v>7.0731918057989063</v>
      </c>
    </row>
    <row r="2933" spans="5:8" ht="15.6">
      <c r="E2933" s="279" t="s">
        <v>3259</v>
      </c>
      <c r="F2933" s="284">
        <f t="shared" ca="1" si="90"/>
        <v>0.3876668508594443</v>
      </c>
      <c r="G2933" s="74">
        <v>43.509039266711405</v>
      </c>
      <c r="H2933" s="74">
        <f t="shared" si="91"/>
        <v>-3.0146389233788824</v>
      </c>
    </row>
    <row r="2934" spans="5:8" ht="15.6">
      <c r="E2934" s="279" t="s">
        <v>3260</v>
      </c>
      <c r="F2934" s="284">
        <f t="shared" ca="1" si="90"/>
        <v>0.77218085267552772</v>
      </c>
      <c r="G2934" s="74">
        <v>34.837239771581004</v>
      </c>
      <c r="H2934" s="74">
        <f t="shared" si="91"/>
        <v>5.6571605717515183</v>
      </c>
    </row>
    <row r="2935" spans="5:8" ht="15.6">
      <c r="E2935" s="279" t="s">
        <v>3261</v>
      </c>
      <c r="F2935" s="284">
        <f t="shared" ca="1" si="90"/>
        <v>0.33999114615382731</v>
      </c>
      <c r="G2935" s="74">
        <v>41.079536702581663</v>
      </c>
      <c r="H2935" s="74">
        <f t="shared" si="91"/>
        <v>-0.58513635924914098</v>
      </c>
    </row>
    <row r="2936" spans="5:8" ht="15.6">
      <c r="E2936" s="279" t="s">
        <v>3262</v>
      </c>
      <c r="F2936" s="284">
        <f t="shared" ca="1" si="90"/>
        <v>5.9116805718346432E-2</v>
      </c>
      <c r="G2936" s="74">
        <v>39.7058041635187</v>
      </c>
      <c r="H2936" s="74">
        <f t="shared" si="91"/>
        <v>0.78859617981382257</v>
      </c>
    </row>
    <row r="2937" spans="5:8" ht="15.6">
      <c r="E2937" s="279" t="s">
        <v>3263</v>
      </c>
      <c r="F2937" s="284">
        <f t="shared" ca="1" si="90"/>
        <v>0.26460705114193617</v>
      </c>
      <c r="G2937" s="74">
        <v>36.850241319717966</v>
      </c>
      <c r="H2937" s="74">
        <f t="shared" si="91"/>
        <v>3.6441590236145558</v>
      </c>
    </row>
    <row r="2938" spans="5:8" ht="15.6">
      <c r="E2938" s="279" t="s">
        <v>3264</v>
      </c>
      <c r="F2938" s="284">
        <f t="shared" ca="1" si="90"/>
        <v>0.8667255370868342</v>
      </c>
      <c r="G2938" s="74">
        <v>37.627881016500474</v>
      </c>
      <c r="H2938" s="74">
        <f t="shared" si="91"/>
        <v>2.8665193268320479</v>
      </c>
    </row>
    <row r="2939" spans="5:8" ht="15.6">
      <c r="E2939" s="279" t="s">
        <v>3265</v>
      </c>
      <c r="F2939" s="284">
        <f t="shared" ca="1" si="90"/>
        <v>0.40608107979256514</v>
      </c>
      <c r="G2939" s="74">
        <v>43.206119043812109</v>
      </c>
      <c r="H2939" s="74">
        <f t="shared" si="91"/>
        <v>-2.7117187004795866</v>
      </c>
    </row>
    <row r="2940" spans="5:8" ht="15.6">
      <c r="E2940" s="279" t="s">
        <v>3266</v>
      </c>
      <c r="F2940" s="284">
        <f t="shared" ca="1" si="90"/>
        <v>0.20726025441159668</v>
      </c>
      <c r="G2940" s="74">
        <v>39.489804726635938</v>
      </c>
      <c r="H2940" s="74">
        <f t="shared" si="91"/>
        <v>1.0045956166965837</v>
      </c>
    </row>
    <row r="2941" spans="5:8" ht="15.6">
      <c r="E2941" s="279" t="s">
        <v>3267</v>
      </c>
      <c r="F2941" s="284">
        <f t="shared" ca="1" si="90"/>
        <v>0.27425060563614878</v>
      </c>
      <c r="G2941" s="74">
        <v>39.834968235480567</v>
      </c>
      <c r="H2941" s="74">
        <f t="shared" si="91"/>
        <v>0.65943210785195561</v>
      </c>
    </row>
    <row r="2942" spans="5:8" ht="15.6">
      <c r="E2942" s="279" t="s">
        <v>3268</v>
      </c>
      <c r="F2942" s="284">
        <f t="shared" ca="1" si="90"/>
        <v>0.95845618214837536</v>
      </c>
      <c r="G2942" s="74">
        <v>38.860519838567555</v>
      </c>
      <c r="H2942" s="74">
        <f t="shared" si="91"/>
        <v>1.6338805047649672</v>
      </c>
    </row>
    <row r="2943" spans="5:8" ht="15.6">
      <c r="E2943" s="279" t="s">
        <v>3269</v>
      </c>
      <c r="F2943" s="284">
        <f t="shared" ca="1" si="90"/>
        <v>0.89852378451818538</v>
      </c>
      <c r="G2943" s="74">
        <v>39.89987247504228</v>
      </c>
      <c r="H2943" s="74">
        <f t="shared" si="91"/>
        <v>0.59452786829024262</v>
      </c>
    </row>
    <row r="2944" spans="5:8" ht="15.6">
      <c r="E2944" s="279" t="s">
        <v>3270</v>
      </c>
      <c r="F2944" s="284">
        <f t="shared" ca="1" si="90"/>
        <v>0.35289396117974292</v>
      </c>
      <c r="G2944" s="74">
        <v>40.942645139184457</v>
      </c>
      <c r="H2944" s="74">
        <f t="shared" si="91"/>
        <v>-0.44824479585193444</v>
      </c>
    </row>
    <row r="2945" spans="5:8" ht="15.6">
      <c r="E2945" s="279" t="s">
        <v>3271</v>
      </c>
      <c r="F2945" s="284">
        <f t="shared" ca="1" si="90"/>
        <v>0.75407876475865865</v>
      </c>
      <c r="G2945" s="74">
        <v>33.766250723834538</v>
      </c>
      <c r="H2945" s="74">
        <f t="shared" si="91"/>
        <v>6.7281496194979837</v>
      </c>
    </row>
    <row r="2946" spans="5:8" ht="15.6">
      <c r="E2946" s="279" t="s">
        <v>3272</v>
      </c>
      <c r="F2946" s="284">
        <f t="shared" ca="1" si="90"/>
        <v>0.36592330448441868</v>
      </c>
      <c r="G2946" s="74">
        <v>39.439206410586841</v>
      </c>
      <c r="H2946" s="74">
        <f t="shared" si="91"/>
        <v>1.0551939327456807</v>
      </c>
    </row>
    <row r="2947" spans="5:8" ht="15.6">
      <c r="E2947" s="279" t="s">
        <v>3273</v>
      </c>
      <c r="F2947" s="284">
        <f t="shared" ca="1" si="90"/>
        <v>0.63521787129479901</v>
      </c>
      <c r="G2947" s="74">
        <v>43.615113987046264</v>
      </c>
      <c r="H2947" s="74">
        <f t="shared" si="91"/>
        <v>-3.1207136437137422</v>
      </c>
    </row>
    <row r="2948" spans="5:8" ht="15.6">
      <c r="E2948" s="279" t="s">
        <v>3274</v>
      </c>
      <c r="F2948" s="284">
        <f t="shared" ca="1" si="90"/>
        <v>0.91015702156688072</v>
      </c>
      <c r="G2948" s="74">
        <v>43.175091784257809</v>
      </c>
      <c r="H2948" s="74">
        <f t="shared" si="91"/>
        <v>-2.6806914409252869</v>
      </c>
    </row>
    <row r="2949" spans="5:8" ht="15.6">
      <c r="E2949" s="279" t="s">
        <v>3275</v>
      </c>
      <c r="F2949" s="284">
        <f t="shared" ca="1" si="90"/>
        <v>0.79440137284984458</v>
      </c>
      <c r="G2949" s="74">
        <v>36.609577382701211</v>
      </c>
      <c r="H2949" s="74">
        <f t="shared" si="91"/>
        <v>3.8848229606313112</v>
      </c>
    </row>
    <row r="2950" spans="5:8" ht="15.6">
      <c r="E2950" s="279" t="s">
        <v>3276</v>
      </c>
      <c r="F2950" s="284">
        <f t="shared" ca="1" si="90"/>
        <v>0.66910112258268506</v>
      </c>
      <c r="G2950" s="74">
        <v>44.000241328218635</v>
      </c>
      <c r="H2950" s="74">
        <f t="shared" si="91"/>
        <v>-3.5058409848861132</v>
      </c>
    </row>
    <row r="2951" spans="5:8" ht="15.6">
      <c r="E2951" s="279" t="s">
        <v>3277</v>
      </c>
      <c r="F2951" s="284">
        <f t="shared" ca="1" si="90"/>
        <v>0.82761664266306489</v>
      </c>
      <c r="G2951" s="74">
        <v>41.490681783625881</v>
      </c>
      <c r="H2951" s="74">
        <f t="shared" si="91"/>
        <v>-0.99628144029335886</v>
      </c>
    </row>
    <row r="2952" spans="5:8" ht="15.6">
      <c r="E2952" s="279" t="s">
        <v>3278</v>
      </c>
      <c r="F2952" s="284">
        <f t="shared" ca="1" si="90"/>
        <v>0.20640164731236432</v>
      </c>
      <c r="G2952" s="74">
        <v>38.789060292606031</v>
      </c>
      <c r="H2952" s="74">
        <f t="shared" si="91"/>
        <v>1.7053400507264911</v>
      </c>
    </row>
    <row r="2953" spans="5:8" ht="15.6">
      <c r="E2953" s="279" t="s">
        <v>3279</v>
      </c>
      <c r="F2953" s="284">
        <f t="shared" ca="1" si="90"/>
        <v>0.34019164509726219</v>
      </c>
      <c r="G2953" s="74">
        <v>37.256897687924486</v>
      </c>
      <c r="H2953" s="74">
        <f t="shared" si="91"/>
        <v>3.2375026554080364</v>
      </c>
    </row>
    <row r="2954" spans="5:8" ht="15.6">
      <c r="E2954" s="279" t="s">
        <v>3280</v>
      </c>
      <c r="F2954" s="284">
        <f t="shared" ca="1" si="90"/>
        <v>0.50178989899551296</v>
      </c>
      <c r="G2954" s="74">
        <v>38.699804686572286</v>
      </c>
      <c r="H2954" s="74">
        <f t="shared" si="91"/>
        <v>1.7945956567602366</v>
      </c>
    </row>
    <row r="2955" spans="5:8" ht="15.6">
      <c r="E2955" s="279" t="s">
        <v>3281</v>
      </c>
      <c r="F2955" s="284">
        <f t="shared" ca="1" si="90"/>
        <v>0.63398367329083716</v>
      </c>
      <c r="G2955" s="74">
        <v>41.34632534921117</v>
      </c>
      <c r="H2955" s="74">
        <f t="shared" si="91"/>
        <v>-0.85192500587864828</v>
      </c>
    </row>
    <row r="2956" spans="5:8" ht="15.6">
      <c r="E2956" s="279" t="s">
        <v>3282</v>
      </c>
      <c r="F2956" s="284">
        <f t="shared" ref="F2956:F3019" ca="1" si="92">RAND()</f>
        <v>0.22323872581785864</v>
      </c>
      <c r="G2956" s="74">
        <v>38.75023339960363</v>
      </c>
      <c r="H2956" s="74">
        <f t="shared" ref="H2956:H3019" si="93">$D$2-G2956</f>
        <v>1.7441669437288922</v>
      </c>
    </row>
    <row r="2957" spans="5:8" ht="15.6">
      <c r="E2957" s="279" t="s">
        <v>3283</v>
      </c>
      <c r="F2957" s="284">
        <f t="shared" ca="1" si="92"/>
        <v>0.63353302191393002</v>
      </c>
      <c r="G2957" s="74">
        <v>36.423706511847783</v>
      </c>
      <c r="H2957" s="74">
        <f t="shared" si="93"/>
        <v>4.0706938314847392</v>
      </c>
    </row>
    <row r="2958" spans="5:8" ht="15.6">
      <c r="E2958" s="279" t="s">
        <v>3284</v>
      </c>
      <c r="F2958" s="284">
        <f t="shared" ca="1" si="92"/>
        <v>4.9565386461213112E-2</v>
      </c>
      <c r="G2958" s="74">
        <v>46.089000009416019</v>
      </c>
      <c r="H2958" s="74">
        <f t="shared" si="93"/>
        <v>-5.5945996660834965</v>
      </c>
    </row>
    <row r="2959" spans="5:8" ht="15.6">
      <c r="E2959" s="279" t="s">
        <v>3285</v>
      </c>
      <c r="F2959" s="284">
        <f t="shared" ca="1" si="92"/>
        <v>0.11498253456263341</v>
      </c>
      <c r="G2959" s="74">
        <v>35.809577189466367</v>
      </c>
      <c r="H2959" s="74">
        <f t="shared" si="93"/>
        <v>4.6848231538661551</v>
      </c>
    </row>
    <row r="2960" spans="5:8" ht="15.6">
      <c r="E2960" s="279" t="s">
        <v>3286</v>
      </c>
      <c r="F2960" s="284">
        <f t="shared" ca="1" si="92"/>
        <v>0.92136375362027023</v>
      </c>
      <c r="G2960" s="74">
        <v>39.192401990363471</v>
      </c>
      <c r="H2960" s="74">
        <f t="shared" si="93"/>
        <v>1.3019983529690506</v>
      </c>
    </row>
    <row r="2961" spans="5:8" ht="15.6">
      <c r="E2961" s="279" t="s">
        <v>3287</v>
      </c>
      <c r="F2961" s="284">
        <f t="shared" ca="1" si="92"/>
        <v>0.30946083175885875</v>
      </c>
      <c r="G2961" s="74">
        <v>36.680320709691365</v>
      </c>
      <c r="H2961" s="74">
        <f t="shared" si="93"/>
        <v>3.8140796336411569</v>
      </c>
    </row>
    <row r="2962" spans="5:8" ht="15.6">
      <c r="E2962" s="279" t="s">
        <v>3288</v>
      </c>
      <c r="F2962" s="284">
        <f t="shared" ca="1" si="92"/>
        <v>0.25634743940101512</v>
      </c>
      <c r="G2962" s="74">
        <v>40.823713825418629</v>
      </c>
      <c r="H2962" s="74">
        <f t="shared" si="93"/>
        <v>-0.329313482086107</v>
      </c>
    </row>
    <row r="2963" spans="5:8" ht="15.6">
      <c r="E2963" s="279" t="s">
        <v>3289</v>
      </c>
      <c r="F2963" s="284">
        <f t="shared" ca="1" si="92"/>
        <v>7.3262270721946576E-2</v>
      </c>
      <c r="G2963" s="74">
        <v>39.427706834426964</v>
      </c>
      <c r="H2963" s="74">
        <f t="shared" si="93"/>
        <v>1.0666935089055585</v>
      </c>
    </row>
    <row r="2964" spans="5:8" ht="15.6">
      <c r="E2964" s="279" t="s">
        <v>3290</v>
      </c>
      <c r="F2964" s="284">
        <f t="shared" ca="1" si="92"/>
        <v>0.8882173461260805</v>
      </c>
      <c r="G2964" s="74">
        <v>44.165909327487498</v>
      </c>
      <c r="H2964" s="74">
        <f t="shared" si="93"/>
        <v>-3.6715089841549755</v>
      </c>
    </row>
    <row r="2965" spans="5:8" ht="15.6">
      <c r="E2965" s="279" t="s">
        <v>3291</v>
      </c>
      <c r="F2965" s="284">
        <f t="shared" ca="1" si="92"/>
        <v>0.37546953878282952</v>
      </c>
      <c r="G2965" s="74">
        <v>36.405481429634939</v>
      </c>
      <c r="H2965" s="74">
        <f t="shared" si="93"/>
        <v>4.088918913697583</v>
      </c>
    </row>
    <row r="2966" spans="5:8" ht="15.6">
      <c r="E2966" s="279" t="s">
        <v>3292</v>
      </c>
      <c r="F2966" s="284">
        <f t="shared" ca="1" si="92"/>
        <v>0.41653977396512221</v>
      </c>
      <c r="G2966" s="74">
        <v>42.406686282999473</v>
      </c>
      <c r="H2966" s="74">
        <f t="shared" si="93"/>
        <v>-1.9122859396669512</v>
      </c>
    </row>
    <row r="2967" spans="5:8" ht="15.6">
      <c r="E2967" s="279" t="s">
        <v>3293</v>
      </c>
      <c r="F2967" s="284">
        <f t="shared" ca="1" si="92"/>
        <v>2.2647856291061585E-2</v>
      </c>
      <c r="G2967" s="74">
        <v>40.206402445957067</v>
      </c>
      <c r="H2967" s="74">
        <f t="shared" si="93"/>
        <v>0.28799789737545467</v>
      </c>
    </row>
    <row r="2968" spans="5:8" ht="15.6">
      <c r="E2968" s="279" t="s">
        <v>3294</v>
      </c>
      <c r="F2968" s="284">
        <f t="shared" ca="1" si="92"/>
        <v>0.24864881430502006</v>
      </c>
      <c r="G2968" s="74">
        <v>39.562892460955787</v>
      </c>
      <c r="H2968" s="74">
        <f t="shared" si="93"/>
        <v>0.9315078823767351</v>
      </c>
    </row>
    <row r="2969" spans="5:8" ht="15.6">
      <c r="E2969" s="279" t="s">
        <v>3295</v>
      </c>
      <c r="F2969" s="284">
        <f t="shared" ca="1" si="92"/>
        <v>0.60314016921183777</v>
      </c>
      <c r="G2969" s="74">
        <v>39.909354794737773</v>
      </c>
      <c r="H2969" s="74">
        <f t="shared" si="93"/>
        <v>0.58504554859474922</v>
      </c>
    </row>
    <row r="2970" spans="5:8" ht="15.6">
      <c r="E2970" s="279" t="s">
        <v>3296</v>
      </c>
      <c r="F2970" s="284">
        <f t="shared" ca="1" si="92"/>
        <v>0.700213483611834</v>
      </c>
      <c r="G2970" s="74">
        <v>35.687368936143372</v>
      </c>
      <c r="H2970" s="74">
        <f t="shared" si="93"/>
        <v>4.8070314071891502</v>
      </c>
    </row>
    <row r="2971" spans="5:8" ht="15.6">
      <c r="E2971" s="279" t="s">
        <v>3297</v>
      </c>
      <c r="F2971" s="284">
        <f t="shared" ca="1" si="92"/>
        <v>7.5110107061327924E-2</v>
      </c>
      <c r="G2971" s="74">
        <v>36.578642198007493</v>
      </c>
      <c r="H2971" s="74">
        <f t="shared" si="93"/>
        <v>3.9157581453250287</v>
      </c>
    </row>
    <row r="2972" spans="5:8" ht="15.6">
      <c r="E2972" s="279" t="s">
        <v>3298</v>
      </c>
      <c r="F2972" s="284">
        <f t="shared" ca="1" si="92"/>
        <v>0.74262818808061803</v>
      </c>
      <c r="G2972" s="74">
        <v>37.885447592805804</v>
      </c>
      <c r="H2972" s="74">
        <f t="shared" si="93"/>
        <v>2.6089527505267185</v>
      </c>
    </row>
    <row r="2973" spans="5:8" ht="15.6">
      <c r="E2973" s="279" t="s">
        <v>3299</v>
      </c>
      <c r="F2973" s="284">
        <f t="shared" ca="1" si="92"/>
        <v>0.10321243480233466</v>
      </c>
      <c r="G2973" s="74">
        <v>40.985027296562983</v>
      </c>
      <c r="H2973" s="74">
        <f t="shared" si="93"/>
        <v>-0.49062695323046057</v>
      </c>
    </row>
    <row r="2974" spans="5:8" ht="15.6">
      <c r="E2974" s="279" t="s">
        <v>3300</v>
      </c>
      <c r="F2974" s="284">
        <f t="shared" ca="1" si="92"/>
        <v>0.39329318188667228</v>
      </c>
      <c r="G2974" s="74">
        <v>44.251118388039806</v>
      </c>
      <c r="H2974" s="74">
        <f t="shared" si="93"/>
        <v>-3.7567180447072843</v>
      </c>
    </row>
    <row r="2975" spans="5:8" ht="15.6">
      <c r="E2975" s="279" t="s">
        <v>3301</v>
      </c>
      <c r="F2975" s="284">
        <f t="shared" ca="1" si="92"/>
        <v>0.55483766123468314</v>
      </c>
      <c r="G2975" s="74">
        <v>49.532446188145244</v>
      </c>
      <c r="H2975" s="74">
        <f t="shared" si="93"/>
        <v>-9.0380458448127214</v>
      </c>
    </row>
    <row r="2976" spans="5:8" ht="15.6">
      <c r="E2976" s="279" t="s">
        <v>3302</v>
      </c>
      <c r="F2976" s="284">
        <f t="shared" ca="1" si="92"/>
        <v>0.69787790475640243</v>
      </c>
      <c r="G2976" s="74">
        <v>42.750462927635681</v>
      </c>
      <c r="H2976" s="74">
        <f t="shared" si="93"/>
        <v>-2.2560625843031588</v>
      </c>
    </row>
    <row r="2977" spans="5:8" ht="15.6">
      <c r="E2977" s="279" t="s">
        <v>3303</v>
      </c>
      <c r="F2977" s="284">
        <f t="shared" ca="1" si="92"/>
        <v>0.81288094761735974</v>
      </c>
      <c r="G2977" s="74">
        <v>38.003536969786531</v>
      </c>
      <c r="H2977" s="74">
        <f t="shared" si="93"/>
        <v>2.4908633735459915</v>
      </c>
    </row>
    <row r="2978" spans="5:8" ht="15.6">
      <c r="E2978" s="279" t="s">
        <v>3304</v>
      </c>
      <c r="F2978" s="284">
        <f t="shared" ca="1" si="92"/>
        <v>0.34801983471279485</v>
      </c>
      <c r="G2978" s="74">
        <v>39.500458516017105</v>
      </c>
      <c r="H2978" s="74">
        <f t="shared" si="93"/>
        <v>0.99394182731541747</v>
      </c>
    </row>
    <row r="2979" spans="5:8" ht="15.6">
      <c r="E2979" s="279" t="s">
        <v>3305</v>
      </c>
      <c r="F2979" s="284">
        <f t="shared" ca="1" si="92"/>
        <v>8.1746226149261081E-2</v>
      </c>
      <c r="G2979" s="74">
        <v>38.798560237197634</v>
      </c>
      <c r="H2979" s="74">
        <f t="shared" si="93"/>
        <v>1.695840106134888</v>
      </c>
    </row>
    <row r="2980" spans="5:8" ht="15.6">
      <c r="E2980" s="279" t="s">
        <v>3306</v>
      </c>
      <c r="F2980" s="284">
        <f t="shared" ca="1" si="92"/>
        <v>0.21271410307612548</v>
      </c>
      <c r="G2980" s="74">
        <v>41.63146119189981</v>
      </c>
      <c r="H2980" s="74">
        <f t="shared" si="93"/>
        <v>-1.1370608485672875</v>
      </c>
    </row>
    <row r="2981" spans="5:8" ht="15.6">
      <c r="E2981" s="279" t="s">
        <v>3307</v>
      </c>
      <c r="F2981" s="284">
        <f t="shared" ca="1" si="92"/>
        <v>0.44287908548508137</v>
      </c>
      <c r="G2981" s="74">
        <v>37.922648449013671</v>
      </c>
      <c r="H2981" s="74">
        <f t="shared" si="93"/>
        <v>2.5717518943188509</v>
      </c>
    </row>
    <row r="2982" spans="5:8" ht="15.6">
      <c r="E2982" s="279" t="s">
        <v>3308</v>
      </c>
      <c r="F2982" s="284">
        <f t="shared" ca="1" si="92"/>
        <v>0.25383110804585107</v>
      </c>
      <c r="G2982" s="74">
        <v>41.015027440077439</v>
      </c>
      <c r="H2982" s="74">
        <f t="shared" si="93"/>
        <v>-0.52062709674491714</v>
      </c>
    </row>
    <row r="2983" spans="5:8" ht="15.6">
      <c r="E2983" s="279" t="s">
        <v>3309</v>
      </c>
      <c r="F2983" s="284">
        <f t="shared" ca="1" si="92"/>
        <v>0.35701633188215975</v>
      </c>
      <c r="G2983" s="74">
        <v>38.477785471591368</v>
      </c>
      <c r="H2983" s="74">
        <f t="shared" si="93"/>
        <v>2.0166148717411545</v>
      </c>
    </row>
    <row r="2984" spans="5:8" ht="15.6">
      <c r="E2984" s="279" t="s">
        <v>3310</v>
      </c>
      <c r="F2984" s="284">
        <f t="shared" ca="1" si="92"/>
        <v>0.47231367689511994</v>
      </c>
      <c r="G2984" s="74">
        <v>38.612622733895023</v>
      </c>
      <c r="H2984" s="74">
        <f t="shared" si="93"/>
        <v>1.8817776094374992</v>
      </c>
    </row>
    <row r="2985" spans="5:8" ht="15.6">
      <c r="E2985" s="279" t="s">
        <v>3311</v>
      </c>
      <c r="F2985" s="284">
        <f t="shared" ca="1" si="92"/>
        <v>0.62811369150185092</v>
      </c>
      <c r="G2985" s="74">
        <v>37.475030309652119</v>
      </c>
      <c r="H2985" s="74">
        <f t="shared" si="93"/>
        <v>3.0193700336804028</v>
      </c>
    </row>
    <row r="2986" spans="5:8" ht="15.6">
      <c r="E2986" s="279" t="s">
        <v>3312</v>
      </c>
      <c r="F2986" s="284">
        <f t="shared" ca="1" si="92"/>
        <v>0.40043054084205931</v>
      </c>
      <c r="G2986" s="74">
        <v>35.988548099865739</v>
      </c>
      <c r="H2986" s="74">
        <f t="shared" si="93"/>
        <v>4.5058522434667836</v>
      </c>
    </row>
    <row r="2987" spans="5:8" ht="15.6">
      <c r="E2987" s="279" t="s">
        <v>3313</v>
      </c>
      <c r="F2987" s="284">
        <f t="shared" ca="1" si="92"/>
        <v>0.1569943987108976</v>
      </c>
      <c r="G2987" s="74">
        <v>36.83265236190644</v>
      </c>
      <c r="H2987" s="74">
        <f t="shared" si="93"/>
        <v>3.6617479814260818</v>
      </c>
    </row>
    <row r="2988" spans="5:8" ht="15.6">
      <c r="E2988" s="279" t="s">
        <v>3314</v>
      </c>
      <c r="F2988" s="284">
        <f t="shared" ca="1" si="92"/>
        <v>0.91258343018869126</v>
      </c>
      <c r="G2988" s="74">
        <v>37.086785856884802</v>
      </c>
      <c r="H2988" s="74">
        <f t="shared" si="93"/>
        <v>3.40761448644772</v>
      </c>
    </row>
    <row r="2989" spans="5:8" ht="15.6">
      <c r="E2989" s="279" t="s">
        <v>3315</v>
      </c>
      <c r="F2989" s="284">
        <f t="shared" ca="1" si="92"/>
        <v>0.68580055800057782</v>
      </c>
      <c r="G2989" s="74">
        <v>37.060428425111361</v>
      </c>
      <c r="H2989" s="74">
        <f t="shared" si="93"/>
        <v>3.433971918221161</v>
      </c>
    </row>
    <row r="2990" spans="5:8" ht="15.6">
      <c r="E2990" s="279" t="s">
        <v>3316</v>
      </c>
      <c r="F2990" s="284">
        <f t="shared" ca="1" si="92"/>
        <v>0.7856651863795544</v>
      </c>
      <c r="G2990" s="74">
        <v>40.90674201712153</v>
      </c>
      <c r="H2990" s="74">
        <f t="shared" si="93"/>
        <v>-0.41234167378900821</v>
      </c>
    </row>
    <row r="2991" spans="5:8" ht="15.6">
      <c r="E2991" s="279" t="s">
        <v>3317</v>
      </c>
      <c r="F2991" s="284">
        <f t="shared" ca="1" si="92"/>
        <v>0.27811712018446066</v>
      </c>
      <c r="G2991" s="74">
        <v>41.140196102969291</v>
      </c>
      <c r="H2991" s="74">
        <f t="shared" si="93"/>
        <v>-0.64579575963676916</v>
      </c>
    </row>
    <row r="2992" spans="5:8" ht="15.6">
      <c r="E2992" s="279" t="s">
        <v>3318</v>
      </c>
      <c r="F2992" s="284">
        <f t="shared" ca="1" si="92"/>
        <v>3.5955046924588396E-2</v>
      </c>
      <c r="G2992" s="74">
        <v>41.550465940313366</v>
      </c>
      <c r="H2992" s="74">
        <f t="shared" si="93"/>
        <v>-1.0560655969808437</v>
      </c>
    </row>
    <row r="2993" spans="5:8" ht="15.6">
      <c r="E2993" s="279" t="s">
        <v>3319</v>
      </c>
      <c r="F2993" s="284">
        <f t="shared" ca="1" si="92"/>
        <v>4.0702002700174766E-3</v>
      </c>
      <c r="G2993" s="74">
        <v>40.369169812559505</v>
      </c>
      <c r="H2993" s="74">
        <f t="shared" si="93"/>
        <v>0.12523053077301682</v>
      </c>
    </row>
    <row r="2994" spans="5:8" ht="15.6">
      <c r="E2994" s="279" t="s">
        <v>3320</v>
      </c>
      <c r="F2994" s="284">
        <f t="shared" ca="1" si="92"/>
        <v>0.76346284040666135</v>
      </c>
      <c r="G2994" s="74">
        <v>41.080057733680313</v>
      </c>
      <c r="H2994" s="74">
        <f t="shared" si="93"/>
        <v>-0.58565739034779085</v>
      </c>
    </row>
    <row r="2995" spans="5:8" ht="15.6">
      <c r="E2995" s="279" t="s">
        <v>3321</v>
      </c>
      <c r="F2995" s="284">
        <f t="shared" ca="1" si="92"/>
        <v>7.5342717471239218E-2</v>
      </c>
      <c r="G2995" s="74">
        <v>35.793256698126733</v>
      </c>
      <c r="H2995" s="74">
        <f t="shared" si="93"/>
        <v>4.7011436452057893</v>
      </c>
    </row>
    <row r="2996" spans="5:8" ht="15.6">
      <c r="E2996" s="279" t="s">
        <v>3322</v>
      </c>
      <c r="F2996" s="284">
        <f t="shared" ca="1" si="92"/>
        <v>0.63042989591055176</v>
      </c>
      <c r="G2996" s="74">
        <v>42.541955652710939</v>
      </c>
      <c r="H2996" s="74">
        <f t="shared" si="93"/>
        <v>-2.0475553093784171</v>
      </c>
    </row>
    <row r="2997" spans="5:8" ht="15.6">
      <c r="E2997" s="279" t="s">
        <v>3323</v>
      </c>
      <c r="F2997" s="284">
        <f t="shared" ca="1" si="92"/>
        <v>0.11406167984608662</v>
      </c>
      <c r="G2997" s="74">
        <v>37.413205387152985</v>
      </c>
      <c r="H2997" s="74">
        <f t="shared" si="93"/>
        <v>3.0811949561795373</v>
      </c>
    </row>
    <row r="2998" spans="5:8" ht="15.6">
      <c r="E2998" s="279" t="s">
        <v>3324</v>
      </c>
      <c r="F2998" s="284">
        <f t="shared" ca="1" si="92"/>
        <v>0.79081788038159195</v>
      </c>
      <c r="G2998" s="74">
        <v>38.822832993105102</v>
      </c>
      <c r="H2998" s="74">
        <f t="shared" si="93"/>
        <v>1.67156735022742</v>
      </c>
    </row>
    <row r="2999" spans="5:8" ht="15.6">
      <c r="E2999" s="279" t="s">
        <v>3325</v>
      </c>
      <c r="F2999" s="284">
        <f t="shared" ca="1" si="92"/>
        <v>0.7104693868590336</v>
      </c>
      <c r="G2999" s="74">
        <v>42.492952651401467</v>
      </c>
      <c r="H2999" s="74">
        <f t="shared" si="93"/>
        <v>-1.9985523080689447</v>
      </c>
    </row>
    <row r="3000" spans="5:8" ht="15.6">
      <c r="E3000" s="279" t="s">
        <v>3326</v>
      </c>
      <c r="F3000" s="284">
        <f t="shared" ca="1" si="92"/>
        <v>0.37663402971917803</v>
      </c>
      <c r="G3000" s="74">
        <v>39.721197223923916</v>
      </c>
      <c r="H3000" s="74">
        <f t="shared" si="93"/>
        <v>0.7732031194086062</v>
      </c>
    </row>
    <row r="3001" spans="5:8" ht="15.6">
      <c r="E3001" s="279" t="s">
        <v>3327</v>
      </c>
      <c r="F3001" s="284">
        <f t="shared" ca="1" si="92"/>
        <v>0.30262129688949468</v>
      </c>
      <c r="G3001" s="74">
        <v>38.901350111210988</v>
      </c>
      <c r="H3001" s="74">
        <f t="shared" si="93"/>
        <v>1.5930502321215343</v>
      </c>
    </row>
    <row r="3002" spans="5:8" ht="15.6">
      <c r="E3002" s="279" t="s">
        <v>3328</v>
      </c>
      <c r="F3002" s="284">
        <f t="shared" ca="1" si="92"/>
        <v>0.40529870361201903</v>
      </c>
      <c r="G3002" s="74">
        <v>37.662700167639336</v>
      </c>
      <c r="H3002" s="74">
        <f t="shared" si="93"/>
        <v>2.8317001756931859</v>
      </c>
    </row>
    <row r="3003" spans="5:8" ht="15.6">
      <c r="E3003" s="279" t="s">
        <v>3329</v>
      </c>
      <c r="F3003" s="284">
        <f t="shared" ca="1" si="92"/>
        <v>0.74040086391904603</v>
      </c>
      <c r="G3003" s="74">
        <v>39.773030456763976</v>
      </c>
      <c r="H3003" s="74">
        <f t="shared" si="93"/>
        <v>0.72136988656854584</v>
      </c>
    </row>
    <row r="3004" spans="5:8" ht="15.6">
      <c r="E3004" s="279" t="s">
        <v>3330</v>
      </c>
      <c r="F3004" s="284">
        <f t="shared" ca="1" si="92"/>
        <v>0.17074142041885254</v>
      </c>
      <c r="G3004" s="74">
        <v>38.2955052535996</v>
      </c>
      <c r="H3004" s="74">
        <f t="shared" si="93"/>
        <v>2.1988950897329218</v>
      </c>
    </row>
    <row r="3005" spans="5:8" ht="15.6">
      <c r="E3005" s="279" t="s">
        <v>3331</v>
      </c>
      <c r="F3005" s="284">
        <f t="shared" ca="1" si="92"/>
        <v>0.53888321760172708</v>
      </c>
      <c r="G3005" s="74">
        <v>37.179084315907502</v>
      </c>
      <c r="H3005" s="74">
        <f t="shared" si="93"/>
        <v>3.3153160274250197</v>
      </c>
    </row>
    <row r="3006" spans="5:8" ht="15.6">
      <c r="E3006" s="279" t="s">
        <v>3332</v>
      </c>
      <c r="F3006" s="284">
        <f t="shared" ca="1" si="92"/>
        <v>7.3558889267788086E-2</v>
      </c>
      <c r="G3006" s="74">
        <v>33.420141714096076</v>
      </c>
      <c r="H3006" s="74">
        <f t="shared" si="93"/>
        <v>7.0742586292364464</v>
      </c>
    </row>
    <row r="3007" spans="5:8" ht="15.6">
      <c r="E3007" s="279" t="s">
        <v>3333</v>
      </c>
      <c r="F3007" s="284">
        <f t="shared" ca="1" si="92"/>
        <v>0.21322329917070049</v>
      </c>
      <c r="G3007" s="74">
        <v>37.168297903328508</v>
      </c>
      <c r="H3007" s="74">
        <f t="shared" si="93"/>
        <v>3.3261024400040142</v>
      </c>
    </row>
    <row r="3008" spans="5:8" ht="15.6">
      <c r="E3008" s="279" t="s">
        <v>3334</v>
      </c>
      <c r="F3008" s="284">
        <f t="shared" ca="1" si="92"/>
        <v>2.072513809218679E-2</v>
      </c>
      <c r="G3008" s="74">
        <v>37.459477224745271</v>
      </c>
      <c r="H3008" s="74">
        <f t="shared" si="93"/>
        <v>3.0349231185872512</v>
      </c>
    </row>
    <row r="3009" spans="5:8" ht="15.6">
      <c r="E3009" s="279" t="s">
        <v>3335</v>
      </c>
      <c r="F3009" s="284">
        <f t="shared" ca="1" si="92"/>
        <v>0.38077245788252523</v>
      </c>
      <c r="G3009" s="74">
        <v>43.21987117751415</v>
      </c>
      <c r="H3009" s="74">
        <f t="shared" si="93"/>
        <v>-2.7254708341816283</v>
      </c>
    </row>
    <row r="3010" spans="5:8" ht="15.6">
      <c r="E3010" s="279" t="s">
        <v>3336</v>
      </c>
      <c r="F3010" s="284">
        <f t="shared" ca="1" si="92"/>
        <v>4.0009397762956755E-3</v>
      </c>
      <c r="G3010" s="74">
        <v>38.952102041274536</v>
      </c>
      <c r="H3010" s="74">
        <f t="shared" si="93"/>
        <v>1.5422983020579863</v>
      </c>
    </row>
    <row r="3011" spans="5:8" ht="15.6">
      <c r="E3011" s="279" t="s">
        <v>3337</v>
      </c>
      <c r="F3011" s="284">
        <f t="shared" ca="1" si="92"/>
        <v>0.60682291113468811</v>
      </c>
      <c r="G3011" s="74">
        <v>36.681971626016384</v>
      </c>
      <c r="H3011" s="74">
        <f t="shared" si="93"/>
        <v>3.8124287173161377</v>
      </c>
    </row>
    <row r="3012" spans="5:8" ht="15.6">
      <c r="E3012" s="279" t="s">
        <v>3338</v>
      </c>
      <c r="F3012" s="284">
        <f t="shared" ca="1" si="92"/>
        <v>0.9932233821731139</v>
      </c>
      <c r="G3012" s="74">
        <v>35.279512505315921</v>
      </c>
      <c r="H3012" s="74">
        <f t="shared" si="93"/>
        <v>5.2148878380166011</v>
      </c>
    </row>
    <row r="3013" spans="5:8" ht="15.6">
      <c r="E3013" s="279" t="s">
        <v>3339</v>
      </c>
      <c r="F3013" s="284">
        <f t="shared" ca="1" si="92"/>
        <v>0.78309514751744425</v>
      </c>
      <c r="G3013" s="74">
        <v>41.298814789096518</v>
      </c>
      <c r="H3013" s="74">
        <f t="shared" si="93"/>
        <v>-0.8044144457639959</v>
      </c>
    </row>
    <row r="3014" spans="5:8" ht="15.6">
      <c r="E3014" s="279" t="s">
        <v>3340</v>
      </c>
      <c r="F3014" s="284">
        <f t="shared" ca="1" si="92"/>
        <v>8.9906694851332958E-2</v>
      </c>
      <c r="G3014" s="74">
        <v>40.226833338601537</v>
      </c>
      <c r="H3014" s="74">
        <f t="shared" si="93"/>
        <v>0.26756700473098505</v>
      </c>
    </row>
    <row r="3015" spans="5:8" ht="15.6">
      <c r="E3015" s="279" t="s">
        <v>3341</v>
      </c>
      <c r="F3015" s="284">
        <f t="shared" ca="1" si="92"/>
        <v>0.22048235702399266</v>
      </c>
      <c r="G3015" s="74">
        <v>41.657813910583798</v>
      </c>
      <c r="H3015" s="74">
        <f t="shared" si="93"/>
        <v>-1.1634135672512755</v>
      </c>
    </row>
    <row r="3016" spans="5:8" ht="15.6">
      <c r="E3016" s="279" t="s">
        <v>3342</v>
      </c>
      <c r="F3016" s="284">
        <f t="shared" ca="1" si="92"/>
        <v>0.58182450189842339</v>
      </c>
      <c r="G3016" s="74">
        <v>42.019822435370124</v>
      </c>
      <c r="H3016" s="74">
        <f t="shared" si="93"/>
        <v>-1.5254220920376014</v>
      </c>
    </row>
    <row r="3017" spans="5:8" ht="15.6">
      <c r="E3017" s="279" t="s">
        <v>3343</v>
      </c>
      <c r="F3017" s="284">
        <f t="shared" ca="1" si="92"/>
        <v>0.55061867524531682</v>
      </c>
      <c r="G3017" s="74">
        <v>42.534704200384923</v>
      </c>
      <c r="H3017" s="74">
        <f t="shared" si="93"/>
        <v>-2.0403038570524004</v>
      </c>
    </row>
    <row r="3018" spans="5:8" ht="15.6">
      <c r="E3018" s="279" t="s">
        <v>3344</v>
      </c>
      <c r="F3018" s="284">
        <f t="shared" ca="1" si="92"/>
        <v>0.3510567189916397</v>
      </c>
      <c r="G3018" s="74">
        <v>39.320111879943738</v>
      </c>
      <c r="H3018" s="74">
        <f t="shared" si="93"/>
        <v>1.174288463388784</v>
      </c>
    </row>
    <row r="3019" spans="5:8" ht="15.6">
      <c r="E3019" s="279" t="s">
        <v>3345</v>
      </c>
      <c r="F3019" s="284">
        <f t="shared" ca="1" si="92"/>
        <v>0.6880648161074896</v>
      </c>
      <c r="G3019" s="74">
        <v>37.907155197008464</v>
      </c>
      <c r="H3019" s="74">
        <f t="shared" si="93"/>
        <v>2.587245146324058</v>
      </c>
    </row>
    <row r="3020" spans="5:8" ht="15.6">
      <c r="E3020" s="279" t="s">
        <v>3346</v>
      </c>
      <c r="F3020" s="284">
        <f t="shared" ref="F3020:F3083" ca="1" si="94">RAND()</f>
        <v>4.1860992570804001E-2</v>
      </c>
      <c r="G3020" s="74">
        <v>41.982987642916605</v>
      </c>
      <c r="H3020" s="74">
        <f t="shared" ref="H3020:H3083" si="95">$D$2-G3020</f>
        <v>-1.4885872995840828</v>
      </c>
    </row>
    <row r="3021" spans="5:8" ht="15.6">
      <c r="E3021" s="279" t="s">
        <v>3347</v>
      </c>
      <c r="F3021" s="284">
        <f t="shared" ca="1" si="94"/>
        <v>0.35112110581200595</v>
      </c>
      <c r="G3021" s="74">
        <v>36.813895665654144</v>
      </c>
      <c r="H3021" s="74">
        <f t="shared" si="95"/>
        <v>3.6805046776783783</v>
      </c>
    </row>
    <row r="3022" spans="5:8" ht="15.6">
      <c r="E3022" s="279" t="s">
        <v>3348</v>
      </c>
      <c r="F3022" s="284">
        <f t="shared" ca="1" si="94"/>
        <v>0.73175588744505149</v>
      </c>
      <c r="G3022" s="74">
        <v>35.210629463609031</v>
      </c>
      <c r="H3022" s="74">
        <f t="shared" si="95"/>
        <v>5.283770879723491</v>
      </c>
    </row>
    <row r="3023" spans="5:8" ht="15.6">
      <c r="E3023" s="279" t="s">
        <v>3349</v>
      </c>
      <c r="F3023" s="284">
        <f t="shared" ca="1" si="94"/>
        <v>0.48678729216024064</v>
      </c>
      <c r="G3023" s="74">
        <v>44.360355590945503</v>
      </c>
      <c r="H3023" s="74">
        <f t="shared" si="95"/>
        <v>-3.8659552476129804</v>
      </c>
    </row>
    <row r="3024" spans="5:8" ht="15.6">
      <c r="E3024" s="279" t="s">
        <v>3350</v>
      </c>
      <c r="F3024" s="284">
        <f t="shared" ca="1" si="94"/>
        <v>0.67106617568708982</v>
      </c>
      <c r="G3024" s="74">
        <v>37.50874339338371</v>
      </c>
      <c r="H3024" s="74">
        <f t="shared" si="95"/>
        <v>2.9856569499488117</v>
      </c>
    </row>
    <row r="3025" spans="5:8" ht="15.6">
      <c r="E3025" s="279" t="s">
        <v>3351</v>
      </c>
      <c r="F3025" s="284">
        <f t="shared" ca="1" si="94"/>
        <v>0.18435261111539447</v>
      </c>
      <c r="G3025" s="74">
        <v>37.006313762738429</v>
      </c>
      <c r="H3025" s="74">
        <f t="shared" si="95"/>
        <v>3.4880865805940928</v>
      </c>
    </row>
    <row r="3026" spans="5:8" ht="15.6">
      <c r="E3026" s="279" t="s">
        <v>3352</v>
      </c>
      <c r="F3026" s="284">
        <f t="shared" ca="1" si="94"/>
        <v>0.60211603342474518</v>
      </c>
      <c r="G3026" s="74">
        <v>35.742556143257382</v>
      </c>
      <c r="H3026" s="74">
        <f t="shared" si="95"/>
        <v>4.7518442000751406</v>
      </c>
    </row>
    <row r="3027" spans="5:8" ht="15.6">
      <c r="E3027" s="279" t="s">
        <v>3353</v>
      </c>
      <c r="F3027" s="284">
        <f t="shared" ca="1" si="94"/>
        <v>0.96470563247967778</v>
      </c>
      <c r="G3027" s="74">
        <v>40.211423446449082</v>
      </c>
      <c r="H3027" s="74">
        <f t="shared" si="95"/>
        <v>0.28297689688344008</v>
      </c>
    </row>
    <row r="3028" spans="5:8" ht="15.6">
      <c r="E3028" s="279" t="s">
        <v>3354</v>
      </c>
      <c r="F3028" s="284">
        <f t="shared" ca="1" si="94"/>
        <v>0.70955583384137877</v>
      </c>
      <c r="G3028" s="74">
        <v>36.251637864157914</v>
      </c>
      <c r="H3028" s="74">
        <f t="shared" si="95"/>
        <v>4.2427624791746084</v>
      </c>
    </row>
    <row r="3029" spans="5:8" ht="15.6">
      <c r="E3029" s="279" t="s">
        <v>3355</v>
      </c>
      <c r="F3029" s="284">
        <f t="shared" ca="1" si="94"/>
        <v>0.67265486621544401</v>
      </c>
      <c r="G3029" s="74">
        <v>40.436454120982802</v>
      </c>
      <c r="H3029" s="74">
        <f t="shared" si="95"/>
        <v>5.7946222349720244E-2</v>
      </c>
    </row>
    <row r="3030" spans="5:8" ht="15.6">
      <c r="E3030" s="279" t="s">
        <v>3356</v>
      </c>
      <c r="F3030" s="284">
        <f t="shared" ca="1" si="94"/>
        <v>0.77047679182927942</v>
      </c>
      <c r="G3030" s="74">
        <v>41.341305197306802</v>
      </c>
      <c r="H3030" s="74">
        <f t="shared" si="95"/>
        <v>-0.84690485397428006</v>
      </c>
    </row>
    <row r="3031" spans="5:8" ht="15.6">
      <c r="E3031" s="279" t="s">
        <v>3357</v>
      </c>
      <c r="F3031" s="284">
        <f t="shared" ca="1" si="94"/>
        <v>0.36362999814653341</v>
      </c>
      <c r="G3031" s="74">
        <v>40.671959202273889</v>
      </c>
      <c r="H3031" s="74">
        <f t="shared" si="95"/>
        <v>-0.17755885894136725</v>
      </c>
    </row>
    <row r="3032" spans="5:8" ht="15.6">
      <c r="E3032" s="279" t="s">
        <v>3358</v>
      </c>
      <c r="F3032" s="284">
        <f t="shared" ca="1" si="94"/>
        <v>0.89178019869450864</v>
      </c>
      <c r="G3032" s="74">
        <v>37.154742820868591</v>
      </c>
      <c r="H3032" s="74">
        <f t="shared" si="95"/>
        <v>3.3396575224639307</v>
      </c>
    </row>
    <row r="3033" spans="5:8" ht="15.6">
      <c r="E3033" s="279" t="s">
        <v>3359</v>
      </c>
      <c r="F3033" s="284">
        <f t="shared" ca="1" si="94"/>
        <v>0.68494640430814557</v>
      </c>
      <c r="G3033" s="74">
        <v>38.096441495063488</v>
      </c>
      <c r="H3033" s="74">
        <f t="shared" si="95"/>
        <v>2.3979588482690346</v>
      </c>
    </row>
    <row r="3034" spans="5:8" ht="15.6">
      <c r="E3034" s="279" t="s">
        <v>3360</v>
      </c>
      <c r="F3034" s="284">
        <f t="shared" ca="1" si="94"/>
        <v>0.56644500478313042</v>
      </c>
      <c r="G3034" s="74">
        <v>40.08456448466594</v>
      </c>
      <c r="H3034" s="74">
        <f t="shared" si="95"/>
        <v>0.40983585866658245</v>
      </c>
    </row>
    <row r="3035" spans="5:8" ht="15.6">
      <c r="E3035" s="279" t="s">
        <v>3361</v>
      </c>
      <c r="F3035" s="284">
        <f t="shared" ca="1" si="94"/>
        <v>0.79680083824742032</v>
      </c>
      <c r="G3035" s="74">
        <v>36.986545841045555</v>
      </c>
      <c r="H3035" s="74">
        <f t="shared" si="95"/>
        <v>3.5078545022869676</v>
      </c>
    </row>
    <row r="3036" spans="5:8" ht="15.6">
      <c r="E3036" s="279" t="s">
        <v>3362</v>
      </c>
      <c r="F3036" s="284">
        <f t="shared" ca="1" si="94"/>
        <v>0.91475209852743422</v>
      </c>
      <c r="G3036" s="74">
        <v>36.421243514660915</v>
      </c>
      <c r="H3036" s="74">
        <f t="shared" si="95"/>
        <v>4.0731568286716069</v>
      </c>
    </row>
    <row r="3037" spans="5:8" ht="15.6">
      <c r="E3037" s="279" t="s">
        <v>3363</v>
      </c>
      <c r="F3037" s="284">
        <f t="shared" ca="1" si="94"/>
        <v>0.99443814801374408</v>
      </c>
      <c r="G3037" s="74">
        <v>35.547672409751613</v>
      </c>
      <c r="H3037" s="74">
        <f t="shared" si="95"/>
        <v>4.9467279335809096</v>
      </c>
    </row>
    <row r="3038" spans="5:8" ht="15.6">
      <c r="E3038" s="279" t="s">
        <v>3364</v>
      </c>
      <c r="F3038" s="284">
        <f t="shared" ca="1" si="94"/>
        <v>0.40783585636426412</v>
      </c>
      <c r="G3038" s="74">
        <v>45.830924736593779</v>
      </c>
      <c r="H3038" s="74">
        <f t="shared" si="95"/>
        <v>-5.3365243932612572</v>
      </c>
    </row>
    <row r="3039" spans="5:8" ht="15.6">
      <c r="E3039" s="279" t="s">
        <v>3365</v>
      </c>
      <c r="F3039" s="284">
        <f t="shared" ca="1" si="94"/>
        <v>0.85520793654313909</v>
      </c>
      <c r="G3039" s="74">
        <v>41.155109921333761</v>
      </c>
      <c r="H3039" s="74">
        <f t="shared" si="95"/>
        <v>-0.66070957800123864</v>
      </c>
    </row>
    <row r="3040" spans="5:8" ht="15.6">
      <c r="E3040" s="279" t="s">
        <v>3366</v>
      </c>
      <c r="F3040" s="284">
        <f t="shared" ca="1" si="94"/>
        <v>0.57725486405611515</v>
      </c>
      <c r="G3040" s="74">
        <v>37.078338895967249</v>
      </c>
      <c r="H3040" s="74">
        <f t="shared" si="95"/>
        <v>3.4160614473652728</v>
      </c>
    </row>
    <row r="3041" spans="5:8" ht="15.6">
      <c r="E3041" s="279" t="s">
        <v>3367</v>
      </c>
      <c r="F3041" s="284">
        <f t="shared" ca="1" si="94"/>
        <v>1.3926476026796197E-2</v>
      </c>
      <c r="G3041" s="74">
        <v>42.38765635793068</v>
      </c>
      <c r="H3041" s="74">
        <f t="shared" si="95"/>
        <v>-1.8932560145981583</v>
      </c>
    </row>
    <row r="3042" spans="5:8" ht="15.6">
      <c r="E3042" s="279" t="s">
        <v>3368</v>
      </c>
      <c r="F3042" s="284">
        <f t="shared" ca="1" si="94"/>
        <v>0.98331757428299216</v>
      </c>
      <c r="G3042" s="74">
        <v>42.722847378713048</v>
      </c>
      <c r="H3042" s="74">
        <f t="shared" si="95"/>
        <v>-2.2284470353805261</v>
      </c>
    </row>
    <row r="3043" spans="5:8" ht="15.6">
      <c r="E3043" s="279" t="s">
        <v>3369</v>
      </c>
      <c r="F3043" s="284">
        <f t="shared" ca="1" si="94"/>
        <v>0.31237258057819661</v>
      </c>
      <c r="G3043" s="74">
        <v>43.128220587161302</v>
      </c>
      <c r="H3043" s="74">
        <f t="shared" si="95"/>
        <v>-2.6338202438287794</v>
      </c>
    </row>
    <row r="3044" spans="5:8" ht="15.6">
      <c r="E3044" s="279" t="s">
        <v>3370</v>
      </c>
      <c r="F3044" s="284">
        <f t="shared" ca="1" si="94"/>
        <v>4.9161841307780008E-2</v>
      </c>
      <c r="G3044" s="74">
        <v>39.085854078686374</v>
      </c>
      <c r="H3044" s="74">
        <f t="shared" si="95"/>
        <v>1.408546264646148</v>
      </c>
    </row>
    <row r="3045" spans="5:8" ht="15.6">
      <c r="E3045" s="279" t="s">
        <v>3371</v>
      </c>
      <c r="F3045" s="284">
        <f t="shared" ca="1" si="94"/>
        <v>0.92585621534137308</v>
      </c>
      <c r="G3045" s="74">
        <v>40.274833806543697</v>
      </c>
      <c r="H3045" s="74">
        <f t="shared" si="95"/>
        <v>0.21956653678882532</v>
      </c>
    </row>
    <row r="3046" spans="5:8" ht="15.6">
      <c r="E3046" s="279" t="s">
        <v>3372</v>
      </c>
      <c r="F3046" s="284">
        <f t="shared" ca="1" si="94"/>
        <v>0.38375066880696951</v>
      </c>
      <c r="G3046" s="74">
        <v>35.116954589472265</v>
      </c>
      <c r="H3046" s="74">
        <f t="shared" si="95"/>
        <v>5.3774457538602576</v>
      </c>
    </row>
    <row r="3047" spans="5:8" ht="15.6">
      <c r="E3047" s="279" t="s">
        <v>3373</v>
      </c>
      <c r="F3047" s="284">
        <f t="shared" ca="1" si="94"/>
        <v>4.1579366445474109E-2</v>
      </c>
      <c r="G3047" s="74">
        <v>37.168705969167156</v>
      </c>
      <c r="H3047" s="74">
        <f t="shared" si="95"/>
        <v>3.3256943741653657</v>
      </c>
    </row>
    <row r="3048" spans="5:8" ht="15.6">
      <c r="E3048" s="279" t="s">
        <v>3374</v>
      </c>
      <c r="F3048" s="284">
        <f t="shared" ca="1" si="94"/>
        <v>0.52040605469352796</v>
      </c>
      <c r="G3048" s="74">
        <v>41.549966145829011</v>
      </c>
      <c r="H3048" s="74">
        <f t="shared" si="95"/>
        <v>-1.0555658024964885</v>
      </c>
    </row>
    <row r="3049" spans="5:8" ht="15.6">
      <c r="E3049" s="279" t="s">
        <v>3375</v>
      </c>
      <c r="F3049" s="284">
        <f t="shared" ca="1" si="94"/>
        <v>0.9698033760015019</v>
      </c>
      <c r="G3049" s="74">
        <v>41.398691949609926</v>
      </c>
      <c r="H3049" s="74">
        <f t="shared" si="95"/>
        <v>-0.90429160627740401</v>
      </c>
    </row>
    <row r="3050" spans="5:8" ht="15.6">
      <c r="E3050" s="279" t="s">
        <v>3376</v>
      </c>
      <c r="F3050" s="284">
        <f t="shared" ca="1" si="94"/>
        <v>0.68887598546979423</v>
      </c>
      <c r="G3050" s="74">
        <v>43.80723682141803</v>
      </c>
      <c r="H3050" s="74">
        <f t="shared" si="95"/>
        <v>-3.312836478085508</v>
      </c>
    </row>
    <row r="3051" spans="5:8" ht="15.6">
      <c r="E3051" s="279" t="s">
        <v>3377</v>
      </c>
      <c r="F3051" s="284">
        <f t="shared" ca="1" si="94"/>
        <v>0.96596666479190485</v>
      </c>
      <c r="G3051" s="74">
        <v>38.939921473618305</v>
      </c>
      <c r="H3051" s="74">
        <f t="shared" si="95"/>
        <v>1.5544788697142167</v>
      </c>
    </row>
    <row r="3052" spans="5:8" ht="15.6">
      <c r="E3052" s="279" t="s">
        <v>3378</v>
      </c>
      <c r="F3052" s="284">
        <f t="shared" ca="1" si="94"/>
        <v>0.42143706650470902</v>
      </c>
      <c r="G3052" s="74">
        <v>36.572409000189282</v>
      </c>
      <c r="H3052" s="74">
        <f t="shared" si="95"/>
        <v>3.9219913431432403</v>
      </c>
    </row>
    <row r="3053" spans="5:8" ht="15.6">
      <c r="E3053" s="279" t="s">
        <v>3379</v>
      </c>
      <c r="F3053" s="284">
        <f t="shared" ca="1" si="94"/>
        <v>0.16492716868694368</v>
      </c>
      <c r="G3053" s="74">
        <v>41.674803120670212</v>
      </c>
      <c r="H3053" s="74">
        <f t="shared" si="95"/>
        <v>-1.1804027773376902</v>
      </c>
    </row>
    <row r="3054" spans="5:8" ht="15.6">
      <c r="E3054" s="279" t="s">
        <v>3380</v>
      </c>
      <c r="F3054" s="284">
        <f t="shared" ca="1" si="94"/>
        <v>0.25968163994778315</v>
      </c>
      <c r="G3054" s="74">
        <v>44.324524536961654</v>
      </c>
      <c r="H3054" s="74">
        <f t="shared" si="95"/>
        <v>-3.8301241936291319</v>
      </c>
    </row>
    <row r="3055" spans="5:8" ht="15.6">
      <c r="E3055" s="279" t="s">
        <v>3381</v>
      </c>
      <c r="F3055" s="284">
        <f t="shared" ca="1" si="94"/>
        <v>0.7532875276472335</v>
      </c>
      <c r="G3055" s="74">
        <v>42.486445767036649</v>
      </c>
      <c r="H3055" s="74">
        <f t="shared" si="95"/>
        <v>-1.992045423704127</v>
      </c>
    </row>
    <row r="3056" spans="5:8" ht="15.6">
      <c r="E3056" s="279" t="s">
        <v>3382</v>
      </c>
      <c r="F3056" s="284">
        <f t="shared" ca="1" si="94"/>
        <v>0.62778152604039206</v>
      </c>
      <c r="G3056" s="74">
        <v>39.037580526255859</v>
      </c>
      <c r="H3056" s="74">
        <f t="shared" si="95"/>
        <v>1.4568198170766635</v>
      </c>
    </row>
    <row r="3057" spans="5:8" ht="15.6">
      <c r="E3057" s="279" t="s">
        <v>3383</v>
      </c>
      <c r="F3057" s="284">
        <f t="shared" ca="1" si="94"/>
        <v>0.85825097368345171</v>
      </c>
      <c r="G3057" s="74">
        <v>40.048573764308188</v>
      </c>
      <c r="H3057" s="74">
        <f t="shared" si="95"/>
        <v>0.44582657902433454</v>
      </c>
    </row>
    <row r="3058" spans="5:8" ht="15.6">
      <c r="E3058" s="279" t="s">
        <v>3384</v>
      </c>
      <c r="F3058" s="284">
        <f t="shared" ca="1" si="94"/>
        <v>0.39005347924472178</v>
      </c>
      <c r="G3058" s="74">
        <v>33.983721699272643</v>
      </c>
      <c r="H3058" s="74">
        <f t="shared" si="95"/>
        <v>6.5106786440598796</v>
      </c>
    </row>
    <row r="3059" spans="5:8" ht="15.6">
      <c r="E3059" s="279" t="s">
        <v>3385</v>
      </c>
      <c r="F3059" s="284">
        <f t="shared" ca="1" si="94"/>
        <v>0.89637606428184236</v>
      </c>
      <c r="G3059" s="74">
        <v>40.300516086961615</v>
      </c>
      <c r="H3059" s="74">
        <f t="shared" si="95"/>
        <v>0.19388425637090734</v>
      </c>
    </row>
    <row r="3060" spans="5:8" ht="15.6">
      <c r="E3060" s="279" t="s">
        <v>3386</v>
      </c>
      <c r="F3060" s="284">
        <f t="shared" ca="1" si="94"/>
        <v>0.84274938561600332</v>
      </c>
      <c r="G3060" s="74">
        <v>37.521670818884672</v>
      </c>
      <c r="H3060" s="74">
        <f t="shared" si="95"/>
        <v>2.9727295244478498</v>
      </c>
    </row>
    <row r="3061" spans="5:8" ht="15.6">
      <c r="E3061" s="279" t="s">
        <v>3387</v>
      </c>
      <c r="F3061" s="284">
        <f t="shared" ca="1" si="94"/>
        <v>0.18360786662988948</v>
      </c>
      <c r="G3061" s="74">
        <v>38.240393682076267</v>
      </c>
      <c r="H3061" s="74">
        <f t="shared" si="95"/>
        <v>2.2540066612562555</v>
      </c>
    </row>
    <row r="3062" spans="5:8" ht="15.6">
      <c r="E3062" s="279" t="s">
        <v>3388</v>
      </c>
      <c r="F3062" s="284">
        <f t="shared" ca="1" si="94"/>
        <v>0.99793687926994878</v>
      </c>
      <c r="G3062" s="74">
        <v>37.659484660197748</v>
      </c>
      <c r="H3062" s="74">
        <f t="shared" si="95"/>
        <v>2.8349156831347742</v>
      </c>
    </row>
    <row r="3063" spans="5:8" ht="15.6">
      <c r="E3063" s="279" t="s">
        <v>3389</v>
      </c>
      <c r="F3063" s="284">
        <f t="shared" ca="1" si="94"/>
        <v>0.61730208270400422</v>
      </c>
      <c r="G3063" s="74">
        <v>39.198384251992202</v>
      </c>
      <c r="H3063" s="74">
        <f t="shared" si="95"/>
        <v>1.29601609134032</v>
      </c>
    </row>
    <row r="3064" spans="5:8" ht="15.6">
      <c r="E3064" s="279" t="s">
        <v>3390</v>
      </c>
      <c r="F3064" s="284">
        <f t="shared" ca="1" si="94"/>
        <v>3.0602899081163315E-2</v>
      </c>
      <c r="G3064" s="74">
        <v>37.488102842467363</v>
      </c>
      <c r="H3064" s="74">
        <f t="shared" si="95"/>
        <v>3.0062975008651591</v>
      </c>
    </row>
    <row r="3065" spans="5:8" ht="15.6">
      <c r="E3065" s="279" t="s">
        <v>3391</v>
      </c>
      <c r="F3065" s="284">
        <f t="shared" ca="1" si="94"/>
        <v>0.6383550105679473</v>
      </c>
      <c r="G3065" s="74">
        <v>37.241991643613041</v>
      </c>
      <c r="H3065" s="74">
        <f t="shared" si="95"/>
        <v>3.2524086997194814</v>
      </c>
    </row>
    <row r="3066" spans="5:8" ht="15.6">
      <c r="E3066" s="279" t="s">
        <v>3392</v>
      </c>
      <c r="F3066" s="284">
        <f t="shared" ca="1" si="94"/>
        <v>0.8843586649743822</v>
      </c>
      <c r="G3066" s="74">
        <v>35.869524304444298</v>
      </c>
      <c r="H3066" s="74">
        <f t="shared" si="95"/>
        <v>4.6248760388882246</v>
      </c>
    </row>
    <row r="3067" spans="5:8" ht="15.6">
      <c r="E3067" s="279" t="s">
        <v>3393</v>
      </c>
      <c r="F3067" s="284">
        <f t="shared" ca="1" si="94"/>
        <v>0.63749476559229401</v>
      </c>
      <c r="G3067" s="74">
        <v>41.438795710414361</v>
      </c>
      <c r="H3067" s="74">
        <f t="shared" si="95"/>
        <v>-0.9443953670818388</v>
      </c>
    </row>
    <row r="3068" spans="5:8" ht="15.6">
      <c r="E3068" s="279" t="s">
        <v>3394</v>
      </c>
      <c r="F3068" s="284">
        <f t="shared" ca="1" si="94"/>
        <v>0.13439879413829636</v>
      </c>
      <c r="G3068" s="74">
        <v>41.779492267607672</v>
      </c>
      <c r="H3068" s="74">
        <f t="shared" si="95"/>
        <v>-1.2850919242751502</v>
      </c>
    </row>
    <row r="3069" spans="5:8" ht="15.6">
      <c r="E3069" s="279" t="s">
        <v>3395</v>
      </c>
      <c r="F3069" s="284">
        <f t="shared" ca="1" si="94"/>
        <v>0.50943936706783877</v>
      </c>
      <c r="G3069" s="74">
        <v>35.691593389138397</v>
      </c>
      <c r="H3069" s="74">
        <f t="shared" si="95"/>
        <v>4.802806954194125</v>
      </c>
    </row>
    <row r="3070" spans="5:8" ht="15.6">
      <c r="E3070" s="279" t="s">
        <v>3396</v>
      </c>
      <c r="F3070" s="284">
        <f t="shared" ca="1" si="94"/>
        <v>0.17488974636468857</v>
      </c>
      <c r="G3070" s="74">
        <v>38.751825728826539</v>
      </c>
      <c r="H3070" s="74">
        <f t="shared" si="95"/>
        <v>1.7425746145059833</v>
      </c>
    </row>
    <row r="3071" spans="5:8" ht="15.6">
      <c r="E3071" s="279" t="s">
        <v>3397</v>
      </c>
      <c r="F3071" s="284">
        <f t="shared" ca="1" si="94"/>
        <v>0.82319791018513078</v>
      </c>
      <c r="G3071" s="74">
        <v>41.499610803204092</v>
      </c>
      <c r="H3071" s="74">
        <f t="shared" si="95"/>
        <v>-1.0052104598715701</v>
      </c>
    </row>
    <row r="3072" spans="5:8" ht="15.6">
      <c r="E3072" s="279" t="s">
        <v>3398</v>
      </c>
      <c r="F3072" s="284">
        <f t="shared" ca="1" si="94"/>
        <v>0.74698922440360527</v>
      </c>
      <c r="G3072" s="74">
        <v>38.482546273573348</v>
      </c>
      <c r="H3072" s="74">
        <f t="shared" si="95"/>
        <v>2.011854069759174</v>
      </c>
    </row>
    <row r="3073" spans="5:8" ht="15.6">
      <c r="E3073" s="279" t="s">
        <v>3399</v>
      </c>
      <c r="F3073" s="284">
        <f t="shared" ca="1" si="94"/>
        <v>0.10395796356438702</v>
      </c>
      <c r="G3073" s="74">
        <v>37.859821765840522</v>
      </c>
      <c r="H3073" s="74">
        <f t="shared" si="95"/>
        <v>2.6345785774920003</v>
      </c>
    </row>
    <row r="3074" spans="5:8" ht="15.6">
      <c r="E3074" s="279" t="s">
        <v>3400</v>
      </c>
      <c r="F3074" s="284">
        <f t="shared" ca="1" si="94"/>
        <v>0.34087703674502101</v>
      </c>
      <c r="G3074" s="74">
        <v>36.699040771559602</v>
      </c>
      <c r="H3074" s="74">
        <f t="shared" si="95"/>
        <v>3.79535957177292</v>
      </c>
    </row>
    <row r="3075" spans="5:8" ht="15.6">
      <c r="E3075" s="279" t="s">
        <v>3401</v>
      </c>
      <c r="F3075" s="284">
        <f t="shared" ca="1" si="94"/>
        <v>0.17134369821249462</v>
      </c>
      <c r="G3075" s="74">
        <v>40.376586034843413</v>
      </c>
      <c r="H3075" s="74">
        <f t="shared" si="95"/>
        <v>0.11781430848910901</v>
      </c>
    </row>
    <row r="3076" spans="5:8" ht="15.6">
      <c r="E3076" s="279" t="s">
        <v>3402</v>
      </c>
      <c r="F3076" s="284">
        <f t="shared" ca="1" si="94"/>
        <v>4.386129841358688E-2</v>
      </c>
      <c r="G3076" s="74">
        <v>40.354282824481949</v>
      </c>
      <c r="H3076" s="74">
        <f t="shared" si="95"/>
        <v>0.14011751885057322</v>
      </c>
    </row>
    <row r="3077" spans="5:8" ht="15.6">
      <c r="E3077" s="279" t="s">
        <v>3403</v>
      </c>
      <c r="F3077" s="284">
        <f t="shared" ca="1" si="94"/>
        <v>0.99720109609587582</v>
      </c>
      <c r="G3077" s="74">
        <v>39.548115569749889</v>
      </c>
      <c r="H3077" s="74">
        <f t="shared" si="95"/>
        <v>0.94628477358263297</v>
      </c>
    </row>
    <row r="3078" spans="5:8" ht="15.6">
      <c r="E3078" s="279" t="s">
        <v>3404</v>
      </c>
      <c r="F3078" s="284">
        <f t="shared" ca="1" si="94"/>
        <v>0.57677761549438278</v>
      </c>
      <c r="G3078" s="74">
        <v>38.350092872220763</v>
      </c>
      <c r="H3078" s="74">
        <f t="shared" si="95"/>
        <v>2.1443074711117589</v>
      </c>
    </row>
    <row r="3079" spans="5:8" ht="15.6">
      <c r="E3079" s="279" t="s">
        <v>3405</v>
      </c>
      <c r="F3079" s="284">
        <f t="shared" ca="1" si="94"/>
        <v>0.89480172137746727</v>
      </c>
      <c r="G3079" s="74">
        <v>43.669775921580751</v>
      </c>
      <c r="H3079" s="74">
        <f t="shared" si="95"/>
        <v>-3.1753755782482287</v>
      </c>
    </row>
    <row r="3080" spans="5:8" ht="15.6">
      <c r="E3080" s="279" t="s">
        <v>3406</v>
      </c>
      <c r="F3080" s="284">
        <f t="shared" ca="1" si="94"/>
        <v>0.20338024616985306</v>
      </c>
      <c r="G3080" s="74">
        <v>38.101317214964723</v>
      </c>
      <c r="H3080" s="74">
        <f t="shared" si="95"/>
        <v>2.3930831283677989</v>
      </c>
    </row>
    <row r="3081" spans="5:8" ht="15.6">
      <c r="E3081" s="279" t="s">
        <v>3407</v>
      </c>
      <c r="F3081" s="284">
        <f t="shared" ca="1" si="94"/>
        <v>0.88476852279721663</v>
      </c>
      <c r="G3081" s="74">
        <v>41.014698550900363</v>
      </c>
      <c r="H3081" s="74">
        <f t="shared" si="95"/>
        <v>-0.52029820756784062</v>
      </c>
    </row>
    <row r="3082" spans="5:8" ht="15.6">
      <c r="E3082" s="279" t="s">
        <v>3408</v>
      </c>
      <c r="F3082" s="284">
        <f t="shared" ca="1" si="94"/>
        <v>0.72969297984665038</v>
      </c>
      <c r="G3082" s="74">
        <v>42.661480868028534</v>
      </c>
      <c r="H3082" s="74">
        <f t="shared" si="95"/>
        <v>-2.1670805246960114</v>
      </c>
    </row>
    <row r="3083" spans="5:8" ht="15.6">
      <c r="E3083" s="279" t="s">
        <v>3409</v>
      </c>
      <c r="F3083" s="284">
        <f t="shared" ca="1" si="94"/>
        <v>0.53346569947177624</v>
      </c>
      <c r="G3083" s="74">
        <v>39.453658632780687</v>
      </c>
      <c r="H3083" s="74">
        <f t="shared" si="95"/>
        <v>1.0407417105518348</v>
      </c>
    </row>
    <row r="3084" spans="5:8" ht="15.6">
      <c r="E3084" s="279" t="s">
        <v>3410</v>
      </c>
      <c r="F3084" s="284">
        <f t="shared" ref="F3084:F3147" ca="1" si="96">RAND()</f>
        <v>0.4038084024521521</v>
      </c>
      <c r="G3084" s="74">
        <v>38.424738673074394</v>
      </c>
      <c r="H3084" s="74">
        <f t="shared" ref="H3084:H3147" si="97">$D$2-G3084</f>
        <v>2.0696616702581281</v>
      </c>
    </row>
    <row r="3085" spans="5:8" ht="15.6">
      <c r="E3085" s="279" t="s">
        <v>3411</v>
      </c>
      <c r="F3085" s="284">
        <f t="shared" ca="1" si="96"/>
        <v>0.38348479913109457</v>
      </c>
      <c r="G3085" s="74">
        <v>38.629310118086799</v>
      </c>
      <c r="H3085" s="74">
        <f t="shared" si="97"/>
        <v>1.8650902252457229</v>
      </c>
    </row>
    <row r="3086" spans="5:8" ht="15.6">
      <c r="E3086" s="279" t="s">
        <v>3412</v>
      </c>
      <c r="F3086" s="284">
        <f t="shared" ca="1" si="96"/>
        <v>0.33016939580886306</v>
      </c>
      <c r="G3086" s="74">
        <v>41.274786395436593</v>
      </c>
      <c r="H3086" s="74">
        <f t="shared" si="97"/>
        <v>-0.78038605210407042</v>
      </c>
    </row>
    <row r="3087" spans="5:8" ht="15.6">
      <c r="E3087" s="279" t="s">
        <v>3413</v>
      </c>
      <c r="F3087" s="284">
        <f t="shared" ca="1" si="96"/>
        <v>0.40900414188681056</v>
      </c>
      <c r="G3087" s="74">
        <v>44.456199781587081</v>
      </c>
      <c r="H3087" s="74">
        <f t="shared" si="97"/>
        <v>-3.9617994382545589</v>
      </c>
    </row>
    <row r="3088" spans="5:8" ht="15.6">
      <c r="E3088" s="279" t="s">
        <v>3414</v>
      </c>
      <c r="F3088" s="284">
        <f t="shared" ca="1" si="96"/>
        <v>0.75957565646548442</v>
      </c>
      <c r="G3088" s="74">
        <v>39.306138808974396</v>
      </c>
      <c r="H3088" s="74">
        <f t="shared" si="97"/>
        <v>1.1882615343581264</v>
      </c>
    </row>
    <row r="3089" spans="5:8" ht="15.6">
      <c r="E3089" s="279" t="s">
        <v>3415</v>
      </c>
      <c r="F3089" s="284">
        <f t="shared" ca="1" si="96"/>
        <v>0.8220653382364248</v>
      </c>
      <c r="G3089" s="74">
        <v>41.076844601258024</v>
      </c>
      <c r="H3089" s="74">
        <f t="shared" si="97"/>
        <v>-0.58244425792550203</v>
      </c>
    </row>
    <row r="3090" spans="5:8" ht="15.6">
      <c r="E3090" s="279" t="s">
        <v>3416</v>
      </c>
      <c r="F3090" s="284">
        <f t="shared" ca="1" si="96"/>
        <v>0.41391796748528153</v>
      </c>
      <c r="G3090" s="74">
        <v>38.514337104501323</v>
      </c>
      <c r="H3090" s="74">
        <f t="shared" si="97"/>
        <v>1.9800632388311996</v>
      </c>
    </row>
    <row r="3091" spans="5:8" ht="15.6">
      <c r="E3091" s="279" t="s">
        <v>3417</v>
      </c>
      <c r="F3091" s="284">
        <f t="shared" ca="1" si="96"/>
        <v>0.28852067131022108</v>
      </c>
      <c r="G3091" s="74">
        <v>37.381180092076583</v>
      </c>
      <c r="H3091" s="74">
        <f t="shared" si="97"/>
        <v>3.1132202512559388</v>
      </c>
    </row>
    <row r="3092" spans="5:8" ht="15.6">
      <c r="E3092" s="279" t="s">
        <v>3418</v>
      </c>
      <c r="F3092" s="284">
        <f t="shared" ca="1" si="96"/>
        <v>0.99159846595497281</v>
      </c>
      <c r="G3092" s="74">
        <v>40.688572573616298</v>
      </c>
      <c r="H3092" s="74">
        <f t="shared" si="97"/>
        <v>-0.19417223028377606</v>
      </c>
    </row>
    <row r="3093" spans="5:8" ht="15.6">
      <c r="E3093" s="279" t="s">
        <v>3419</v>
      </c>
      <c r="F3093" s="284">
        <f t="shared" ca="1" si="96"/>
        <v>0.98493986046652715</v>
      </c>
      <c r="G3093" s="74">
        <v>39.168631303631265</v>
      </c>
      <c r="H3093" s="74">
        <f t="shared" si="97"/>
        <v>1.3257690397012567</v>
      </c>
    </row>
    <row r="3094" spans="5:8" ht="15.6">
      <c r="E3094" s="279" t="s">
        <v>3420</v>
      </c>
      <c r="F3094" s="284">
        <f t="shared" ca="1" si="96"/>
        <v>0.78021537305079258</v>
      </c>
      <c r="G3094" s="74">
        <v>37.307393048052681</v>
      </c>
      <c r="H3094" s="74">
        <f t="shared" si="97"/>
        <v>3.1870072952798409</v>
      </c>
    </row>
    <row r="3095" spans="5:8" ht="15.6">
      <c r="E3095" s="279" t="s">
        <v>3421</v>
      </c>
      <c r="F3095" s="284">
        <f t="shared" ca="1" si="96"/>
        <v>0.41420942372574898</v>
      </c>
      <c r="G3095" s="74">
        <v>43.296899566999478</v>
      </c>
      <c r="H3095" s="74">
        <f t="shared" si="97"/>
        <v>-2.8024992236669561</v>
      </c>
    </row>
    <row r="3096" spans="5:8" ht="15.6">
      <c r="E3096" s="279" t="s">
        <v>3422</v>
      </c>
      <c r="F3096" s="284">
        <f t="shared" ca="1" si="96"/>
        <v>0.69662512576495095</v>
      </c>
      <c r="G3096" s="74">
        <v>35.29657249046717</v>
      </c>
      <c r="H3096" s="74">
        <f t="shared" si="97"/>
        <v>5.1978278528653519</v>
      </c>
    </row>
    <row r="3097" spans="5:8" ht="15.6">
      <c r="E3097" s="279" t="s">
        <v>3423</v>
      </c>
      <c r="F3097" s="284">
        <f t="shared" ca="1" si="96"/>
        <v>0.41831509679116852</v>
      </c>
      <c r="G3097" s="74">
        <v>36.766644519921428</v>
      </c>
      <c r="H3097" s="74">
        <f t="shared" si="97"/>
        <v>3.7277558234110941</v>
      </c>
    </row>
    <row r="3098" spans="5:8" ht="15.6">
      <c r="E3098" s="279" t="s">
        <v>3424</v>
      </c>
      <c r="F3098" s="284">
        <f t="shared" ca="1" si="96"/>
        <v>0.88415607602555613</v>
      </c>
      <c r="G3098" s="74">
        <v>39.165337617174742</v>
      </c>
      <c r="H3098" s="74">
        <f t="shared" si="97"/>
        <v>1.3290627261577797</v>
      </c>
    </row>
    <row r="3099" spans="5:8" ht="15.6">
      <c r="E3099" s="279" t="s">
        <v>3425</v>
      </c>
      <c r="F3099" s="284">
        <f t="shared" ca="1" si="96"/>
        <v>0.49688909462340003</v>
      </c>
      <c r="G3099" s="74">
        <v>35.285338812615102</v>
      </c>
      <c r="H3099" s="74">
        <f t="shared" si="97"/>
        <v>5.2090615307174204</v>
      </c>
    </row>
    <row r="3100" spans="5:8" ht="15.6">
      <c r="E3100" s="279" t="s">
        <v>3426</v>
      </c>
      <c r="F3100" s="284">
        <f t="shared" ca="1" si="96"/>
        <v>0.10641018217316722</v>
      </c>
      <c r="G3100" s="74">
        <v>39.840282081039057</v>
      </c>
      <c r="H3100" s="74">
        <f t="shared" si="97"/>
        <v>0.65411826229346559</v>
      </c>
    </row>
    <row r="3101" spans="5:8" ht="15.6">
      <c r="E3101" s="279" t="s">
        <v>3427</v>
      </c>
      <c r="F3101" s="284">
        <f t="shared" ca="1" si="96"/>
        <v>0.74789415936499803</v>
      </c>
      <c r="G3101" s="74">
        <v>38.695945711307139</v>
      </c>
      <c r="H3101" s="74">
        <f t="shared" si="97"/>
        <v>1.7984546320253827</v>
      </c>
    </row>
    <row r="3102" spans="5:8" ht="15.6">
      <c r="E3102" s="279" t="s">
        <v>3428</v>
      </c>
      <c r="F3102" s="284">
        <f t="shared" ca="1" si="96"/>
        <v>0.57694692033358064</v>
      </c>
      <c r="G3102" s="74">
        <v>38.914362088275475</v>
      </c>
      <c r="H3102" s="74">
        <f t="shared" si="97"/>
        <v>1.5800382550570475</v>
      </c>
    </row>
    <row r="3103" spans="5:8" ht="15.6">
      <c r="E3103" s="279" t="s">
        <v>3429</v>
      </c>
      <c r="F3103" s="284">
        <f t="shared" ca="1" si="96"/>
        <v>7.9792815797064987E-2</v>
      </c>
      <c r="G3103" s="74">
        <v>36.765463505143728</v>
      </c>
      <c r="H3103" s="74">
        <f t="shared" si="97"/>
        <v>3.728936838188794</v>
      </c>
    </row>
    <row r="3104" spans="5:8" ht="15.6">
      <c r="E3104" s="279" t="s">
        <v>3430</v>
      </c>
      <c r="F3104" s="284">
        <f t="shared" ca="1" si="96"/>
        <v>0.55707591560664538</v>
      </c>
      <c r="G3104" s="74">
        <v>40.855241993560341</v>
      </c>
      <c r="H3104" s="74">
        <f t="shared" si="97"/>
        <v>-0.36084165022781889</v>
      </c>
    </row>
    <row r="3105" spans="5:8" ht="15.6">
      <c r="E3105" s="279" t="s">
        <v>3431</v>
      </c>
      <c r="F3105" s="284">
        <f t="shared" ca="1" si="96"/>
        <v>0.28975494750965081</v>
      </c>
      <c r="G3105" s="74">
        <v>44.700449815591611</v>
      </c>
      <c r="H3105" s="74">
        <f t="shared" si="97"/>
        <v>-4.2060494722590889</v>
      </c>
    </row>
    <row r="3106" spans="5:8" ht="15.6">
      <c r="E3106" s="279" t="s">
        <v>3432</v>
      </c>
      <c r="F3106" s="284">
        <f t="shared" ca="1" si="96"/>
        <v>0.34141691019557197</v>
      </c>
      <c r="G3106" s="74">
        <v>38.874475074644316</v>
      </c>
      <c r="H3106" s="74">
        <f t="shared" si="97"/>
        <v>1.6199252686882062</v>
      </c>
    </row>
    <row r="3107" spans="5:8" ht="15.6">
      <c r="E3107" s="279" t="s">
        <v>3433</v>
      </c>
      <c r="F3107" s="284">
        <f t="shared" ca="1" si="96"/>
        <v>0.35207493309532667</v>
      </c>
      <c r="G3107" s="74">
        <v>41.957321602183548</v>
      </c>
      <c r="H3107" s="74">
        <f t="shared" si="97"/>
        <v>-1.4629212588510256</v>
      </c>
    </row>
    <row r="3108" spans="5:8" ht="15.6">
      <c r="E3108" s="279" t="s">
        <v>3434</v>
      </c>
      <c r="F3108" s="284">
        <f t="shared" ca="1" si="96"/>
        <v>0.28629150166033457</v>
      </c>
      <c r="G3108" s="74">
        <v>38.436276274390529</v>
      </c>
      <c r="H3108" s="74">
        <f t="shared" si="97"/>
        <v>2.0581240689419928</v>
      </c>
    </row>
    <row r="3109" spans="5:8" ht="15.6">
      <c r="E3109" s="279" t="s">
        <v>3435</v>
      </c>
      <c r="F3109" s="284">
        <f t="shared" ca="1" si="96"/>
        <v>0.11111953346537906</v>
      </c>
      <c r="G3109" s="74">
        <v>38.319389769273386</v>
      </c>
      <c r="H3109" s="74">
        <f t="shared" si="97"/>
        <v>2.1750105740591366</v>
      </c>
    </row>
    <row r="3110" spans="5:8" ht="15.6">
      <c r="E3110" s="279" t="s">
        <v>3436</v>
      </c>
      <c r="F3110" s="284">
        <f t="shared" ca="1" si="96"/>
        <v>0.94462400438459959</v>
      </c>
      <c r="G3110" s="74">
        <v>35.007895462765994</v>
      </c>
      <c r="H3110" s="74">
        <f t="shared" si="97"/>
        <v>5.4865048805665282</v>
      </c>
    </row>
    <row r="3111" spans="5:8" ht="15.6">
      <c r="E3111" s="279" t="s">
        <v>3437</v>
      </c>
      <c r="F3111" s="284">
        <f t="shared" ca="1" si="96"/>
        <v>0.65119016694860721</v>
      </c>
      <c r="G3111" s="74">
        <v>36.793578666691431</v>
      </c>
      <c r="H3111" s="74">
        <f t="shared" si="97"/>
        <v>3.7008216766410911</v>
      </c>
    </row>
    <row r="3112" spans="5:8" ht="15.6">
      <c r="E3112" s="279" t="s">
        <v>3438</v>
      </c>
      <c r="F3112" s="284">
        <f t="shared" ca="1" si="96"/>
        <v>0.25352104782816698</v>
      </c>
      <c r="G3112" s="74">
        <v>39.845004095559361</v>
      </c>
      <c r="H3112" s="74">
        <f t="shared" si="97"/>
        <v>0.64939624777316141</v>
      </c>
    </row>
    <row r="3113" spans="5:8" ht="15.6">
      <c r="E3113" s="279" t="s">
        <v>3439</v>
      </c>
      <c r="F3113" s="284">
        <f t="shared" ca="1" si="96"/>
        <v>0.35855147703826384</v>
      </c>
      <c r="G3113" s="74">
        <v>37.029616546993367</v>
      </c>
      <c r="H3113" s="74">
        <f t="shared" si="97"/>
        <v>3.4647837963391552</v>
      </c>
    </row>
    <row r="3114" spans="5:8" ht="15.6">
      <c r="E3114" s="279" t="s">
        <v>3440</v>
      </c>
      <c r="F3114" s="284">
        <f t="shared" ca="1" si="96"/>
        <v>0.38121554048619677</v>
      </c>
      <c r="G3114" s="74">
        <v>38.182547738800984</v>
      </c>
      <c r="H3114" s="74">
        <f t="shared" si="97"/>
        <v>2.3118526045315377</v>
      </c>
    </row>
    <row r="3115" spans="5:8" ht="15.6">
      <c r="E3115" s="279" t="s">
        <v>3441</v>
      </c>
      <c r="F3115" s="284">
        <f t="shared" ca="1" si="96"/>
        <v>0.10269823941142631</v>
      </c>
      <c r="G3115" s="74">
        <v>37.434956101190458</v>
      </c>
      <c r="H3115" s="74">
        <f t="shared" si="97"/>
        <v>3.0594442421420638</v>
      </c>
    </row>
    <row r="3116" spans="5:8" ht="15.6">
      <c r="E3116" s="279" t="s">
        <v>3442</v>
      </c>
      <c r="F3116" s="284">
        <f t="shared" ca="1" si="96"/>
        <v>0.54720409820546434</v>
      </c>
      <c r="G3116" s="74">
        <v>39.292196486316804</v>
      </c>
      <c r="H3116" s="74">
        <f t="shared" si="97"/>
        <v>1.2022038570157179</v>
      </c>
    </row>
    <row r="3117" spans="5:8" ht="15.6">
      <c r="E3117" s="279" t="s">
        <v>3443</v>
      </c>
      <c r="F3117" s="284">
        <f t="shared" ca="1" si="96"/>
        <v>0.32593448941698577</v>
      </c>
      <c r="G3117" s="74">
        <v>43.291042456717015</v>
      </c>
      <c r="H3117" s="74">
        <f t="shared" si="97"/>
        <v>-2.7966421133844932</v>
      </c>
    </row>
    <row r="3118" spans="5:8" ht="15.6">
      <c r="E3118" s="279" t="s">
        <v>3444</v>
      </c>
      <c r="F3118" s="284">
        <f t="shared" ca="1" si="96"/>
        <v>0.48223142889585568</v>
      </c>
      <c r="G3118" s="74">
        <v>42.238714884325304</v>
      </c>
      <c r="H3118" s="74">
        <f t="shared" si="97"/>
        <v>-1.7443145409927823</v>
      </c>
    </row>
    <row r="3119" spans="5:8" ht="15.6">
      <c r="E3119" s="279" t="s">
        <v>3445</v>
      </c>
      <c r="F3119" s="284">
        <f t="shared" ca="1" si="96"/>
        <v>0.36927132611884139</v>
      </c>
      <c r="G3119" s="74">
        <v>42.001925203396276</v>
      </c>
      <c r="H3119" s="74">
        <f t="shared" si="97"/>
        <v>-1.5075248600637536</v>
      </c>
    </row>
    <row r="3120" spans="5:8" ht="15.6">
      <c r="E3120" s="279" t="s">
        <v>3446</v>
      </c>
      <c r="F3120" s="284">
        <f t="shared" ca="1" si="96"/>
        <v>0.55571621644220193</v>
      </c>
      <c r="G3120" s="74">
        <v>42.817448393676322</v>
      </c>
      <c r="H3120" s="74">
        <f t="shared" si="97"/>
        <v>-2.3230480503438002</v>
      </c>
    </row>
    <row r="3121" spans="5:8" ht="15.6">
      <c r="E3121" s="279" t="s">
        <v>3447</v>
      </c>
      <c r="F3121" s="284">
        <f t="shared" ca="1" si="96"/>
        <v>0.87513771420850262</v>
      </c>
      <c r="G3121" s="74">
        <v>39.69644914533923</v>
      </c>
      <c r="H3121" s="74">
        <f t="shared" si="97"/>
        <v>0.79795119799329228</v>
      </c>
    </row>
    <row r="3122" spans="5:8" ht="15.6">
      <c r="E3122" s="279" t="s">
        <v>3448</v>
      </c>
      <c r="F3122" s="284">
        <f t="shared" ca="1" si="96"/>
        <v>0.31694014679470173</v>
      </c>
      <c r="G3122" s="74">
        <v>41.85257149054452</v>
      </c>
      <c r="H3122" s="74">
        <f t="shared" si="97"/>
        <v>-1.3581711472119977</v>
      </c>
    </row>
    <row r="3123" spans="5:8" ht="15.6">
      <c r="E3123" s="279" t="s">
        <v>3449</v>
      </c>
      <c r="F3123" s="284">
        <f t="shared" ca="1" si="96"/>
        <v>0.88373123318667079</v>
      </c>
      <c r="G3123" s="74">
        <v>39.134536189101624</v>
      </c>
      <c r="H3123" s="74">
        <f t="shared" si="97"/>
        <v>1.3598641542308982</v>
      </c>
    </row>
    <row r="3124" spans="5:8" ht="15.6">
      <c r="E3124" s="279" t="s">
        <v>3450</v>
      </c>
      <c r="F3124" s="284">
        <f t="shared" ca="1" si="96"/>
        <v>0.58894441780090478</v>
      </c>
      <c r="G3124" s="74">
        <v>34.394813896557523</v>
      </c>
      <c r="H3124" s="74">
        <f t="shared" si="97"/>
        <v>6.0995864467749996</v>
      </c>
    </row>
    <row r="3125" spans="5:8" ht="15.6">
      <c r="E3125" s="279" t="s">
        <v>3451</v>
      </c>
      <c r="F3125" s="284">
        <f t="shared" ca="1" si="96"/>
        <v>0.5621092855735772</v>
      </c>
      <c r="G3125" s="74">
        <v>41.208006803725944</v>
      </c>
      <c r="H3125" s="74">
        <f t="shared" si="97"/>
        <v>-0.71360646039342157</v>
      </c>
    </row>
    <row r="3126" spans="5:8" ht="15.6">
      <c r="E3126" s="279" t="s">
        <v>3452</v>
      </c>
      <c r="F3126" s="284">
        <f t="shared" ca="1" si="96"/>
        <v>0.30992050554560002</v>
      </c>
      <c r="G3126" s="74">
        <v>37.26977322775992</v>
      </c>
      <c r="H3126" s="74">
        <f t="shared" si="97"/>
        <v>3.2246271155726021</v>
      </c>
    </row>
    <row r="3127" spans="5:8" ht="15.6">
      <c r="E3127" s="279" t="s">
        <v>3453</v>
      </c>
      <c r="F3127" s="284">
        <f t="shared" ca="1" si="96"/>
        <v>0.87479085280907709</v>
      </c>
      <c r="G3127" s="74">
        <v>37.782511577426334</v>
      </c>
      <c r="H3127" s="74">
        <f t="shared" si="97"/>
        <v>2.7118887659061883</v>
      </c>
    </row>
    <row r="3128" spans="5:8" ht="15.6">
      <c r="E3128" s="279" t="s">
        <v>3454</v>
      </c>
      <c r="F3128" s="284">
        <f t="shared" ca="1" si="96"/>
        <v>6.2572440290851294E-2</v>
      </c>
      <c r="G3128" s="74">
        <v>42.147999782028748</v>
      </c>
      <c r="H3128" s="74">
        <f t="shared" si="97"/>
        <v>-1.6535994386962258</v>
      </c>
    </row>
    <row r="3129" spans="5:8" ht="15.6">
      <c r="E3129" s="279" t="s">
        <v>3455</v>
      </c>
      <c r="F3129" s="284">
        <f t="shared" ca="1" si="96"/>
        <v>0.19893466150237327</v>
      </c>
      <c r="G3129" s="74">
        <v>36.435549921920362</v>
      </c>
      <c r="H3129" s="74">
        <f t="shared" si="97"/>
        <v>4.0588504214121599</v>
      </c>
    </row>
    <row r="3130" spans="5:8" ht="15.6">
      <c r="E3130" s="279" t="s">
        <v>3456</v>
      </c>
      <c r="F3130" s="284">
        <f t="shared" ca="1" si="96"/>
        <v>0.26237186750189989</v>
      </c>
      <c r="G3130" s="74">
        <v>43.158941797364101</v>
      </c>
      <c r="H3130" s="74">
        <f t="shared" si="97"/>
        <v>-2.6645414540315784</v>
      </c>
    </row>
    <row r="3131" spans="5:8" ht="15.6">
      <c r="E3131" s="279" t="s">
        <v>3457</v>
      </c>
      <c r="F3131" s="284">
        <f t="shared" ca="1" si="96"/>
        <v>0.91690354429798748</v>
      </c>
      <c r="G3131" s="74">
        <v>40.385803018346799</v>
      </c>
      <c r="H3131" s="74">
        <f t="shared" si="97"/>
        <v>0.10859732498572328</v>
      </c>
    </row>
    <row r="3132" spans="5:8" ht="15.6">
      <c r="E3132" s="279" t="s">
        <v>3458</v>
      </c>
      <c r="F3132" s="284">
        <f t="shared" ca="1" si="96"/>
        <v>0.75726909701963052</v>
      </c>
      <c r="G3132" s="74">
        <v>38.46971003611938</v>
      </c>
      <c r="H3132" s="74">
        <f t="shared" si="97"/>
        <v>2.0246903072131417</v>
      </c>
    </row>
    <row r="3133" spans="5:8" ht="15.6">
      <c r="E3133" s="279" t="s">
        <v>3459</v>
      </c>
      <c r="F3133" s="284">
        <f t="shared" ca="1" si="96"/>
        <v>0.1046245064854564</v>
      </c>
      <c r="G3133" s="74">
        <v>37.743645547303011</v>
      </c>
      <c r="H3133" s="74">
        <f t="shared" si="97"/>
        <v>2.7507547960295113</v>
      </c>
    </row>
    <row r="3134" spans="5:8" ht="15.6">
      <c r="E3134" s="279" t="s">
        <v>3460</v>
      </c>
      <c r="F3134" s="284">
        <f t="shared" ca="1" si="96"/>
        <v>0.68403479974898862</v>
      </c>
      <c r="G3134" s="74">
        <v>43.644936140432996</v>
      </c>
      <c r="H3134" s="74">
        <f t="shared" si="97"/>
        <v>-3.1505357971004742</v>
      </c>
    </row>
    <row r="3135" spans="5:8" ht="15.6">
      <c r="E3135" s="279" t="s">
        <v>3461</v>
      </c>
      <c r="F3135" s="284">
        <f t="shared" ca="1" si="96"/>
        <v>0.13632977566208648</v>
      </c>
      <c r="G3135" s="74">
        <v>38.140928916897344</v>
      </c>
      <c r="H3135" s="74">
        <f t="shared" si="97"/>
        <v>2.3534714264351777</v>
      </c>
    </row>
    <row r="3136" spans="5:8" ht="15.6">
      <c r="E3136" s="279" t="s">
        <v>3462</v>
      </c>
      <c r="F3136" s="284">
        <f t="shared" ca="1" si="96"/>
        <v>0.70113183492883036</v>
      </c>
      <c r="G3136" s="74">
        <v>40.219115135583657</v>
      </c>
      <c r="H3136" s="74">
        <f t="shared" si="97"/>
        <v>0.27528520774886545</v>
      </c>
    </row>
    <row r="3137" spans="5:8" ht="15.6">
      <c r="E3137" s="279" t="s">
        <v>3463</v>
      </c>
      <c r="F3137" s="284">
        <f t="shared" ca="1" si="96"/>
        <v>0.1391018556916187</v>
      </c>
      <c r="G3137" s="74">
        <v>37.201268035887402</v>
      </c>
      <c r="H3137" s="74">
        <f t="shared" si="97"/>
        <v>3.29313230744512</v>
      </c>
    </row>
    <row r="3138" spans="5:8" ht="15.6">
      <c r="E3138" s="279" t="s">
        <v>3464</v>
      </c>
      <c r="F3138" s="284">
        <f t="shared" ca="1" si="96"/>
        <v>1.4935256163432831E-2</v>
      </c>
      <c r="G3138" s="74">
        <v>37.15515983911807</v>
      </c>
      <c r="H3138" s="74">
        <f t="shared" si="97"/>
        <v>3.3392405042144517</v>
      </c>
    </row>
    <row r="3139" spans="5:8" ht="15.6">
      <c r="E3139" s="279" t="s">
        <v>3465</v>
      </c>
      <c r="F3139" s="284">
        <f t="shared" ca="1" si="96"/>
        <v>0.32424786150160079</v>
      </c>
      <c r="G3139" s="74">
        <v>39.139959986069471</v>
      </c>
      <c r="H3139" s="74">
        <f t="shared" si="97"/>
        <v>1.3544403572630515</v>
      </c>
    </row>
    <row r="3140" spans="5:8" ht="15.6">
      <c r="E3140" s="279" t="s">
        <v>3466</v>
      </c>
      <c r="F3140" s="284">
        <f t="shared" ca="1" si="96"/>
        <v>0.83712090434588737</v>
      </c>
      <c r="G3140" s="74">
        <v>40.864584208436682</v>
      </c>
      <c r="H3140" s="74">
        <f t="shared" si="97"/>
        <v>-0.37018386510415979</v>
      </c>
    </row>
    <row r="3141" spans="5:8" ht="15.6">
      <c r="E3141" s="279" t="s">
        <v>3467</v>
      </c>
      <c r="F3141" s="284">
        <f t="shared" ca="1" si="96"/>
        <v>9.0256423742624103E-2</v>
      </c>
      <c r="G3141" s="74">
        <v>40.989568277714241</v>
      </c>
      <c r="H3141" s="74">
        <f t="shared" si="97"/>
        <v>-0.49516793438171902</v>
      </c>
    </row>
    <row r="3142" spans="5:8" ht="15.6">
      <c r="E3142" s="279" t="s">
        <v>3468</v>
      </c>
      <c r="F3142" s="284">
        <f t="shared" ca="1" si="96"/>
        <v>0.55957090900407658</v>
      </c>
      <c r="G3142" s="74">
        <v>40.429625174359863</v>
      </c>
      <c r="H3142" s="74">
        <f t="shared" si="97"/>
        <v>6.4775168972659003E-2</v>
      </c>
    </row>
    <row r="3143" spans="5:8" ht="15.6">
      <c r="E3143" s="279" t="s">
        <v>3469</v>
      </c>
      <c r="F3143" s="284">
        <f t="shared" ca="1" si="96"/>
        <v>0.36847189777823075</v>
      </c>
      <c r="G3143" s="74">
        <v>39.176717742135786</v>
      </c>
      <c r="H3143" s="74">
        <f t="shared" si="97"/>
        <v>1.3176826011967364</v>
      </c>
    </row>
    <row r="3144" spans="5:8" ht="15.6">
      <c r="E3144" s="279" t="s">
        <v>3470</v>
      </c>
      <c r="F3144" s="284">
        <f t="shared" ca="1" si="96"/>
        <v>0.73050895390104087</v>
      </c>
      <c r="G3144" s="74">
        <v>37.334503863581489</v>
      </c>
      <c r="H3144" s="74">
        <f t="shared" si="97"/>
        <v>3.1598964797510334</v>
      </c>
    </row>
    <row r="3145" spans="5:8" ht="15.6">
      <c r="E3145" s="279" t="s">
        <v>3471</v>
      </c>
      <c r="F3145" s="284">
        <f t="shared" ca="1" si="96"/>
        <v>0.21542996568959838</v>
      </c>
      <c r="G3145" s="74">
        <v>36.451875784408088</v>
      </c>
      <c r="H3145" s="74">
        <f t="shared" si="97"/>
        <v>4.0425245589244341</v>
      </c>
    </row>
    <row r="3146" spans="5:8" ht="15.6">
      <c r="E3146" s="279" t="s">
        <v>3472</v>
      </c>
      <c r="F3146" s="284">
        <f t="shared" ca="1" si="96"/>
        <v>0.61947251026816064</v>
      </c>
      <c r="G3146" s="74">
        <v>37.514927166225988</v>
      </c>
      <c r="H3146" s="74">
        <f t="shared" si="97"/>
        <v>2.9794731771065344</v>
      </c>
    </row>
    <row r="3147" spans="5:8" ht="15.6">
      <c r="E3147" s="279" t="s">
        <v>3473</v>
      </c>
      <c r="F3147" s="284">
        <f t="shared" ca="1" si="96"/>
        <v>0.59608452172907767</v>
      </c>
      <c r="G3147" s="74">
        <v>39.988113103849223</v>
      </c>
      <c r="H3147" s="74">
        <f t="shared" si="97"/>
        <v>0.50628723948329935</v>
      </c>
    </row>
    <row r="3148" spans="5:8" ht="15.6">
      <c r="E3148" s="279" t="s">
        <v>3474</v>
      </c>
      <c r="F3148" s="284">
        <f t="shared" ref="F3148:F3211" ca="1" si="98">RAND()</f>
        <v>0.66816831882694949</v>
      </c>
      <c r="G3148" s="74">
        <v>37.568507827396481</v>
      </c>
      <c r="H3148" s="74">
        <f t="shared" ref="H3148:H3211" si="99">$D$2-G3148</f>
        <v>2.9258925159360416</v>
      </c>
    </row>
    <row r="3149" spans="5:8" ht="15.6">
      <c r="E3149" s="279" t="s">
        <v>3475</v>
      </c>
      <c r="F3149" s="284">
        <f t="shared" ca="1" si="98"/>
        <v>0.57543444166837421</v>
      </c>
      <c r="G3149" s="74">
        <v>39.94539536187763</v>
      </c>
      <c r="H3149" s="74">
        <f t="shared" si="99"/>
        <v>0.54900498145489252</v>
      </c>
    </row>
    <row r="3150" spans="5:8" ht="15.6">
      <c r="E3150" s="279" t="s">
        <v>3476</v>
      </c>
      <c r="F3150" s="284">
        <f t="shared" ca="1" si="98"/>
        <v>0.44069565831337021</v>
      </c>
      <c r="G3150" s="74">
        <v>36.657776697295525</v>
      </c>
      <c r="H3150" s="74">
        <f t="shared" si="99"/>
        <v>3.8366236460369976</v>
      </c>
    </row>
    <row r="3151" spans="5:8" ht="15.6">
      <c r="E3151" s="279" t="s">
        <v>3477</v>
      </c>
      <c r="F3151" s="284">
        <f t="shared" ca="1" si="98"/>
        <v>4.8166617055671601E-3</v>
      </c>
      <c r="G3151" s="74">
        <v>48.218864388122746</v>
      </c>
      <c r="H3151" s="74">
        <f t="shared" si="99"/>
        <v>-7.7244640447902242</v>
      </c>
    </row>
    <row r="3152" spans="5:8" ht="15.6">
      <c r="E3152" s="279" t="s">
        <v>3478</v>
      </c>
      <c r="F3152" s="284">
        <f t="shared" ca="1" si="98"/>
        <v>0.36376156119883041</v>
      </c>
      <c r="G3152" s="74">
        <v>39.298160537676424</v>
      </c>
      <c r="H3152" s="74">
        <f t="shared" si="99"/>
        <v>1.1962398056560986</v>
      </c>
    </row>
    <row r="3153" spans="5:8" ht="15.6">
      <c r="E3153" s="279" t="s">
        <v>3479</v>
      </c>
      <c r="F3153" s="284">
        <f t="shared" ca="1" si="98"/>
        <v>0.86726031211717869</v>
      </c>
      <c r="G3153" s="74">
        <v>37.612490875542584</v>
      </c>
      <c r="H3153" s="74">
        <f t="shared" si="99"/>
        <v>2.8819094677899386</v>
      </c>
    </row>
    <row r="3154" spans="5:8" ht="15.6">
      <c r="E3154" s="279" t="s">
        <v>3480</v>
      </c>
      <c r="F3154" s="284">
        <f t="shared" ca="1" si="98"/>
        <v>0.58904094925913331</v>
      </c>
      <c r="G3154" s="74">
        <v>36.195598007109091</v>
      </c>
      <c r="H3154" s="74">
        <f t="shared" si="99"/>
        <v>4.2988023362234316</v>
      </c>
    </row>
    <row r="3155" spans="5:8" ht="15.6">
      <c r="E3155" s="279" t="s">
        <v>3481</v>
      </c>
      <c r="F3155" s="284">
        <f t="shared" ca="1" si="98"/>
        <v>0.14469862191579097</v>
      </c>
      <c r="G3155" s="74">
        <v>41.705693795360489</v>
      </c>
      <c r="H3155" s="74">
        <f t="shared" si="99"/>
        <v>-1.2112934520279666</v>
      </c>
    </row>
    <row r="3156" spans="5:8" ht="15.6">
      <c r="E3156" s="279" t="s">
        <v>3482</v>
      </c>
      <c r="F3156" s="284">
        <f t="shared" ca="1" si="98"/>
        <v>0.50442117072970449</v>
      </c>
      <c r="G3156" s="74">
        <v>37.363323662443229</v>
      </c>
      <c r="H3156" s="74">
        <f t="shared" si="99"/>
        <v>3.1310766808892936</v>
      </c>
    </row>
    <row r="3157" spans="5:8" ht="15.6">
      <c r="E3157" s="279" t="s">
        <v>3483</v>
      </c>
      <c r="F3157" s="284">
        <f t="shared" ca="1" si="98"/>
        <v>4.4306403307132203E-2</v>
      </c>
      <c r="G3157" s="74">
        <v>44.109892146151736</v>
      </c>
      <c r="H3157" s="74">
        <f t="shared" si="99"/>
        <v>-3.6154918028192142</v>
      </c>
    </row>
    <row r="3158" spans="5:8" ht="15.6">
      <c r="E3158" s="279" t="s">
        <v>3484</v>
      </c>
      <c r="F3158" s="284">
        <f t="shared" ca="1" si="98"/>
        <v>0.60607926195088846</v>
      </c>
      <c r="G3158" s="74">
        <v>35.599089194440175</v>
      </c>
      <c r="H3158" s="74">
        <f t="shared" si="99"/>
        <v>4.8953111488923469</v>
      </c>
    </row>
    <row r="3159" spans="5:8" ht="15.6">
      <c r="E3159" s="279" t="s">
        <v>3485</v>
      </c>
      <c r="F3159" s="284">
        <f t="shared" ca="1" si="98"/>
        <v>0.20006584505403746</v>
      </c>
      <c r="G3159" s="74">
        <v>39.190166761792241</v>
      </c>
      <c r="H3159" s="74">
        <f t="shared" si="99"/>
        <v>1.3042335815402808</v>
      </c>
    </row>
    <row r="3160" spans="5:8" ht="15.6">
      <c r="E3160" s="279" t="s">
        <v>3486</v>
      </c>
      <c r="F3160" s="284">
        <f t="shared" ca="1" si="98"/>
        <v>0.97784247165910154</v>
      </c>
      <c r="G3160" s="74">
        <v>41.287734190721821</v>
      </c>
      <c r="H3160" s="74">
        <f t="shared" si="99"/>
        <v>-0.7933338473892988</v>
      </c>
    </row>
    <row r="3161" spans="5:8" ht="15.6">
      <c r="E3161" s="279" t="s">
        <v>3487</v>
      </c>
      <c r="F3161" s="284">
        <f t="shared" ca="1" si="98"/>
        <v>0.18919225813167184</v>
      </c>
      <c r="G3161" s="74">
        <v>40.727627899273308</v>
      </c>
      <c r="H3161" s="74">
        <f t="shared" si="99"/>
        <v>-0.23322755594078615</v>
      </c>
    </row>
    <row r="3162" spans="5:8" ht="15.6">
      <c r="E3162" s="279" t="s">
        <v>3488</v>
      </c>
      <c r="F3162" s="284">
        <f t="shared" ca="1" si="98"/>
        <v>0.22495320462131163</v>
      </c>
      <c r="G3162" s="74">
        <v>37.486165837650702</v>
      </c>
      <c r="H3162" s="74">
        <f t="shared" si="99"/>
        <v>3.0082345056818198</v>
      </c>
    </row>
    <row r="3163" spans="5:8" ht="15.6">
      <c r="E3163" s="279" t="s">
        <v>3489</v>
      </c>
      <c r="F3163" s="284">
        <f t="shared" ca="1" si="98"/>
        <v>0.90140338535233966</v>
      </c>
      <c r="G3163" s="74">
        <v>42.320476950648512</v>
      </c>
      <c r="H3163" s="74">
        <f t="shared" si="99"/>
        <v>-1.82607660731599</v>
      </c>
    </row>
    <row r="3164" spans="5:8" ht="15.6">
      <c r="E3164" s="279" t="s">
        <v>3490</v>
      </c>
      <c r="F3164" s="284">
        <f t="shared" ca="1" si="98"/>
        <v>0.96120792712039593</v>
      </c>
      <c r="G3164" s="74">
        <v>42.241272962188816</v>
      </c>
      <c r="H3164" s="74">
        <f t="shared" si="99"/>
        <v>-1.746872618856294</v>
      </c>
    </row>
    <row r="3165" spans="5:8" ht="15.6">
      <c r="E3165" s="279" t="s">
        <v>3491</v>
      </c>
      <c r="F3165" s="284">
        <f t="shared" ca="1" si="98"/>
        <v>0.45985982118631719</v>
      </c>
      <c r="G3165" s="74">
        <v>38.893603683728422</v>
      </c>
      <c r="H3165" s="74">
        <f t="shared" si="99"/>
        <v>1.6007966596041001</v>
      </c>
    </row>
    <row r="3166" spans="5:8" ht="15.6">
      <c r="E3166" s="279" t="s">
        <v>3492</v>
      </c>
      <c r="F3166" s="284">
        <f t="shared" ca="1" si="98"/>
        <v>0.1498084727318818</v>
      </c>
      <c r="G3166" s="74">
        <v>41.084443938169557</v>
      </c>
      <c r="H3166" s="74">
        <f t="shared" si="99"/>
        <v>-0.59004359483703439</v>
      </c>
    </row>
    <row r="3167" spans="5:8" ht="15.6">
      <c r="E3167" s="279" t="s">
        <v>3493</v>
      </c>
      <c r="F3167" s="284">
        <f t="shared" ca="1" si="98"/>
        <v>0.91942682593915914</v>
      </c>
      <c r="G3167" s="74">
        <v>42.660972639971099</v>
      </c>
      <c r="H3167" s="74">
        <f t="shared" si="99"/>
        <v>-2.1665722966385772</v>
      </c>
    </row>
    <row r="3168" spans="5:8" ht="15.6">
      <c r="E3168" s="279" t="s">
        <v>3494</v>
      </c>
      <c r="F3168" s="284">
        <f t="shared" ca="1" si="98"/>
        <v>0.40593326785961759</v>
      </c>
      <c r="G3168" s="74">
        <v>39.823148830846186</v>
      </c>
      <c r="H3168" s="74">
        <f t="shared" si="99"/>
        <v>0.67125151248633586</v>
      </c>
    </row>
    <row r="3169" spans="5:8" ht="15.6">
      <c r="E3169" s="279" t="s">
        <v>3495</v>
      </c>
      <c r="F3169" s="284">
        <f t="shared" ca="1" si="98"/>
        <v>0.57856968110383777</v>
      </c>
      <c r="G3169" s="74">
        <v>41.467792608083428</v>
      </c>
      <c r="H3169" s="74">
        <f t="shared" si="99"/>
        <v>-0.97339226475090612</v>
      </c>
    </row>
    <row r="3170" spans="5:8" ht="15.6">
      <c r="E3170" s="279" t="s">
        <v>3496</v>
      </c>
      <c r="F3170" s="284">
        <f t="shared" ca="1" si="98"/>
        <v>0.71396050374289122</v>
      </c>
      <c r="G3170" s="74">
        <v>36.086467677680403</v>
      </c>
      <c r="H3170" s="74">
        <f t="shared" si="99"/>
        <v>4.4079326656521189</v>
      </c>
    </row>
    <row r="3171" spans="5:8" ht="15.6">
      <c r="E3171" s="279" t="s">
        <v>3497</v>
      </c>
      <c r="F3171" s="284">
        <f t="shared" ca="1" si="98"/>
        <v>4.5821969286283792E-3</v>
      </c>
      <c r="G3171" s="74">
        <v>40.750984147374631</v>
      </c>
      <c r="H3171" s="74">
        <f t="shared" si="99"/>
        <v>-0.25658380404210845</v>
      </c>
    </row>
    <row r="3172" spans="5:8" ht="15.6">
      <c r="E3172" s="279" t="s">
        <v>3498</v>
      </c>
      <c r="F3172" s="284">
        <f t="shared" ca="1" si="98"/>
        <v>0.65370755269588188</v>
      </c>
      <c r="G3172" s="74">
        <v>36.020688921903989</v>
      </c>
      <c r="H3172" s="74">
        <f t="shared" si="99"/>
        <v>4.4737114214285327</v>
      </c>
    </row>
    <row r="3173" spans="5:8" ht="15.6">
      <c r="E3173" s="279" t="s">
        <v>3499</v>
      </c>
      <c r="F3173" s="284">
        <f t="shared" ca="1" si="98"/>
        <v>0.48619504262700608</v>
      </c>
      <c r="G3173" s="74">
        <v>38.625703254155454</v>
      </c>
      <c r="H3173" s="74">
        <f t="shared" si="99"/>
        <v>1.8686970891770684</v>
      </c>
    </row>
    <row r="3174" spans="5:8" ht="15.6">
      <c r="E3174" s="279" t="s">
        <v>3500</v>
      </c>
      <c r="F3174" s="284">
        <f t="shared" ca="1" si="98"/>
        <v>0.8604890478235947</v>
      </c>
      <c r="G3174" s="74">
        <v>41.811519885669959</v>
      </c>
      <c r="H3174" s="74">
        <f t="shared" si="99"/>
        <v>-1.3171195423374371</v>
      </c>
    </row>
    <row r="3175" spans="5:8" ht="15.6">
      <c r="E3175" s="279" t="s">
        <v>3501</v>
      </c>
      <c r="F3175" s="284">
        <f t="shared" ca="1" si="98"/>
        <v>0.83435003232269855</v>
      </c>
      <c r="G3175" s="74">
        <v>39.528499856101888</v>
      </c>
      <c r="H3175" s="74">
        <f t="shared" si="99"/>
        <v>0.96590048723063404</v>
      </c>
    </row>
    <row r="3176" spans="5:8" ht="15.6">
      <c r="E3176" s="279" t="s">
        <v>3502</v>
      </c>
      <c r="F3176" s="284">
        <f t="shared" ca="1" si="98"/>
        <v>0.45405790297889992</v>
      </c>
      <c r="G3176" s="74">
        <v>35.600421191243839</v>
      </c>
      <c r="H3176" s="74">
        <f t="shared" si="99"/>
        <v>4.8939791520886828</v>
      </c>
    </row>
    <row r="3177" spans="5:8" ht="15.6">
      <c r="E3177" s="279" t="s">
        <v>3503</v>
      </c>
      <c r="F3177" s="284">
        <f t="shared" ca="1" si="98"/>
        <v>0.12856383193669463</v>
      </c>
      <c r="G3177" s="74">
        <v>38.88612450493094</v>
      </c>
      <c r="H3177" s="74">
        <f t="shared" si="99"/>
        <v>1.6082758384015818</v>
      </c>
    </row>
    <row r="3178" spans="5:8" ht="15.6">
      <c r="E3178" s="279" t="s">
        <v>3504</v>
      </c>
      <c r="F3178" s="284">
        <f t="shared" ca="1" si="98"/>
        <v>0.8479998376493415</v>
      </c>
      <c r="G3178" s="74">
        <v>40.413852374799795</v>
      </c>
      <c r="H3178" s="74">
        <f t="shared" si="99"/>
        <v>8.0547968532727054E-2</v>
      </c>
    </row>
    <row r="3179" spans="5:8" ht="15.6">
      <c r="E3179" s="279" t="s">
        <v>3505</v>
      </c>
      <c r="F3179" s="284">
        <f t="shared" ca="1" si="98"/>
        <v>4.3922642143995771E-2</v>
      </c>
      <c r="G3179" s="74">
        <v>45.875930893608469</v>
      </c>
      <c r="H3179" s="74">
        <f t="shared" si="99"/>
        <v>-5.3815305502759472</v>
      </c>
    </row>
    <row r="3180" spans="5:8" ht="15.6">
      <c r="E3180" s="279" t="s">
        <v>3506</v>
      </c>
      <c r="F3180" s="284">
        <f t="shared" ca="1" si="98"/>
        <v>0.42217395102879962</v>
      </c>
      <c r="G3180" s="74">
        <v>42.178089578342231</v>
      </c>
      <c r="H3180" s="74">
        <f t="shared" si="99"/>
        <v>-1.6836892350097088</v>
      </c>
    </row>
    <row r="3181" spans="5:8" ht="15.6">
      <c r="E3181" s="279" t="s">
        <v>3507</v>
      </c>
      <c r="F3181" s="284">
        <f t="shared" ca="1" si="98"/>
        <v>0.50286701484708296</v>
      </c>
      <c r="G3181" s="74">
        <v>42.392925975893561</v>
      </c>
      <c r="H3181" s="74">
        <f t="shared" si="99"/>
        <v>-1.8985256325610393</v>
      </c>
    </row>
    <row r="3182" spans="5:8" ht="15.6">
      <c r="E3182" s="279" t="s">
        <v>3508</v>
      </c>
      <c r="F3182" s="284">
        <f t="shared" ca="1" si="98"/>
        <v>0.40441529089812778</v>
      </c>
      <c r="G3182" s="74">
        <v>39.719735604253934</v>
      </c>
      <c r="H3182" s="74">
        <f t="shared" si="99"/>
        <v>0.77466473907858813</v>
      </c>
    </row>
    <row r="3183" spans="5:8" ht="15.6">
      <c r="E3183" s="279" t="s">
        <v>3509</v>
      </c>
      <c r="F3183" s="284">
        <f t="shared" ca="1" si="98"/>
        <v>0.53517585405731394</v>
      </c>
      <c r="G3183" s="74">
        <v>40.457468203326215</v>
      </c>
      <c r="H3183" s="74">
        <f t="shared" si="99"/>
        <v>3.6932140006307179E-2</v>
      </c>
    </row>
    <row r="3184" spans="5:8" ht="15.6">
      <c r="E3184" s="279" t="s">
        <v>3510</v>
      </c>
      <c r="F3184" s="284">
        <f t="shared" ca="1" si="98"/>
        <v>0.9176908101145379</v>
      </c>
      <c r="G3184" s="74">
        <v>42.482118172370384</v>
      </c>
      <c r="H3184" s="74">
        <f t="shared" si="99"/>
        <v>-1.9877178290378623</v>
      </c>
    </row>
    <row r="3185" spans="5:8" ht="15.6">
      <c r="E3185" s="279" t="s">
        <v>3511</v>
      </c>
      <c r="F3185" s="284">
        <f t="shared" ca="1" si="98"/>
        <v>0.63647460449559423</v>
      </c>
      <c r="G3185" s="74">
        <v>40.177026175350683</v>
      </c>
      <c r="H3185" s="74">
        <f t="shared" si="99"/>
        <v>0.31737416798183915</v>
      </c>
    </row>
    <row r="3186" spans="5:8" ht="15.6">
      <c r="E3186" s="279" t="s">
        <v>3512</v>
      </c>
      <c r="F3186" s="284">
        <f t="shared" ca="1" si="98"/>
        <v>0.4635347230893867</v>
      </c>
      <c r="G3186" s="74">
        <v>37.931565608793868</v>
      </c>
      <c r="H3186" s="74">
        <f t="shared" si="99"/>
        <v>2.5628347345386544</v>
      </c>
    </row>
    <row r="3187" spans="5:8" ht="15.6">
      <c r="E3187" s="279" t="s">
        <v>3513</v>
      </c>
      <c r="F3187" s="284">
        <f t="shared" ca="1" si="98"/>
        <v>0.95701976865058791</v>
      </c>
      <c r="G3187" s="74">
        <v>40.319557086814982</v>
      </c>
      <c r="H3187" s="74">
        <f t="shared" si="99"/>
        <v>0.17484325651754062</v>
      </c>
    </row>
    <row r="3188" spans="5:8" ht="15.6">
      <c r="E3188" s="279" t="s">
        <v>3514</v>
      </c>
      <c r="F3188" s="284">
        <f t="shared" ca="1" si="98"/>
        <v>0.97327438576919767</v>
      </c>
      <c r="G3188" s="74">
        <v>37.195141407678868</v>
      </c>
      <c r="H3188" s="74">
        <f t="shared" si="99"/>
        <v>3.2992589356536541</v>
      </c>
    </row>
    <row r="3189" spans="5:8" ht="15.6">
      <c r="E3189" s="279" t="s">
        <v>3515</v>
      </c>
      <c r="F3189" s="284">
        <f t="shared" ca="1" si="98"/>
        <v>0.65756964234763671</v>
      </c>
      <c r="G3189" s="74">
        <v>38.73748120299323</v>
      </c>
      <c r="H3189" s="74">
        <f t="shared" si="99"/>
        <v>1.7569191403392921</v>
      </c>
    </row>
    <row r="3190" spans="5:8" ht="15.6">
      <c r="E3190" s="279" t="s">
        <v>3516</v>
      </c>
      <c r="F3190" s="284">
        <f t="shared" ca="1" si="98"/>
        <v>0.77384996720036747</v>
      </c>
      <c r="G3190" s="74">
        <v>38.71532105436691</v>
      </c>
      <c r="H3190" s="74">
        <f t="shared" si="99"/>
        <v>1.7790792889656117</v>
      </c>
    </row>
    <row r="3191" spans="5:8" ht="15.6">
      <c r="E3191" s="279" t="s">
        <v>3517</v>
      </c>
      <c r="F3191" s="284">
        <f t="shared" ca="1" si="98"/>
        <v>0.26619101261012712</v>
      </c>
      <c r="G3191" s="74">
        <v>38.05980787854125</v>
      </c>
      <c r="H3191" s="74">
        <f t="shared" si="99"/>
        <v>2.4345924647912724</v>
      </c>
    </row>
    <row r="3192" spans="5:8" ht="15.6">
      <c r="E3192" s="279" t="s">
        <v>3518</v>
      </c>
      <c r="F3192" s="284">
        <f t="shared" ca="1" si="98"/>
        <v>6.9142899159562288E-2</v>
      </c>
      <c r="G3192" s="74">
        <v>39.504605772759746</v>
      </c>
      <c r="H3192" s="74">
        <f t="shared" si="99"/>
        <v>0.98979457057277642</v>
      </c>
    </row>
    <row r="3193" spans="5:8" ht="15.6">
      <c r="E3193" s="279" t="s">
        <v>3519</v>
      </c>
      <c r="F3193" s="284">
        <f t="shared" ca="1" si="98"/>
        <v>2.5104555068766854E-2</v>
      </c>
      <c r="G3193" s="74">
        <v>38.086639144546233</v>
      </c>
      <c r="H3193" s="74">
        <f t="shared" si="99"/>
        <v>2.4077611987862895</v>
      </c>
    </row>
    <row r="3194" spans="5:8" ht="15.6">
      <c r="E3194" s="279" t="s">
        <v>3520</v>
      </c>
      <c r="F3194" s="284">
        <f t="shared" ca="1" si="98"/>
        <v>0.9417510847564825</v>
      </c>
      <c r="G3194" s="74">
        <v>39.534675815645706</v>
      </c>
      <c r="H3194" s="74">
        <f t="shared" si="99"/>
        <v>0.95972452768681649</v>
      </c>
    </row>
    <row r="3195" spans="5:8" ht="15.6">
      <c r="E3195" s="279" t="s">
        <v>3521</v>
      </c>
      <c r="F3195" s="284">
        <f t="shared" ca="1" si="98"/>
        <v>0.78682356769478912</v>
      </c>
      <c r="G3195" s="74">
        <v>34.27351751615064</v>
      </c>
      <c r="H3195" s="74">
        <f t="shared" si="99"/>
        <v>6.2208828271818817</v>
      </c>
    </row>
    <row r="3196" spans="5:8" ht="15.6">
      <c r="E3196" s="279" t="s">
        <v>3522</v>
      </c>
      <c r="F3196" s="284">
        <f t="shared" ca="1" si="98"/>
        <v>3.0019422523983263E-2</v>
      </c>
      <c r="G3196" s="74">
        <v>42.92989759713511</v>
      </c>
      <c r="H3196" s="74">
        <f t="shared" si="99"/>
        <v>-2.4354972538025876</v>
      </c>
    </row>
    <row r="3197" spans="5:8" ht="15.6">
      <c r="E3197" s="279" t="s">
        <v>3523</v>
      </c>
      <c r="F3197" s="284">
        <f t="shared" ca="1" si="98"/>
        <v>0.44369148481149734</v>
      </c>
      <c r="G3197" s="74">
        <v>38.479545398786492</v>
      </c>
      <c r="H3197" s="74">
        <f t="shared" si="99"/>
        <v>2.0148549445460304</v>
      </c>
    </row>
    <row r="3198" spans="5:8" ht="15.6">
      <c r="E3198" s="279" t="s">
        <v>3524</v>
      </c>
      <c r="F3198" s="284">
        <f t="shared" ca="1" si="98"/>
        <v>2.9542873525484348E-3</v>
      </c>
      <c r="G3198" s="74">
        <v>35.575496256422852</v>
      </c>
      <c r="H3198" s="74">
        <f t="shared" si="99"/>
        <v>4.9189040869096701</v>
      </c>
    </row>
    <row r="3199" spans="5:8" ht="15.6">
      <c r="E3199" s="279" t="s">
        <v>3525</v>
      </c>
      <c r="F3199" s="284">
        <f t="shared" ca="1" si="98"/>
        <v>0.99012307115217335</v>
      </c>
      <c r="G3199" s="74">
        <v>41.268636804397026</v>
      </c>
      <c r="H3199" s="74">
        <f t="shared" si="99"/>
        <v>-0.77423646106450406</v>
      </c>
    </row>
    <row r="3200" spans="5:8" ht="15.6">
      <c r="E3200" s="279" t="s">
        <v>3526</v>
      </c>
      <c r="F3200" s="284">
        <f t="shared" ca="1" si="98"/>
        <v>0.73176356506795071</v>
      </c>
      <c r="G3200" s="74">
        <v>38.323886998749281</v>
      </c>
      <c r="H3200" s="74">
        <f t="shared" si="99"/>
        <v>2.1705133445832416</v>
      </c>
    </row>
    <row r="3201" spans="5:8" ht="15.6">
      <c r="E3201" s="279" t="s">
        <v>3527</v>
      </c>
      <c r="F3201" s="284">
        <f t="shared" ca="1" si="98"/>
        <v>0.24360642002121435</v>
      </c>
      <c r="G3201" s="74">
        <v>41.714242996903671</v>
      </c>
      <c r="H3201" s="74">
        <f t="shared" si="99"/>
        <v>-1.2198426535711491</v>
      </c>
    </row>
    <row r="3202" spans="5:8" ht="15.6">
      <c r="E3202" s="279" t="s">
        <v>3528</v>
      </c>
      <c r="F3202" s="284">
        <f t="shared" ca="1" si="98"/>
        <v>0.46706350305450017</v>
      </c>
      <c r="G3202" s="74">
        <v>44.698968554162455</v>
      </c>
      <c r="H3202" s="74">
        <f t="shared" si="99"/>
        <v>-4.2045682108299332</v>
      </c>
    </row>
    <row r="3203" spans="5:8" ht="15.6">
      <c r="E3203" s="279" t="s">
        <v>3529</v>
      </c>
      <c r="F3203" s="284">
        <f t="shared" ca="1" si="98"/>
        <v>0.71272204803610639</v>
      </c>
      <c r="G3203" s="74">
        <v>36.752057231248507</v>
      </c>
      <c r="H3203" s="74">
        <f t="shared" si="99"/>
        <v>3.7423431120840149</v>
      </c>
    </row>
    <row r="3204" spans="5:8" ht="15.6">
      <c r="E3204" s="279" t="s">
        <v>3530</v>
      </c>
      <c r="F3204" s="284">
        <f t="shared" ca="1" si="98"/>
        <v>0.39735066579780098</v>
      </c>
      <c r="G3204" s="74">
        <v>35.120633709665803</v>
      </c>
      <c r="H3204" s="74">
        <f t="shared" si="99"/>
        <v>5.3737666336667189</v>
      </c>
    </row>
    <row r="3205" spans="5:8" ht="15.6">
      <c r="E3205" s="279" t="s">
        <v>3531</v>
      </c>
      <c r="F3205" s="284">
        <f t="shared" ca="1" si="98"/>
        <v>0.95704852774639015</v>
      </c>
      <c r="G3205" s="74">
        <v>40.945189969879692</v>
      </c>
      <c r="H3205" s="74">
        <f t="shared" si="99"/>
        <v>-0.45078962654717003</v>
      </c>
    </row>
    <row r="3206" spans="5:8" ht="15.6">
      <c r="E3206" s="279" t="s">
        <v>3532</v>
      </c>
      <c r="F3206" s="284">
        <f t="shared" ca="1" si="98"/>
        <v>0.28493912258181908</v>
      </c>
      <c r="G3206" s="74">
        <v>37.598843037183542</v>
      </c>
      <c r="H3206" s="74">
        <f t="shared" si="99"/>
        <v>2.8955573061489801</v>
      </c>
    </row>
    <row r="3207" spans="5:8" ht="15.6">
      <c r="E3207" s="279" t="s">
        <v>3533</v>
      </c>
      <c r="F3207" s="284">
        <f t="shared" ca="1" si="98"/>
        <v>0.44878462517193207</v>
      </c>
      <c r="G3207" s="74">
        <v>34.733557099517469</v>
      </c>
      <c r="H3207" s="74">
        <f t="shared" si="99"/>
        <v>5.760843243815053</v>
      </c>
    </row>
    <row r="3208" spans="5:8" ht="15.6">
      <c r="E3208" s="279" t="s">
        <v>3534</v>
      </c>
      <c r="F3208" s="284">
        <f t="shared" ca="1" si="98"/>
        <v>0.27459187590554512</v>
      </c>
      <c r="G3208" s="74">
        <v>43.073061929827198</v>
      </c>
      <c r="H3208" s="74">
        <f t="shared" si="99"/>
        <v>-2.5786615864946754</v>
      </c>
    </row>
    <row r="3209" spans="5:8" ht="15.6">
      <c r="E3209" s="279" t="s">
        <v>3535</v>
      </c>
      <c r="F3209" s="284">
        <f t="shared" ca="1" si="98"/>
        <v>0.7913815013487222</v>
      </c>
      <c r="G3209" s="74">
        <v>37.584081573986722</v>
      </c>
      <c r="H3209" s="74">
        <f t="shared" si="99"/>
        <v>2.9103187693457997</v>
      </c>
    </row>
    <row r="3210" spans="5:8" ht="15.6">
      <c r="E3210" s="279" t="s">
        <v>3536</v>
      </c>
      <c r="F3210" s="284">
        <f t="shared" ca="1" si="98"/>
        <v>8.8706765795127041E-2</v>
      </c>
      <c r="G3210" s="74">
        <v>40.082283006834594</v>
      </c>
      <c r="H3210" s="74">
        <f t="shared" si="99"/>
        <v>0.41211733649792848</v>
      </c>
    </row>
    <row r="3211" spans="5:8" ht="15.6">
      <c r="E3211" s="279" t="s">
        <v>3537</v>
      </c>
      <c r="F3211" s="284">
        <f t="shared" ca="1" si="98"/>
        <v>0.16554707612972597</v>
      </c>
      <c r="G3211" s="74">
        <v>38.58739957233832</v>
      </c>
      <c r="H3211" s="74">
        <f t="shared" si="99"/>
        <v>1.9070007709942018</v>
      </c>
    </row>
    <row r="3212" spans="5:8" ht="15.6">
      <c r="E3212" s="279" t="s">
        <v>3538</v>
      </c>
      <c r="F3212" s="284">
        <f t="shared" ref="F3212:F3275" ca="1" si="100">RAND()</f>
        <v>0.12484702417529614</v>
      </c>
      <c r="G3212" s="74">
        <v>42.869326689700983</v>
      </c>
      <c r="H3212" s="74">
        <f t="shared" ref="H3212:H3275" si="101">$D$2-G3212</f>
        <v>-2.3749263463684613</v>
      </c>
    </row>
    <row r="3213" spans="5:8" ht="15.6">
      <c r="E3213" s="279" t="s">
        <v>3539</v>
      </c>
      <c r="F3213" s="284">
        <f t="shared" ca="1" si="100"/>
        <v>7.9539815883805209E-2</v>
      </c>
      <c r="G3213" s="74">
        <v>39.286841420436673</v>
      </c>
      <c r="H3213" s="74">
        <f t="shared" si="101"/>
        <v>1.2075589228958492</v>
      </c>
    </row>
    <row r="3214" spans="5:8" ht="15.6">
      <c r="E3214" s="279" t="s">
        <v>3540</v>
      </c>
      <c r="F3214" s="284">
        <f t="shared" ca="1" si="100"/>
        <v>0.82140652887121968</v>
      </c>
      <c r="G3214" s="74">
        <v>37.775409959643916</v>
      </c>
      <c r="H3214" s="74">
        <f t="shared" si="101"/>
        <v>2.718990383688606</v>
      </c>
    </row>
    <row r="3215" spans="5:8" ht="15.6">
      <c r="E3215" s="279" t="s">
        <v>3541</v>
      </c>
      <c r="F3215" s="284">
        <f t="shared" ca="1" si="100"/>
        <v>0.72574854882436102</v>
      </c>
      <c r="G3215" s="74">
        <v>38.896991404202019</v>
      </c>
      <c r="H3215" s="74">
        <f t="shared" si="101"/>
        <v>1.5974089391305029</v>
      </c>
    </row>
    <row r="3216" spans="5:8" ht="15.6">
      <c r="E3216" s="279" t="s">
        <v>3542</v>
      </c>
      <c r="F3216" s="284">
        <f t="shared" ca="1" si="100"/>
        <v>0.95494398567938488</v>
      </c>
      <c r="G3216" s="74">
        <v>37.624386956021766</v>
      </c>
      <c r="H3216" s="74">
        <f t="shared" si="101"/>
        <v>2.8700133873107561</v>
      </c>
    </row>
    <row r="3217" spans="5:8" ht="15.6">
      <c r="E3217" s="279" t="s">
        <v>3543</v>
      </c>
      <c r="F3217" s="284">
        <f t="shared" ca="1" si="100"/>
        <v>0.35844755330153755</v>
      </c>
      <c r="G3217" s="74">
        <v>35.794058958147332</v>
      </c>
      <c r="H3217" s="74">
        <f t="shared" si="101"/>
        <v>4.7003413851851903</v>
      </c>
    </row>
    <row r="3218" spans="5:8" ht="15.6">
      <c r="E3218" s="279" t="s">
        <v>3544</v>
      </c>
      <c r="F3218" s="284">
        <f t="shared" ca="1" si="100"/>
        <v>0.78733675554189153</v>
      </c>
      <c r="G3218" s="74">
        <v>36.328783121274206</v>
      </c>
      <c r="H3218" s="74">
        <f t="shared" si="101"/>
        <v>4.1656172220583159</v>
      </c>
    </row>
    <row r="3219" spans="5:8" ht="15.6">
      <c r="E3219" s="279" t="s">
        <v>3545</v>
      </c>
      <c r="F3219" s="284">
        <f t="shared" ca="1" si="100"/>
        <v>0.73895845809370753</v>
      </c>
      <c r="G3219" s="74">
        <v>39.176618435282847</v>
      </c>
      <c r="H3219" s="74">
        <f t="shared" si="101"/>
        <v>1.3177819080496747</v>
      </c>
    </row>
    <row r="3220" spans="5:8" ht="15.6">
      <c r="E3220" s="279" t="s">
        <v>3546</v>
      </c>
      <c r="F3220" s="284">
        <f t="shared" ca="1" si="100"/>
        <v>0.10327582560951609</v>
      </c>
      <c r="G3220" s="74">
        <v>40.305707381735857</v>
      </c>
      <c r="H3220" s="74">
        <f t="shared" si="101"/>
        <v>0.18869296159666504</v>
      </c>
    </row>
    <row r="3221" spans="5:8" ht="15.6">
      <c r="E3221" s="279" t="s">
        <v>3547</v>
      </c>
      <c r="F3221" s="284">
        <f t="shared" ca="1" si="100"/>
        <v>0.95996377478085915</v>
      </c>
      <c r="G3221" s="74">
        <v>38.812537277058148</v>
      </c>
      <c r="H3221" s="74">
        <f t="shared" si="101"/>
        <v>1.6818630662743743</v>
      </c>
    </row>
    <row r="3222" spans="5:8" ht="15.6">
      <c r="E3222" s="279" t="s">
        <v>3548</v>
      </c>
      <c r="F3222" s="284">
        <f t="shared" ca="1" si="100"/>
        <v>0.18647884882920229</v>
      </c>
      <c r="G3222" s="74">
        <v>39.419568084380835</v>
      </c>
      <c r="H3222" s="74">
        <f t="shared" si="101"/>
        <v>1.0748322589516874</v>
      </c>
    </row>
    <row r="3223" spans="5:8" ht="15.6">
      <c r="E3223" s="279" t="s">
        <v>3549</v>
      </c>
      <c r="F3223" s="284">
        <f t="shared" ca="1" si="100"/>
        <v>8.6807764003954735E-2</v>
      </c>
      <c r="G3223" s="74">
        <v>41.48144465780819</v>
      </c>
      <c r="H3223" s="74">
        <f t="shared" si="101"/>
        <v>-0.98704431447566776</v>
      </c>
    </row>
    <row r="3224" spans="5:8" ht="15.6">
      <c r="E3224" s="279" t="s">
        <v>3550</v>
      </c>
      <c r="F3224" s="284">
        <f t="shared" ca="1" si="100"/>
        <v>0.67592177698298328</v>
      </c>
      <c r="G3224" s="74">
        <v>41.135084874734396</v>
      </c>
      <c r="H3224" s="74">
        <f t="shared" si="101"/>
        <v>-0.64068453140187387</v>
      </c>
    </row>
    <row r="3225" spans="5:8" ht="15.6">
      <c r="E3225" s="279" t="s">
        <v>3551</v>
      </c>
      <c r="F3225" s="284">
        <f t="shared" ca="1" si="100"/>
        <v>0.51983285531112156</v>
      </c>
      <c r="G3225" s="74">
        <v>36.337014222365831</v>
      </c>
      <c r="H3225" s="74">
        <f t="shared" si="101"/>
        <v>4.1573861209666916</v>
      </c>
    </row>
    <row r="3226" spans="5:8" ht="15.6">
      <c r="E3226" s="279" t="s">
        <v>3552</v>
      </c>
      <c r="F3226" s="284">
        <f t="shared" ca="1" si="100"/>
        <v>0.52801932358715431</v>
      </c>
      <c r="G3226" s="74">
        <v>38.310848527413327</v>
      </c>
      <c r="H3226" s="74">
        <f t="shared" si="101"/>
        <v>2.1835518159191949</v>
      </c>
    </row>
    <row r="3227" spans="5:8" ht="15.6">
      <c r="E3227" s="279" t="s">
        <v>3553</v>
      </c>
      <c r="F3227" s="284">
        <f t="shared" ca="1" si="100"/>
        <v>2.1041114894905233E-3</v>
      </c>
      <c r="G3227" s="74">
        <v>38.27935577770679</v>
      </c>
      <c r="H3227" s="74">
        <f t="shared" si="101"/>
        <v>2.2150445656257318</v>
      </c>
    </row>
    <row r="3228" spans="5:8" ht="15.6">
      <c r="E3228" s="279" t="s">
        <v>3554</v>
      </c>
      <c r="F3228" s="284">
        <f t="shared" ca="1" si="100"/>
        <v>0.98036708420659024</v>
      </c>
      <c r="G3228" s="74">
        <v>46.674013346517228</v>
      </c>
      <c r="H3228" s="74">
        <f t="shared" si="101"/>
        <v>-6.1796130031847056</v>
      </c>
    </row>
    <row r="3229" spans="5:8" ht="15.6">
      <c r="E3229" s="279" t="s">
        <v>3555</v>
      </c>
      <c r="F3229" s="284">
        <f t="shared" ca="1" si="100"/>
        <v>0.67314262949725767</v>
      </c>
      <c r="G3229" s="74">
        <v>40.75027860958722</v>
      </c>
      <c r="H3229" s="74">
        <f t="shared" si="101"/>
        <v>-0.25587826625469745</v>
      </c>
    </row>
    <row r="3230" spans="5:8" ht="15.6">
      <c r="E3230" s="279" t="s">
        <v>3556</v>
      </c>
      <c r="F3230" s="284">
        <f t="shared" ca="1" si="100"/>
        <v>0.1687404990120045</v>
      </c>
      <c r="G3230" s="74">
        <v>40.266610424281247</v>
      </c>
      <c r="H3230" s="74">
        <f t="shared" si="101"/>
        <v>0.22778991905127555</v>
      </c>
    </row>
    <row r="3231" spans="5:8" ht="15.6">
      <c r="E3231" s="279" t="s">
        <v>3557</v>
      </c>
      <c r="F3231" s="284">
        <f t="shared" ca="1" si="100"/>
        <v>0.53950318092246174</v>
      </c>
      <c r="G3231" s="74">
        <v>36.276720445660366</v>
      </c>
      <c r="H3231" s="74">
        <f t="shared" si="101"/>
        <v>4.2176798976721557</v>
      </c>
    </row>
    <row r="3232" spans="5:8" ht="15.6">
      <c r="E3232" s="279" t="s">
        <v>3558</v>
      </c>
      <c r="F3232" s="284">
        <f t="shared" ca="1" si="100"/>
        <v>0.2229444129804804</v>
      </c>
      <c r="G3232" s="74">
        <v>42.561945246235673</v>
      </c>
      <c r="H3232" s="74">
        <f t="shared" si="101"/>
        <v>-2.0675449029031512</v>
      </c>
    </row>
    <row r="3233" spans="5:8" ht="15.6">
      <c r="E3233" s="279" t="s">
        <v>3559</v>
      </c>
      <c r="F3233" s="284">
        <f t="shared" ca="1" si="100"/>
        <v>0.9633712334689184</v>
      </c>
      <c r="G3233" s="74">
        <v>38.026296698980609</v>
      </c>
      <c r="H3233" s="74">
        <f t="shared" si="101"/>
        <v>2.4681036443519133</v>
      </c>
    </row>
    <row r="3234" spans="5:8" ht="15.6">
      <c r="E3234" s="279" t="s">
        <v>3560</v>
      </c>
      <c r="F3234" s="284">
        <f t="shared" ca="1" si="100"/>
        <v>0.64799744522242142</v>
      </c>
      <c r="G3234" s="74">
        <v>40.797407799427354</v>
      </c>
      <c r="H3234" s="74">
        <f t="shared" si="101"/>
        <v>-0.30300745609483215</v>
      </c>
    </row>
    <row r="3235" spans="5:8" ht="15.6">
      <c r="E3235" s="279" t="s">
        <v>3561</v>
      </c>
      <c r="F3235" s="284">
        <f t="shared" ca="1" si="100"/>
        <v>0.77965852695424231</v>
      </c>
      <c r="G3235" s="74">
        <v>35.486027964960464</v>
      </c>
      <c r="H3235" s="74">
        <f t="shared" si="101"/>
        <v>5.0083723783720586</v>
      </c>
    </row>
    <row r="3236" spans="5:8" ht="15.6">
      <c r="E3236" s="279" t="s">
        <v>3562</v>
      </c>
      <c r="F3236" s="284">
        <f t="shared" ca="1" si="100"/>
        <v>5.9544592877343705E-2</v>
      </c>
      <c r="G3236" s="74">
        <v>40.684785211392573</v>
      </c>
      <c r="H3236" s="74">
        <f t="shared" si="101"/>
        <v>-0.19038486806005039</v>
      </c>
    </row>
    <row r="3237" spans="5:8" ht="15.6">
      <c r="E3237" s="279" t="s">
        <v>3563</v>
      </c>
      <c r="F3237" s="284">
        <f t="shared" ca="1" si="100"/>
        <v>0.38472729000100403</v>
      </c>
      <c r="G3237" s="74">
        <v>37.127636253085328</v>
      </c>
      <c r="H3237" s="74">
        <f t="shared" si="101"/>
        <v>3.3667640902471945</v>
      </c>
    </row>
    <row r="3238" spans="5:8" ht="15.6">
      <c r="E3238" s="279" t="s">
        <v>3564</v>
      </c>
      <c r="F3238" s="284">
        <f t="shared" ca="1" si="100"/>
        <v>0.28379096638499324</v>
      </c>
      <c r="G3238" s="74">
        <v>42.722925982177763</v>
      </c>
      <c r="H3238" s="74">
        <f t="shared" si="101"/>
        <v>-2.228525638845241</v>
      </c>
    </row>
    <row r="3239" spans="5:8" ht="15.6">
      <c r="E3239" s="279" t="s">
        <v>3565</v>
      </c>
      <c r="F3239" s="284">
        <f t="shared" ca="1" si="100"/>
        <v>0.57423981212635833</v>
      </c>
      <c r="G3239" s="74">
        <v>33.883667104410186</v>
      </c>
      <c r="H3239" s="74">
        <f t="shared" si="101"/>
        <v>6.6107332389223359</v>
      </c>
    </row>
    <row r="3240" spans="5:8" ht="15.6">
      <c r="E3240" s="279" t="s">
        <v>3566</v>
      </c>
      <c r="F3240" s="284">
        <f t="shared" ca="1" si="100"/>
        <v>0.4928727702632788</v>
      </c>
      <c r="G3240" s="74">
        <v>39.619922492435791</v>
      </c>
      <c r="H3240" s="74">
        <f t="shared" si="101"/>
        <v>0.87447785089673147</v>
      </c>
    </row>
    <row r="3241" spans="5:8" ht="15.6">
      <c r="E3241" s="279" t="s">
        <v>3567</v>
      </c>
      <c r="F3241" s="284">
        <f t="shared" ca="1" si="100"/>
        <v>0.95337800368862335</v>
      </c>
      <c r="G3241" s="74">
        <v>36.439083914993539</v>
      </c>
      <c r="H3241" s="74">
        <f t="shared" si="101"/>
        <v>4.0553164283389833</v>
      </c>
    </row>
    <row r="3242" spans="5:8" ht="15.6">
      <c r="E3242" s="279" t="s">
        <v>3568</v>
      </c>
      <c r="F3242" s="284">
        <f t="shared" ca="1" si="100"/>
        <v>0.88834817525538845</v>
      </c>
      <c r="G3242" s="74">
        <v>40.408739112309753</v>
      </c>
      <c r="H3242" s="74">
        <f t="shared" si="101"/>
        <v>8.5661231022768902E-2</v>
      </c>
    </row>
    <row r="3243" spans="5:8" ht="15.6">
      <c r="E3243" s="279" t="s">
        <v>3569</v>
      </c>
      <c r="F3243" s="284">
        <f t="shared" ca="1" si="100"/>
        <v>0.70459133750087655</v>
      </c>
      <c r="G3243" s="74">
        <v>37.806807293763235</v>
      </c>
      <c r="H3243" s="74">
        <f t="shared" si="101"/>
        <v>2.687593049569287</v>
      </c>
    </row>
    <row r="3244" spans="5:8" ht="15.6">
      <c r="E3244" s="279" t="s">
        <v>3570</v>
      </c>
      <c r="F3244" s="284">
        <f t="shared" ca="1" si="100"/>
        <v>0.32629525530489212</v>
      </c>
      <c r="G3244" s="74">
        <v>38.606982900305823</v>
      </c>
      <c r="H3244" s="74">
        <f t="shared" si="101"/>
        <v>1.887417443026699</v>
      </c>
    </row>
    <row r="3245" spans="5:8" ht="15.6">
      <c r="E3245" s="279" t="s">
        <v>3571</v>
      </c>
      <c r="F3245" s="284">
        <f t="shared" ca="1" si="100"/>
        <v>0.88849641337143337</v>
      </c>
      <c r="G3245" s="74">
        <v>43.216839635272528</v>
      </c>
      <c r="H3245" s="74">
        <f t="shared" si="101"/>
        <v>-2.722439291940006</v>
      </c>
    </row>
    <row r="3246" spans="5:8" ht="15.6">
      <c r="E3246" s="279" t="s">
        <v>3572</v>
      </c>
      <c r="F3246" s="284">
        <f t="shared" ca="1" si="100"/>
        <v>2.8501244762281441E-2</v>
      </c>
      <c r="G3246" s="74">
        <v>36.655838793267172</v>
      </c>
      <c r="H3246" s="74">
        <f t="shared" si="101"/>
        <v>3.83856155006535</v>
      </c>
    </row>
    <row r="3247" spans="5:8" ht="15.6">
      <c r="E3247" s="279" t="s">
        <v>3573</v>
      </c>
      <c r="F3247" s="284">
        <f t="shared" ca="1" si="100"/>
        <v>0.1780360426409795</v>
      </c>
      <c r="G3247" s="74">
        <v>34.60233340129362</v>
      </c>
      <c r="H3247" s="74">
        <f t="shared" si="101"/>
        <v>5.8920669420389018</v>
      </c>
    </row>
    <row r="3248" spans="5:8" ht="15.6">
      <c r="E3248" s="279" t="s">
        <v>3574</v>
      </c>
      <c r="F3248" s="284">
        <f t="shared" ca="1" si="100"/>
        <v>0.67049342005447687</v>
      </c>
      <c r="G3248" s="74">
        <v>38.212280462547184</v>
      </c>
      <c r="H3248" s="74">
        <f t="shared" si="101"/>
        <v>2.2821198807853378</v>
      </c>
    </row>
    <row r="3249" spans="5:8" ht="15.6">
      <c r="E3249" s="279" t="s">
        <v>3575</v>
      </c>
      <c r="F3249" s="284">
        <f t="shared" ca="1" si="100"/>
        <v>0.17590723285786281</v>
      </c>
      <c r="G3249" s="74">
        <v>38.862174330291069</v>
      </c>
      <c r="H3249" s="74">
        <f t="shared" si="101"/>
        <v>1.6322260130414534</v>
      </c>
    </row>
    <row r="3250" spans="5:8" ht="15.6">
      <c r="E3250" s="279" t="s">
        <v>3576</v>
      </c>
      <c r="F3250" s="284">
        <f t="shared" ca="1" si="100"/>
        <v>0.37884112769504819</v>
      </c>
      <c r="G3250" s="74">
        <v>40.420171563096446</v>
      </c>
      <c r="H3250" s="74">
        <f t="shared" si="101"/>
        <v>7.4228780236076375E-2</v>
      </c>
    </row>
    <row r="3251" spans="5:8" ht="15.6">
      <c r="E3251" s="279" t="s">
        <v>3577</v>
      </c>
      <c r="F3251" s="284">
        <f t="shared" ca="1" si="100"/>
        <v>0.22059175620612081</v>
      </c>
      <c r="G3251" s="74">
        <v>36.789601423790259</v>
      </c>
      <c r="H3251" s="74">
        <f t="shared" si="101"/>
        <v>3.704798919542263</v>
      </c>
    </row>
    <row r="3252" spans="5:8" ht="15.6">
      <c r="E3252" s="279" t="s">
        <v>3578</v>
      </c>
      <c r="F3252" s="284">
        <f t="shared" ca="1" si="100"/>
        <v>0.48128442615785982</v>
      </c>
      <c r="G3252" s="74">
        <v>35.333874601743219</v>
      </c>
      <c r="H3252" s="74">
        <f t="shared" si="101"/>
        <v>5.1605257415893035</v>
      </c>
    </row>
    <row r="3253" spans="5:8" ht="15.6">
      <c r="E3253" s="279" t="s">
        <v>3579</v>
      </c>
      <c r="F3253" s="284">
        <f t="shared" ca="1" si="100"/>
        <v>0.72115634409010898</v>
      </c>
      <c r="G3253" s="74">
        <v>38.104639677815669</v>
      </c>
      <c r="H3253" s="74">
        <f t="shared" si="101"/>
        <v>2.3897606655168531</v>
      </c>
    </row>
    <row r="3254" spans="5:8" ht="15.6">
      <c r="E3254" s="279" t="s">
        <v>3580</v>
      </c>
      <c r="F3254" s="284">
        <f t="shared" ca="1" si="100"/>
        <v>0.89307563777170806</v>
      </c>
      <c r="G3254" s="74">
        <v>41.542980647896023</v>
      </c>
      <c r="H3254" s="74">
        <f t="shared" si="101"/>
        <v>-1.0485803045635009</v>
      </c>
    </row>
    <row r="3255" spans="5:8" ht="15.6">
      <c r="E3255" s="279" t="s">
        <v>3581</v>
      </c>
      <c r="F3255" s="284">
        <f t="shared" ca="1" si="100"/>
        <v>0.94734293325228758</v>
      </c>
      <c r="G3255" s="74">
        <v>39.673492601002657</v>
      </c>
      <c r="H3255" s="74">
        <f t="shared" si="101"/>
        <v>0.82090774232986519</v>
      </c>
    </row>
    <row r="3256" spans="5:8" ht="15.6">
      <c r="E3256" s="279" t="s">
        <v>3582</v>
      </c>
      <c r="F3256" s="284">
        <f t="shared" ca="1" si="100"/>
        <v>0.24030050380795576</v>
      </c>
      <c r="G3256" s="74">
        <v>42.994320607463358</v>
      </c>
      <c r="H3256" s="74">
        <f t="shared" si="101"/>
        <v>-2.4999202641308358</v>
      </c>
    </row>
    <row r="3257" spans="5:8" ht="15.6">
      <c r="E3257" s="279" t="s">
        <v>3583</v>
      </c>
      <c r="F3257" s="284">
        <f t="shared" ca="1" si="100"/>
        <v>0.78292587615152198</v>
      </c>
      <c r="G3257" s="74">
        <v>41.974798361817392</v>
      </c>
      <c r="H3257" s="74">
        <f t="shared" si="101"/>
        <v>-1.4803980184848697</v>
      </c>
    </row>
    <row r="3258" spans="5:8" ht="15.6">
      <c r="E3258" s="279" t="s">
        <v>3584</v>
      </c>
      <c r="F3258" s="284">
        <f t="shared" ca="1" si="100"/>
        <v>8.4674459618442333E-3</v>
      </c>
      <c r="G3258" s="74">
        <v>37.141881170664711</v>
      </c>
      <c r="H3258" s="74">
        <f t="shared" si="101"/>
        <v>3.3525191726678116</v>
      </c>
    </row>
    <row r="3259" spans="5:8" ht="15.6">
      <c r="E3259" s="279" t="s">
        <v>3585</v>
      </c>
      <c r="F3259" s="284">
        <f t="shared" ca="1" si="100"/>
        <v>5.6885736055611869E-3</v>
      </c>
      <c r="G3259" s="74">
        <v>42.189168894204116</v>
      </c>
      <c r="H3259" s="74">
        <f t="shared" si="101"/>
        <v>-1.6947685508715935</v>
      </c>
    </row>
    <row r="3260" spans="5:8" ht="15.6">
      <c r="E3260" s="279" t="s">
        <v>3586</v>
      </c>
      <c r="F3260" s="284">
        <f t="shared" ca="1" si="100"/>
        <v>2.0166306256360178E-2</v>
      </c>
      <c r="G3260" s="74">
        <v>38.741990728665996</v>
      </c>
      <c r="H3260" s="74">
        <f t="shared" si="101"/>
        <v>1.7524096146665258</v>
      </c>
    </row>
    <row r="3261" spans="5:8" ht="15.6">
      <c r="E3261" s="279" t="s">
        <v>3587</v>
      </c>
      <c r="F3261" s="284">
        <f t="shared" ca="1" si="100"/>
        <v>0.54107290162207489</v>
      </c>
      <c r="G3261" s="74">
        <v>40.204680537671244</v>
      </c>
      <c r="H3261" s="74">
        <f t="shared" si="101"/>
        <v>0.28971980566127797</v>
      </c>
    </row>
    <row r="3262" spans="5:8" ht="15.6">
      <c r="E3262" s="279" t="s">
        <v>3588</v>
      </c>
      <c r="F3262" s="284">
        <f t="shared" ca="1" si="100"/>
        <v>0.73320914709875395</v>
      </c>
      <c r="G3262" s="74">
        <v>36.171422295104144</v>
      </c>
      <c r="H3262" s="74">
        <f t="shared" si="101"/>
        <v>4.3229780482283786</v>
      </c>
    </row>
    <row r="3263" spans="5:8" ht="15.6">
      <c r="E3263" s="279" t="s">
        <v>3589</v>
      </c>
      <c r="F3263" s="284">
        <f t="shared" ca="1" si="100"/>
        <v>0.76310926006932334</v>
      </c>
      <c r="G3263" s="74">
        <v>38.152793943114148</v>
      </c>
      <c r="H3263" s="74">
        <f t="shared" si="101"/>
        <v>2.3416064002183745</v>
      </c>
    </row>
    <row r="3264" spans="5:8" ht="15.6">
      <c r="E3264" s="279" t="s">
        <v>3590</v>
      </c>
      <c r="F3264" s="284">
        <f t="shared" ca="1" si="100"/>
        <v>0.26893202694875407</v>
      </c>
      <c r="G3264" s="74">
        <v>37.196934025616621</v>
      </c>
      <c r="H3264" s="74">
        <f t="shared" si="101"/>
        <v>3.2974663177159016</v>
      </c>
    </row>
    <row r="3265" spans="5:8" ht="15.6">
      <c r="E3265" s="279" t="s">
        <v>3591</v>
      </c>
      <c r="F3265" s="284">
        <f t="shared" ca="1" si="100"/>
        <v>0.80581641206529087</v>
      </c>
      <c r="G3265" s="74">
        <v>36.698149696496792</v>
      </c>
      <c r="H3265" s="74">
        <f t="shared" si="101"/>
        <v>3.7962506468357304</v>
      </c>
    </row>
    <row r="3266" spans="5:8" ht="15.6">
      <c r="E3266" s="279" t="s">
        <v>3592</v>
      </c>
      <c r="F3266" s="284">
        <f t="shared" ca="1" si="100"/>
        <v>0.57687579179788784</v>
      </c>
      <c r="G3266" s="74">
        <v>39.023622305184396</v>
      </c>
      <c r="H3266" s="74">
        <f t="shared" si="101"/>
        <v>1.4707780381481257</v>
      </c>
    </row>
    <row r="3267" spans="5:8" ht="15.6">
      <c r="E3267" s="279" t="s">
        <v>3593</v>
      </c>
      <c r="F3267" s="284">
        <f t="shared" ca="1" si="100"/>
        <v>0.40558963470603959</v>
      </c>
      <c r="G3267" s="74">
        <v>39.216471966437894</v>
      </c>
      <c r="H3267" s="74">
        <f t="shared" si="101"/>
        <v>1.2779283768946286</v>
      </c>
    </row>
    <row r="3268" spans="5:8" ht="15.6">
      <c r="E3268" s="279" t="s">
        <v>3594</v>
      </c>
      <c r="F3268" s="284">
        <f t="shared" ca="1" si="100"/>
        <v>0.27417921201318041</v>
      </c>
      <c r="G3268" s="74">
        <v>41.017109216700412</v>
      </c>
      <c r="H3268" s="74">
        <f t="shared" si="101"/>
        <v>-0.52270887336788974</v>
      </c>
    </row>
    <row r="3269" spans="5:8" ht="15.6">
      <c r="E3269" s="279" t="s">
        <v>3595</v>
      </c>
      <c r="F3269" s="284">
        <f t="shared" ca="1" si="100"/>
        <v>0.82988641280973063</v>
      </c>
      <c r="G3269" s="74">
        <v>37.840719376838841</v>
      </c>
      <c r="H3269" s="74">
        <f t="shared" si="101"/>
        <v>2.6536809664936811</v>
      </c>
    </row>
    <row r="3270" spans="5:8" ht="15.6">
      <c r="E3270" s="279" t="s">
        <v>3596</v>
      </c>
      <c r="F3270" s="284">
        <f t="shared" ca="1" si="100"/>
        <v>0.61708730728901751</v>
      </c>
      <c r="G3270" s="74">
        <v>40.575025778006214</v>
      </c>
      <c r="H3270" s="74">
        <f t="shared" si="101"/>
        <v>-8.0625434673692098E-2</v>
      </c>
    </row>
    <row r="3271" spans="5:8" ht="15.6">
      <c r="E3271" s="279" t="s">
        <v>3597</v>
      </c>
      <c r="F3271" s="284">
        <f t="shared" ca="1" si="100"/>
        <v>0.19317872236075462</v>
      </c>
      <c r="G3271" s="74">
        <v>43.300729231328944</v>
      </c>
      <c r="H3271" s="74">
        <f t="shared" si="101"/>
        <v>-2.8063288879964219</v>
      </c>
    </row>
    <row r="3272" spans="5:8" ht="15.6">
      <c r="E3272" s="279" t="s">
        <v>3598</v>
      </c>
      <c r="F3272" s="284">
        <f t="shared" ca="1" si="100"/>
        <v>0.69841377381366665</v>
      </c>
      <c r="G3272" s="74">
        <v>41.83123369129305</v>
      </c>
      <c r="H3272" s="74">
        <f t="shared" si="101"/>
        <v>-1.3368333479605283</v>
      </c>
    </row>
    <row r="3273" spans="5:8" ht="15.6">
      <c r="E3273" s="279" t="s">
        <v>3599</v>
      </c>
      <c r="F3273" s="284">
        <f t="shared" ca="1" si="100"/>
        <v>0.61282063479250926</v>
      </c>
      <c r="G3273" s="74">
        <v>40.332955395012426</v>
      </c>
      <c r="H3273" s="74">
        <f t="shared" si="101"/>
        <v>0.1614449483200957</v>
      </c>
    </row>
    <row r="3274" spans="5:8" ht="15.6">
      <c r="E3274" s="279" t="s">
        <v>3600</v>
      </c>
      <c r="F3274" s="284">
        <f t="shared" ca="1" si="100"/>
        <v>0.30283116242467112</v>
      </c>
      <c r="G3274" s="74">
        <v>37.075794742557214</v>
      </c>
      <c r="H3274" s="74">
        <f t="shared" si="101"/>
        <v>3.4186056007753081</v>
      </c>
    </row>
    <row r="3275" spans="5:8" ht="15.6">
      <c r="E3275" s="279" t="s">
        <v>3601</v>
      </c>
      <c r="F3275" s="284">
        <f t="shared" ca="1" si="100"/>
        <v>0.58743479393477782</v>
      </c>
      <c r="G3275" s="74">
        <v>41.016359305379972</v>
      </c>
      <c r="H3275" s="74">
        <f t="shared" si="101"/>
        <v>-0.5219589620474494</v>
      </c>
    </row>
    <row r="3276" spans="5:8" ht="15.6">
      <c r="E3276" s="279" t="s">
        <v>3602</v>
      </c>
      <c r="F3276" s="284">
        <f t="shared" ref="F3276:F3339" ca="1" si="102">RAND()</f>
        <v>0.23929189069324197</v>
      </c>
      <c r="G3276" s="74">
        <v>34.927236073395171</v>
      </c>
      <c r="H3276" s="74">
        <f t="shared" ref="H3276:H3339" si="103">$D$2-G3276</f>
        <v>5.5671642699373507</v>
      </c>
    </row>
    <row r="3277" spans="5:8" ht="15.6">
      <c r="E3277" s="279" t="s">
        <v>3603</v>
      </c>
      <c r="F3277" s="284">
        <f t="shared" ca="1" si="102"/>
        <v>0.67297906608874891</v>
      </c>
      <c r="G3277" s="74">
        <v>41.298351630660846</v>
      </c>
      <c r="H3277" s="74">
        <f t="shared" si="103"/>
        <v>-0.80395128732832433</v>
      </c>
    </row>
    <row r="3278" spans="5:8" ht="15.6">
      <c r="E3278" s="279" t="s">
        <v>3604</v>
      </c>
      <c r="F3278" s="284">
        <f t="shared" ca="1" si="102"/>
        <v>0.5374033576190409</v>
      </c>
      <c r="G3278" s="74">
        <v>39.24869807885991</v>
      </c>
      <c r="H3278" s="74">
        <f t="shared" si="103"/>
        <v>1.2457022644726123</v>
      </c>
    </row>
    <row r="3279" spans="5:8" ht="15.6">
      <c r="E3279" s="279" t="s">
        <v>3605</v>
      </c>
      <c r="F3279" s="284">
        <f t="shared" ca="1" si="102"/>
        <v>1.5347723698553861E-2</v>
      </c>
      <c r="G3279" s="74">
        <v>44.171716908537178</v>
      </c>
      <c r="H3279" s="74">
        <f t="shared" si="103"/>
        <v>-3.6773165652046558</v>
      </c>
    </row>
    <row r="3280" spans="5:8" ht="15.6">
      <c r="E3280" s="279" t="s">
        <v>3606</v>
      </c>
      <c r="F3280" s="284">
        <f t="shared" ca="1" si="102"/>
        <v>0.28688094972530942</v>
      </c>
      <c r="G3280" s="74">
        <v>34.465375278197044</v>
      </c>
      <c r="H3280" s="74">
        <f t="shared" si="103"/>
        <v>6.0290250651354782</v>
      </c>
    </row>
    <row r="3281" spans="5:8" ht="15.6">
      <c r="E3281" s="279" t="s">
        <v>3607</v>
      </c>
      <c r="F3281" s="284">
        <f t="shared" ca="1" si="102"/>
        <v>6.9201403922160565E-2</v>
      </c>
      <c r="G3281" s="74">
        <v>38.737951296015062</v>
      </c>
      <c r="H3281" s="74">
        <f t="shared" si="103"/>
        <v>1.7564490473174601</v>
      </c>
    </row>
    <row r="3282" spans="5:8" ht="15.6">
      <c r="E3282" s="279" t="s">
        <v>3608</v>
      </c>
      <c r="F3282" s="284">
        <f t="shared" ca="1" si="102"/>
        <v>0.33469020001583771</v>
      </c>
      <c r="G3282" s="74">
        <v>44.258405414163867</v>
      </c>
      <c r="H3282" s="74">
        <f t="shared" si="103"/>
        <v>-3.7640050708313453</v>
      </c>
    </row>
    <row r="3283" spans="5:8" ht="15.6">
      <c r="E3283" s="279" t="s">
        <v>3609</v>
      </c>
      <c r="F3283" s="284">
        <f t="shared" ca="1" si="102"/>
        <v>0.49128762260680903</v>
      </c>
      <c r="G3283" s="74">
        <v>35.362932844092342</v>
      </c>
      <c r="H3283" s="74">
        <f t="shared" si="103"/>
        <v>5.1314674992401805</v>
      </c>
    </row>
    <row r="3284" spans="5:8" ht="15.6">
      <c r="E3284" s="279" t="s">
        <v>3610</v>
      </c>
      <c r="F3284" s="284">
        <f t="shared" ca="1" si="102"/>
        <v>0.19983553440993629</v>
      </c>
      <c r="G3284" s="74">
        <v>35.703190528165791</v>
      </c>
      <c r="H3284" s="74">
        <f t="shared" si="103"/>
        <v>4.7912098151667308</v>
      </c>
    </row>
    <row r="3285" spans="5:8" ht="15.6">
      <c r="E3285" s="279" t="s">
        <v>3611</v>
      </c>
      <c r="F3285" s="284">
        <f t="shared" ca="1" si="102"/>
        <v>0.56349370727551984</v>
      </c>
      <c r="G3285" s="74">
        <v>38.54001381301763</v>
      </c>
      <c r="H3285" s="74">
        <f t="shared" si="103"/>
        <v>1.954386530314892</v>
      </c>
    </row>
    <row r="3286" spans="5:8" ht="15.6">
      <c r="E3286" s="279" t="s">
        <v>3612</v>
      </c>
      <c r="F3286" s="284">
        <f t="shared" ca="1" si="102"/>
        <v>4.4692682864222566E-2</v>
      </c>
      <c r="G3286" s="74">
        <v>40.46889676474737</v>
      </c>
      <c r="H3286" s="74">
        <f t="shared" si="103"/>
        <v>2.5503578585151843E-2</v>
      </c>
    </row>
    <row r="3287" spans="5:8" ht="15.6">
      <c r="E3287" s="279" t="s">
        <v>3613</v>
      </c>
      <c r="F3287" s="284">
        <f t="shared" ca="1" si="102"/>
        <v>0.19834424167927756</v>
      </c>
      <c r="G3287" s="74">
        <v>34.022970923222445</v>
      </c>
      <c r="H3287" s="74">
        <f t="shared" si="103"/>
        <v>6.471429420110077</v>
      </c>
    </row>
    <row r="3288" spans="5:8" ht="15.6">
      <c r="E3288" s="279" t="s">
        <v>3614</v>
      </c>
      <c r="F3288" s="284">
        <f t="shared" ca="1" si="102"/>
        <v>5.7908943915712441E-2</v>
      </c>
      <c r="G3288" s="74">
        <v>39.111609241104787</v>
      </c>
      <c r="H3288" s="74">
        <f t="shared" si="103"/>
        <v>1.3827911022277348</v>
      </c>
    </row>
    <row r="3289" spans="5:8" ht="15.6">
      <c r="E3289" s="279" t="s">
        <v>3615</v>
      </c>
      <c r="F3289" s="284">
        <f t="shared" ca="1" si="102"/>
        <v>0.75716274166165787</v>
      </c>
      <c r="G3289" s="74">
        <v>39.177226731293572</v>
      </c>
      <c r="H3289" s="74">
        <f t="shared" si="103"/>
        <v>1.3171736120389497</v>
      </c>
    </row>
    <row r="3290" spans="5:8" ht="15.6">
      <c r="E3290" s="279" t="s">
        <v>3616</v>
      </c>
      <c r="F3290" s="284">
        <f t="shared" ca="1" si="102"/>
        <v>0.80927358256723803</v>
      </c>
      <c r="G3290" s="74">
        <v>37.554760702805154</v>
      </c>
      <c r="H3290" s="74">
        <f t="shared" si="103"/>
        <v>2.9396396405273677</v>
      </c>
    </row>
    <row r="3291" spans="5:8" ht="15.6">
      <c r="E3291" s="279" t="s">
        <v>3617</v>
      </c>
      <c r="F3291" s="284">
        <f t="shared" ca="1" si="102"/>
        <v>0.99261225210733195</v>
      </c>
      <c r="G3291" s="74">
        <v>44.669082898590709</v>
      </c>
      <c r="H3291" s="74">
        <f t="shared" si="103"/>
        <v>-4.1746825552581868</v>
      </c>
    </row>
    <row r="3292" spans="5:8" ht="15.6">
      <c r="E3292" s="279" t="s">
        <v>3618</v>
      </c>
      <c r="F3292" s="284">
        <f t="shared" ca="1" si="102"/>
        <v>0.40338404475284217</v>
      </c>
      <c r="G3292" s="74">
        <v>36.899595783780413</v>
      </c>
      <c r="H3292" s="74">
        <f t="shared" si="103"/>
        <v>3.5948045595521094</v>
      </c>
    </row>
    <row r="3293" spans="5:8" ht="15.6">
      <c r="E3293" s="279" t="s">
        <v>3619</v>
      </c>
      <c r="F3293" s="284">
        <f t="shared" ca="1" si="102"/>
        <v>0.27692781291796864</v>
      </c>
      <c r="G3293" s="74">
        <v>40.104401221534651</v>
      </c>
      <c r="H3293" s="74">
        <f t="shared" si="103"/>
        <v>0.38999912179787088</v>
      </c>
    </row>
    <row r="3294" spans="5:8" ht="15.6">
      <c r="E3294" s="279" t="s">
        <v>3620</v>
      </c>
      <c r="F3294" s="284">
        <f t="shared" ca="1" si="102"/>
        <v>0.76195809983405671</v>
      </c>
      <c r="G3294" s="74">
        <v>37.261306527715384</v>
      </c>
      <c r="H3294" s="74">
        <f t="shared" si="103"/>
        <v>3.2330938156171385</v>
      </c>
    </row>
    <row r="3295" spans="5:8" ht="15.6">
      <c r="E3295" s="279" t="s">
        <v>3621</v>
      </c>
      <c r="F3295" s="284">
        <f t="shared" ca="1" si="102"/>
        <v>0.60776149847926852</v>
      </c>
      <c r="G3295" s="74">
        <v>40.685781671720271</v>
      </c>
      <c r="H3295" s="74">
        <f t="shared" si="103"/>
        <v>-0.19138132838774879</v>
      </c>
    </row>
    <row r="3296" spans="5:8" ht="15.6">
      <c r="E3296" s="279" t="s">
        <v>3622</v>
      </c>
      <c r="F3296" s="284">
        <f t="shared" ca="1" si="102"/>
        <v>0.611096706186259</v>
      </c>
      <c r="G3296" s="74">
        <v>42.292551050151992</v>
      </c>
      <c r="H3296" s="74">
        <f t="shared" si="103"/>
        <v>-1.7981507068194702</v>
      </c>
    </row>
    <row r="3297" spans="5:8" ht="15.6">
      <c r="E3297" s="279" t="s">
        <v>3623</v>
      </c>
      <c r="F3297" s="284">
        <f t="shared" ca="1" si="102"/>
        <v>0.2501302566398006</v>
      </c>
      <c r="G3297" s="74">
        <v>42.276486550075617</v>
      </c>
      <c r="H3297" s="74">
        <f t="shared" si="103"/>
        <v>-1.7820862067430951</v>
      </c>
    </row>
    <row r="3298" spans="5:8" ht="15.6">
      <c r="E3298" s="279" t="s">
        <v>3624</v>
      </c>
      <c r="F3298" s="284">
        <f t="shared" ca="1" si="102"/>
        <v>0.48542021621123266</v>
      </c>
      <c r="G3298" s="74">
        <v>34.782841832171918</v>
      </c>
      <c r="H3298" s="74">
        <f t="shared" si="103"/>
        <v>5.7115585111606038</v>
      </c>
    </row>
    <row r="3299" spans="5:8" ht="15.6">
      <c r="E3299" s="279" t="s">
        <v>3625</v>
      </c>
      <c r="F3299" s="284">
        <f t="shared" ca="1" si="102"/>
        <v>6.8682723453897143E-2</v>
      </c>
      <c r="G3299" s="74">
        <v>37.381445221871182</v>
      </c>
      <c r="H3299" s="74">
        <f t="shared" si="103"/>
        <v>3.11295512146134</v>
      </c>
    </row>
    <row r="3300" spans="5:8" ht="15.6">
      <c r="E3300" s="279" t="s">
        <v>3626</v>
      </c>
      <c r="F3300" s="284">
        <f t="shared" ca="1" si="102"/>
        <v>0.98869295109788147</v>
      </c>
      <c r="G3300" s="74">
        <v>36.066481780572666</v>
      </c>
      <c r="H3300" s="74">
        <f t="shared" si="103"/>
        <v>4.4279185627598565</v>
      </c>
    </row>
    <row r="3301" spans="5:8" ht="15.6">
      <c r="E3301" s="279" t="s">
        <v>3627</v>
      </c>
      <c r="F3301" s="284">
        <f t="shared" ca="1" si="102"/>
        <v>0.72413588284843922</v>
      </c>
      <c r="G3301" s="74">
        <v>36.941568378547238</v>
      </c>
      <c r="H3301" s="74">
        <f t="shared" si="103"/>
        <v>3.552831964785284</v>
      </c>
    </row>
    <row r="3302" spans="5:8" ht="15.6">
      <c r="E3302" s="279" t="s">
        <v>3628</v>
      </c>
      <c r="F3302" s="284">
        <f t="shared" ca="1" si="102"/>
        <v>0.3434662440869457</v>
      </c>
      <c r="G3302" s="74">
        <v>41.292465965080197</v>
      </c>
      <c r="H3302" s="74">
        <f t="shared" si="103"/>
        <v>-0.79806562174767492</v>
      </c>
    </row>
    <row r="3303" spans="5:8" ht="15.6">
      <c r="E3303" s="279" t="s">
        <v>3629</v>
      </c>
      <c r="F3303" s="284">
        <f t="shared" ca="1" si="102"/>
        <v>0.22761701167705739</v>
      </c>
      <c r="G3303" s="74">
        <v>37.232918257028693</v>
      </c>
      <c r="H3303" s="74">
        <f t="shared" si="103"/>
        <v>3.261482086303829</v>
      </c>
    </row>
    <row r="3304" spans="5:8" ht="15.6">
      <c r="E3304" s="279" t="s">
        <v>3630</v>
      </c>
      <c r="F3304" s="284">
        <f t="shared" ca="1" si="102"/>
        <v>0.44068753357921053</v>
      </c>
      <c r="G3304" s="74">
        <v>37.347905120292985</v>
      </c>
      <c r="H3304" s="74">
        <f t="shared" si="103"/>
        <v>3.1464952230395369</v>
      </c>
    </row>
    <row r="3305" spans="5:8" ht="15.6">
      <c r="E3305" s="279" t="s">
        <v>3631</v>
      </c>
      <c r="F3305" s="284">
        <f t="shared" ca="1" si="102"/>
        <v>0.20425497406709547</v>
      </c>
      <c r="G3305" s="74">
        <v>43.008628581266002</v>
      </c>
      <c r="H3305" s="74">
        <f t="shared" si="103"/>
        <v>-2.5142282379334802</v>
      </c>
    </row>
    <row r="3306" spans="5:8" ht="15.6">
      <c r="E3306" s="279" t="s">
        <v>3632</v>
      </c>
      <c r="F3306" s="284">
        <f t="shared" ca="1" si="102"/>
        <v>0.89720328893962642</v>
      </c>
      <c r="G3306" s="74">
        <v>38.114670515084882</v>
      </c>
      <c r="H3306" s="74">
        <f t="shared" si="103"/>
        <v>2.3797298282476405</v>
      </c>
    </row>
    <row r="3307" spans="5:8" ht="15.6">
      <c r="E3307" s="279" t="s">
        <v>3633</v>
      </c>
      <c r="F3307" s="284">
        <f t="shared" ca="1" si="102"/>
        <v>0.61750400636394231</v>
      </c>
      <c r="G3307" s="74">
        <v>39.65935570520702</v>
      </c>
      <c r="H3307" s="74">
        <f t="shared" si="103"/>
        <v>0.83504463812550256</v>
      </c>
    </row>
    <row r="3308" spans="5:8" ht="15.6">
      <c r="E3308" s="279" t="s">
        <v>3634</v>
      </c>
      <c r="F3308" s="284">
        <f t="shared" ca="1" si="102"/>
        <v>0.78650183661292594</v>
      </c>
      <c r="G3308" s="74">
        <v>39.957581914000336</v>
      </c>
      <c r="H3308" s="74">
        <f t="shared" si="103"/>
        <v>0.53681842933218604</v>
      </c>
    </row>
    <row r="3309" spans="5:8" ht="15.6">
      <c r="E3309" s="279" t="s">
        <v>3635</v>
      </c>
      <c r="F3309" s="284">
        <f t="shared" ca="1" si="102"/>
        <v>0.90743283690199639</v>
      </c>
      <c r="G3309" s="74">
        <v>35.625079527668838</v>
      </c>
      <c r="H3309" s="74">
        <f t="shared" si="103"/>
        <v>4.8693208156636842</v>
      </c>
    </row>
    <row r="3310" spans="5:8" ht="15.6">
      <c r="E3310" s="279" t="s">
        <v>3636</v>
      </c>
      <c r="F3310" s="284">
        <f t="shared" ca="1" si="102"/>
        <v>0.27561116675117481</v>
      </c>
      <c r="G3310" s="74">
        <v>37.80261900227628</v>
      </c>
      <c r="H3310" s="74">
        <f t="shared" si="103"/>
        <v>2.6917813410562417</v>
      </c>
    </row>
    <row r="3311" spans="5:8" ht="15.6">
      <c r="E3311" s="279" t="s">
        <v>3637</v>
      </c>
      <c r="F3311" s="284">
        <f t="shared" ca="1" si="102"/>
        <v>0.57754391257024162</v>
      </c>
      <c r="G3311" s="74">
        <v>38.363570287898852</v>
      </c>
      <c r="H3311" s="74">
        <f t="shared" si="103"/>
        <v>2.1308300554336697</v>
      </c>
    </row>
    <row r="3312" spans="5:8" ht="15.6">
      <c r="E3312" s="279" t="s">
        <v>3638</v>
      </c>
      <c r="F3312" s="284">
        <f t="shared" ca="1" si="102"/>
        <v>0.64065356879565871</v>
      </c>
      <c r="G3312" s="74">
        <v>36.441753050794517</v>
      </c>
      <c r="H3312" s="74">
        <f t="shared" si="103"/>
        <v>4.0526472925380048</v>
      </c>
    </row>
    <row r="3313" spans="5:8" ht="15.6">
      <c r="E3313" s="279" t="s">
        <v>3639</v>
      </c>
      <c r="F3313" s="284">
        <f t="shared" ca="1" si="102"/>
        <v>0.72029098315667772</v>
      </c>
      <c r="G3313" s="74">
        <v>39.526059109831159</v>
      </c>
      <c r="H3313" s="74">
        <f t="shared" si="103"/>
        <v>0.96834123350136281</v>
      </c>
    </row>
    <row r="3314" spans="5:8" ht="15.6">
      <c r="E3314" s="279" t="s">
        <v>3640</v>
      </c>
      <c r="F3314" s="284">
        <f t="shared" ca="1" si="102"/>
        <v>0.37873027575119644</v>
      </c>
      <c r="G3314" s="74">
        <v>37.945647253097363</v>
      </c>
      <c r="H3314" s="74">
        <f t="shared" si="103"/>
        <v>2.5487530902351594</v>
      </c>
    </row>
    <row r="3315" spans="5:8" ht="15.6">
      <c r="E3315" s="279" t="s">
        <v>3641</v>
      </c>
      <c r="F3315" s="284">
        <f t="shared" ca="1" si="102"/>
        <v>0.66644588525745097</v>
      </c>
      <c r="G3315" s="74">
        <v>40.283622596596416</v>
      </c>
      <c r="H3315" s="74">
        <f t="shared" si="103"/>
        <v>0.21077774673610605</v>
      </c>
    </row>
    <row r="3316" spans="5:8" ht="15.6">
      <c r="E3316" s="279" t="s">
        <v>3642</v>
      </c>
      <c r="F3316" s="284">
        <f t="shared" ca="1" si="102"/>
        <v>0.64175864860408105</v>
      </c>
      <c r="G3316" s="74">
        <v>40.585872120698532</v>
      </c>
      <c r="H3316" s="74">
        <f t="shared" si="103"/>
        <v>-9.1471777366010087E-2</v>
      </c>
    </row>
    <row r="3317" spans="5:8" ht="15.6">
      <c r="E3317" s="279" t="s">
        <v>3643</v>
      </c>
      <c r="F3317" s="284">
        <f t="shared" ca="1" si="102"/>
        <v>0.46241550263818099</v>
      </c>
      <c r="G3317" s="74">
        <v>50.088685885321077</v>
      </c>
      <c r="H3317" s="74">
        <f t="shared" si="103"/>
        <v>-9.5942855419885547</v>
      </c>
    </row>
    <row r="3318" spans="5:8" ht="15.6">
      <c r="E3318" s="279" t="s">
        <v>3644</v>
      </c>
      <c r="F3318" s="284">
        <f t="shared" ca="1" si="102"/>
        <v>0.85434730345730014</v>
      </c>
      <c r="G3318" s="74">
        <v>41.357595964320588</v>
      </c>
      <c r="H3318" s="74">
        <f t="shared" si="103"/>
        <v>-0.86319562098806557</v>
      </c>
    </row>
    <row r="3319" spans="5:8" ht="15.6">
      <c r="E3319" s="279" t="s">
        <v>3645</v>
      </c>
      <c r="F3319" s="284">
        <f t="shared" ca="1" si="102"/>
        <v>0.21001226184221511</v>
      </c>
      <c r="G3319" s="74">
        <v>37.929781706302421</v>
      </c>
      <c r="H3319" s="74">
        <f t="shared" si="103"/>
        <v>2.564618637030101</v>
      </c>
    </row>
    <row r="3320" spans="5:8" ht="15.6">
      <c r="E3320" s="279" t="s">
        <v>3646</v>
      </c>
      <c r="F3320" s="284">
        <f t="shared" ca="1" si="102"/>
        <v>0.81767309036597602</v>
      </c>
      <c r="G3320" s="74">
        <v>41.753892518870749</v>
      </c>
      <c r="H3320" s="74">
        <f t="shared" si="103"/>
        <v>-1.2594921755382273</v>
      </c>
    </row>
    <row r="3321" spans="5:8" ht="15.6">
      <c r="E3321" s="279" t="s">
        <v>3647</v>
      </c>
      <c r="F3321" s="284">
        <f t="shared" ca="1" si="102"/>
        <v>0.94377161451060965</v>
      </c>
      <c r="G3321" s="74">
        <v>39.677704969472202</v>
      </c>
      <c r="H3321" s="74">
        <f t="shared" si="103"/>
        <v>0.81669537386031976</v>
      </c>
    </row>
    <row r="3322" spans="5:8" ht="15.6">
      <c r="E3322" s="279" t="s">
        <v>3648</v>
      </c>
      <c r="F3322" s="284">
        <f t="shared" ca="1" si="102"/>
        <v>0.56869981530538949</v>
      </c>
      <c r="G3322" s="74">
        <v>39.309347177679903</v>
      </c>
      <c r="H3322" s="74">
        <f t="shared" si="103"/>
        <v>1.1850531656526186</v>
      </c>
    </row>
    <row r="3323" spans="5:8" ht="15.6">
      <c r="E3323" s="279" t="s">
        <v>3649</v>
      </c>
      <c r="F3323" s="284">
        <f t="shared" ca="1" si="102"/>
        <v>0.97536523769040506</v>
      </c>
      <c r="G3323" s="74">
        <v>36.853358853924469</v>
      </c>
      <c r="H3323" s="74">
        <f t="shared" si="103"/>
        <v>3.6410414894080532</v>
      </c>
    </row>
    <row r="3324" spans="5:8" ht="15.6">
      <c r="E3324" s="279" t="s">
        <v>3650</v>
      </c>
      <c r="F3324" s="284">
        <f t="shared" ca="1" si="102"/>
        <v>0.538913440420699</v>
      </c>
      <c r="G3324" s="74">
        <v>35.888269073914387</v>
      </c>
      <c r="H3324" s="74">
        <f t="shared" si="103"/>
        <v>4.6061312694181353</v>
      </c>
    </row>
    <row r="3325" spans="5:8" ht="15.6">
      <c r="E3325" s="279" t="s">
        <v>3651</v>
      </c>
      <c r="F3325" s="284">
        <f t="shared" ca="1" si="102"/>
        <v>0.19465204221891697</v>
      </c>
      <c r="G3325" s="74">
        <v>43.417519510723658</v>
      </c>
      <c r="H3325" s="74">
        <f t="shared" si="103"/>
        <v>-2.9231191673911354</v>
      </c>
    </row>
    <row r="3326" spans="5:8" ht="15.6">
      <c r="E3326" s="279" t="s">
        <v>3652</v>
      </c>
      <c r="F3326" s="284">
        <f t="shared" ca="1" si="102"/>
        <v>0.37863630286220207</v>
      </c>
      <c r="G3326" s="74">
        <v>37.260117721876767</v>
      </c>
      <c r="H3326" s="74">
        <f t="shared" si="103"/>
        <v>3.2342826214557547</v>
      </c>
    </row>
    <row r="3327" spans="5:8" ht="15.6">
      <c r="E3327" s="279" t="s">
        <v>3653</v>
      </c>
      <c r="F3327" s="284">
        <f t="shared" ca="1" si="102"/>
        <v>0.98787228839263164</v>
      </c>
      <c r="G3327" s="74">
        <v>35.292394430089956</v>
      </c>
      <c r="H3327" s="74">
        <f t="shared" si="103"/>
        <v>5.2020059132425658</v>
      </c>
    </row>
    <row r="3328" spans="5:8" ht="15.6">
      <c r="E3328" s="279" t="s">
        <v>3654</v>
      </c>
      <c r="F3328" s="284">
        <f t="shared" ca="1" si="102"/>
        <v>2.9137231611351955E-2</v>
      </c>
      <c r="G3328" s="74">
        <v>33.424776925658804</v>
      </c>
      <c r="H3328" s="74">
        <f t="shared" si="103"/>
        <v>7.0696234176737178</v>
      </c>
    </row>
    <row r="3329" spans="5:8" ht="15.6">
      <c r="E3329" s="279" t="s">
        <v>3655</v>
      </c>
      <c r="F3329" s="284">
        <f t="shared" ca="1" si="102"/>
        <v>0.93325692706665231</v>
      </c>
      <c r="G3329" s="74">
        <v>41.453235687105966</v>
      </c>
      <c r="H3329" s="74">
        <f t="shared" si="103"/>
        <v>-0.95883534377344404</v>
      </c>
    </row>
    <row r="3330" spans="5:8" ht="15.6">
      <c r="E3330" s="279" t="s">
        <v>3656</v>
      </c>
      <c r="F3330" s="284">
        <f t="shared" ca="1" si="102"/>
        <v>0.92457458392188596</v>
      </c>
      <c r="G3330" s="74">
        <v>39.358523906721636</v>
      </c>
      <c r="H3330" s="74">
        <f t="shared" si="103"/>
        <v>1.1358764366108858</v>
      </c>
    </row>
    <row r="3331" spans="5:8" ht="15.6">
      <c r="E3331" s="279" t="s">
        <v>3657</v>
      </c>
      <c r="F3331" s="284">
        <f t="shared" ca="1" si="102"/>
        <v>0.15314163434960171</v>
      </c>
      <c r="G3331" s="74">
        <v>39.973274321616124</v>
      </c>
      <c r="H3331" s="74">
        <f t="shared" si="103"/>
        <v>0.52112602171639821</v>
      </c>
    </row>
    <row r="3332" spans="5:8" ht="15.6">
      <c r="E3332" s="279" t="s">
        <v>3658</v>
      </c>
      <c r="F3332" s="284">
        <f t="shared" ca="1" si="102"/>
        <v>0.18450356604204721</v>
      </c>
      <c r="G3332" s="74">
        <v>37.298009117062165</v>
      </c>
      <c r="H3332" s="74">
        <f t="shared" si="103"/>
        <v>3.1963912262703573</v>
      </c>
    </row>
    <row r="3333" spans="5:8" ht="15.6">
      <c r="E3333" s="279" t="s">
        <v>3659</v>
      </c>
      <c r="F3333" s="284">
        <f t="shared" ca="1" si="102"/>
        <v>0.14732263997221084</v>
      </c>
      <c r="G3333" s="74">
        <v>38.953850277687927</v>
      </c>
      <c r="H3333" s="74">
        <f t="shared" si="103"/>
        <v>1.5405500656445952</v>
      </c>
    </row>
    <row r="3334" spans="5:8" ht="15.6">
      <c r="E3334" s="279" t="s">
        <v>3660</v>
      </c>
      <c r="F3334" s="284">
        <f t="shared" ca="1" si="102"/>
        <v>3.0935082244218148E-2</v>
      </c>
      <c r="G3334" s="74">
        <v>44.513201181882096</v>
      </c>
      <c r="H3334" s="74">
        <f t="shared" si="103"/>
        <v>-4.0188008385495735</v>
      </c>
    </row>
    <row r="3335" spans="5:8" ht="15.6">
      <c r="E3335" s="279" t="s">
        <v>3661</v>
      </c>
      <c r="F3335" s="284">
        <f t="shared" ca="1" si="102"/>
        <v>0.99190181678670175</v>
      </c>
      <c r="G3335" s="74">
        <v>39.538909467504958</v>
      </c>
      <c r="H3335" s="74">
        <f t="shared" si="103"/>
        <v>0.95549087582756442</v>
      </c>
    </row>
    <row r="3336" spans="5:8" ht="15.6">
      <c r="E3336" s="279" t="s">
        <v>3662</v>
      </c>
      <c r="F3336" s="284">
        <f t="shared" ca="1" si="102"/>
        <v>0.79912109733214831</v>
      </c>
      <c r="G3336" s="74">
        <v>40.532322212940599</v>
      </c>
      <c r="H3336" s="74">
        <f t="shared" si="103"/>
        <v>-3.7921869608076975E-2</v>
      </c>
    </row>
    <row r="3337" spans="5:8" ht="15.6">
      <c r="E3337" s="279" t="s">
        <v>3663</v>
      </c>
      <c r="F3337" s="284">
        <f t="shared" ca="1" si="102"/>
        <v>0.71391361988315549</v>
      </c>
      <c r="G3337" s="74">
        <v>36.885220798804305</v>
      </c>
      <c r="H3337" s="74">
        <f t="shared" si="103"/>
        <v>3.6091795445282173</v>
      </c>
    </row>
    <row r="3338" spans="5:8" ht="15.6">
      <c r="E3338" s="279" t="s">
        <v>3664</v>
      </c>
      <c r="F3338" s="284">
        <f t="shared" ca="1" si="102"/>
        <v>0.65862864367131646</v>
      </c>
      <c r="G3338" s="74">
        <v>41.20840865927169</v>
      </c>
      <c r="H3338" s="74">
        <f t="shared" si="103"/>
        <v>-0.71400831593916791</v>
      </c>
    </row>
    <row r="3339" spans="5:8" ht="15.6">
      <c r="E3339" s="279" t="s">
        <v>3665</v>
      </c>
      <c r="F3339" s="284">
        <f t="shared" ca="1" si="102"/>
        <v>0.68632702530378287</v>
      </c>
      <c r="G3339" s="74">
        <v>41.079008483505739</v>
      </c>
      <c r="H3339" s="74">
        <f t="shared" si="103"/>
        <v>-0.58460814017321638</v>
      </c>
    </row>
    <row r="3340" spans="5:8" ht="15.6">
      <c r="E3340" s="279" t="s">
        <v>3666</v>
      </c>
      <c r="F3340" s="284">
        <f t="shared" ref="F3340:F3403" ca="1" si="104">RAND()</f>
        <v>0.95510174056980734</v>
      </c>
      <c r="G3340" s="74">
        <v>38.868472899595005</v>
      </c>
      <c r="H3340" s="74">
        <f t="shared" ref="H3340:H3403" si="105">$D$2-G3340</f>
        <v>1.6259274437375169</v>
      </c>
    </row>
    <row r="3341" spans="5:8" ht="15.6">
      <c r="E3341" s="279" t="s">
        <v>3667</v>
      </c>
      <c r="F3341" s="284">
        <f t="shared" ca="1" si="104"/>
        <v>0.38882739555723245</v>
      </c>
      <c r="G3341" s="74">
        <v>41.020702409656913</v>
      </c>
      <c r="H3341" s="74">
        <f t="shared" si="105"/>
        <v>-0.52630206632439069</v>
      </c>
    </row>
    <row r="3342" spans="5:8" ht="15.6">
      <c r="E3342" s="279" t="s">
        <v>3668</v>
      </c>
      <c r="F3342" s="284">
        <f t="shared" ca="1" si="104"/>
        <v>0.47929309944584897</v>
      </c>
      <c r="G3342" s="74">
        <v>41.963187866872218</v>
      </c>
      <c r="H3342" s="74">
        <f t="shared" si="105"/>
        <v>-1.4687875235396959</v>
      </c>
    </row>
    <row r="3343" spans="5:8" ht="15.6">
      <c r="E3343" s="279" t="s">
        <v>3669</v>
      </c>
      <c r="F3343" s="284">
        <f t="shared" ca="1" si="104"/>
        <v>0.85106782619300725</v>
      </c>
      <c r="G3343" s="74">
        <v>41.259299965643052</v>
      </c>
      <c r="H3343" s="74">
        <f t="shared" si="105"/>
        <v>-0.76489962231052999</v>
      </c>
    </row>
    <row r="3344" spans="5:8" ht="15.6">
      <c r="E3344" s="279" t="s">
        <v>3670</v>
      </c>
      <c r="F3344" s="284">
        <f t="shared" ca="1" si="104"/>
        <v>0.54054392024703679</v>
      </c>
      <c r="G3344" s="74">
        <v>36.088278514899777</v>
      </c>
      <c r="H3344" s="74">
        <f t="shared" si="105"/>
        <v>4.4061218284327452</v>
      </c>
    </row>
    <row r="3345" spans="5:8" ht="15.6">
      <c r="E3345" s="279" t="s">
        <v>3671</v>
      </c>
      <c r="F3345" s="284">
        <f t="shared" ca="1" si="104"/>
        <v>0.35902165407060527</v>
      </c>
      <c r="G3345" s="74">
        <v>40.424829131976367</v>
      </c>
      <c r="H3345" s="74">
        <f t="shared" si="105"/>
        <v>6.9571211356155516E-2</v>
      </c>
    </row>
    <row r="3346" spans="5:8" ht="15.6">
      <c r="E3346" s="279" t="s">
        <v>3672</v>
      </c>
      <c r="F3346" s="284">
        <f t="shared" ca="1" si="104"/>
        <v>0.34896643287688855</v>
      </c>
      <c r="G3346" s="74">
        <v>41.714347545153274</v>
      </c>
      <c r="H3346" s="74">
        <f t="shared" si="105"/>
        <v>-1.2199472018207516</v>
      </c>
    </row>
    <row r="3347" spans="5:8" ht="15.6">
      <c r="E3347" s="279" t="s">
        <v>3673</v>
      </c>
      <c r="F3347" s="284">
        <f t="shared" ca="1" si="104"/>
        <v>0.26860449217889837</v>
      </c>
      <c r="G3347" s="74">
        <v>40.833662724141298</v>
      </c>
      <c r="H3347" s="74">
        <f t="shared" si="105"/>
        <v>-0.33926238080877624</v>
      </c>
    </row>
    <row r="3348" spans="5:8" ht="15.6">
      <c r="E3348" s="279" t="s">
        <v>3674</v>
      </c>
      <c r="F3348" s="284">
        <f t="shared" ca="1" si="104"/>
        <v>0.36172783545422227</v>
      </c>
      <c r="G3348" s="74">
        <v>42.899282959692947</v>
      </c>
      <c r="H3348" s="74">
        <f t="shared" si="105"/>
        <v>-2.4048826163604247</v>
      </c>
    </row>
    <row r="3349" spans="5:8" ht="15.6">
      <c r="E3349" s="279" t="s">
        <v>3675</v>
      </c>
      <c r="F3349" s="284">
        <f t="shared" ca="1" si="104"/>
        <v>0.62957589338270548</v>
      </c>
      <c r="G3349" s="74">
        <v>37.226668582483093</v>
      </c>
      <c r="H3349" s="74">
        <f t="shared" si="105"/>
        <v>3.2677317608494292</v>
      </c>
    </row>
    <row r="3350" spans="5:8" ht="15.6">
      <c r="E3350" s="279" t="s">
        <v>3676</v>
      </c>
      <c r="F3350" s="284">
        <f t="shared" ca="1" si="104"/>
        <v>0.48002295984853527</v>
      </c>
      <c r="G3350" s="74">
        <v>34.218693180177596</v>
      </c>
      <c r="H3350" s="74">
        <f t="shared" si="105"/>
        <v>6.2757071631549266</v>
      </c>
    </row>
    <row r="3351" spans="5:8" ht="15.6">
      <c r="E3351" s="279" t="s">
        <v>3677</v>
      </c>
      <c r="F3351" s="284">
        <f t="shared" ca="1" si="104"/>
        <v>0.3085219983544516</v>
      </c>
      <c r="G3351" s="74">
        <v>39.628624123742483</v>
      </c>
      <c r="H3351" s="74">
        <f t="shared" si="105"/>
        <v>0.86577621959003892</v>
      </c>
    </row>
    <row r="3352" spans="5:8" ht="15.6">
      <c r="E3352" s="279" t="s">
        <v>3678</v>
      </c>
      <c r="F3352" s="284">
        <f t="shared" ca="1" si="104"/>
        <v>0.77372452683014992</v>
      </c>
      <c r="G3352" s="74">
        <v>39.493187381829479</v>
      </c>
      <c r="H3352" s="74">
        <f t="shared" si="105"/>
        <v>1.0012129615030432</v>
      </c>
    </row>
    <row r="3353" spans="5:8" ht="15.6">
      <c r="E3353" s="279" t="s">
        <v>3679</v>
      </c>
      <c r="F3353" s="284">
        <f t="shared" ca="1" si="104"/>
        <v>0.60501292478991731</v>
      </c>
      <c r="G3353" s="74">
        <v>46.270030620367045</v>
      </c>
      <c r="H3353" s="74">
        <f t="shared" si="105"/>
        <v>-5.7756302770345229</v>
      </c>
    </row>
    <row r="3354" spans="5:8" ht="15.6">
      <c r="E3354" s="279" t="s">
        <v>3680</v>
      </c>
      <c r="F3354" s="284">
        <f t="shared" ca="1" si="104"/>
        <v>0.61968339834839947</v>
      </c>
      <c r="G3354" s="74">
        <v>44.722122339453577</v>
      </c>
      <c r="H3354" s="74">
        <f t="shared" si="105"/>
        <v>-4.2277219961210548</v>
      </c>
    </row>
    <row r="3355" spans="5:8" ht="15.6">
      <c r="E3355" s="279" t="s">
        <v>3681</v>
      </c>
      <c r="F3355" s="284">
        <f t="shared" ca="1" si="104"/>
        <v>0.45412189826037297</v>
      </c>
      <c r="G3355" s="74">
        <v>39.409850373370659</v>
      </c>
      <c r="H3355" s="74">
        <f t="shared" si="105"/>
        <v>1.0845499699618628</v>
      </c>
    </row>
    <row r="3356" spans="5:8" ht="15.6">
      <c r="E3356" s="279" t="s">
        <v>3682</v>
      </c>
      <c r="F3356" s="284">
        <f t="shared" ca="1" si="104"/>
        <v>0.44737137685491579</v>
      </c>
      <c r="G3356" s="74">
        <v>36.799564246029881</v>
      </c>
      <c r="H3356" s="74">
        <f t="shared" si="105"/>
        <v>3.6948360973026411</v>
      </c>
    </row>
    <row r="3357" spans="5:8" ht="15.6">
      <c r="E3357" s="279" t="s">
        <v>3683</v>
      </c>
      <c r="F3357" s="284">
        <f t="shared" ca="1" si="104"/>
        <v>0.11671035360260174</v>
      </c>
      <c r="G3357" s="74">
        <v>41.330726584309673</v>
      </c>
      <c r="H3357" s="74">
        <f t="shared" si="105"/>
        <v>-0.8363262409771508</v>
      </c>
    </row>
    <row r="3358" spans="5:8" ht="15.6">
      <c r="E3358" s="279" t="s">
        <v>3684</v>
      </c>
      <c r="F3358" s="284">
        <f t="shared" ca="1" si="104"/>
        <v>0.90672868817195085</v>
      </c>
      <c r="G3358" s="74">
        <v>44.743718320542996</v>
      </c>
      <c r="H3358" s="74">
        <f t="shared" si="105"/>
        <v>-4.2493179772104739</v>
      </c>
    </row>
    <row r="3359" spans="5:8" ht="15.6">
      <c r="E3359" s="279" t="s">
        <v>3685</v>
      </c>
      <c r="F3359" s="284">
        <f t="shared" ca="1" si="104"/>
        <v>0.30558095416909015</v>
      </c>
      <c r="G3359" s="74">
        <v>41.214898831835796</v>
      </c>
      <c r="H3359" s="74">
        <f t="shared" si="105"/>
        <v>-0.72049848850327436</v>
      </c>
    </row>
    <row r="3360" spans="5:8" ht="15.6">
      <c r="E3360" s="279" t="s">
        <v>3686</v>
      </c>
      <c r="F3360" s="284">
        <f t="shared" ca="1" si="104"/>
        <v>0.88784544679256616</v>
      </c>
      <c r="G3360" s="74">
        <v>35.780283645820056</v>
      </c>
      <c r="H3360" s="74">
        <f t="shared" si="105"/>
        <v>4.7141166975124662</v>
      </c>
    </row>
    <row r="3361" spans="5:8" ht="15.6">
      <c r="E3361" s="279" t="s">
        <v>3687</v>
      </c>
      <c r="F3361" s="284">
        <f t="shared" ca="1" si="104"/>
        <v>0.96369263847192022</v>
      </c>
      <c r="G3361" s="74">
        <v>38.642756008800717</v>
      </c>
      <c r="H3361" s="74">
        <f t="shared" si="105"/>
        <v>1.8516443345318052</v>
      </c>
    </row>
    <row r="3362" spans="5:8" ht="15.6">
      <c r="E3362" s="279" t="s">
        <v>3688</v>
      </c>
      <c r="F3362" s="284">
        <f t="shared" ca="1" si="104"/>
        <v>0.23673728902700419</v>
      </c>
      <c r="G3362" s="74">
        <v>37.511445287246886</v>
      </c>
      <c r="H3362" s="74">
        <f t="shared" si="105"/>
        <v>2.9829550560856362</v>
      </c>
    </row>
    <row r="3363" spans="5:8" ht="15.6">
      <c r="E3363" s="279" t="s">
        <v>3689</v>
      </c>
      <c r="F3363" s="284">
        <f t="shared" ca="1" si="104"/>
        <v>0.9980542794535483</v>
      </c>
      <c r="G3363" s="74">
        <v>39.460626093297797</v>
      </c>
      <c r="H3363" s="74">
        <f t="shared" si="105"/>
        <v>1.0337742500347247</v>
      </c>
    </row>
    <row r="3364" spans="5:8" ht="15.6">
      <c r="E3364" s="279" t="s">
        <v>3690</v>
      </c>
      <c r="F3364" s="284">
        <f t="shared" ca="1" si="104"/>
        <v>6.665551184999019E-2</v>
      </c>
      <c r="G3364" s="74">
        <v>40.15203359201513</v>
      </c>
      <c r="H3364" s="74">
        <f t="shared" si="105"/>
        <v>0.34236675131739247</v>
      </c>
    </row>
    <row r="3365" spans="5:8" ht="15.6">
      <c r="E3365" s="279" t="s">
        <v>3691</v>
      </c>
      <c r="F3365" s="284">
        <f t="shared" ca="1" si="104"/>
        <v>0.88987724355549536</v>
      </c>
      <c r="G3365" s="74">
        <v>43.414803495596018</v>
      </c>
      <c r="H3365" s="74">
        <f t="shared" si="105"/>
        <v>-2.9204031522634963</v>
      </c>
    </row>
    <row r="3366" spans="5:8" ht="15.6">
      <c r="E3366" s="279" t="s">
        <v>3692</v>
      </c>
      <c r="F3366" s="284">
        <f t="shared" ca="1" si="104"/>
        <v>0.34579162062454394</v>
      </c>
      <c r="G3366" s="74">
        <v>38.384575745084909</v>
      </c>
      <c r="H3366" s="74">
        <f t="shared" si="105"/>
        <v>2.1098245982476129</v>
      </c>
    </row>
    <row r="3367" spans="5:8" ht="15.6">
      <c r="E3367" s="279" t="s">
        <v>3693</v>
      </c>
      <c r="F3367" s="284">
        <f t="shared" ca="1" si="104"/>
        <v>0.38562281048581115</v>
      </c>
      <c r="G3367" s="74">
        <v>37.628802737024998</v>
      </c>
      <c r="H3367" s="74">
        <f t="shared" si="105"/>
        <v>2.8655976063075244</v>
      </c>
    </row>
    <row r="3368" spans="5:8" ht="15.6">
      <c r="E3368" s="279" t="s">
        <v>3694</v>
      </c>
      <c r="F3368" s="284">
        <f t="shared" ca="1" si="104"/>
        <v>0.719985657409841</v>
      </c>
      <c r="G3368" s="74">
        <v>39.532976032031534</v>
      </c>
      <c r="H3368" s="74">
        <f t="shared" si="105"/>
        <v>0.96142431130098771</v>
      </c>
    </row>
    <row r="3369" spans="5:8" ht="15.6">
      <c r="E3369" s="279" t="s">
        <v>3695</v>
      </c>
      <c r="F3369" s="284">
        <f t="shared" ca="1" si="104"/>
        <v>0.91307182086974159</v>
      </c>
      <c r="G3369" s="74">
        <v>35.893522620385383</v>
      </c>
      <c r="H3369" s="74">
        <f t="shared" si="105"/>
        <v>4.6008777229471391</v>
      </c>
    </row>
    <row r="3370" spans="5:8" ht="15.6">
      <c r="E3370" s="279" t="s">
        <v>3696</v>
      </c>
      <c r="F3370" s="284">
        <f t="shared" ca="1" si="104"/>
        <v>0.15168958205814231</v>
      </c>
      <c r="G3370" s="74">
        <v>39.073788466050921</v>
      </c>
      <c r="H3370" s="74">
        <f t="shared" si="105"/>
        <v>1.4206118772816012</v>
      </c>
    </row>
    <row r="3371" spans="5:8" ht="15.6">
      <c r="E3371" s="279" t="s">
        <v>3697</v>
      </c>
      <c r="F3371" s="284">
        <f t="shared" ca="1" si="104"/>
        <v>0.3165564172021319</v>
      </c>
      <c r="G3371" s="74">
        <v>42.025546325218528</v>
      </c>
      <c r="H3371" s="74">
        <f t="shared" si="105"/>
        <v>-1.5311459818860058</v>
      </c>
    </row>
    <row r="3372" spans="5:8" ht="15.6">
      <c r="E3372" s="279" t="s">
        <v>3698</v>
      </c>
      <c r="F3372" s="284">
        <f t="shared" ca="1" si="104"/>
        <v>0.63813977673649624</v>
      </c>
      <c r="G3372" s="74">
        <v>42.82251453908038</v>
      </c>
      <c r="H3372" s="74">
        <f t="shared" si="105"/>
        <v>-2.3281141957478582</v>
      </c>
    </row>
    <row r="3373" spans="5:8" ht="15.6">
      <c r="E3373" s="279" t="s">
        <v>3699</v>
      </c>
      <c r="F3373" s="284">
        <f t="shared" ca="1" si="104"/>
        <v>3.1009673555023043E-2</v>
      </c>
      <c r="G3373" s="74">
        <v>39.079795512459043</v>
      </c>
      <c r="H3373" s="74">
        <f t="shared" si="105"/>
        <v>1.4146048308734791</v>
      </c>
    </row>
    <row r="3374" spans="5:8" ht="15.6">
      <c r="E3374" s="279" t="s">
        <v>3700</v>
      </c>
      <c r="F3374" s="284">
        <f t="shared" ca="1" si="104"/>
        <v>0.70605181425283869</v>
      </c>
      <c r="G3374" s="74">
        <v>35.077820962287667</v>
      </c>
      <c r="H3374" s="74">
        <f t="shared" si="105"/>
        <v>5.4165793810448548</v>
      </c>
    </row>
    <row r="3375" spans="5:8" ht="15.6">
      <c r="E3375" s="279" t="s">
        <v>3701</v>
      </c>
      <c r="F3375" s="284">
        <f t="shared" ca="1" si="104"/>
        <v>0.1636346568664776</v>
      </c>
      <c r="G3375" s="74">
        <v>39.635270933066835</v>
      </c>
      <c r="H3375" s="74">
        <f t="shared" si="105"/>
        <v>0.85912941026568745</v>
      </c>
    </row>
    <row r="3376" spans="5:8" ht="15.6">
      <c r="E3376" s="279" t="s">
        <v>3702</v>
      </c>
      <c r="F3376" s="284">
        <f t="shared" ca="1" si="104"/>
        <v>0.3879742357327719</v>
      </c>
      <c r="G3376" s="74">
        <v>43.284211990746336</v>
      </c>
      <c r="H3376" s="74">
        <f t="shared" si="105"/>
        <v>-2.7898116474138135</v>
      </c>
    </row>
    <row r="3377" spans="5:8" ht="15.6">
      <c r="E3377" s="279" t="s">
        <v>3703</v>
      </c>
      <c r="F3377" s="284">
        <f t="shared" ca="1" si="104"/>
        <v>0.65025493050958827</v>
      </c>
      <c r="G3377" s="74">
        <v>37.833109027296096</v>
      </c>
      <c r="H3377" s="74">
        <f t="shared" si="105"/>
        <v>2.6612913160364258</v>
      </c>
    </row>
    <row r="3378" spans="5:8" ht="15.6">
      <c r="E3378" s="279" t="s">
        <v>3704</v>
      </c>
      <c r="F3378" s="284">
        <f t="shared" ca="1" si="104"/>
        <v>0.81557813565375548</v>
      </c>
      <c r="G3378" s="74">
        <v>38.769383738624633</v>
      </c>
      <c r="H3378" s="74">
        <f t="shared" si="105"/>
        <v>1.7250166047078892</v>
      </c>
    </row>
    <row r="3379" spans="5:8" ht="15.6">
      <c r="E3379" s="279" t="s">
        <v>3705</v>
      </c>
      <c r="F3379" s="284">
        <f t="shared" ca="1" si="104"/>
        <v>3.7410778827985935E-2</v>
      </c>
      <c r="G3379" s="74">
        <v>39.155550636848645</v>
      </c>
      <c r="H3379" s="74">
        <f t="shared" si="105"/>
        <v>1.3388497064838774</v>
      </c>
    </row>
    <row r="3380" spans="5:8" ht="15.6">
      <c r="E3380" s="279" t="s">
        <v>3706</v>
      </c>
      <c r="F3380" s="284">
        <f t="shared" ca="1" si="104"/>
        <v>5.9401694929573035E-2</v>
      </c>
      <c r="G3380" s="74">
        <v>39.743397115758164</v>
      </c>
      <c r="H3380" s="74">
        <f t="shared" si="105"/>
        <v>0.75100322757435833</v>
      </c>
    </row>
    <row r="3381" spans="5:8" ht="15.6">
      <c r="E3381" s="279" t="s">
        <v>3707</v>
      </c>
      <c r="F3381" s="284">
        <f t="shared" ca="1" si="104"/>
        <v>0.58926433322525307</v>
      </c>
      <c r="G3381" s="74">
        <v>42.732105243056935</v>
      </c>
      <c r="H3381" s="74">
        <f t="shared" si="105"/>
        <v>-2.2377048997244131</v>
      </c>
    </row>
    <row r="3382" spans="5:8" ht="15.6">
      <c r="E3382" s="279" t="s">
        <v>3708</v>
      </c>
      <c r="F3382" s="284">
        <f t="shared" ca="1" si="104"/>
        <v>0.63014513633736269</v>
      </c>
      <c r="G3382" s="74">
        <v>38.849031617838172</v>
      </c>
      <c r="H3382" s="74">
        <f t="shared" si="105"/>
        <v>1.6453687254943503</v>
      </c>
    </row>
    <row r="3383" spans="5:8" ht="15.6">
      <c r="E3383" s="279" t="s">
        <v>3709</v>
      </c>
      <c r="F3383" s="284">
        <f t="shared" ca="1" si="104"/>
        <v>0.6846814641829404</v>
      </c>
      <c r="G3383" s="74">
        <v>42.432509600990237</v>
      </c>
      <c r="H3383" s="74">
        <f t="shared" si="105"/>
        <v>-1.9381092576577146</v>
      </c>
    </row>
    <row r="3384" spans="5:8" ht="15.6">
      <c r="E3384" s="279" t="s">
        <v>3710</v>
      </c>
      <c r="F3384" s="284">
        <f t="shared" ca="1" si="104"/>
        <v>0.7399060187895542</v>
      </c>
      <c r="G3384" s="74">
        <v>44.93453361114571</v>
      </c>
      <c r="H3384" s="74">
        <f t="shared" si="105"/>
        <v>-4.440133267813188</v>
      </c>
    </row>
    <row r="3385" spans="5:8" ht="15.6">
      <c r="E3385" s="279" t="s">
        <v>3711</v>
      </c>
      <c r="F3385" s="284">
        <f t="shared" ca="1" si="104"/>
        <v>0.27217095007017489</v>
      </c>
      <c r="G3385" s="74">
        <v>34.898430926753974</v>
      </c>
      <c r="H3385" s="74">
        <f t="shared" si="105"/>
        <v>5.5959694165785479</v>
      </c>
    </row>
    <row r="3386" spans="5:8" ht="15.6">
      <c r="E3386" s="279" t="s">
        <v>3712</v>
      </c>
      <c r="F3386" s="284">
        <f t="shared" ca="1" si="104"/>
        <v>0.20904345733412266</v>
      </c>
      <c r="G3386" s="74">
        <v>41.683577414560595</v>
      </c>
      <c r="H3386" s="74">
        <f t="shared" si="105"/>
        <v>-1.1891770712280731</v>
      </c>
    </row>
    <row r="3387" spans="5:8" ht="15.6">
      <c r="E3387" s="279" t="s">
        <v>3713</v>
      </c>
      <c r="F3387" s="284">
        <f t="shared" ca="1" si="104"/>
        <v>0.72283046143317087</v>
      </c>
      <c r="G3387" s="74">
        <v>37.54697273719021</v>
      </c>
      <c r="H3387" s="74">
        <f t="shared" si="105"/>
        <v>2.9474276061423126</v>
      </c>
    </row>
    <row r="3388" spans="5:8" ht="15.6">
      <c r="E3388" s="279" t="s">
        <v>3714</v>
      </c>
      <c r="F3388" s="284">
        <f t="shared" ca="1" si="104"/>
        <v>0.18409224391031631</v>
      </c>
      <c r="G3388" s="74">
        <v>39.639108520325223</v>
      </c>
      <c r="H3388" s="74">
        <f t="shared" si="105"/>
        <v>0.855291823007299</v>
      </c>
    </row>
    <row r="3389" spans="5:8" ht="15.6">
      <c r="E3389" s="279" t="s">
        <v>3715</v>
      </c>
      <c r="F3389" s="284">
        <f t="shared" ca="1" si="104"/>
        <v>3.3541746076830137E-2</v>
      </c>
      <c r="G3389" s="74">
        <v>38.132917138567102</v>
      </c>
      <c r="H3389" s="74">
        <f t="shared" si="105"/>
        <v>2.3614832047654204</v>
      </c>
    </row>
    <row r="3390" spans="5:8" ht="15.6">
      <c r="E3390" s="279" t="s">
        <v>3716</v>
      </c>
      <c r="F3390" s="284">
        <f t="shared" ca="1" si="104"/>
        <v>0.14951176250823517</v>
      </c>
      <c r="G3390" s="74">
        <v>36.650888030295832</v>
      </c>
      <c r="H3390" s="74">
        <f t="shared" si="105"/>
        <v>3.8435123130366904</v>
      </c>
    </row>
    <row r="3391" spans="5:8" ht="15.6">
      <c r="E3391" s="279" t="s">
        <v>3717</v>
      </c>
      <c r="F3391" s="284">
        <f t="shared" ca="1" si="104"/>
        <v>0.17015981614296105</v>
      </c>
      <c r="G3391" s="74">
        <v>39.131272598239633</v>
      </c>
      <c r="H3391" s="74">
        <f t="shared" si="105"/>
        <v>1.3631277450928891</v>
      </c>
    </row>
    <row r="3392" spans="5:8" ht="15.6">
      <c r="E3392" s="279" t="s">
        <v>3718</v>
      </c>
      <c r="F3392" s="284">
        <f t="shared" ca="1" si="104"/>
        <v>6.8461127937685995E-2</v>
      </c>
      <c r="G3392" s="74">
        <v>39.273747760342538</v>
      </c>
      <c r="H3392" s="74">
        <f t="shared" si="105"/>
        <v>1.2206525829899846</v>
      </c>
    </row>
    <row r="3393" spans="5:8" ht="15.6">
      <c r="E3393" s="279" t="s">
        <v>3719</v>
      </c>
      <c r="F3393" s="284">
        <f t="shared" ca="1" si="104"/>
        <v>0.63327500353633714</v>
      </c>
      <c r="G3393" s="74">
        <v>41.160777384013478</v>
      </c>
      <c r="H3393" s="74">
        <f t="shared" si="105"/>
        <v>-0.66637704068095616</v>
      </c>
    </row>
    <row r="3394" spans="5:8" ht="15.6">
      <c r="E3394" s="279" t="s">
        <v>3720</v>
      </c>
      <c r="F3394" s="284">
        <f t="shared" ca="1" si="104"/>
        <v>0.30577825763304323</v>
      </c>
      <c r="G3394" s="74">
        <v>37.15690013027001</v>
      </c>
      <c r="H3394" s="74">
        <f t="shared" si="105"/>
        <v>3.337500213062512</v>
      </c>
    </row>
    <row r="3395" spans="5:8" ht="15.6">
      <c r="E3395" s="279" t="s">
        <v>3721</v>
      </c>
      <c r="F3395" s="284">
        <f t="shared" ca="1" si="104"/>
        <v>0.41334191342396298</v>
      </c>
      <c r="G3395" s="74">
        <v>38.76497302286608</v>
      </c>
      <c r="H3395" s="74">
        <f t="shared" si="105"/>
        <v>1.7294273204664421</v>
      </c>
    </row>
    <row r="3396" spans="5:8" ht="15.6">
      <c r="E3396" s="279" t="s">
        <v>3722</v>
      </c>
      <c r="F3396" s="284">
        <f t="shared" ca="1" si="104"/>
        <v>0.33061692149504174</v>
      </c>
      <c r="G3396" s="74">
        <v>37.425780047468791</v>
      </c>
      <c r="H3396" s="74">
        <f t="shared" si="105"/>
        <v>3.068620295863731</v>
      </c>
    </row>
    <row r="3397" spans="5:8" ht="15.6">
      <c r="E3397" s="279" t="s">
        <v>3723</v>
      </c>
      <c r="F3397" s="284">
        <f t="shared" ca="1" si="104"/>
        <v>0.46621267846754444</v>
      </c>
      <c r="G3397" s="74">
        <v>38.150007087821585</v>
      </c>
      <c r="H3397" s="74">
        <f t="shared" si="105"/>
        <v>2.344393255510937</v>
      </c>
    </row>
    <row r="3398" spans="5:8" ht="15.6">
      <c r="E3398" s="279" t="s">
        <v>3724</v>
      </c>
      <c r="F3398" s="284">
        <f t="shared" ca="1" si="104"/>
        <v>0.93255018773114262</v>
      </c>
      <c r="G3398" s="74">
        <v>39.117035153653376</v>
      </c>
      <c r="H3398" s="74">
        <f t="shared" si="105"/>
        <v>1.3773651896791463</v>
      </c>
    </row>
    <row r="3399" spans="5:8" ht="15.6">
      <c r="E3399" s="279" t="s">
        <v>3725</v>
      </c>
      <c r="F3399" s="284">
        <f t="shared" ca="1" si="104"/>
        <v>0.83888171652144539</v>
      </c>
      <c r="G3399" s="74">
        <v>39.246836145401673</v>
      </c>
      <c r="H3399" s="74">
        <f t="shared" si="105"/>
        <v>1.2475641979308492</v>
      </c>
    </row>
    <row r="3400" spans="5:8" ht="15.6">
      <c r="E3400" s="279" t="s">
        <v>3726</v>
      </c>
      <c r="F3400" s="284">
        <f t="shared" ca="1" si="104"/>
        <v>0.22872912291628134</v>
      </c>
      <c r="G3400" s="74">
        <v>43.828650979034819</v>
      </c>
      <c r="H3400" s="74">
        <f t="shared" si="105"/>
        <v>-3.334250635702297</v>
      </c>
    </row>
    <row r="3401" spans="5:8" ht="15.6">
      <c r="E3401" s="279" t="s">
        <v>3727</v>
      </c>
      <c r="F3401" s="284">
        <f t="shared" ca="1" si="104"/>
        <v>0.14948337223346919</v>
      </c>
      <c r="G3401" s="74">
        <v>42.534300383202407</v>
      </c>
      <c r="H3401" s="74">
        <f t="shared" si="105"/>
        <v>-2.0399000398698846</v>
      </c>
    </row>
    <row r="3402" spans="5:8" ht="15.6">
      <c r="E3402" s="279" t="s">
        <v>3728</v>
      </c>
      <c r="F3402" s="284">
        <f t="shared" ca="1" si="104"/>
        <v>0.48084519585225605</v>
      </c>
      <c r="G3402" s="74">
        <v>37.873428988622841</v>
      </c>
      <c r="H3402" s="74">
        <f t="shared" si="105"/>
        <v>2.6209713547096811</v>
      </c>
    </row>
    <row r="3403" spans="5:8" ht="15.6">
      <c r="E3403" s="279" t="s">
        <v>3729</v>
      </c>
      <c r="F3403" s="284">
        <f t="shared" ca="1" si="104"/>
        <v>0.81577044547159117</v>
      </c>
      <c r="G3403" s="74">
        <v>38.249222394140546</v>
      </c>
      <c r="H3403" s="74">
        <f t="shared" si="105"/>
        <v>2.2451779491919766</v>
      </c>
    </row>
    <row r="3404" spans="5:8" ht="15.6">
      <c r="E3404" s="279" t="s">
        <v>3730</v>
      </c>
      <c r="F3404" s="284">
        <f t="shared" ref="F3404:F3467" ca="1" si="106">RAND()</f>
        <v>0.9627937608121796</v>
      </c>
      <c r="G3404" s="74">
        <v>33.046625266397172</v>
      </c>
      <c r="H3404" s="74">
        <f t="shared" ref="H3404:H3467" si="107">$D$2-G3404</f>
        <v>7.4477750769353506</v>
      </c>
    </row>
    <row r="3405" spans="5:8" ht="15.6">
      <c r="E3405" s="279" t="s">
        <v>3731</v>
      </c>
      <c r="F3405" s="284">
        <f t="shared" ca="1" si="106"/>
        <v>0.17145029876675977</v>
      </c>
      <c r="G3405" s="74">
        <v>37.393651564483875</v>
      </c>
      <c r="H3405" s="74">
        <f t="shared" si="107"/>
        <v>3.1007487788486472</v>
      </c>
    </row>
    <row r="3406" spans="5:8" ht="15.6">
      <c r="E3406" s="279" t="s">
        <v>3732</v>
      </c>
      <c r="F3406" s="284">
        <f t="shared" ca="1" si="106"/>
        <v>0.72826436539300854</v>
      </c>
      <c r="G3406" s="74">
        <v>39.35442066024013</v>
      </c>
      <c r="H3406" s="74">
        <f t="shared" si="107"/>
        <v>1.1399796830923918</v>
      </c>
    </row>
    <row r="3407" spans="5:8" ht="15.6">
      <c r="E3407" s="279" t="s">
        <v>3733</v>
      </c>
      <c r="F3407" s="284">
        <f t="shared" ca="1" si="106"/>
        <v>0.77893394263023619</v>
      </c>
      <c r="G3407" s="74">
        <v>44.630565879604767</v>
      </c>
      <c r="H3407" s="74">
        <f t="shared" si="107"/>
        <v>-4.1361655362722445</v>
      </c>
    </row>
    <row r="3408" spans="5:8" ht="15.6">
      <c r="E3408" s="279" t="s">
        <v>3734</v>
      </c>
      <c r="F3408" s="284">
        <f t="shared" ca="1" si="106"/>
        <v>0.9388926995435708</v>
      </c>
      <c r="G3408" s="74">
        <v>39.110463624292755</v>
      </c>
      <c r="H3408" s="74">
        <f t="shared" si="107"/>
        <v>1.3839367190397667</v>
      </c>
    </row>
    <row r="3409" spans="5:8" ht="15.6">
      <c r="E3409" s="279" t="s">
        <v>3735</v>
      </c>
      <c r="F3409" s="284">
        <f t="shared" ca="1" si="106"/>
        <v>0.71806450480933015</v>
      </c>
      <c r="G3409" s="74">
        <v>40.087363289863262</v>
      </c>
      <c r="H3409" s="74">
        <f t="shared" si="107"/>
        <v>0.40703705346926</v>
      </c>
    </row>
    <row r="3410" spans="5:8" ht="15.6">
      <c r="E3410" s="279" t="s">
        <v>3736</v>
      </c>
      <c r="F3410" s="284">
        <f t="shared" ca="1" si="106"/>
        <v>0.40600142920738969</v>
      </c>
      <c r="G3410" s="74">
        <v>41.060754071758204</v>
      </c>
      <c r="H3410" s="74">
        <f t="shared" si="107"/>
        <v>-0.56635372842568188</v>
      </c>
    </row>
    <row r="3411" spans="5:8" ht="15.6">
      <c r="E3411" s="279" t="s">
        <v>3737</v>
      </c>
      <c r="F3411" s="284">
        <f t="shared" ca="1" si="106"/>
        <v>0.30566315492699592</v>
      </c>
      <c r="G3411" s="74">
        <v>39.66482113484625</v>
      </c>
      <c r="H3411" s="74">
        <f t="shared" si="107"/>
        <v>0.82957920848627253</v>
      </c>
    </row>
    <row r="3412" spans="5:8" ht="15.6">
      <c r="E3412" s="279" t="s">
        <v>3738</v>
      </c>
      <c r="F3412" s="284">
        <f t="shared" ca="1" si="106"/>
        <v>0.90698609415624221</v>
      </c>
      <c r="G3412" s="74">
        <v>39.255482808720302</v>
      </c>
      <c r="H3412" s="74">
        <f t="shared" si="107"/>
        <v>1.2389175346122201</v>
      </c>
    </row>
    <row r="3413" spans="5:8" ht="15.6">
      <c r="E3413" s="279" t="s">
        <v>3739</v>
      </c>
      <c r="F3413" s="284">
        <f t="shared" ca="1" si="106"/>
        <v>0.94607880764192209</v>
      </c>
      <c r="G3413" s="74">
        <v>41.130969981881933</v>
      </c>
      <c r="H3413" s="74">
        <f t="shared" si="107"/>
        <v>-0.6365696385494104</v>
      </c>
    </row>
    <row r="3414" spans="5:8" ht="15.6">
      <c r="E3414" s="279" t="s">
        <v>3740</v>
      </c>
      <c r="F3414" s="284">
        <f t="shared" ca="1" si="106"/>
        <v>0.64666219596857299</v>
      </c>
      <c r="G3414" s="74">
        <v>38.916525532489366</v>
      </c>
      <c r="H3414" s="74">
        <f t="shared" si="107"/>
        <v>1.5778748108431557</v>
      </c>
    </row>
    <row r="3415" spans="5:8" ht="15.6">
      <c r="E3415" s="279" t="s">
        <v>3741</v>
      </c>
      <c r="F3415" s="284">
        <f t="shared" ca="1" si="106"/>
        <v>0.63890348032044331</v>
      </c>
      <c r="G3415" s="74">
        <v>35.892623121098737</v>
      </c>
      <c r="H3415" s="74">
        <f t="shared" si="107"/>
        <v>4.6017772222337854</v>
      </c>
    </row>
    <row r="3416" spans="5:8" ht="15.6">
      <c r="E3416" s="279" t="s">
        <v>3742</v>
      </c>
      <c r="F3416" s="284">
        <f t="shared" ca="1" si="106"/>
        <v>0.28456298064083907</v>
      </c>
      <c r="G3416" s="74">
        <v>36.035633260768144</v>
      </c>
      <c r="H3416" s="74">
        <f t="shared" si="107"/>
        <v>4.4587670825643784</v>
      </c>
    </row>
    <row r="3417" spans="5:8" ht="15.6">
      <c r="E3417" s="279" t="s">
        <v>3743</v>
      </c>
      <c r="F3417" s="284">
        <f t="shared" ca="1" si="106"/>
        <v>9.179220110324382E-2</v>
      </c>
      <c r="G3417" s="74">
        <v>39.265341460561658</v>
      </c>
      <c r="H3417" s="74">
        <f t="shared" si="107"/>
        <v>1.2290588827708646</v>
      </c>
    </row>
    <row r="3418" spans="5:8" ht="15.6">
      <c r="E3418" s="279" t="s">
        <v>3744</v>
      </c>
      <c r="F3418" s="284">
        <f t="shared" ca="1" si="106"/>
        <v>0.99027473245107889</v>
      </c>
      <c r="G3418" s="74">
        <v>36.155919789172692</v>
      </c>
      <c r="H3418" s="74">
        <f t="shared" si="107"/>
        <v>4.3384805541598297</v>
      </c>
    </row>
    <row r="3419" spans="5:8" ht="15.6">
      <c r="E3419" s="279" t="s">
        <v>3745</v>
      </c>
      <c r="F3419" s="284">
        <f t="shared" ca="1" si="106"/>
        <v>0.49185185316173075</v>
      </c>
      <c r="G3419" s="74">
        <v>38.166620911839416</v>
      </c>
      <c r="H3419" s="74">
        <f t="shared" si="107"/>
        <v>2.3277794314931057</v>
      </c>
    </row>
    <row r="3420" spans="5:8" ht="15.6">
      <c r="E3420" s="279" t="s">
        <v>3746</v>
      </c>
      <c r="F3420" s="284">
        <f t="shared" ca="1" si="106"/>
        <v>0.94237953335083358</v>
      </c>
      <c r="G3420" s="74">
        <v>43.369555776683036</v>
      </c>
      <c r="H3420" s="74">
        <f t="shared" si="107"/>
        <v>-2.875155433350514</v>
      </c>
    </row>
    <row r="3421" spans="5:8" ht="15.6">
      <c r="E3421" s="279" t="s">
        <v>3747</v>
      </c>
      <c r="F3421" s="284">
        <f t="shared" ca="1" si="106"/>
        <v>4.4454282127872946E-2</v>
      </c>
      <c r="G3421" s="74">
        <v>42.098002657466225</v>
      </c>
      <c r="H3421" s="74">
        <f t="shared" si="107"/>
        <v>-1.6036023141337026</v>
      </c>
    </row>
    <row r="3422" spans="5:8" ht="15.6">
      <c r="E3422" s="279" t="s">
        <v>3748</v>
      </c>
      <c r="F3422" s="284">
        <f t="shared" ca="1" si="106"/>
        <v>0.65938841636076884</v>
      </c>
      <c r="G3422" s="74">
        <v>37.857757112326134</v>
      </c>
      <c r="H3422" s="74">
        <f t="shared" si="107"/>
        <v>2.6366432310063885</v>
      </c>
    </row>
    <row r="3423" spans="5:8" ht="15.6">
      <c r="E3423" s="279" t="s">
        <v>3749</v>
      </c>
      <c r="F3423" s="284">
        <f t="shared" ca="1" si="106"/>
        <v>0.83847533228479687</v>
      </c>
      <c r="G3423" s="74">
        <v>47.009664238431007</v>
      </c>
      <c r="H3423" s="74">
        <f t="shared" si="107"/>
        <v>-6.5152638950984851</v>
      </c>
    </row>
    <row r="3424" spans="5:8" ht="15.6">
      <c r="E3424" s="279" t="s">
        <v>3750</v>
      </c>
      <c r="F3424" s="284">
        <f t="shared" ca="1" si="106"/>
        <v>0.10743578465637349</v>
      </c>
      <c r="G3424" s="74">
        <v>39.994627577173773</v>
      </c>
      <c r="H3424" s="74">
        <f t="shared" si="107"/>
        <v>0.49977276615874899</v>
      </c>
    </row>
    <row r="3425" spans="5:8" ht="15.6">
      <c r="E3425" s="279" t="s">
        <v>3751</v>
      </c>
      <c r="F3425" s="284">
        <f t="shared" ca="1" si="106"/>
        <v>0.43097738899981752</v>
      </c>
      <c r="G3425" s="74">
        <v>40.359170555562628</v>
      </c>
      <c r="H3425" s="74">
        <f t="shared" si="107"/>
        <v>0.13522978776989447</v>
      </c>
    </row>
    <row r="3426" spans="5:8" ht="15.6">
      <c r="E3426" s="279" t="s">
        <v>3752</v>
      </c>
      <c r="F3426" s="284">
        <f t="shared" ca="1" si="106"/>
        <v>0.57260240140370622</v>
      </c>
      <c r="G3426" s="74">
        <v>36.859665924590679</v>
      </c>
      <c r="H3426" s="74">
        <f t="shared" si="107"/>
        <v>3.6347344187418429</v>
      </c>
    </row>
    <row r="3427" spans="5:8" ht="15.6">
      <c r="E3427" s="279" t="s">
        <v>3753</v>
      </c>
      <c r="F3427" s="284">
        <f t="shared" ca="1" si="106"/>
        <v>0.48922154894647629</v>
      </c>
      <c r="G3427" s="74">
        <v>39.342543051432877</v>
      </c>
      <c r="H3427" s="74">
        <f t="shared" si="107"/>
        <v>1.1518572918996455</v>
      </c>
    </row>
    <row r="3428" spans="5:8" ht="15.6">
      <c r="E3428" s="279" t="s">
        <v>3754</v>
      </c>
      <c r="F3428" s="284">
        <f t="shared" ca="1" si="106"/>
        <v>0.50994461114735856</v>
      </c>
      <c r="G3428" s="74">
        <v>37.768613811207764</v>
      </c>
      <c r="H3428" s="74">
        <f t="shared" si="107"/>
        <v>2.7257865321247579</v>
      </c>
    </row>
    <row r="3429" spans="5:8" ht="15.6">
      <c r="E3429" s="279" t="s">
        <v>3755</v>
      </c>
      <c r="F3429" s="284">
        <f t="shared" ca="1" si="106"/>
        <v>0.42828754071820996</v>
      </c>
      <c r="G3429" s="74">
        <v>40.559994680852753</v>
      </c>
      <c r="H3429" s="74">
        <f t="shared" si="107"/>
        <v>-6.559433752023125E-2</v>
      </c>
    </row>
    <row r="3430" spans="5:8" ht="15.6">
      <c r="E3430" s="279" t="s">
        <v>3756</v>
      </c>
      <c r="F3430" s="284">
        <f t="shared" ca="1" si="106"/>
        <v>0.30153391788644912</v>
      </c>
      <c r="G3430" s="74">
        <v>39.931726332163436</v>
      </c>
      <c r="H3430" s="74">
        <f t="shared" si="107"/>
        <v>0.56267401116908644</v>
      </c>
    </row>
    <row r="3431" spans="5:8" ht="15.6">
      <c r="E3431" s="279" t="s">
        <v>3757</v>
      </c>
      <c r="F3431" s="284">
        <f t="shared" ca="1" si="106"/>
        <v>0.78757816356328914</v>
      </c>
      <c r="G3431" s="74">
        <v>36.274278647282969</v>
      </c>
      <c r="H3431" s="74">
        <f t="shared" si="107"/>
        <v>4.2201216960495529</v>
      </c>
    </row>
    <row r="3432" spans="5:8" ht="15.6">
      <c r="E3432" s="279" t="s">
        <v>3758</v>
      </c>
      <c r="F3432" s="284">
        <f t="shared" ca="1" si="106"/>
        <v>0.15015876013540908</v>
      </c>
      <c r="G3432" s="74">
        <v>36.307311786512322</v>
      </c>
      <c r="H3432" s="74">
        <f t="shared" si="107"/>
        <v>4.1870885568201999</v>
      </c>
    </row>
    <row r="3433" spans="5:8" ht="15.6">
      <c r="E3433" s="279" t="s">
        <v>3759</v>
      </c>
      <c r="F3433" s="284">
        <f t="shared" ca="1" si="106"/>
        <v>0.8648906406184893</v>
      </c>
      <c r="G3433" s="74">
        <v>38.927215654064611</v>
      </c>
      <c r="H3433" s="74">
        <f t="shared" si="107"/>
        <v>1.5671846892679113</v>
      </c>
    </row>
    <row r="3434" spans="5:8" ht="15.6">
      <c r="E3434" s="279" t="s">
        <v>3760</v>
      </c>
      <c r="F3434" s="284">
        <f t="shared" ca="1" si="106"/>
        <v>0.3497721309355134</v>
      </c>
      <c r="G3434" s="74">
        <v>45.529639426236152</v>
      </c>
      <c r="H3434" s="74">
        <f t="shared" si="107"/>
        <v>-5.0352390829036295</v>
      </c>
    </row>
    <row r="3435" spans="5:8" ht="15.6">
      <c r="E3435" s="279" t="s">
        <v>3761</v>
      </c>
      <c r="F3435" s="284">
        <f t="shared" ca="1" si="106"/>
        <v>0.41944587816522905</v>
      </c>
      <c r="G3435" s="74">
        <v>36.430344380031293</v>
      </c>
      <c r="H3435" s="74">
        <f t="shared" si="107"/>
        <v>4.0640559633012288</v>
      </c>
    </row>
    <row r="3436" spans="5:8" ht="15.6">
      <c r="E3436" s="279" t="s">
        <v>3762</v>
      </c>
      <c r="F3436" s="284">
        <f t="shared" ca="1" si="106"/>
        <v>0.87030050750124888</v>
      </c>
      <c r="G3436" s="74">
        <v>40.778919491640799</v>
      </c>
      <c r="H3436" s="74">
        <f t="shared" si="107"/>
        <v>-0.28451914830827718</v>
      </c>
    </row>
    <row r="3437" spans="5:8" ht="15.6">
      <c r="E3437" s="279" t="s">
        <v>3763</v>
      </c>
      <c r="F3437" s="284">
        <f t="shared" ca="1" si="106"/>
        <v>0.20857120477674984</v>
      </c>
      <c r="G3437" s="74">
        <v>36.655100745701787</v>
      </c>
      <c r="H3437" s="74">
        <f t="shared" si="107"/>
        <v>3.8392995976307347</v>
      </c>
    </row>
    <row r="3438" spans="5:8" ht="15.6">
      <c r="E3438" s="279" t="s">
        <v>3764</v>
      </c>
      <c r="F3438" s="284">
        <f t="shared" ca="1" si="106"/>
        <v>0.79675602940560364</v>
      </c>
      <c r="G3438" s="74">
        <v>38.386686023255614</v>
      </c>
      <c r="H3438" s="74">
        <f t="shared" si="107"/>
        <v>2.1077143200769086</v>
      </c>
    </row>
    <row r="3439" spans="5:8" ht="15.6">
      <c r="E3439" s="279" t="s">
        <v>3765</v>
      </c>
      <c r="F3439" s="284">
        <f t="shared" ca="1" si="106"/>
        <v>0.72130460510536287</v>
      </c>
      <c r="G3439" s="74">
        <v>44.124850639309521</v>
      </c>
      <c r="H3439" s="74">
        <f t="shared" si="107"/>
        <v>-3.6304502959769991</v>
      </c>
    </row>
    <row r="3440" spans="5:8" ht="15.6">
      <c r="E3440" s="279" t="s">
        <v>3766</v>
      </c>
      <c r="F3440" s="284">
        <f t="shared" ca="1" si="106"/>
        <v>0.97018786543788738</v>
      </c>
      <c r="G3440" s="74">
        <v>38.641772847766575</v>
      </c>
      <c r="H3440" s="74">
        <f t="shared" si="107"/>
        <v>1.8526274955659474</v>
      </c>
    </row>
    <row r="3441" spans="5:8" ht="15.6">
      <c r="E3441" s="279" t="s">
        <v>3767</v>
      </c>
      <c r="F3441" s="284">
        <f t="shared" ca="1" si="106"/>
        <v>0.86968877825439539</v>
      </c>
      <c r="G3441" s="74">
        <v>38.876589858949643</v>
      </c>
      <c r="H3441" s="74">
        <f t="shared" si="107"/>
        <v>1.6178104843828791</v>
      </c>
    </row>
    <row r="3442" spans="5:8" ht="15.6">
      <c r="E3442" s="279" t="s">
        <v>3768</v>
      </c>
      <c r="F3442" s="284">
        <f t="shared" ca="1" si="106"/>
        <v>0.45694987359406369</v>
      </c>
      <c r="G3442" s="74">
        <v>40.300955719799859</v>
      </c>
      <c r="H3442" s="74">
        <f t="shared" si="107"/>
        <v>0.19344462353266323</v>
      </c>
    </row>
    <row r="3443" spans="5:8" ht="15.6">
      <c r="E3443" s="279" t="s">
        <v>3769</v>
      </c>
      <c r="F3443" s="284">
        <f t="shared" ca="1" si="106"/>
        <v>0.91947811756108144</v>
      </c>
      <c r="G3443" s="74">
        <v>38.892277162681694</v>
      </c>
      <c r="H3443" s="74">
        <f t="shared" si="107"/>
        <v>1.6021231806508283</v>
      </c>
    </row>
    <row r="3444" spans="5:8" ht="15.6">
      <c r="E3444" s="279" t="s">
        <v>3770</v>
      </c>
      <c r="F3444" s="284">
        <f t="shared" ca="1" si="106"/>
        <v>4.5712329349023029E-2</v>
      </c>
      <c r="G3444" s="74">
        <v>35.216770910476967</v>
      </c>
      <c r="H3444" s="74">
        <f t="shared" si="107"/>
        <v>5.2776294328555551</v>
      </c>
    </row>
    <row r="3445" spans="5:8" ht="15.6">
      <c r="E3445" s="279" t="s">
        <v>3771</v>
      </c>
      <c r="F3445" s="284">
        <f t="shared" ca="1" si="106"/>
        <v>7.7390121319709237E-3</v>
      </c>
      <c r="G3445" s="74">
        <v>41.362483124395681</v>
      </c>
      <c r="H3445" s="74">
        <f t="shared" si="107"/>
        <v>-0.86808278106315839</v>
      </c>
    </row>
    <row r="3446" spans="5:8" ht="15.6">
      <c r="E3446" s="279" t="s">
        <v>3772</v>
      </c>
      <c r="F3446" s="284">
        <f t="shared" ca="1" si="106"/>
        <v>0.30004673844502738</v>
      </c>
      <c r="G3446" s="74">
        <v>39.387332142406379</v>
      </c>
      <c r="H3446" s="74">
        <f t="shared" si="107"/>
        <v>1.1070682009261432</v>
      </c>
    </row>
    <row r="3447" spans="5:8" ht="15.6">
      <c r="E3447" s="279" t="s">
        <v>3773</v>
      </c>
      <c r="F3447" s="284">
        <f t="shared" ca="1" si="106"/>
        <v>0.30670280538774053</v>
      </c>
      <c r="G3447" s="74">
        <v>35.688276192638995</v>
      </c>
      <c r="H3447" s="74">
        <f t="shared" si="107"/>
        <v>4.8061241506935275</v>
      </c>
    </row>
    <row r="3448" spans="5:8" ht="15.6">
      <c r="E3448" s="279" t="s">
        <v>3774</v>
      </c>
      <c r="F3448" s="284">
        <f t="shared" ca="1" si="106"/>
        <v>0.77182140507994124</v>
      </c>
      <c r="G3448" s="74">
        <v>39.746669549881268</v>
      </c>
      <c r="H3448" s="74">
        <f t="shared" si="107"/>
        <v>0.74773079345125382</v>
      </c>
    </row>
    <row r="3449" spans="5:8" ht="15.6">
      <c r="E3449" s="279" t="s">
        <v>3775</v>
      </c>
      <c r="F3449" s="284">
        <f t="shared" ca="1" si="106"/>
        <v>0.820090976515087</v>
      </c>
      <c r="G3449" s="74">
        <v>39.971781877314591</v>
      </c>
      <c r="H3449" s="74">
        <f t="shared" si="107"/>
        <v>0.52261846601793138</v>
      </c>
    </row>
    <row r="3450" spans="5:8" ht="15.6">
      <c r="E3450" s="279" t="s">
        <v>3776</v>
      </c>
      <c r="F3450" s="284">
        <f t="shared" ca="1" si="106"/>
        <v>0.93904859578364652</v>
      </c>
      <c r="G3450" s="74">
        <v>39.512829914642232</v>
      </c>
      <c r="H3450" s="74">
        <f t="shared" si="107"/>
        <v>0.98157042869028999</v>
      </c>
    </row>
    <row r="3451" spans="5:8" ht="15.6">
      <c r="E3451" s="279" t="s">
        <v>3777</v>
      </c>
      <c r="F3451" s="284">
        <f t="shared" ca="1" si="106"/>
        <v>0.14429885778762486</v>
      </c>
      <c r="G3451" s="74">
        <v>35.633731836272503</v>
      </c>
      <c r="H3451" s="74">
        <f t="shared" si="107"/>
        <v>4.8606685070600193</v>
      </c>
    </row>
    <row r="3452" spans="5:8" ht="15.6">
      <c r="E3452" s="279" t="s">
        <v>3778</v>
      </c>
      <c r="F3452" s="284">
        <f t="shared" ca="1" si="106"/>
        <v>0.91815770274211217</v>
      </c>
      <c r="G3452" s="74">
        <v>37.458628776074342</v>
      </c>
      <c r="H3452" s="74">
        <f t="shared" si="107"/>
        <v>3.0357715672581804</v>
      </c>
    </row>
    <row r="3453" spans="5:8" ht="15.6">
      <c r="E3453" s="279" t="s">
        <v>3779</v>
      </c>
      <c r="F3453" s="284">
        <f t="shared" ca="1" si="106"/>
        <v>0.63609634135599979</v>
      </c>
      <c r="G3453" s="74">
        <v>36.220076643849083</v>
      </c>
      <c r="H3453" s="74">
        <f t="shared" si="107"/>
        <v>4.274323699483439</v>
      </c>
    </row>
    <row r="3454" spans="5:8" ht="15.6">
      <c r="E3454" s="279" t="s">
        <v>3780</v>
      </c>
      <c r="F3454" s="284">
        <f t="shared" ca="1" si="106"/>
        <v>4.556521266400948E-2</v>
      </c>
      <c r="G3454" s="74">
        <v>36.721057732692046</v>
      </c>
      <c r="H3454" s="74">
        <f t="shared" si="107"/>
        <v>3.7733426106404764</v>
      </c>
    </row>
    <row r="3455" spans="5:8" ht="15.6">
      <c r="E3455" s="279" t="s">
        <v>3781</v>
      </c>
      <c r="F3455" s="284">
        <f t="shared" ca="1" si="106"/>
        <v>0.22517564718254179</v>
      </c>
      <c r="G3455" s="74">
        <v>42.579737134815716</v>
      </c>
      <c r="H3455" s="74">
        <f t="shared" si="107"/>
        <v>-2.0853367914831935</v>
      </c>
    </row>
    <row r="3456" spans="5:8" ht="15.6">
      <c r="E3456" s="279" t="s">
        <v>3782</v>
      </c>
      <c r="F3456" s="284">
        <f t="shared" ca="1" si="106"/>
        <v>0.82088484923347305</v>
      </c>
      <c r="G3456" s="74">
        <v>43.147211481046746</v>
      </c>
      <c r="H3456" s="74">
        <f t="shared" si="107"/>
        <v>-2.6528111377142238</v>
      </c>
    </row>
    <row r="3457" spans="5:8" ht="15.6">
      <c r="E3457" s="279" t="s">
        <v>3783</v>
      </c>
      <c r="F3457" s="284">
        <f t="shared" ca="1" si="106"/>
        <v>0.48637342336027756</v>
      </c>
      <c r="G3457" s="74">
        <v>50.886238105283951</v>
      </c>
      <c r="H3457" s="74">
        <f t="shared" si="107"/>
        <v>-10.391837761951429</v>
      </c>
    </row>
    <row r="3458" spans="5:8" ht="15.6">
      <c r="E3458" s="279" t="s">
        <v>3784</v>
      </c>
      <c r="F3458" s="284">
        <f t="shared" ca="1" si="106"/>
        <v>0.24509644305842926</v>
      </c>
      <c r="G3458" s="74">
        <v>41.837346903947669</v>
      </c>
      <c r="H3458" s="74">
        <f t="shared" si="107"/>
        <v>-1.3429465606151467</v>
      </c>
    </row>
    <row r="3459" spans="5:8" ht="15.6">
      <c r="E3459" s="279" t="s">
        <v>3785</v>
      </c>
      <c r="F3459" s="284">
        <f t="shared" ca="1" si="106"/>
        <v>0.8716820171145655</v>
      </c>
      <c r="G3459" s="74">
        <v>35.469126042379209</v>
      </c>
      <c r="H3459" s="74">
        <f t="shared" si="107"/>
        <v>5.0252743009533134</v>
      </c>
    </row>
    <row r="3460" spans="5:8" ht="15.6">
      <c r="E3460" s="279" t="s">
        <v>3786</v>
      </c>
      <c r="F3460" s="284">
        <f t="shared" ca="1" si="106"/>
        <v>0.86307067943579141</v>
      </c>
      <c r="G3460" s="74">
        <v>36.205311834673054</v>
      </c>
      <c r="H3460" s="74">
        <f t="shared" si="107"/>
        <v>4.2890885086594679</v>
      </c>
    </row>
    <row r="3461" spans="5:8" ht="15.6">
      <c r="E3461" s="279" t="s">
        <v>3787</v>
      </c>
      <c r="F3461" s="284">
        <f t="shared" ca="1" si="106"/>
        <v>0.48711887199729387</v>
      </c>
      <c r="G3461" s="74">
        <v>39.875676177348254</v>
      </c>
      <c r="H3461" s="74">
        <f t="shared" si="107"/>
        <v>0.61872416598426838</v>
      </c>
    </row>
    <row r="3462" spans="5:8" ht="15.6">
      <c r="E3462" s="279" t="s">
        <v>3788</v>
      </c>
      <c r="F3462" s="284">
        <f t="shared" ca="1" si="106"/>
        <v>0.59073380554671706</v>
      </c>
      <c r="G3462" s="74">
        <v>37.129798745237608</v>
      </c>
      <c r="H3462" s="74">
        <f t="shared" si="107"/>
        <v>3.3646015980949144</v>
      </c>
    </row>
    <row r="3463" spans="5:8" ht="15.6">
      <c r="E3463" s="279" t="s">
        <v>3789</v>
      </c>
      <c r="F3463" s="284">
        <f t="shared" ca="1" si="106"/>
        <v>0.42947795099295227</v>
      </c>
      <c r="G3463" s="74">
        <v>40.32831176573832</v>
      </c>
      <c r="H3463" s="74">
        <f t="shared" si="107"/>
        <v>0.16608857759420204</v>
      </c>
    </row>
    <row r="3464" spans="5:8" ht="15.6">
      <c r="E3464" s="279" t="s">
        <v>3790</v>
      </c>
      <c r="F3464" s="284">
        <f t="shared" ca="1" si="106"/>
        <v>0.17912605204147103</v>
      </c>
      <c r="G3464" s="74">
        <v>39.220172399943131</v>
      </c>
      <c r="H3464" s="74">
        <f t="shared" si="107"/>
        <v>1.2742279433893913</v>
      </c>
    </row>
    <row r="3465" spans="5:8" ht="15.6">
      <c r="E3465" s="279" t="s">
        <v>3791</v>
      </c>
      <c r="F3465" s="284">
        <f t="shared" ca="1" si="106"/>
        <v>0.3219299736671708</v>
      </c>
      <c r="G3465" s="74">
        <v>38.637641111730026</v>
      </c>
      <c r="H3465" s="74">
        <f t="shared" si="107"/>
        <v>1.8567592316024957</v>
      </c>
    </row>
    <row r="3466" spans="5:8" ht="15.6">
      <c r="E3466" s="279" t="s">
        <v>3792</v>
      </c>
      <c r="F3466" s="284">
        <f t="shared" ca="1" si="106"/>
        <v>0.19617342265364701</v>
      </c>
      <c r="G3466" s="74">
        <v>35.728570276425046</v>
      </c>
      <c r="H3466" s="74">
        <f t="shared" si="107"/>
        <v>4.7658300669074762</v>
      </c>
    </row>
    <row r="3467" spans="5:8" ht="15.6">
      <c r="E3467" s="279" t="s">
        <v>3793</v>
      </c>
      <c r="F3467" s="284">
        <f t="shared" ca="1" si="106"/>
        <v>0.19566369600457878</v>
      </c>
      <c r="G3467" s="74">
        <v>39.975879151401109</v>
      </c>
      <c r="H3467" s="74">
        <f t="shared" si="107"/>
        <v>0.51852119193141277</v>
      </c>
    </row>
    <row r="3468" spans="5:8" ht="15.6">
      <c r="E3468" s="279" t="s">
        <v>3794</v>
      </c>
      <c r="F3468" s="284">
        <f t="shared" ref="F3468:F3531" ca="1" si="108">RAND()</f>
        <v>0.54989086869461701</v>
      </c>
      <c r="G3468" s="74">
        <v>37.502921010083199</v>
      </c>
      <c r="H3468" s="74">
        <f t="shared" ref="H3468:H3531" si="109">$D$2-G3468</f>
        <v>2.9914793332493232</v>
      </c>
    </row>
    <row r="3469" spans="5:8" ht="15.6">
      <c r="E3469" s="279" t="s">
        <v>3795</v>
      </c>
      <c r="F3469" s="284">
        <f t="shared" ca="1" si="108"/>
        <v>0.83442521618442878</v>
      </c>
      <c r="G3469" s="74">
        <v>41.606921228660013</v>
      </c>
      <c r="H3469" s="74">
        <f t="shared" si="109"/>
        <v>-1.1125208853274913</v>
      </c>
    </row>
    <row r="3470" spans="5:8" ht="15.6">
      <c r="E3470" s="279" t="s">
        <v>3796</v>
      </c>
      <c r="F3470" s="284">
        <f t="shared" ca="1" si="108"/>
        <v>0.50763540227120063</v>
      </c>
      <c r="G3470" s="74">
        <v>41.110702142999308</v>
      </c>
      <c r="H3470" s="74">
        <f t="shared" si="109"/>
        <v>-0.61630179966678611</v>
      </c>
    </row>
    <row r="3471" spans="5:8" ht="15.6">
      <c r="E3471" s="279" t="s">
        <v>3797</v>
      </c>
      <c r="F3471" s="284">
        <f t="shared" ca="1" si="108"/>
        <v>1.2148378648740854E-2</v>
      </c>
      <c r="G3471" s="74">
        <v>32.41962318861578</v>
      </c>
      <c r="H3471" s="74">
        <f t="shared" si="109"/>
        <v>8.0747771547167417</v>
      </c>
    </row>
    <row r="3472" spans="5:8" ht="15.6">
      <c r="E3472" s="279" t="s">
        <v>3798</v>
      </c>
      <c r="F3472" s="284">
        <f t="shared" ca="1" si="108"/>
        <v>0.65004792068920669</v>
      </c>
      <c r="G3472" s="74">
        <v>38.429483977050623</v>
      </c>
      <c r="H3472" s="74">
        <f t="shared" si="109"/>
        <v>2.0649163662818992</v>
      </c>
    </row>
    <row r="3473" spans="5:8" ht="15.6">
      <c r="E3473" s="279" t="s">
        <v>3799</v>
      </c>
      <c r="F3473" s="284">
        <f t="shared" ca="1" si="108"/>
        <v>0.2231163159239552</v>
      </c>
      <c r="G3473" s="74">
        <v>37.16466469743753</v>
      </c>
      <c r="H3473" s="74">
        <f t="shared" si="109"/>
        <v>3.329735645894992</v>
      </c>
    </row>
    <row r="3474" spans="5:8" ht="15.6">
      <c r="E3474" s="279" t="s">
        <v>3800</v>
      </c>
      <c r="F3474" s="284">
        <f t="shared" ca="1" si="108"/>
        <v>0.61984617079818594</v>
      </c>
      <c r="G3474" s="74">
        <v>39.59372077643787</v>
      </c>
      <c r="H3474" s="74">
        <f t="shared" si="109"/>
        <v>0.90067956689465234</v>
      </c>
    </row>
    <row r="3475" spans="5:8" ht="15.6">
      <c r="E3475" s="279" t="s">
        <v>3801</v>
      </c>
      <c r="F3475" s="284">
        <f t="shared" ca="1" si="108"/>
        <v>0.17639976524613665</v>
      </c>
      <c r="G3475" s="74">
        <v>37.923065508163283</v>
      </c>
      <c r="H3475" s="74">
        <f t="shared" si="109"/>
        <v>2.5713348351692389</v>
      </c>
    </row>
    <row r="3476" spans="5:8" ht="15.6">
      <c r="E3476" s="279" t="s">
        <v>3802</v>
      </c>
      <c r="F3476" s="284">
        <f t="shared" ca="1" si="108"/>
        <v>0.75730429511569985</v>
      </c>
      <c r="G3476" s="74">
        <v>41.331095221545041</v>
      </c>
      <c r="H3476" s="74">
        <f t="shared" si="109"/>
        <v>-0.8366948782125192</v>
      </c>
    </row>
    <row r="3477" spans="5:8" ht="15.6">
      <c r="E3477" s="279" t="s">
        <v>3803</v>
      </c>
      <c r="F3477" s="284">
        <f t="shared" ca="1" si="108"/>
        <v>0.40912002239901246</v>
      </c>
      <c r="G3477" s="74">
        <v>35.086323006252456</v>
      </c>
      <c r="H3477" s="74">
        <f t="shared" si="109"/>
        <v>5.4080773370800657</v>
      </c>
    </row>
    <row r="3478" spans="5:8" ht="15.6">
      <c r="E3478" s="279" t="s">
        <v>3804</v>
      </c>
      <c r="F3478" s="284">
        <f t="shared" ca="1" si="108"/>
        <v>0.860439173501653</v>
      </c>
      <c r="G3478" s="74">
        <v>42.71063194955579</v>
      </c>
      <c r="H3478" s="74">
        <f t="shared" si="109"/>
        <v>-2.2162316062232676</v>
      </c>
    </row>
    <row r="3479" spans="5:8" ht="15.6">
      <c r="E3479" s="279" t="s">
        <v>3805</v>
      </c>
      <c r="F3479" s="284">
        <f t="shared" ca="1" si="108"/>
        <v>0.27411823108984856</v>
      </c>
      <c r="G3479" s="74">
        <v>36.592738902267435</v>
      </c>
      <c r="H3479" s="74">
        <f t="shared" si="109"/>
        <v>3.9016614410650874</v>
      </c>
    </row>
    <row r="3480" spans="5:8" ht="15.6">
      <c r="E3480" s="279" t="s">
        <v>3806</v>
      </c>
      <c r="F3480" s="284">
        <f t="shared" ca="1" si="108"/>
        <v>0.11539621590658444</v>
      </c>
      <c r="G3480" s="74">
        <v>42.36817586480624</v>
      </c>
      <c r="H3480" s="74">
        <f t="shared" si="109"/>
        <v>-1.8737755214737177</v>
      </c>
    </row>
    <row r="3481" spans="5:8" ht="15.6">
      <c r="E3481" s="279" t="s">
        <v>3807</v>
      </c>
      <c r="F3481" s="284">
        <f t="shared" ca="1" si="108"/>
        <v>0.47803188687517595</v>
      </c>
      <c r="G3481" s="74">
        <v>34.460838406098297</v>
      </c>
      <c r="H3481" s="74">
        <f t="shared" si="109"/>
        <v>6.0335619372342251</v>
      </c>
    </row>
    <row r="3482" spans="5:8" ht="15.6">
      <c r="E3482" s="279" t="s">
        <v>3808</v>
      </c>
      <c r="F3482" s="284">
        <f t="shared" ca="1" si="108"/>
        <v>0.10838730689471276</v>
      </c>
      <c r="G3482" s="74">
        <v>38.365946432882915</v>
      </c>
      <c r="H3482" s="74">
        <f t="shared" si="109"/>
        <v>2.1284539104496076</v>
      </c>
    </row>
    <row r="3483" spans="5:8" ht="15.6">
      <c r="E3483" s="279" t="s">
        <v>3809</v>
      </c>
      <c r="F3483" s="284">
        <f t="shared" ca="1" si="108"/>
        <v>0.20495970945747888</v>
      </c>
      <c r="G3483" s="74">
        <v>50.599749877577551</v>
      </c>
      <c r="H3483" s="74">
        <f t="shared" si="109"/>
        <v>-10.105349534245029</v>
      </c>
    </row>
    <row r="3484" spans="5:8" ht="15.6">
      <c r="E3484" s="279" t="s">
        <v>3810</v>
      </c>
      <c r="F3484" s="284">
        <f t="shared" ca="1" si="108"/>
        <v>0.51787974082740595</v>
      </c>
      <c r="G3484" s="74">
        <v>39.475420512545348</v>
      </c>
      <c r="H3484" s="74">
        <f t="shared" si="109"/>
        <v>1.018979830787174</v>
      </c>
    </row>
    <row r="3485" spans="5:8" ht="15.6">
      <c r="E3485" s="279" t="s">
        <v>3811</v>
      </c>
      <c r="F3485" s="284">
        <f t="shared" ca="1" si="108"/>
        <v>6.5711024943735818E-2</v>
      </c>
      <c r="G3485" s="74">
        <v>37.287824944046854</v>
      </c>
      <c r="H3485" s="74">
        <f t="shared" si="109"/>
        <v>3.2065753992856685</v>
      </c>
    </row>
    <row r="3486" spans="5:8" ht="15.6">
      <c r="E3486" s="279" t="s">
        <v>3812</v>
      </c>
      <c r="F3486" s="284">
        <f t="shared" ca="1" si="108"/>
        <v>0.78070635861493787</v>
      </c>
      <c r="G3486" s="74">
        <v>41.249467965140155</v>
      </c>
      <c r="H3486" s="74">
        <f t="shared" si="109"/>
        <v>-0.75506762180763332</v>
      </c>
    </row>
    <row r="3487" spans="5:8" ht="15.6">
      <c r="E3487" s="279" t="s">
        <v>3813</v>
      </c>
      <c r="F3487" s="284">
        <f t="shared" ca="1" si="108"/>
        <v>0.95524066836311317</v>
      </c>
      <c r="G3487" s="74">
        <v>33.364962530151047</v>
      </c>
      <c r="H3487" s="74">
        <f t="shared" si="109"/>
        <v>7.1294378131814753</v>
      </c>
    </row>
    <row r="3488" spans="5:8" ht="15.6">
      <c r="E3488" s="279" t="s">
        <v>3814</v>
      </c>
      <c r="F3488" s="284">
        <f t="shared" ca="1" si="108"/>
        <v>0.36056160572015172</v>
      </c>
      <c r="G3488" s="74">
        <v>37.48994764356371</v>
      </c>
      <c r="H3488" s="74">
        <f t="shared" si="109"/>
        <v>3.0044526997688124</v>
      </c>
    </row>
    <row r="3489" spans="5:8" ht="15.6">
      <c r="E3489" s="279" t="s">
        <v>3815</v>
      </c>
      <c r="F3489" s="284">
        <f t="shared" ca="1" si="108"/>
        <v>0.72001607830848335</v>
      </c>
      <c r="G3489" s="74">
        <v>38.727200695212566</v>
      </c>
      <c r="H3489" s="74">
        <f t="shared" si="109"/>
        <v>1.7671996481199557</v>
      </c>
    </row>
    <row r="3490" spans="5:8" ht="15.6">
      <c r="E3490" s="279" t="s">
        <v>3816</v>
      </c>
      <c r="F3490" s="284">
        <f t="shared" ca="1" si="108"/>
        <v>0.31942853900362422</v>
      </c>
      <c r="G3490" s="74">
        <v>40.357971276679095</v>
      </c>
      <c r="H3490" s="74">
        <f t="shared" si="109"/>
        <v>0.13642906665342736</v>
      </c>
    </row>
    <row r="3491" spans="5:8" ht="15.6">
      <c r="E3491" s="279" t="s">
        <v>3817</v>
      </c>
      <c r="F3491" s="284">
        <f t="shared" ca="1" si="108"/>
        <v>0.86305925863726973</v>
      </c>
      <c r="G3491" s="74">
        <v>37.83984275658019</v>
      </c>
      <c r="H3491" s="74">
        <f t="shared" si="109"/>
        <v>2.6545575867523326</v>
      </c>
    </row>
    <row r="3492" spans="5:8" ht="15.6">
      <c r="E3492" s="279" t="s">
        <v>3818</v>
      </c>
      <c r="F3492" s="284">
        <f t="shared" ca="1" si="108"/>
        <v>0.92353636792262084</v>
      </c>
      <c r="G3492" s="74">
        <v>38.403791090883324</v>
      </c>
      <c r="H3492" s="74">
        <f t="shared" si="109"/>
        <v>2.0906092524491982</v>
      </c>
    </row>
    <row r="3493" spans="5:8" ht="15.6">
      <c r="E3493" s="279" t="s">
        <v>3819</v>
      </c>
      <c r="F3493" s="284">
        <f t="shared" ca="1" si="108"/>
        <v>0.88126243324615194</v>
      </c>
      <c r="G3493" s="74">
        <v>38.398786674635033</v>
      </c>
      <c r="H3493" s="74">
        <f t="shared" si="109"/>
        <v>2.0956136686974887</v>
      </c>
    </row>
    <row r="3494" spans="5:8" ht="15.6">
      <c r="E3494" s="279" t="s">
        <v>3820</v>
      </c>
      <c r="F3494" s="284">
        <f t="shared" ca="1" si="108"/>
        <v>0.3962829683688095</v>
      </c>
      <c r="G3494" s="74">
        <v>42.901265595760478</v>
      </c>
      <c r="H3494" s="74">
        <f t="shared" si="109"/>
        <v>-2.4068652524279557</v>
      </c>
    </row>
    <row r="3495" spans="5:8" ht="15.6">
      <c r="E3495" s="279" t="s">
        <v>3821</v>
      </c>
      <c r="F3495" s="284">
        <f t="shared" ca="1" si="108"/>
        <v>0.9162893742714624</v>
      </c>
      <c r="G3495" s="74">
        <v>40.035577183131672</v>
      </c>
      <c r="H3495" s="74">
        <f t="shared" si="109"/>
        <v>0.45882316020085057</v>
      </c>
    </row>
    <row r="3496" spans="5:8" ht="15.6">
      <c r="E3496" s="279" t="s">
        <v>3822</v>
      </c>
      <c r="F3496" s="284">
        <f t="shared" ca="1" si="108"/>
        <v>0.11159933622192131</v>
      </c>
      <c r="G3496" s="74">
        <v>39.67218634100157</v>
      </c>
      <c r="H3496" s="74">
        <f t="shared" si="109"/>
        <v>0.8222140023309521</v>
      </c>
    </row>
    <row r="3497" spans="5:8" ht="15.6">
      <c r="E3497" s="279" t="s">
        <v>3823</v>
      </c>
      <c r="F3497" s="284">
        <f t="shared" ca="1" si="108"/>
        <v>0.92596562714398389</v>
      </c>
      <c r="G3497" s="74">
        <v>36.517496031914369</v>
      </c>
      <c r="H3497" s="74">
        <f t="shared" si="109"/>
        <v>3.9769043114181528</v>
      </c>
    </row>
    <row r="3498" spans="5:8" ht="15.6">
      <c r="E3498" s="279" t="s">
        <v>3824</v>
      </c>
      <c r="F3498" s="284">
        <f t="shared" ca="1" si="108"/>
        <v>9.1527961202190644E-2</v>
      </c>
      <c r="G3498" s="74">
        <v>38.194836674809061</v>
      </c>
      <c r="H3498" s="74">
        <f t="shared" si="109"/>
        <v>2.2995636685234615</v>
      </c>
    </row>
    <row r="3499" spans="5:8" ht="15.6">
      <c r="E3499" s="279" t="s">
        <v>3825</v>
      </c>
      <c r="F3499" s="284">
        <f t="shared" ca="1" si="108"/>
        <v>0.56338742625353744</v>
      </c>
      <c r="G3499" s="74">
        <v>40.008798425490383</v>
      </c>
      <c r="H3499" s="74">
        <f t="shared" si="109"/>
        <v>0.48560191784213913</v>
      </c>
    </row>
    <row r="3500" spans="5:8" ht="15.6">
      <c r="E3500" s="279" t="s">
        <v>3826</v>
      </c>
      <c r="F3500" s="284">
        <f t="shared" ca="1" si="108"/>
        <v>0.91197697543334799</v>
      </c>
      <c r="G3500" s="74">
        <v>41.513587266409495</v>
      </c>
      <c r="H3500" s="74">
        <f t="shared" si="109"/>
        <v>-1.0191869230769726</v>
      </c>
    </row>
    <row r="3501" spans="5:8" ht="15.6">
      <c r="E3501" s="279" t="s">
        <v>3827</v>
      </c>
      <c r="F3501" s="284">
        <f t="shared" ca="1" si="108"/>
        <v>0.8734587807977674</v>
      </c>
      <c r="G3501" s="74">
        <v>40.650973080787374</v>
      </c>
      <c r="H3501" s="74">
        <f t="shared" si="109"/>
        <v>-0.15657273745485156</v>
      </c>
    </row>
    <row r="3502" spans="5:8" ht="15.6">
      <c r="E3502" s="279" t="s">
        <v>3828</v>
      </c>
      <c r="F3502" s="284">
        <f t="shared" ca="1" si="108"/>
        <v>0.48780772037389974</v>
      </c>
      <c r="G3502" s="74">
        <v>38.359938948516152</v>
      </c>
      <c r="H3502" s="74">
        <f t="shared" si="109"/>
        <v>2.1344613948163698</v>
      </c>
    </row>
    <row r="3503" spans="5:8" ht="15.6">
      <c r="E3503" s="279" t="s">
        <v>3829</v>
      </c>
      <c r="F3503" s="284">
        <f t="shared" ca="1" si="108"/>
        <v>0.43736941154943842</v>
      </c>
      <c r="G3503" s="74">
        <v>39.116019586348315</v>
      </c>
      <c r="H3503" s="74">
        <f t="shared" si="109"/>
        <v>1.3783807569842068</v>
      </c>
    </row>
    <row r="3504" spans="5:8" ht="15.6">
      <c r="E3504" s="279" t="s">
        <v>3830</v>
      </c>
      <c r="F3504" s="284">
        <f t="shared" ca="1" si="108"/>
        <v>8.4440144089298785E-2</v>
      </c>
      <c r="G3504" s="74">
        <v>42.979134143955697</v>
      </c>
      <c r="H3504" s="74">
        <f t="shared" si="109"/>
        <v>-2.4847338006231752</v>
      </c>
    </row>
    <row r="3505" spans="5:8" ht="15.6">
      <c r="E3505" s="279" t="s">
        <v>3831</v>
      </c>
      <c r="F3505" s="284">
        <f t="shared" ca="1" si="108"/>
        <v>0.6331069463151896</v>
      </c>
      <c r="G3505" s="74">
        <v>40.180311541266221</v>
      </c>
      <c r="H3505" s="74">
        <f t="shared" si="109"/>
        <v>0.3140888020663013</v>
      </c>
    </row>
    <row r="3506" spans="5:8" ht="15.6">
      <c r="E3506" s="279" t="s">
        <v>3832</v>
      </c>
      <c r="F3506" s="284">
        <f t="shared" ca="1" si="108"/>
        <v>0.70238650760636001</v>
      </c>
      <c r="G3506" s="74">
        <v>39.701265252584143</v>
      </c>
      <c r="H3506" s="74">
        <f t="shared" si="109"/>
        <v>0.79313509074837896</v>
      </c>
    </row>
    <row r="3507" spans="5:8" ht="15.6">
      <c r="E3507" s="279" t="s">
        <v>3833</v>
      </c>
      <c r="F3507" s="284">
        <f t="shared" ca="1" si="108"/>
        <v>0.57597651790045223</v>
      </c>
      <c r="G3507" s="74">
        <v>36.902662131647247</v>
      </c>
      <c r="H3507" s="74">
        <f t="shared" si="109"/>
        <v>3.591738211685275</v>
      </c>
    </row>
    <row r="3508" spans="5:8" ht="15.6">
      <c r="E3508" s="279" t="s">
        <v>3834</v>
      </c>
      <c r="F3508" s="284">
        <f t="shared" ca="1" si="108"/>
        <v>0.30015681913690861</v>
      </c>
      <c r="G3508" s="74">
        <v>34.791300350103882</v>
      </c>
      <c r="H3508" s="74">
        <f t="shared" si="109"/>
        <v>5.7030999932286406</v>
      </c>
    </row>
    <row r="3509" spans="5:8" ht="15.6">
      <c r="E3509" s="279" t="s">
        <v>3835</v>
      </c>
      <c r="F3509" s="284">
        <f t="shared" ca="1" si="108"/>
        <v>0.82850027082045297</v>
      </c>
      <c r="G3509" s="74">
        <v>40.55146638545591</v>
      </c>
      <c r="H3509" s="74">
        <f t="shared" si="109"/>
        <v>-5.7066042123388172E-2</v>
      </c>
    </row>
    <row r="3510" spans="5:8" ht="15.6">
      <c r="E3510" s="279" t="s">
        <v>3836</v>
      </c>
      <c r="F3510" s="284">
        <f t="shared" ca="1" si="108"/>
        <v>0.879128979775746</v>
      </c>
      <c r="G3510" s="74">
        <v>37.905535960025873</v>
      </c>
      <c r="H3510" s="74">
        <f t="shared" si="109"/>
        <v>2.5888643833066496</v>
      </c>
    </row>
    <row r="3511" spans="5:8" ht="15.6">
      <c r="E3511" s="279" t="s">
        <v>3837</v>
      </c>
      <c r="F3511" s="284">
        <f t="shared" ca="1" si="108"/>
        <v>0.99447828600745014</v>
      </c>
      <c r="G3511" s="74">
        <v>38.910237446570328</v>
      </c>
      <c r="H3511" s="74">
        <f t="shared" si="109"/>
        <v>1.5841628967621944</v>
      </c>
    </row>
    <row r="3512" spans="5:8" ht="15.6">
      <c r="E3512" s="279" t="s">
        <v>3838</v>
      </c>
      <c r="F3512" s="284">
        <f t="shared" ca="1" si="108"/>
        <v>0.60078285859143798</v>
      </c>
      <c r="G3512" s="74">
        <v>40.045169571133975</v>
      </c>
      <c r="H3512" s="74">
        <f t="shared" si="109"/>
        <v>0.4492307721985469</v>
      </c>
    </row>
    <row r="3513" spans="5:8" ht="15.6">
      <c r="E3513" s="279" t="s">
        <v>3839</v>
      </c>
      <c r="F3513" s="284">
        <f t="shared" ca="1" si="108"/>
        <v>0.84908161760747969</v>
      </c>
      <c r="G3513" s="74">
        <v>43.734513850489407</v>
      </c>
      <c r="H3513" s="74">
        <f t="shared" si="109"/>
        <v>-3.2401135071568845</v>
      </c>
    </row>
    <row r="3514" spans="5:8" ht="15.6">
      <c r="E3514" s="279" t="s">
        <v>3840</v>
      </c>
      <c r="F3514" s="284">
        <f t="shared" ca="1" si="108"/>
        <v>0.26012822344873765</v>
      </c>
      <c r="G3514" s="74">
        <v>38.452117321897504</v>
      </c>
      <c r="H3514" s="74">
        <f t="shared" si="109"/>
        <v>2.0422830214350185</v>
      </c>
    </row>
    <row r="3515" spans="5:8" ht="15.6">
      <c r="E3515" s="279" t="s">
        <v>3841</v>
      </c>
      <c r="F3515" s="284">
        <f t="shared" ca="1" si="108"/>
        <v>0.28610395399174693</v>
      </c>
      <c r="G3515" s="74">
        <v>36.735306151059206</v>
      </c>
      <c r="H3515" s="74">
        <f t="shared" si="109"/>
        <v>3.7590941922733165</v>
      </c>
    </row>
    <row r="3516" spans="5:8" ht="15.6">
      <c r="E3516" s="279" t="s">
        <v>3842</v>
      </c>
      <c r="F3516" s="284">
        <f t="shared" ca="1" si="108"/>
        <v>0.11109883402355381</v>
      </c>
      <c r="G3516" s="74">
        <v>40.227609868100238</v>
      </c>
      <c r="H3516" s="74">
        <f t="shared" si="109"/>
        <v>0.26679047523228405</v>
      </c>
    </row>
    <row r="3517" spans="5:8" ht="15.6">
      <c r="E3517" s="279" t="s">
        <v>3843</v>
      </c>
      <c r="F3517" s="284">
        <f t="shared" ca="1" si="108"/>
        <v>0.84602391109921693</v>
      </c>
      <c r="G3517" s="74">
        <v>34.250936763645086</v>
      </c>
      <c r="H3517" s="74">
        <f t="shared" si="109"/>
        <v>6.243463579687436</v>
      </c>
    </row>
    <row r="3518" spans="5:8" ht="15.6">
      <c r="E3518" s="279" t="s">
        <v>3844</v>
      </c>
      <c r="F3518" s="284">
        <f t="shared" ca="1" si="108"/>
        <v>0.12817238779345808</v>
      </c>
      <c r="G3518" s="74">
        <v>32.798697494509739</v>
      </c>
      <c r="H3518" s="74">
        <f t="shared" si="109"/>
        <v>7.6957028488227834</v>
      </c>
    </row>
    <row r="3519" spans="5:8" ht="15.6">
      <c r="E3519" s="279" t="s">
        <v>3845</v>
      </c>
      <c r="F3519" s="284">
        <f t="shared" ca="1" si="108"/>
        <v>0.99903974041335131</v>
      </c>
      <c r="G3519" s="74">
        <v>36.144393487912588</v>
      </c>
      <c r="H3519" s="74">
        <f t="shared" si="109"/>
        <v>4.3500068554199345</v>
      </c>
    </row>
    <row r="3520" spans="5:8" ht="15.6">
      <c r="E3520" s="279" t="s">
        <v>3846</v>
      </c>
      <c r="F3520" s="284">
        <f t="shared" ca="1" si="108"/>
        <v>0.86473714349753839</v>
      </c>
      <c r="G3520" s="74">
        <v>39.32941200258864</v>
      </c>
      <c r="H3520" s="74">
        <f t="shared" si="109"/>
        <v>1.1649883407438821</v>
      </c>
    </row>
    <row r="3521" spans="5:8" ht="15.6">
      <c r="E3521" s="279" t="s">
        <v>3847</v>
      </c>
      <c r="F3521" s="284">
        <f t="shared" ca="1" si="108"/>
        <v>0.40265855438282849</v>
      </c>
      <c r="G3521" s="74">
        <v>41.4315127673311</v>
      </c>
      <c r="H3521" s="74">
        <f t="shared" si="109"/>
        <v>-0.93711242399857753</v>
      </c>
    </row>
    <row r="3522" spans="5:8" ht="15.6">
      <c r="E3522" s="279" t="s">
        <v>3848</v>
      </c>
      <c r="F3522" s="284">
        <f t="shared" ca="1" si="108"/>
        <v>0.61693119738669111</v>
      </c>
      <c r="G3522" s="74">
        <v>42.717478414127825</v>
      </c>
      <c r="H3522" s="74">
        <f t="shared" si="109"/>
        <v>-2.2230780707953031</v>
      </c>
    </row>
    <row r="3523" spans="5:8" ht="15.6">
      <c r="E3523" s="279" t="s">
        <v>3849</v>
      </c>
      <c r="F3523" s="284">
        <f t="shared" ca="1" si="108"/>
        <v>0.329341529053229</v>
      </c>
      <c r="G3523" s="74">
        <v>36.701570156828772</v>
      </c>
      <c r="H3523" s="74">
        <f t="shared" si="109"/>
        <v>3.7928301865037497</v>
      </c>
    </row>
    <row r="3524" spans="5:8" ht="15.6">
      <c r="E3524" s="279" t="s">
        <v>3850</v>
      </c>
      <c r="F3524" s="284">
        <f t="shared" ca="1" si="108"/>
        <v>4.2199802979424939E-2</v>
      </c>
      <c r="G3524" s="74">
        <v>42.605181355707664</v>
      </c>
      <c r="H3524" s="74">
        <f t="shared" si="109"/>
        <v>-2.110781012375142</v>
      </c>
    </row>
    <row r="3525" spans="5:8" ht="15.6">
      <c r="E3525" s="279" t="s">
        <v>3851</v>
      </c>
      <c r="F3525" s="284">
        <f t="shared" ca="1" si="108"/>
        <v>0.71837641433930377</v>
      </c>
      <c r="G3525" s="74">
        <v>38.085507821694598</v>
      </c>
      <c r="H3525" s="74">
        <f t="shared" si="109"/>
        <v>2.4088925216379238</v>
      </c>
    </row>
    <row r="3526" spans="5:8" ht="15.6">
      <c r="E3526" s="279" t="s">
        <v>3852</v>
      </c>
      <c r="F3526" s="284">
        <f t="shared" ca="1" si="108"/>
        <v>0.70860389446862959</v>
      </c>
      <c r="G3526" s="74">
        <v>36.931245460134747</v>
      </c>
      <c r="H3526" s="74">
        <f t="shared" si="109"/>
        <v>3.5631548831977753</v>
      </c>
    </row>
    <row r="3527" spans="5:8" ht="15.6">
      <c r="E3527" s="279" t="s">
        <v>3853</v>
      </c>
      <c r="F3527" s="284">
        <f t="shared" ca="1" si="108"/>
        <v>0.17291000233684295</v>
      </c>
      <c r="G3527" s="74">
        <v>37.580923311134399</v>
      </c>
      <c r="H3527" s="74">
        <f t="shared" si="109"/>
        <v>2.9134770321981236</v>
      </c>
    </row>
    <row r="3528" spans="5:8" ht="15.6">
      <c r="E3528" s="279" t="s">
        <v>3854</v>
      </c>
      <c r="F3528" s="284">
        <f t="shared" ca="1" si="108"/>
        <v>0.81915167725141114</v>
      </c>
      <c r="G3528" s="74">
        <v>44.722955955200213</v>
      </c>
      <c r="H3528" s="74">
        <f t="shared" si="109"/>
        <v>-4.2285556118676908</v>
      </c>
    </row>
    <row r="3529" spans="5:8" ht="15.6">
      <c r="E3529" s="279" t="s">
        <v>3855</v>
      </c>
      <c r="F3529" s="284">
        <f t="shared" ca="1" si="108"/>
        <v>0.53300456491101433</v>
      </c>
      <c r="G3529" s="74">
        <v>37.43791363659318</v>
      </c>
      <c r="H3529" s="74">
        <f t="shared" si="109"/>
        <v>3.0564867067393422</v>
      </c>
    </row>
    <row r="3530" spans="5:8" ht="15.6">
      <c r="E3530" s="279" t="s">
        <v>3856</v>
      </c>
      <c r="F3530" s="284">
        <f t="shared" ca="1" si="108"/>
        <v>0.67496949355198965</v>
      </c>
      <c r="G3530" s="74">
        <v>37.622393531133838</v>
      </c>
      <c r="H3530" s="74">
        <f t="shared" si="109"/>
        <v>2.8720068121986841</v>
      </c>
    </row>
    <row r="3531" spans="5:8" ht="15.6">
      <c r="E3531" s="279" t="s">
        <v>3857</v>
      </c>
      <c r="F3531" s="284">
        <f t="shared" ca="1" si="108"/>
        <v>0.11106215967604671</v>
      </c>
      <c r="G3531" s="74">
        <v>37.47850098055978</v>
      </c>
      <c r="H3531" s="74">
        <f t="shared" si="109"/>
        <v>3.0158993627727426</v>
      </c>
    </row>
    <row r="3532" spans="5:8" ht="15.6">
      <c r="E3532" s="279" t="s">
        <v>3858</v>
      </c>
      <c r="F3532" s="284">
        <f t="shared" ref="F3532:F3595" ca="1" si="110">RAND()</f>
        <v>0.20781125148019641</v>
      </c>
      <c r="G3532" s="74">
        <v>42.37171620196743</v>
      </c>
      <c r="H3532" s="74">
        <f t="shared" ref="H3532:H3595" si="111">$D$2-G3532</f>
        <v>-1.8773158586349084</v>
      </c>
    </row>
    <row r="3533" spans="5:8" ht="15.6">
      <c r="E3533" s="279" t="s">
        <v>3859</v>
      </c>
      <c r="F3533" s="284">
        <f t="shared" ca="1" si="110"/>
        <v>5.6026094305700824E-2</v>
      </c>
      <c r="G3533" s="74">
        <v>38.582887968116815</v>
      </c>
      <c r="H3533" s="74">
        <f t="shared" si="111"/>
        <v>1.9115123752157075</v>
      </c>
    </row>
    <row r="3534" spans="5:8" ht="15.6">
      <c r="E3534" s="279" t="s">
        <v>3860</v>
      </c>
      <c r="F3534" s="284">
        <f t="shared" ca="1" si="110"/>
        <v>0.21458145719111676</v>
      </c>
      <c r="G3534" s="74">
        <v>41.354241864691701</v>
      </c>
      <c r="H3534" s="74">
        <f t="shared" si="111"/>
        <v>-0.85984152135917924</v>
      </c>
    </row>
    <row r="3535" spans="5:8" ht="15.6">
      <c r="E3535" s="279" t="s">
        <v>3861</v>
      </c>
      <c r="F3535" s="284">
        <f t="shared" ca="1" si="110"/>
        <v>0.70959713234781363</v>
      </c>
      <c r="G3535" s="74">
        <v>37.998430355016957</v>
      </c>
      <c r="H3535" s="74">
        <f t="shared" si="111"/>
        <v>2.495969988315565</v>
      </c>
    </row>
    <row r="3536" spans="5:8" ht="15.6">
      <c r="E3536" s="279" t="s">
        <v>3862</v>
      </c>
      <c r="F3536" s="284">
        <f t="shared" ca="1" si="110"/>
        <v>0.95010450082318132</v>
      </c>
      <c r="G3536" s="74">
        <v>40.016663312763662</v>
      </c>
      <c r="H3536" s="74">
        <f t="shared" si="111"/>
        <v>0.47773703056886063</v>
      </c>
    </row>
    <row r="3537" spans="5:8" ht="15.6">
      <c r="E3537" s="279" t="s">
        <v>3863</v>
      </c>
      <c r="F3537" s="284">
        <f t="shared" ca="1" si="110"/>
        <v>0.75188212168847823</v>
      </c>
      <c r="G3537" s="74">
        <v>39.071647491085784</v>
      </c>
      <c r="H3537" s="74">
        <f t="shared" si="111"/>
        <v>1.4227528522467381</v>
      </c>
    </row>
    <row r="3538" spans="5:8" ht="15.6">
      <c r="E3538" s="279" t="s">
        <v>3864</v>
      </c>
      <c r="F3538" s="284">
        <f t="shared" ca="1" si="110"/>
        <v>0.31848583081231907</v>
      </c>
      <c r="G3538" s="74">
        <v>41.546516514940315</v>
      </c>
      <c r="H3538" s="74">
        <f t="shared" si="111"/>
        <v>-1.0521161716077927</v>
      </c>
    </row>
    <row r="3539" spans="5:8" ht="15.6">
      <c r="E3539" s="279" t="s">
        <v>3865</v>
      </c>
      <c r="F3539" s="284">
        <f t="shared" ca="1" si="110"/>
        <v>0.92148781402066848</v>
      </c>
      <c r="G3539" s="74">
        <v>38.86366919803902</v>
      </c>
      <c r="H3539" s="74">
        <f t="shared" si="111"/>
        <v>1.6307311452935025</v>
      </c>
    </row>
    <row r="3540" spans="5:8" ht="15.6">
      <c r="E3540" s="279" t="s">
        <v>3866</v>
      </c>
      <c r="F3540" s="284">
        <f t="shared" ca="1" si="110"/>
        <v>9.350854817959009E-2</v>
      </c>
      <c r="G3540" s="74">
        <v>37.296901329137931</v>
      </c>
      <c r="H3540" s="74">
        <f t="shared" si="111"/>
        <v>3.1974990141945909</v>
      </c>
    </row>
    <row r="3541" spans="5:8" ht="15.6">
      <c r="E3541" s="279" t="s">
        <v>3867</v>
      </c>
      <c r="F3541" s="284">
        <f t="shared" ca="1" si="110"/>
        <v>7.7922576887706541E-2</v>
      </c>
      <c r="G3541" s="74">
        <v>44.341743670604558</v>
      </c>
      <c r="H3541" s="74">
        <f t="shared" si="111"/>
        <v>-3.8473433272720357</v>
      </c>
    </row>
    <row r="3542" spans="5:8" ht="15.6">
      <c r="E3542" s="279" t="s">
        <v>3868</v>
      </c>
      <c r="F3542" s="284">
        <f t="shared" ca="1" si="110"/>
        <v>0.65706235595046647</v>
      </c>
      <c r="G3542" s="74">
        <v>41.781329940616992</v>
      </c>
      <c r="H3542" s="74">
        <f t="shared" si="111"/>
        <v>-1.2869295972844697</v>
      </c>
    </row>
    <row r="3543" spans="5:8" ht="15.6">
      <c r="E3543" s="279" t="s">
        <v>3869</v>
      </c>
      <c r="F3543" s="284">
        <f t="shared" ca="1" si="110"/>
        <v>0.88602286937797203</v>
      </c>
      <c r="G3543" s="74">
        <v>38.210167446007958</v>
      </c>
      <c r="H3543" s="74">
        <f t="shared" si="111"/>
        <v>2.2842328973245642</v>
      </c>
    </row>
    <row r="3544" spans="5:8" ht="15.6">
      <c r="E3544" s="279" t="s">
        <v>3870</v>
      </c>
      <c r="F3544" s="284">
        <f t="shared" ca="1" si="110"/>
        <v>2.5944257598138343E-3</v>
      </c>
      <c r="G3544" s="74">
        <v>37.976719248034051</v>
      </c>
      <c r="H3544" s="74">
        <f t="shared" si="111"/>
        <v>2.517681095298471</v>
      </c>
    </row>
    <row r="3545" spans="5:8" ht="15.6">
      <c r="E3545" s="279" t="s">
        <v>3871</v>
      </c>
      <c r="F3545" s="284">
        <f t="shared" ca="1" si="110"/>
        <v>0.54429771602018329</v>
      </c>
      <c r="G3545" s="74">
        <v>40.020808135442579</v>
      </c>
      <c r="H3545" s="74">
        <f t="shared" si="111"/>
        <v>0.4735922078899435</v>
      </c>
    </row>
    <row r="3546" spans="5:8" ht="15.6">
      <c r="E3546" s="279" t="s">
        <v>3872</v>
      </c>
      <c r="F3546" s="284">
        <f t="shared" ca="1" si="110"/>
        <v>0.21071217858758273</v>
      </c>
      <c r="G3546" s="74">
        <v>44.458147638100158</v>
      </c>
      <c r="H3546" s="74">
        <f t="shared" si="111"/>
        <v>-3.9637472947676358</v>
      </c>
    </row>
    <row r="3547" spans="5:8" ht="15.6">
      <c r="E3547" s="279" t="s">
        <v>3873</v>
      </c>
      <c r="F3547" s="284">
        <f t="shared" ca="1" si="110"/>
        <v>0.50713103687412286</v>
      </c>
      <c r="G3547" s="74">
        <v>42.145315453304782</v>
      </c>
      <c r="H3547" s="74">
        <f t="shared" si="111"/>
        <v>-1.6509151099722601</v>
      </c>
    </row>
    <row r="3548" spans="5:8" ht="15.6">
      <c r="E3548" s="279" t="s">
        <v>3874</v>
      </c>
      <c r="F3548" s="284">
        <f t="shared" ca="1" si="110"/>
        <v>0.99802173316481735</v>
      </c>
      <c r="G3548" s="74">
        <v>37.834307000066836</v>
      </c>
      <c r="H3548" s="74">
        <f t="shared" si="111"/>
        <v>2.6600933432656859</v>
      </c>
    </row>
    <row r="3549" spans="5:8" ht="15.6">
      <c r="E3549" s="279" t="s">
        <v>3875</v>
      </c>
      <c r="F3549" s="284">
        <f t="shared" ca="1" si="110"/>
        <v>0.16964431650116829</v>
      </c>
      <c r="G3549" s="74">
        <v>39.153232377166439</v>
      </c>
      <c r="H3549" s="74">
        <f t="shared" si="111"/>
        <v>1.3411679661660827</v>
      </c>
    </row>
    <row r="3550" spans="5:8" ht="15.6">
      <c r="E3550" s="279" t="s">
        <v>3876</v>
      </c>
      <c r="F3550" s="284">
        <f t="shared" ca="1" si="110"/>
        <v>0.170939927942096</v>
      </c>
      <c r="G3550" s="74">
        <v>33.27491201345272</v>
      </c>
      <c r="H3550" s="74">
        <f t="shared" si="111"/>
        <v>7.2194883298798018</v>
      </c>
    </row>
    <row r="3551" spans="5:8" ht="15.6">
      <c r="E3551" s="279" t="s">
        <v>3877</v>
      </c>
      <c r="F3551" s="284">
        <f t="shared" ca="1" si="110"/>
        <v>0.59579492890776975</v>
      </c>
      <c r="G3551" s="74">
        <v>44.209264704454732</v>
      </c>
      <c r="H3551" s="74">
        <f t="shared" si="111"/>
        <v>-3.7148643611222099</v>
      </c>
    </row>
    <row r="3552" spans="5:8" ht="15.6">
      <c r="E3552" s="279" t="s">
        <v>3878</v>
      </c>
      <c r="F3552" s="284">
        <f t="shared" ca="1" si="110"/>
        <v>0.76822540342932466</v>
      </c>
      <c r="G3552" s="74">
        <v>36.392853840064525</v>
      </c>
      <c r="H3552" s="74">
        <f t="shared" si="111"/>
        <v>4.101546503267997</v>
      </c>
    </row>
    <row r="3553" spans="5:8" ht="15.6">
      <c r="E3553" s="279" t="s">
        <v>3879</v>
      </c>
      <c r="F3553" s="284">
        <f t="shared" ca="1" si="110"/>
        <v>0.95507512429083696</v>
      </c>
      <c r="G3553" s="74">
        <v>36.414439671369735</v>
      </c>
      <c r="H3553" s="74">
        <f t="shared" si="111"/>
        <v>4.0799606719627874</v>
      </c>
    </row>
    <row r="3554" spans="5:8" ht="15.6">
      <c r="E3554" s="279" t="s">
        <v>3880</v>
      </c>
      <c r="F3554" s="284">
        <f t="shared" ca="1" si="110"/>
        <v>0.31291722140967937</v>
      </c>
      <c r="G3554" s="74">
        <v>37.040306170348657</v>
      </c>
      <c r="H3554" s="74">
        <f t="shared" si="111"/>
        <v>3.454094172983865</v>
      </c>
    </row>
    <row r="3555" spans="5:8" ht="15.6">
      <c r="E3555" s="279" t="s">
        <v>3881</v>
      </c>
      <c r="F3555" s="284">
        <f t="shared" ca="1" si="110"/>
        <v>0.73814192984283389</v>
      </c>
      <c r="G3555" s="74">
        <v>39.856799802281117</v>
      </c>
      <c r="H3555" s="74">
        <f t="shared" si="111"/>
        <v>0.6376005410514054</v>
      </c>
    </row>
    <row r="3556" spans="5:8" ht="15.6">
      <c r="E3556" s="279" t="s">
        <v>3882</v>
      </c>
      <c r="F3556" s="284">
        <f t="shared" ca="1" si="110"/>
        <v>0.52720036025322625</v>
      </c>
      <c r="G3556" s="74">
        <v>44.085897000943284</v>
      </c>
      <c r="H3556" s="74">
        <f t="shared" si="111"/>
        <v>-3.5914966576107616</v>
      </c>
    </row>
    <row r="3557" spans="5:8" ht="15.6">
      <c r="E3557" s="279" t="s">
        <v>3883</v>
      </c>
      <c r="F3557" s="284">
        <f t="shared" ca="1" si="110"/>
        <v>0.25439169280812091</v>
      </c>
      <c r="G3557" s="74">
        <v>37.668771674242954</v>
      </c>
      <c r="H3557" s="74">
        <f t="shared" si="111"/>
        <v>2.8256286690895678</v>
      </c>
    </row>
    <row r="3558" spans="5:8" ht="15.6">
      <c r="E3558" s="279" t="s">
        <v>3884</v>
      </c>
      <c r="F3558" s="284">
        <f t="shared" ca="1" si="110"/>
        <v>0.58852874940335731</v>
      </c>
      <c r="G3558" s="74">
        <v>40.310291777543767</v>
      </c>
      <c r="H3558" s="74">
        <f t="shared" si="111"/>
        <v>0.18410856578875467</v>
      </c>
    </row>
    <row r="3559" spans="5:8" ht="15.6">
      <c r="E3559" s="279" t="s">
        <v>3885</v>
      </c>
      <c r="F3559" s="284">
        <f t="shared" ca="1" si="110"/>
        <v>0.82543135661674816</v>
      </c>
      <c r="G3559" s="74">
        <v>42.762237452327042</v>
      </c>
      <c r="H3559" s="74">
        <f t="shared" si="111"/>
        <v>-2.2678371089945202</v>
      </c>
    </row>
    <row r="3560" spans="5:8" ht="15.6">
      <c r="E3560" s="279" t="s">
        <v>3886</v>
      </c>
      <c r="F3560" s="284">
        <f t="shared" ca="1" si="110"/>
        <v>0.98983583467364245</v>
      </c>
      <c r="G3560" s="74">
        <v>40.024217167969724</v>
      </c>
      <c r="H3560" s="74">
        <f t="shared" si="111"/>
        <v>0.47018317536279852</v>
      </c>
    </row>
    <row r="3561" spans="5:8" ht="15.6">
      <c r="E3561" s="279" t="s">
        <v>3887</v>
      </c>
      <c r="F3561" s="284">
        <f t="shared" ca="1" si="110"/>
        <v>0.21554464916315796</v>
      </c>
      <c r="G3561" s="74">
        <v>45.702396621531342</v>
      </c>
      <c r="H3561" s="74">
        <f t="shared" si="111"/>
        <v>-5.2079962781988201</v>
      </c>
    </row>
    <row r="3562" spans="5:8" ht="15.6">
      <c r="E3562" s="279" t="s">
        <v>3888</v>
      </c>
      <c r="F3562" s="284">
        <f t="shared" ca="1" si="110"/>
        <v>0.5710015597346374</v>
      </c>
      <c r="G3562" s="74">
        <v>36.603745576416031</v>
      </c>
      <c r="H3562" s="74">
        <f t="shared" si="111"/>
        <v>3.8906547669164908</v>
      </c>
    </row>
    <row r="3563" spans="5:8" ht="15.6">
      <c r="E3563" s="279" t="s">
        <v>3889</v>
      </c>
      <c r="F3563" s="284">
        <f t="shared" ca="1" si="110"/>
        <v>0.28483673762380846</v>
      </c>
      <c r="G3563" s="74">
        <v>40.016892965882967</v>
      </c>
      <c r="H3563" s="74">
        <f t="shared" si="111"/>
        <v>0.47750737744955529</v>
      </c>
    </row>
    <row r="3564" spans="5:8" ht="15.6">
      <c r="E3564" s="279" t="s">
        <v>3890</v>
      </c>
      <c r="F3564" s="284">
        <f t="shared" ca="1" si="110"/>
        <v>0.56448175429479652</v>
      </c>
      <c r="G3564" s="74">
        <v>35.784396695294561</v>
      </c>
      <c r="H3564" s="74">
        <f t="shared" si="111"/>
        <v>4.7100036480379615</v>
      </c>
    </row>
    <row r="3565" spans="5:8" ht="15.6">
      <c r="E3565" s="279" t="s">
        <v>3891</v>
      </c>
      <c r="F3565" s="284">
        <f t="shared" ca="1" si="110"/>
        <v>0.87733852056115502</v>
      </c>
      <c r="G3565" s="74">
        <v>37.32445651881288</v>
      </c>
      <c r="H3565" s="74">
        <f t="shared" si="111"/>
        <v>3.1699438245196419</v>
      </c>
    </row>
    <row r="3566" spans="5:8" ht="15.6">
      <c r="E3566" s="279" t="s">
        <v>3892</v>
      </c>
      <c r="F3566" s="284">
        <f t="shared" ca="1" si="110"/>
        <v>0.91455472247487435</v>
      </c>
      <c r="G3566" s="74">
        <v>34.561979235202379</v>
      </c>
      <c r="H3566" s="74">
        <f t="shared" si="111"/>
        <v>5.9324211081301428</v>
      </c>
    </row>
    <row r="3567" spans="5:8" ht="15.6">
      <c r="E3567" s="279" t="s">
        <v>3893</v>
      </c>
      <c r="F3567" s="284">
        <f t="shared" ca="1" si="110"/>
        <v>0.66196181121884956</v>
      </c>
      <c r="G3567" s="74">
        <v>31.634732121585575</v>
      </c>
      <c r="H3567" s="74">
        <f t="shared" si="111"/>
        <v>8.8596682217469471</v>
      </c>
    </row>
    <row r="3568" spans="5:8" ht="15.6">
      <c r="E3568" s="279" t="s">
        <v>3894</v>
      </c>
      <c r="F3568" s="284">
        <f t="shared" ca="1" si="110"/>
        <v>0.29824058297286726</v>
      </c>
      <c r="G3568" s="74">
        <v>38.467697690796555</v>
      </c>
      <c r="H3568" s="74">
        <f t="shared" si="111"/>
        <v>2.0267026525359668</v>
      </c>
    </row>
    <row r="3569" spans="5:8" ht="15.6">
      <c r="E3569" s="279" t="s">
        <v>3895</v>
      </c>
      <c r="F3569" s="284">
        <f t="shared" ca="1" si="110"/>
        <v>0.16157242646634173</v>
      </c>
      <c r="G3569" s="74">
        <v>45.098827312115162</v>
      </c>
      <c r="H3569" s="74">
        <f t="shared" si="111"/>
        <v>-4.60442696878264</v>
      </c>
    </row>
    <row r="3570" spans="5:8" ht="15.6">
      <c r="E3570" s="279" t="s">
        <v>3896</v>
      </c>
      <c r="F3570" s="284">
        <f t="shared" ca="1" si="110"/>
        <v>0.73860807808430073</v>
      </c>
      <c r="G3570" s="74">
        <v>39.188727344718671</v>
      </c>
      <c r="H3570" s="74">
        <f t="shared" si="111"/>
        <v>1.3056729986138507</v>
      </c>
    </row>
    <row r="3571" spans="5:8" ht="15.6">
      <c r="E3571" s="279" t="s">
        <v>3897</v>
      </c>
      <c r="F3571" s="284">
        <f t="shared" ca="1" si="110"/>
        <v>0.58174827564544329</v>
      </c>
      <c r="G3571" s="74">
        <v>42.185057756694626</v>
      </c>
      <c r="H3571" s="74">
        <f t="shared" si="111"/>
        <v>-1.6906574133621035</v>
      </c>
    </row>
    <row r="3572" spans="5:8" ht="15.6">
      <c r="E3572" s="279" t="s">
        <v>3898</v>
      </c>
      <c r="F3572" s="284">
        <f t="shared" ca="1" si="110"/>
        <v>0.87802006712464931</v>
      </c>
      <c r="G3572" s="74">
        <v>38.292588786444242</v>
      </c>
      <c r="H3572" s="74">
        <f t="shared" si="111"/>
        <v>2.2018115568882806</v>
      </c>
    </row>
    <row r="3573" spans="5:8" ht="15.6">
      <c r="E3573" s="279" t="s">
        <v>3899</v>
      </c>
      <c r="F3573" s="284">
        <f t="shared" ca="1" si="110"/>
        <v>0.73955944793182959</v>
      </c>
      <c r="G3573" s="74">
        <v>40.292519717793617</v>
      </c>
      <c r="H3573" s="74">
        <f t="shared" si="111"/>
        <v>0.20188062553890518</v>
      </c>
    </row>
    <row r="3574" spans="5:8" ht="15.6">
      <c r="E3574" s="279" t="s">
        <v>3900</v>
      </c>
      <c r="F3574" s="284">
        <f t="shared" ca="1" si="110"/>
        <v>1.6288909634818216E-2</v>
      </c>
      <c r="G3574" s="74">
        <v>42.334935196924228</v>
      </c>
      <c r="H3574" s="74">
        <f t="shared" si="111"/>
        <v>-1.8405348535917057</v>
      </c>
    </row>
    <row r="3575" spans="5:8" ht="15.6">
      <c r="E3575" s="279" t="s">
        <v>3901</v>
      </c>
      <c r="F3575" s="284">
        <f t="shared" ca="1" si="110"/>
        <v>0.84456997910317444</v>
      </c>
      <c r="G3575" s="74">
        <v>38.713793678448262</v>
      </c>
      <c r="H3575" s="74">
        <f t="shared" si="111"/>
        <v>1.7806066648842602</v>
      </c>
    </row>
    <row r="3576" spans="5:8" ht="15.6">
      <c r="E3576" s="279" t="s">
        <v>3902</v>
      </c>
      <c r="F3576" s="284">
        <f t="shared" ca="1" si="110"/>
        <v>0.79609700077567191</v>
      </c>
      <c r="G3576" s="74">
        <v>43.935236469078731</v>
      </c>
      <c r="H3576" s="74">
        <f t="shared" si="111"/>
        <v>-3.440836125746209</v>
      </c>
    </row>
    <row r="3577" spans="5:8" ht="15.6">
      <c r="E3577" s="279" t="s">
        <v>3903</v>
      </c>
      <c r="F3577" s="284">
        <f t="shared" ca="1" si="110"/>
        <v>0.10988658611463364</v>
      </c>
      <c r="G3577" s="74">
        <v>41.405893335919117</v>
      </c>
      <c r="H3577" s="74">
        <f t="shared" si="111"/>
        <v>-0.91149299258659511</v>
      </c>
    </row>
    <row r="3578" spans="5:8" ht="15.6">
      <c r="E3578" s="279" t="s">
        <v>3904</v>
      </c>
      <c r="F3578" s="284">
        <f t="shared" ca="1" si="110"/>
        <v>0.46687845692273078</v>
      </c>
      <c r="G3578" s="74">
        <v>43.300974222275272</v>
      </c>
      <c r="H3578" s="74">
        <f t="shared" si="111"/>
        <v>-2.8065738789427499</v>
      </c>
    </row>
    <row r="3579" spans="5:8" ht="15.6">
      <c r="E3579" s="279" t="s">
        <v>3905</v>
      </c>
      <c r="F3579" s="284">
        <f t="shared" ca="1" si="110"/>
        <v>0.61342266388777755</v>
      </c>
      <c r="G3579" s="74">
        <v>40.826178473554961</v>
      </c>
      <c r="H3579" s="74">
        <f t="shared" si="111"/>
        <v>-0.33177813022243896</v>
      </c>
    </row>
    <row r="3580" spans="5:8" ht="15.6">
      <c r="E3580" s="279" t="s">
        <v>3906</v>
      </c>
      <c r="F3580" s="284">
        <f t="shared" ca="1" si="110"/>
        <v>5.2630960304961838E-2</v>
      </c>
      <c r="G3580" s="74">
        <v>40.11093733303948</v>
      </c>
      <c r="H3580" s="74">
        <f t="shared" si="111"/>
        <v>0.38346301029304186</v>
      </c>
    </row>
    <row r="3581" spans="5:8" ht="15.6">
      <c r="E3581" s="279" t="s">
        <v>3907</v>
      </c>
      <c r="F3581" s="284">
        <f t="shared" ca="1" si="110"/>
        <v>0.41137006429769485</v>
      </c>
      <c r="G3581" s="74">
        <v>39.854582142904697</v>
      </c>
      <c r="H3581" s="74">
        <f t="shared" si="111"/>
        <v>0.63981820042782545</v>
      </c>
    </row>
    <row r="3582" spans="5:8" ht="15.6">
      <c r="E3582" s="279" t="s">
        <v>3908</v>
      </c>
      <c r="F3582" s="284">
        <f t="shared" ca="1" si="110"/>
        <v>0.55080544131281184</v>
      </c>
      <c r="G3582" s="74">
        <v>38.237800997667811</v>
      </c>
      <c r="H3582" s="74">
        <f t="shared" si="111"/>
        <v>2.2565993456647107</v>
      </c>
    </row>
    <row r="3583" spans="5:8" ht="15.6">
      <c r="E3583" s="279" t="s">
        <v>3909</v>
      </c>
      <c r="F3583" s="284">
        <f t="shared" ca="1" si="110"/>
        <v>0.30371879388414291</v>
      </c>
      <c r="G3583" s="74">
        <v>46.292348613461975</v>
      </c>
      <c r="H3583" s="74">
        <f t="shared" si="111"/>
        <v>-5.7979482701294529</v>
      </c>
    </row>
    <row r="3584" spans="5:8" ht="15.6">
      <c r="E3584" s="279" t="s">
        <v>3910</v>
      </c>
      <c r="F3584" s="284">
        <f t="shared" ca="1" si="110"/>
        <v>0.96096911154177433</v>
      </c>
      <c r="G3584" s="74">
        <v>41.050456608272455</v>
      </c>
      <c r="H3584" s="74">
        <f t="shared" si="111"/>
        <v>-0.55605626493993299</v>
      </c>
    </row>
    <row r="3585" spans="5:8" ht="15.6">
      <c r="E3585" s="279" t="s">
        <v>3911</v>
      </c>
      <c r="F3585" s="284">
        <f t="shared" ca="1" si="110"/>
        <v>0.75855315695960812</v>
      </c>
      <c r="G3585" s="74">
        <v>38.889156386746684</v>
      </c>
      <c r="H3585" s="74">
        <f t="shared" si="111"/>
        <v>1.6052439565858379</v>
      </c>
    </row>
    <row r="3586" spans="5:8" ht="15.6">
      <c r="E3586" s="279" t="s">
        <v>3912</v>
      </c>
      <c r="F3586" s="284">
        <f t="shared" ca="1" si="110"/>
        <v>0.15005818972733331</v>
      </c>
      <c r="G3586" s="74">
        <v>40.984253556654757</v>
      </c>
      <c r="H3586" s="74">
        <f t="shared" si="111"/>
        <v>-0.48985321332223464</v>
      </c>
    </row>
    <row r="3587" spans="5:8" ht="15.6">
      <c r="E3587" s="279" t="s">
        <v>3913</v>
      </c>
      <c r="F3587" s="284">
        <f t="shared" ca="1" si="110"/>
        <v>0.69832890174102047</v>
      </c>
      <c r="G3587" s="74">
        <v>42.160079942103891</v>
      </c>
      <c r="H3587" s="74">
        <f t="shared" si="111"/>
        <v>-1.6656795987713693</v>
      </c>
    </row>
    <row r="3588" spans="5:8" ht="15.6">
      <c r="E3588" s="279" t="s">
        <v>3914</v>
      </c>
      <c r="F3588" s="284">
        <f t="shared" ca="1" si="110"/>
        <v>0.16908371557999735</v>
      </c>
      <c r="G3588" s="74">
        <v>37.778702341664818</v>
      </c>
      <c r="H3588" s="74">
        <f t="shared" si="111"/>
        <v>2.7156980016677039</v>
      </c>
    </row>
    <row r="3589" spans="5:8" ht="15.6">
      <c r="E3589" s="279" t="s">
        <v>3915</v>
      </c>
      <c r="F3589" s="284">
        <f t="shared" ca="1" si="110"/>
        <v>0.24899207921918265</v>
      </c>
      <c r="G3589" s="74">
        <v>39.674444121606676</v>
      </c>
      <c r="H3589" s="74">
        <f t="shared" si="111"/>
        <v>0.81995622172584604</v>
      </c>
    </row>
    <row r="3590" spans="5:8" ht="15.6">
      <c r="E3590" s="279" t="s">
        <v>3916</v>
      </c>
      <c r="F3590" s="284">
        <f t="shared" ca="1" si="110"/>
        <v>0.83656715608451016</v>
      </c>
      <c r="G3590" s="74">
        <v>44.004534041841445</v>
      </c>
      <c r="H3590" s="74">
        <f t="shared" si="111"/>
        <v>-3.5101336985089233</v>
      </c>
    </row>
    <row r="3591" spans="5:8" ht="15.6">
      <c r="E3591" s="279" t="s">
        <v>3917</v>
      </c>
      <c r="F3591" s="284">
        <f t="shared" ca="1" si="110"/>
        <v>0.29282763351939578</v>
      </c>
      <c r="G3591" s="74">
        <v>43.67944257578354</v>
      </c>
      <c r="H3591" s="74">
        <f t="shared" si="111"/>
        <v>-3.1850422324510177</v>
      </c>
    </row>
    <row r="3592" spans="5:8" ht="15.6">
      <c r="E3592" s="279" t="s">
        <v>3918</v>
      </c>
      <c r="F3592" s="284">
        <f t="shared" ca="1" si="110"/>
        <v>0.96094602837246801</v>
      </c>
      <c r="G3592" s="74">
        <v>34.868894082604598</v>
      </c>
      <c r="H3592" s="74">
        <f t="shared" si="111"/>
        <v>5.6255062607279243</v>
      </c>
    </row>
    <row r="3593" spans="5:8" ht="15.6">
      <c r="E3593" s="279" t="s">
        <v>3919</v>
      </c>
      <c r="F3593" s="284">
        <f t="shared" ca="1" si="110"/>
        <v>0.92813330979329811</v>
      </c>
      <c r="G3593" s="74">
        <v>39.205318541493313</v>
      </c>
      <c r="H3593" s="74">
        <f t="shared" si="111"/>
        <v>1.2890818018392096</v>
      </c>
    </row>
    <row r="3594" spans="5:8" ht="15.6">
      <c r="E3594" s="279" t="s">
        <v>3920</v>
      </c>
      <c r="F3594" s="284">
        <f t="shared" ca="1" si="110"/>
        <v>0.6375345513777142</v>
      </c>
      <c r="G3594" s="74">
        <v>41.071167586159028</v>
      </c>
      <c r="H3594" s="74">
        <f t="shared" si="111"/>
        <v>-0.57676724282650582</v>
      </c>
    </row>
    <row r="3595" spans="5:8" ht="15.6">
      <c r="E3595" s="279" t="s">
        <v>3921</v>
      </c>
      <c r="F3595" s="284">
        <f t="shared" ca="1" si="110"/>
        <v>0.23701313330521634</v>
      </c>
      <c r="G3595" s="74">
        <v>40.092908457930896</v>
      </c>
      <c r="H3595" s="74">
        <f t="shared" si="111"/>
        <v>0.40149188540162584</v>
      </c>
    </row>
    <row r="3596" spans="5:8" ht="15.6">
      <c r="E3596" s="279" t="s">
        <v>3922</v>
      </c>
      <c r="F3596" s="284">
        <f t="shared" ref="F3596:F3659" ca="1" si="112">RAND()</f>
        <v>0.52498891505890166</v>
      </c>
      <c r="G3596" s="74">
        <v>39.699633448617746</v>
      </c>
      <c r="H3596" s="74">
        <f t="shared" ref="H3596:H3659" si="113">$D$2-G3596</f>
        <v>0.79476689471477613</v>
      </c>
    </row>
    <row r="3597" spans="5:8" ht="15.6">
      <c r="E3597" s="279" t="s">
        <v>3923</v>
      </c>
      <c r="F3597" s="284">
        <f t="shared" ca="1" si="112"/>
        <v>0.21865935069862186</v>
      </c>
      <c r="G3597" s="74">
        <v>35.429393686481511</v>
      </c>
      <c r="H3597" s="74">
        <f t="shared" si="113"/>
        <v>5.0650066568510113</v>
      </c>
    </row>
    <row r="3598" spans="5:8" ht="15.6">
      <c r="E3598" s="279" t="s">
        <v>3924</v>
      </c>
      <c r="F3598" s="284">
        <f t="shared" ca="1" si="112"/>
        <v>0.36516446182135698</v>
      </c>
      <c r="G3598" s="74">
        <v>38.61563338392493</v>
      </c>
      <c r="H3598" s="74">
        <f t="shared" si="113"/>
        <v>1.8787669594075922</v>
      </c>
    </row>
    <row r="3599" spans="5:8" ht="15.6">
      <c r="E3599" s="279" t="s">
        <v>3925</v>
      </c>
      <c r="F3599" s="284">
        <f t="shared" ca="1" si="112"/>
        <v>6.0793829001553057E-3</v>
      </c>
      <c r="G3599" s="74">
        <v>39.164381914284995</v>
      </c>
      <c r="H3599" s="74">
        <f t="shared" si="113"/>
        <v>1.3300184290475272</v>
      </c>
    </row>
    <row r="3600" spans="5:8" ht="15.6">
      <c r="E3600" s="279" t="s">
        <v>3926</v>
      </c>
      <c r="F3600" s="284">
        <f t="shared" ca="1" si="112"/>
        <v>0.50342091712929149</v>
      </c>
      <c r="G3600" s="74">
        <v>45.005292450592648</v>
      </c>
      <c r="H3600" s="74">
        <f t="shared" si="113"/>
        <v>-4.5108921072601262</v>
      </c>
    </row>
    <row r="3601" spans="5:8" ht="15.6">
      <c r="E3601" s="279" t="s">
        <v>3927</v>
      </c>
      <c r="F3601" s="284">
        <f t="shared" ca="1" si="112"/>
        <v>0.59779052116112952</v>
      </c>
      <c r="G3601" s="74">
        <v>42.136286715616805</v>
      </c>
      <c r="H3601" s="74">
        <f t="shared" si="113"/>
        <v>-1.6418863722842829</v>
      </c>
    </row>
    <row r="3602" spans="5:8" ht="15.6">
      <c r="E3602" s="279" t="s">
        <v>3928</v>
      </c>
      <c r="F3602" s="284">
        <f t="shared" ca="1" si="112"/>
        <v>0.6297821378371723</v>
      </c>
      <c r="G3602" s="74">
        <v>34.619269680049491</v>
      </c>
      <c r="H3602" s="74">
        <f t="shared" si="113"/>
        <v>5.8751306632830307</v>
      </c>
    </row>
    <row r="3603" spans="5:8" ht="15.6">
      <c r="E3603" s="279" t="s">
        <v>3929</v>
      </c>
      <c r="F3603" s="284">
        <f t="shared" ca="1" si="112"/>
        <v>0.75852387686296086</v>
      </c>
      <c r="G3603" s="74">
        <v>41.010610430252441</v>
      </c>
      <c r="H3603" s="74">
        <f t="shared" si="113"/>
        <v>-0.51621008691991932</v>
      </c>
    </row>
    <row r="3604" spans="5:8" ht="15.6">
      <c r="E3604" s="279" t="s">
        <v>3930</v>
      </c>
      <c r="F3604" s="284">
        <f t="shared" ca="1" si="112"/>
        <v>0.50913726431507833</v>
      </c>
      <c r="G3604" s="74">
        <v>38.724884950810441</v>
      </c>
      <c r="H3604" s="74">
        <f t="shared" si="113"/>
        <v>1.7695153925220808</v>
      </c>
    </row>
    <row r="3605" spans="5:8" ht="15.6">
      <c r="E3605" s="279" t="s">
        <v>3931</v>
      </c>
      <c r="F3605" s="284">
        <f t="shared" ca="1" si="112"/>
        <v>0.96034690703411685</v>
      </c>
      <c r="G3605" s="74">
        <v>38.773046223463339</v>
      </c>
      <c r="H3605" s="74">
        <f t="shared" si="113"/>
        <v>1.7213541198691829</v>
      </c>
    </row>
    <row r="3606" spans="5:8" ht="15.6">
      <c r="E3606" s="279" t="s">
        <v>3932</v>
      </c>
      <c r="F3606" s="284">
        <f t="shared" ca="1" si="112"/>
        <v>0.99730935097344275</v>
      </c>
      <c r="G3606" s="74">
        <v>41.085399807652969</v>
      </c>
      <c r="H3606" s="74">
        <f t="shared" si="113"/>
        <v>-0.59099946432044703</v>
      </c>
    </row>
    <row r="3607" spans="5:8" ht="15.6">
      <c r="E3607" s="279" t="s">
        <v>3933</v>
      </c>
      <c r="F3607" s="284">
        <f t="shared" ca="1" si="112"/>
        <v>2.6357970476611481E-2</v>
      </c>
      <c r="G3607" s="74">
        <v>40.032365646452199</v>
      </c>
      <c r="H3607" s="74">
        <f t="shared" si="113"/>
        <v>0.46203469688032328</v>
      </c>
    </row>
    <row r="3608" spans="5:8" ht="15.6">
      <c r="E3608" s="279" t="s">
        <v>3934</v>
      </c>
      <c r="F3608" s="284">
        <f t="shared" ca="1" si="112"/>
        <v>0.49379482262556107</v>
      </c>
      <c r="G3608" s="74">
        <v>38.370935861750688</v>
      </c>
      <c r="H3608" s="74">
        <f t="shared" si="113"/>
        <v>2.1234644815818342</v>
      </c>
    </row>
    <row r="3609" spans="5:8" ht="15.6">
      <c r="E3609" s="279" t="s">
        <v>3935</v>
      </c>
      <c r="F3609" s="284">
        <f t="shared" ca="1" si="112"/>
        <v>0.27349193476657752</v>
      </c>
      <c r="G3609" s="74">
        <v>43.07825693120256</v>
      </c>
      <c r="H3609" s="74">
        <f t="shared" si="113"/>
        <v>-2.5838565878700379</v>
      </c>
    </row>
    <row r="3610" spans="5:8" ht="15.6">
      <c r="E3610" s="279" t="s">
        <v>3936</v>
      </c>
      <c r="F3610" s="284">
        <f t="shared" ca="1" si="112"/>
        <v>0.13229840892135869</v>
      </c>
      <c r="G3610" s="74">
        <v>37.109738179049636</v>
      </c>
      <c r="H3610" s="74">
        <f t="shared" si="113"/>
        <v>3.3846621642828865</v>
      </c>
    </row>
    <row r="3611" spans="5:8" ht="15.6">
      <c r="E3611" s="279" t="s">
        <v>3937</v>
      </c>
      <c r="F3611" s="284">
        <f t="shared" ca="1" si="112"/>
        <v>0.94057808766885809</v>
      </c>
      <c r="G3611" s="74">
        <v>34.705557185454261</v>
      </c>
      <c r="H3611" s="74">
        <f t="shared" si="113"/>
        <v>5.7888431578782615</v>
      </c>
    </row>
    <row r="3612" spans="5:8" ht="15.6">
      <c r="E3612" s="279" t="s">
        <v>3938</v>
      </c>
      <c r="F3612" s="284">
        <f t="shared" ca="1" si="112"/>
        <v>0.34420327489875346</v>
      </c>
      <c r="G3612" s="74">
        <v>41.211996900900104</v>
      </c>
      <c r="H3612" s="74">
        <f t="shared" si="113"/>
        <v>-0.71759655756758178</v>
      </c>
    </row>
    <row r="3613" spans="5:8" ht="15.6">
      <c r="E3613" s="279" t="s">
        <v>3939</v>
      </c>
      <c r="F3613" s="284">
        <f t="shared" ca="1" si="112"/>
        <v>0.61332856771801914</v>
      </c>
      <c r="G3613" s="74">
        <v>36.613400250309539</v>
      </c>
      <c r="H3613" s="74">
        <f t="shared" si="113"/>
        <v>3.8810000930229833</v>
      </c>
    </row>
    <row r="3614" spans="5:8" ht="15.6">
      <c r="E3614" s="279" t="s">
        <v>3940</v>
      </c>
      <c r="F3614" s="284">
        <f t="shared" ca="1" si="112"/>
        <v>0.74079561441067365</v>
      </c>
      <c r="G3614" s="74">
        <v>40.583927408102305</v>
      </c>
      <c r="H3614" s="74">
        <f t="shared" si="113"/>
        <v>-8.9527064769782783E-2</v>
      </c>
    </row>
    <row r="3615" spans="5:8" ht="15.6">
      <c r="E3615" s="279" t="s">
        <v>3941</v>
      </c>
      <c r="F3615" s="284">
        <f t="shared" ca="1" si="112"/>
        <v>0.36233476596627179</v>
      </c>
      <c r="G3615" s="74">
        <v>39.034669144166983</v>
      </c>
      <c r="H3615" s="74">
        <f t="shared" si="113"/>
        <v>1.4597311991655388</v>
      </c>
    </row>
    <row r="3616" spans="5:8" ht="15.6">
      <c r="E3616" s="279" t="s">
        <v>3942</v>
      </c>
      <c r="F3616" s="284">
        <f t="shared" ca="1" si="112"/>
        <v>0.60506806234373778</v>
      </c>
      <c r="G3616" s="74">
        <v>39.565348611169227</v>
      </c>
      <c r="H3616" s="74">
        <f t="shared" si="113"/>
        <v>0.92905173216329473</v>
      </c>
    </row>
    <row r="3617" spans="5:8" ht="15.6">
      <c r="E3617" s="279" t="s">
        <v>3943</v>
      </c>
      <c r="F3617" s="284">
        <f t="shared" ca="1" si="112"/>
        <v>0.62098334641425335</v>
      </c>
      <c r="G3617" s="74">
        <v>37.963240110015974</v>
      </c>
      <c r="H3617" s="74">
        <f t="shared" si="113"/>
        <v>2.5311602333165482</v>
      </c>
    </row>
    <row r="3618" spans="5:8" ht="15.6">
      <c r="E3618" s="279" t="s">
        <v>3944</v>
      </c>
      <c r="F3618" s="284">
        <f t="shared" ca="1" si="112"/>
        <v>0.3227301667601421</v>
      </c>
      <c r="G3618" s="74">
        <v>42.463518603930979</v>
      </c>
      <c r="H3618" s="74">
        <f t="shared" si="113"/>
        <v>-1.9691182605984565</v>
      </c>
    </row>
    <row r="3619" spans="5:8" ht="15.6">
      <c r="E3619" s="279" t="s">
        <v>3945</v>
      </c>
      <c r="F3619" s="284">
        <f t="shared" ca="1" si="112"/>
        <v>0.3603703177853409</v>
      </c>
      <c r="G3619" s="74">
        <v>37.113375137597856</v>
      </c>
      <c r="H3619" s="74">
        <f t="shared" si="113"/>
        <v>3.3810252057346659</v>
      </c>
    </row>
    <row r="3620" spans="5:8" ht="15.6">
      <c r="E3620" s="279" t="s">
        <v>3946</v>
      </c>
      <c r="F3620" s="284">
        <f t="shared" ca="1" si="112"/>
        <v>3.0092314030114697E-2</v>
      </c>
      <c r="G3620" s="74">
        <v>38.48019689833577</v>
      </c>
      <c r="H3620" s="74">
        <f t="shared" si="113"/>
        <v>2.0142034449967525</v>
      </c>
    </row>
    <row r="3621" spans="5:8" ht="15.6">
      <c r="E3621" s="279" t="s">
        <v>3947</v>
      </c>
      <c r="F3621" s="284">
        <f t="shared" ca="1" si="112"/>
        <v>5.4462658801902708E-2</v>
      </c>
      <c r="G3621" s="74">
        <v>39.387897440688199</v>
      </c>
      <c r="H3621" s="74">
        <f t="shared" si="113"/>
        <v>1.1065029026443227</v>
      </c>
    </row>
    <row r="3622" spans="5:8" ht="15.6">
      <c r="E3622" s="279" t="s">
        <v>3948</v>
      </c>
      <c r="F3622" s="284">
        <f t="shared" ca="1" si="112"/>
        <v>0.23305696835224055</v>
      </c>
      <c r="G3622" s="74">
        <v>41.011717358250884</v>
      </c>
      <c r="H3622" s="74">
        <f t="shared" si="113"/>
        <v>-0.51731701491836191</v>
      </c>
    </row>
    <row r="3623" spans="5:8" ht="15.6">
      <c r="E3623" s="279" t="s">
        <v>3949</v>
      </c>
      <c r="F3623" s="284">
        <f t="shared" ca="1" si="112"/>
        <v>0.14508458015175918</v>
      </c>
      <c r="G3623" s="74">
        <v>38.269508911366401</v>
      </c>
      <c r="H3623" s="74">
        <f t="shared" si="113"/>
        <v>2.224891431966121</v>
      </c>
    </row>
    <row r="3624" spans="5:8" ht="15.6">
      <c r="E3624" s="279" t="s">
        <v>3950</v>
      </c>
      <c r="F3624" s="284">
        <f t="shared" ca="1" si="112"/>
        <v>0.47786942899584628</v>
      </c>
      <c r="G3624" s="74">
        <v>37.974549888540338</v>
      </c>
      <c r="H3624" s="74">
        <f t="shared" si="113"/>
        <v>2.5198504547921843</v>
      </c>
    </row>
    <row r="3625" spans="5:8" ht="15.6">
      <c r="E3625" s="279" t="s">
        <v>3951</v>
      </c>
      <c r="F3625" s="284">
        <f t="shared" ca="1" si="112"/>
        <v>0.45391008487260476</v>
      </c>
      <c r="G3625" s="74">
        <v>44.699527703059296</v>
      </c>
      <c r="H3625" s="74">
        <f t="shared" si="113"/>
        <v>-4.2051273597267738</v>
      </c>
    </row>
    <row r="3626" spans="5:8" ht="15.6">
      <c r="E3626" s="279" t="s">
        <v>3952</v>
      </c>
      <c r="F3626" s="284">
        <f t="shared" ca="1" si="112"/>
        <v>0.23057175165483035</v>
      </c>
      <c r="G3626" s="74">
        <v>44.849766134329457</v>
      </c>
      <c r="H3626" s="74">
        <f t="shared" si="113"/>
        <v>-4.3553657909969345</v>
      </c>
    </row>
    <row r="3627" spans="5:8" ht="15.6">
      <c r="E3627" s="279" t="s">
        <v>3953</v>
      </c>
      <c r="F3627" s="284">
        <f t="shared" ca="1" si="112"/>
        <v>0.79540575910270839</v>
      </c>
      <c r="G3627" s="74">
        <v>39.484563643373271</v>
      </c>
      <c r="H3627" s="74">
        <f t="shared" si="113"/>
        <v>1.0098366999592514</v>
      </c>
    </row>
    <row r="3628" spans="5:8" ht="15.6">
      <c r="E3628" s="279" t="s">
        <v>3954</v>
      </c>
      <c r="F3628" s="284">
        <f t="shared" ca="1" si="112"/>
        <v>0.10560705154451466</v>
      </c>
      <c r="G3628" s="74">
        <v>36.636726930882347</v>
      </c>
      <c r="H3628" s="74">
        <f t="shared" si="113"/>
        <v>3.8576734124501755</v>
      </c>
    </row>
    <row r="3629" spans="5:8" ht="15.6">
      <c r="E3629" s="279" t="s">
        <v>3955</v>
      </c>
      <c r="F3629" s="284">
        <f t="shared" ca="1" si="112"/>
        <v>0.99909343351978475</v>
      </c>
      <c r="G3629" s="74">
        <v>42.251152096673081</v>
      </c>
      <c r="H3629" s="74">
        <f t="shared" si="113"/>
        <v>-1.7567517533405592</v>
      </c>
    </row>
    <row r="3630" spans="5:8" ht="15.6">
      <c r="E3630" s="279" t="s">
        <v>3956</v>
      </c>
      <c r="F3630" s="284">
        <f t="shared" ca="1" si="112"/>
        <v>0.52836463751281237</v>
      </c>
      <c r="G3630" s="74">
        <v>35.571935187778621</v>
      </c>
      <c r="H3630" s="74">
        <f t="shared" si="113"/>
        <v>4.9224651555539012</v>
      </c>
    </row>
    <row r="3631" spans="5:8" ht="15.6">
      <c r="E3631" s="279" t="s">
        <v>3957</v>
      </c>
      <c r="F3631" s="284">
        <f t="shared" ca="1" si="112"/>
        <v>0.60232484432617228</v>
      </c>
      <c r="G3631" s="74">
        <v>40.195424155610866</v>
      </c>
      <c r="H3631" s="74">
        <f t="shared" si="113"/>
        <v>0.29897618772165657</v>
      </c>
    </row>
    <row r="3632" spans="5:8" ht="15.6">
      <c r="E3632" s="279" t="s">
        <v>3958</v>
      </c>
      <c r="F3632" s="284">
        <f t="shared" ca="1" si="112"/>
        <v>0.85717625253995999</v>
      </c>
      <c r="G3632" s="74">
        <v>39.726206224419023</v>
      </c>
      <c r="H3632" s="74">
        <f t="shared" si="113"/>
        <v>0.76819411891349887</v>
      </c>
    </row>
    <row r="3633" spans="5:8" ht="15.6">
      <c r="E3633" s="279" t="s">
        <v>3959</v>
      </c>
      <c r="F3633" s="284">
        <f t="shared" ca="1" si="112"/>
        <v>0.54736607239829038</v>
      </c>
      <c r="G3633" s="74">
        <v>38.721626933359509</v>
      </c>
      <c r="H3633" s="74">
        <f t="shared" si="113"/>
        <v>1.7727734099730128</v>
      </c>
    </row>
    <row r="3634" spans="5:8" ht="15.6">
      <c r="E3634" s="279" t="s">
        <v>3960</v>
      </c>
      <c r="F3634" s="284">
        <f t="shared" ca="1" si="112"/>
        <v>0.98302748692655473</v>
      </c>
      <c r="G3634" s="74">
        <v>40.80923674131158</v>
      </c>
      <c r="H3634" s="74">
        <f t="shared" si="113"/>
        <v>-0.31483639797905738</v>
      </c>
    </row>
    <row r="3635" spans="5:8" ht="15.6">
      <c r="E3635" s="279" t="s">
        <v>3961</v>
      </c>
      <c r="F3635" s="284">
        <f t="shared" ca="1" si="112"/>
        <v>0.85636812062950296</v>
      </c>
      <c r="G3635" s="74">
        <v>41.054121225020936</v>
      </c>
      <c r="H3635" s="74">
        <f t="shared" si="113"/>
        <v>-0.55972088168841339</v>
      </c>
    </row>
    <row r="3636" spans="5:8" ht="15.6">
      <c r="E3636" s="279" t="s">
        <v>3962</v>
      </c>
      <c r="F3636" s="284">
        <f t="shared" ca="1" si="112"/>
        <v>0.50507020165071881</v>
      </c>
      <c r="G3636" s="74">
        <v>35.77895191146137</v>
      </c>
      <c r="H3636" s="74">
        <f t="shared" si="113"/>
        <v>4.7154484318711525</v>
      </c>
    </row>
    <row r="3637" spans="5:8" ht="15.6">
      <c r="E3637" s="279" t="s">
        <v>3963</v>
      </c>
      <c r="F3637" s="284">
        <f t="shared" ca="1" si="112"/>
        <v>0.88603186738402639</v>
      </c>
      <c r="G3637" s="74">
        <v>41.193440419706846</v>
      </c>
      <c r="H3637" s="74">
        <f t="shared" si="113"/>
        <v>-0.69904007637432386</v>
      </c>
    </row>
    <row r="3638" spans="5:8" ht="15.6">
      <c r="E3638" s="279" t="s">
        <v>3964</v>
      </c>
      <c r="F3638" s="284">
        <f t="shared" ca="1" si="112"/>
        <v>0.31223067093719292</v>
      </c>
      <c r="G3638" s="74">
        <v>42.525061983600061</v>
      </c>
      <c r="H3638" s="74">
        <f t="shared" si="113"/>
        <v>-2.0306616402675388</v>
      </c>
    </row>
    <row r="3639" spans="5:8" ht="15.6">
      <c r="E3639" s="279" t="s">
        <v>3965</v>
      </c>
      <c r="F3639" s="284">
        <f t="shared" ca="1" si="112"/>
        <v>3.7328440891247094E-2</v>
      </c>
      <c r="G3639" s="74">
        <v>37.462848643754675</v>
      </c>
      <c r="H3639" s="74">
        <f t="shared" si="113"/>
        <v>3.0315516995778466</v>
      </c>
    </row>
    <row r="3640" spans="5:8" ht="15.6">
      <c r="E3640" s="279" t="s">
        <v>3966</v>
      </c>
      <c r="F3640" s="284">
        <f t="shared" ca="1" si="112"/>
        <v>0.96766059374244706</v>
      </c>
      <c r="G3640" s="74">
        <v>40.208994709194734</v>
      </c>
      <c r="H3640" s="74">
        <f t="shared" si="113"/>
        <v>0.28540563413778841</v>
      </c>
    </row>
    <row r="3641" spans="5:8" ht="15.6">
      <c r="E3641" s="279" t="s">
        <v>3967</v>
      </c>
      <c r="F3641" s="284">
        <f t="shared" ca="1" si="112"/>
        <v>0.88222920719982689</v>
      </c>
      <c r="G3641" s="74">
        <v>41.627549886106223</v>
      </c>
      <c r="H3641" s="74">
        <f t="shared" si="113"/>
        <v>-1.1331495427737011</v>
      </c>
    </row>
    <row r="3642" spans="5:8" ht="15.6">
      <c r="E3642" s="279" t="s">
        <v>3968</v>
      </c>
      <c r="F3642" s="284">
        <f t="shared" ca="1" si="112"/>
        <v>0.97757247397472857</v>
      </c>
      <c r="G3642" s="74">
        <v>36.332106372585194</v>
      </c>
      <c r="H3642" s="74">
        <f t="shared" si="113"/>
        <v>4.1622939707473279</v>
      </c>
    </row>
    <row r="3643" spans="5:8" ht="15.6">
      <c r="E3643" s="279" t="s">
        <v>3969</v>
      </c>
      <c r="F3643" s="284">
        <f t="shared" ca="1" si="112"/>
        <v>0.62373995277773864</v>
      </c>
      <c r="G3643" s="74">
        <v>39.133318581489988</v>
      </c>
      <c r="H3643" s="74">
        <f t="shared" si="113"/>
        <v>1.3610817618425344</v>
      </c>
    </row>
    <row r="3644" spans="5:8" ht="15.6">
      <c r="E3644" s="279" t="s">
        <v>3970</v>
      </c>
      <c r="F3644" s="284">
        <f t="shared" ca="1" si="112"/>
        <v>0.98432926326585413</v>
      </c>
      <c r="G3644" s="74">
        <v>42.116309556008879</v>
      </c>
      <c r="H3644" s="74">
        <f t="shared" si="113"/>
        <v>-1.621909212676357</v>
      </c>
    </row>
    <row r="3645" spans="5:8" ht="15.6">
      <c r="E3645" s="279" t="s">
        <v>3971</v>
      </c>
      <c r="F3645" s="284">
        <f t="shared" ca="1" si="112"/>
        <v>0.81270005585172789</v>
      </c>
      <c r="G3645" s="74">
        <v>40.291617930617932</v>
      </c>
      <c r="H3645" s="74">
        <f t="shared" si="113"/>
        <v>0.20278241271459052</v>
      </c>
    </row>
    <row r="3646" spans="5:8" ht="15.6">
      <c r="E3646" s="279" t="s">
        <v>3972</v>
      </c>
      <c r="F3646" s="284">
        <f t="shared" ca="1" si="112"/>
        <v>0.59586211957106694</v>
      </c>
      <c r="G3646" s="74">
        <v>41.069621415305434</v>
      </c>
      <c r="H3646" s="74">
        <f t="shared" si="113"/>
        <v>-0.57522107197291206</v>
      </c>
    </row>
    <row r="3647" spans="5:8" ht="15.6">
      <c r="E3647" s="279" t="s">
        <v>3973</v>
      </c>
      <c r="F3647" s="284">
        <f t="shared" ca="1" si="112"/>
        <v>0.33062973492382663</v>
      </c>
      <c r="G3647" s="74">
        <v>38.346620714419203</v>
      </c>
      <c r="H3647" s="74">
        <f t="shared" si="113"/>
        <v>2.1477796289133195</v>
      </c>
    </row>
    <row r="3648" spans="5:8" ht="15.6">
      <c r="E3648" s="279" t="s">
        <v>3974</v>
      </c>
      <c r="F3648" s="284">
        <f t="shared" ca="1" si="112"/>
        <v>0.81074488359793795</v>
      </c>
      <c r="G3648" s="74">
        <v>38.757629357786179</v>
      </c>
      <c r="H3648" s="74">
        <f t="shared" si="113"/>
        <v>1.7367709855463431</v>
      </c>
    </row>
    <row r="3649" spans="5:8" ht="15.6">
      <c r="E3649" s="279" t="s">
        <v>3975</v>
      </c>
      <c r="F3649" s="284">
        <f t="shared" ca="1" si="112"/>
        <v>0.80162498580152941</v>
      </c>
      <c r="G3649" s="74">
        <v>34.945654448645534</v>
      </c>
      <c r="H3649" s="74">
        <f t="shared" si="113"/>
        <v>5.5487458946869879</v>
      </c>
    </row>
    <row r="3650" spans="5:8" ht="15.6">
      <c r="E3650" s="279" t="s">
        <v>3976</v>
      </c>
      <c r="F3650" s="284">
        <f t="shared" ca="1" si="112"/>
        <v>0.93337938761874717</v>
      </c>
      <c r="G3650" s="74">
        <v>41.051623255128135</v>
      </c>
      <c r="H3650" s="74">
        <f t="shared" si="113"/>
        <v>-0.55722291179561267</v>
      </c>
    </row>
    <row r="3651" spans="5:8" ht="15.6">
      <c r="E3651" s="279" t="s">
        <v>3977</v>
      </c>
      <c r="F3651" s="284">
        <f t="shared" ca="1" si="112"/>
        <v>0.92899279598837281</v>
      </c>
      <c r="G3651" s="74">
        <v>37.143965556033962</v>
      </c>
      <c r="H3651" s="74">
        <f t="shared" si="113"/>
        <v>3.3504347872985605</v>
      </c>
    </row>
    <row r="3652" spans="5:8" ht="15.6">
      <c r="E3652" s="279" t="s">
        <v>3978</v>
      </c>
      <c r="F3652" s="284">
        <f t="shared" ca="1" si="112"/>
        <v>0.93561725104850302</v>
      </c>
      <c r="G3652" s="74">
        <v>39.969889342475561</v>
      </c>
      <c r="H3652" s="74">
        <f t="shared" si="113"/>
        <v>0.52451100085696112</v>
      </c>
    </row>
    <row r="3653" spans="5:8" ht="15.6">
      <c r="E3653" s="279" t="s">
        <v>3979</v>
      </c>
      <c r="F3653" s="284">
        <f t="shared" ca="1" si="112"/>
        <v>0.52695080547339901</v>
      </c>
      <c r="G3653" s="74">
        <v>41.802734797820598</v>
      </c>
      <c r="H3653" s="74">
        <f t="shared" si="113"/>
        <v>-1.3083344544880759</v>
      </c>
    </row>
    <row r="3654" spans="5:8" ht="15.6">
      <c r="E3654" s="279" t="s">
        <v>3980</v>
      </c>
      <c r="F3654" s="284">
        <f t="shared" ca="1" si="112"/>
        <v>3.0739631558363678E-2</v>
      </c>
      <c r="G3654" s="74">
        <v>36.972583617258891</v>
      </c>
      <c r="H3654" s="74">
        <f t="shared" si="113"/>
        <v>3.5218167260736308</v>
      </c>
    </row>
    <row r="3655" spans="5:8" ht="15.6">
      <c r="E3655" s="279" t="s">
        <v>3981</v>
      </c>
      <c r="F3655" s="284">
        <f t="shared" ca="1" si="112"/>
        <v>0.55801948685755354</v>
      </c>
      <c r="G3655" s="74">
        <v>37.567348591594602</v>
      </c>
      <c r="H3655" s="74">
        <f t="shared" si="113"/>
        <v>2.9270517517379204</v>
      </c>
    </row>
    <row r="3656" spans="5:8" ht="15.6">
      <c r="E3656" s="279" t="s">
        <v>3982</v>
      </c>
      <c r="F3656" s="284">
        <f t="shared" ca="1" si="112"/>
        <v>0.37641840558939554</v>
      </c>
      <c r="G3656" s="74">
        <v>41.014594456202133</v>
      </c>
      <c r="H3656" s="74">
        <f t="shared" si="113"/>
        <v>-0.52019411286961059</v>
      </c>
    </row>
    <row r="3657" spans="5:8" ht="15.6">
      <c r="E3657" s="279" t="s">
        <v>3983</v>
      </c>
      <c r="F3657" s="284">
        <f t="shared" ca="1" si="112"/>
        <v>1.9641793218578396E-2</v>
      </c>
      <c r="G3657" s="74">
        <v>36.896060766147201</v>
      </c>
      <c r="H3657" s="74">
        <f t="shared" si="113"/>
        <v>3.598339577185321</v>
      </c>
    </row>
    <row r="3658" spans="5:8" ht="15.6">
      <c r="E3658" s="279" t="s">
        <v>3984</v>
      </c>
      <c r="F3658" s="284">
        <f t="shared" ca="1" si="112"/>
        <v>2.9586713425923894E-2</v>
      </c>
      <c r="G3658" s="74">
        <v>37.120318707318731</v>
      </c>
      <c r="H3658" s="74">
        <f t="shared" si="113"/>
        <v>3.3740816360137913</v>
      </c>
    </row>
    <row r="3659" spans="5:8" ht="15.6">
      <c r="E3659" s="279" t="s">
        <v>3985</v>
      </c>
      <c r="F3659" s="284">
        <f t="shared" ca="1" si="112"/>
        <v>0.9890498968628928</v>
      </c>
      <c r="G3659" s="74">
        <v>40.676756633164402</v>
      </c>
      <c r="H3659" s="74">
        <f t="shared" si="113"/>
        <v>-0.18235628983187979</v>
      </c>
    </row>
    <row r="3660" spans="5:8" ht="15.6">
      <c r="E3660" s="279" t="s">
        <v>3986</v>
      </c>
      <c r="F3660" s="284">
        <f t="shared" ref="F3660:F3723" ca="1" si="114">RAND()</f>
        <v>0.42403067864951227</v>
      </c>
      <c r="G3660" s="74">
        <v>37.215778121006842</v>
      </c>
      <c r="H3660" s="74">
        <f t="shared" ref="H3660:H3723" si="115">$D$2-G3660</f>
        <v>3.27862222232568</v>
      </c>
    </row>
    <row r="3661" spans="5:8" ht="15.6">
      <c r="E3661" s="279" t="s">
        <v>3987</v>
      </c>
      <c r="F3661" s="284">
        <f t="shared" ca="1" si="114"/>
        <v>0.6335446699284768</v>
      </c>
      <c r="G3661" s="74">
        <v>41.730817295713109</v>
      </c>
      <c r="H3661" s="74">
        <f t="shared" si="115"/>
        <v>-1.236416952380587</v>
      </c>
    </row>
    <row r="3662" spans="5:8" ht="15.6">
      <c r="E3662" s="279" t="s">
        <v>3988</v>
      </c>
      <c r="F3662" s="284">
        <f t="shared" ca="1" si="114"/>
        <v>0.86133638478990782</v>
      </c>
      <c r="G3662" s="74">
        <v>39.844131574687992</v>
      </c>
      <c r="H3662" s="74">
        <f t="shared" si="115"/>
        <v>0.65026876864452987</v>
      </c>
    </row>
    <row r="3663" spans="5:8" ht="15.6">
      <c r="E3663" s="279" t="s">
        <v>3989</v>
      </c>
      <c r="F3663" s="284">
        <f t="shared" ca="1" si="114"/>
        <v>0.12992481951087287</v>
      </c>
      <c r="G3663" s="74">
        <v>42.16625297776239</v>
      </c>
      <c r="H3663" s="74">
        <f t="shared" si="115"/>
        <v>-1.6718526344298681</v>
      </c>
    </row>
    <row r="3664" spans="5:8" ht="15.6">
      <c r="E3664" s="279" t="s">
        <v>3990</v>
      </c>
      <c r="F3664" s="284">
        <f t="shared" ca="1" si="114"/>
        <v>0.2414840391486972</v>
      </c>
      <c r="G3664" s="74">
        <v>35.755505205301887</v>
      </c>
      <c r="H3664" s="74">
        <f t="shared" si="115"/>
        <v>4.7388951380306352</v>
      </c>
    </row>
    <row r="3665" spans="5:8" ht="15.6">
      <c r="E3665" s="279" t="s">
        <v>3991</v>
      </c>
      <c r="F3665" s="284">
        <f t="shared" ca="1" si="114"/>
        <v>0.64810290449156049</v>
      </c>
      <c r="G3665" s="74">
        <v>37.095009567866413</v>
      </c>
      <c r="H3665" s="74">
        <f t="shared" si="115"/>
        <v>3.3993907754661095</v>
      </c>
    </row>
    <row r="3666" spans="5:8" ht="15.6">
      <c r="E3666" s="279" t="s">
        <v>3992</v>
      </c>
      <c r="F3666" s="284">
        <f t="shared" ca="1" si="114"/>
        <v>0.38938864436989784</v>
      </c>
      <c r="G3666" s="74">
        <v>37.110099025967081</v>
      </c>
      <c r="H3666" s="74">
        <f t="shared" si="115"/>
        <v>3.3843013173654413</v>
      </c>
    </row>
    <row r="3667" spans="5:8" ht="15.6">
      <c r="E3667" s="279" t="s">
        <v>3993</v>
      </c>
      <c r="F3667" s="284">
        <f t="shared" ca="1" si="114"/>
        <v>0.3249862367594325</v>
      </c>
      <c r="G3667" s="74">
        <v>38.55076451390611</v>
      </c>
      <c r="H3667" s="74">
        <f t="shared" si="115"/>
        <v>1.9436358294264124</v>
      </c>
    </row>
    <row r="3668" spans="5:8" ht="15.6">
      <c r="E3668" s="279" t="s">
        <v>3994</v>
      </c>
      <c r="F3668" s="284">
        <f t="shared" ca="1" si="114"/>
        <v>0.16163218356748665</v>
      </c>
      <c r="G3668" s="74">
        <v>36.204730803103999</v>
      </c>
      <c r="H3668" s="74">
        <f t="shared" si="115"/>
        <v>4.2896695402285232</v>
      </c>
    </row>
    <row r="3669" spans="5:8" ht="15.6">
      <c r="E3669" s="279" t="s">
        <v>3995</v>
      </c>
      <c r="F3669" s="284">
        <f t="shared" ca="1" si="114"/>
        <v>0.35960732137069162</v>
      </c>
      <c r="G3669" s="74">
        <v>38.916200158565204</v>
      </c>
      <c r="H3669" s="74">
        <f t="shared" si="115"/>
        <v>1.5782001847673186</v>
      </c>
    </row>
    <row r="3670" spans="5:8" ht="15.6">
      <c r="E3670" s="279" t="s">
        <v>3996</v>
      </c>
      <c r="F3670" s="284">
        <f t="shared" ca="1" si="114"/>
        <v>0.47789944228060943</v>
      </c>
      <c r="G3670" s="74">
        <v>38.859292872224962</v>
      </c>
      <c r="H3670" s="74">
        <f t="shared" si="115"/>
        <v>1.6351074711075597</v>
      </c>
    </row>
    <row r="3671" spans="5:8" ht="15.6">
      <c r="E3671" s="279" t="s">
        <v>3997</v>
      </c>
      <c r="F3671" s="284">
        <f t="shared" ca="1" si="114"/>
        <v>0.34550684470367399</v>
      </c>
      <c r="G3671" s="74">
        <v>38.805790921868834</v>
      </c>
      <c r="H3671" s="74">
        <f t="shared" si="115"/>
        <v>1.6886094214636884</v>
      </c>
    </row>
    <row r="3672" spans="5:8" ht="15.6">
      <c r="E3672" s="279" t="s">
        <v>3998</v>
      </c>
      <c r="F3672" s="284">
        <f t="shared" ca="1" si="114"/>
        <v>0.31301646617781831</v>
      </c>
      <c r="G3672" s="74">
        <v>40.413470860990458</v>
      </c>
      <c r="H3672" s="74">
        <f t="shared" si="115"/>
        <v>8.0929482342064318E-2</v>
      </c>
    </row>
    <row r="3673" spans="5:8" ht="15.6">
      <c r="E3673" s="279" t="s">
        <v>3999</v>
      </c>
      <c r="F3673" s="284">
        <f t="shared" ca="1" si="114"/>
        <v>5.8784588539074756E-3</v>
      </c>
      <c r="G3673" s="74">
        <v>40.598345874961787</v>
      </c>
      <c r="H3673" s="74">
        <f t="shared" si="115"/>
        <v>-0.10394553162926456</v>
      </c>
    </row>
    <row r="3674" spans="5:8" ht="15.6">
      <c r="E3674" s="279" t="s">
        <v>4000</v>
      </c>
      <c r="F3674" s="284">
        <f t="shared" ca="1" si="114"/>
        <v>0.34636148763346986</v>
      </c>
      <c r="G3674" s="74">
        <v>41.38376652483025</v>
      </c>
      <c r="H3674" s="74">
        <f t="shared" si="115"/>
        <v>-0.88936618149772784</v>
      </c>
    </row>
    <row r="3675" spans="5:8" ht="15.6">
      <c r="E3675" s="279" t="s">
        <v>4001</v>
      </c>
      <c r="F3675" s="284">
        <f t="shared" ca="1" si="114"/>
        <v>0.38763564973992382</v>
      </c>
      <c r="G3675" s="74">
        <v>37.507237811449059</v>
      </c>
      <c r="H3675" s="74">
        <f t="shared" si="115"/>
        <v>2.9871625318834631</v>
      </c>
    </row>
    <row r="3676" spans="5:8" ht="15.6">
      <c r="E3676" s="279" t="s">
        <v>4002</v>
      </c>
      <c r="F3676" s="284">
        <f t="shared" ca="1" si="114"/>
        <v>0.51828928789770257</v>
      </c>
      <c r="G3676" s="74">
        <v>39.216766720513313</v>
      </c>
      <c r="H3676" s="74">
        <f t="shared" si="115"/>
        <v>1.2776336228192093</v>
      </c>
    </row>
    <row r="3677" spans="5:8" ht="15.6">
      <c r="E3677" s="279" t="s">
        <v>4003</v>
      </c>
      <c r="F3677" s="284">
        <f t="shared" ca="1" si="114"/>
        <v>0.26794641445302936</v>
      </c>
      <c r="G3677" s="74">
        <v>40.083435371412129</v>
      </c>
      <c r="H3677" s="74">
        <f t="shared" si="115"/>
        <v>0.41096497192039294</v>
      </c>
    </row>
    <row r="3678" spans="5:8" ht="15.6">
      <c r="E3678" s="279" t="s">
        <v>4004</v>
      </c>
      <c r="F3678" s="284">
        <f t="shared" ca="1" si="114"/>
        <v>0.32391065304667244</v>
      </c>
      <c r="G3678" s="74">
        <v>34.343202803784841</v>
      </c>
      <c r="H3678" s="74">
        <f t="shared" si="115"/>
        <v>6.151197539547681</v>
      </c>
    </row>
    <row r="3679" spans="5:8" ht="15.6">
      <c r="E3679" s="279" t="s">
        <v>4005</v>
      </c>
      <c r="F3679" s="284">
        <f t="shared" ca="1" si="114"/>
        <v>0.58515290324914893</v>
      </c>
      <c r="G3679" s="74">
        <v>39.687444405395212</v>
      </c>
      <c r="H3679" s="74">
        <f t="shared" si="115"/>
        <v>0.80695593793731035</v>
      </c>
    </row>
    <row r="3680" spans="5:8" ht="15.6">
      <c r="E3680" s="279" t="s">
        <v>4006</v>
      </c>
      <c r="F3680" s="284">
        <f t="shared" ca="1" si="114"/>
        <v>0.41707539787534031</v>
      </c>
      <c r="G3680" s="74">
        <v>38.486005227538328</v>
      </c>
      <c r="H3680" s="74">
        <f t="shared" si="115"/>
        <v>2.0083951157941939</v>
      </c>
    </row>
    <row r="3681" spans="5:8" ht="15.6">
      <c r="E3681" s="279" t="s">
        <v>4007</v>
      </c>
      <c r="F3681" s="284">
        <f t="shared" ca="1" si="114"/>
        <v>0.67105206114699767</v>
      </c>
      <c r="G3681" s="74">
        <v>35.83351427201228</v>
      </c>
      <c r="H3681" s="74">
        <f t="shared" si="115"/>
        <v>4.6608860713202418</v>
      </c>
    </row>
    <row r="3682" spans="5:8" ht="15.6">
      <c r="E3682" s="279" t="s">
        <v>4008</v>
      </c>
      <c r="F3682" s="284">
        <f t="shared" ca="1" si="114"/>
        <v>0.84065718959370206</v>
      </c>
      <c r="G3682" s="74">
        <v>39.572276709039855</v>
      </c>
      <c r="H3682" s="74">
        <f t="shared" si="115"/>
        <v>0.9221236342926673</v>
      </c>
    </row>
    <row r="3683" spans="5:8" ht="15.6">
      <c r="E3683" s="279" t="s">
        <v>4009</v>
      </c>
      <c r="F3683" s="284">
        <f t="shared" ca="1" si="114"/>
        <v>0.59470052401829954</v>
      </c>
      <c r="G3683" s="74">
        <v>38.092880798631327</v>
      </c>
      <c r="H3683" s="74">
        <f t="shared" si="115"/>
        <v>2.4015195447011948</v>
      </c>
    </row>
    <row r="3684" spans="5:8" ht="15.6">
      <c r="E3684" s="279" t="s">
        <v>4010</v>
      </c>
      <c r="F3684" s="284">
        <f t="shared" ca="1" si="114"/>
        <v>0.1314983021798285</v>
      </c>
      <c r="G3684" s="74">
        <v>43.47824314851902</v>
      </c>
      <c r="H3684" s="74">
        <f t="shared" si="115"/>
        <v>-2.983842805186498</v>
      </c>
    </row>
    <row r="3685" spans="5:8" ht="15.6">
      <c r="E3685" s="279" t="s">
        <v>4011</v>
      </c>
      <c r="F3685" s="284">
        <f t="shared" ca="1" si="114"/>
        <v>2.4218704039615124E-2</v>
      </c>
      <c r="G3685" s="74">
        <v>36.778099600573348</v>
      </c>
      <c r="H3685" s="74">
        <f t="shared" si="115"/>
        <v>3.7163007427591737</v>
      </c>
    </row>
    <row r="3686" spans="5:8" ht="15.6">
      <c r="E3686" s="279" t="s">
        <v>4012</v>
      </c>
      <c r="F3686" s="284">
        <f t="shared" ca="1" si="114"/>
        <v>0.1911423269864222</v>
      </c>
      <c r="G3686" s="74">
        <v>37.515078227182819</v>
      </c>
      <c r="H3686" s="74">
        <f t="shared" si="115"/>
        <v>2.979322116149703</v>
      </c>
    </row>
    <row r="3687" spans="5:8" ht="15.6">
      <c r="E3687" s="279" t="s">
        <v>4013</v>
      </c>
      <c r="F3687" s="284">
        <f t="shared" ca="1" si="114"/>
        <v>0.36039075513673891</v>
      </c>
      <c r="G3687" s="74">
        <v>39.238744564272118</v>
      </c>
      <c r="H3687" s="74">
        <f t="shared" si="115"/>
        <v>1.2556557790604046</v>
      </c>
    </row>
    <row r="3688" spans="5:8" ht="15.6">
      <c r="E3688" s="279" t="s">
        <v>4014</v>
      </c>
      <c r="F3688" s="284">
        <f t="shared" ca="1" si="114"/>
        <v>0.30907503784057144</v>
      </c>
      <c r="G3688" s="74">
        <v>37.378809995286304</v>
      </c>
      <c r="H3688" s="74">
        <f t="shared" si="115"/>
        <v>3.1155903480462186</v>
      </c>
    </row>
    <row r="3689" spans="5:8" ht="15.6">
      <c r="E3689" s="279" t="s">
        <v>4015</v>
      </c>
      <c r="F3689" s="284">
        <f t="shared" ca="1" si="114"/>
        <v>2.0650531557177665E-2</v>
      </c>
      <c r="G3689" s="74">
        <v>42.526989184864007</v>
      </c>
      <c r="H3689" s="74">
        <f t="shared" si="115"/>
        <v>-2.032588841531485</v>
      </c>
    </row>
    <row r="3690" spans="5:8" ht="15.6">
      <c r="E3690" s="279" t="s">
        <v>4016</v>
      </c>
      <c r="F3690" s="284">
        <f t="shared" ca="1" si="114"/>
        <v>0.68044030315048576</v>
      </c>
      <c r="G3690" s="74">
        <v>39.632745524099178</v>
      </c>
      <c r="H3690" s="74">
        <f t="shared" si="115"/>
        <v>0.86165481923334397</v>
      </c>
    </row>
    <row r="3691" spans="5:8" ht="15.6">
      <c r="E3691" s="279" t="s">
        <v>4017</v>
      </c>
      <c r="F3691" s="284">
        <f t="shared" ca="1" si="114"/>
        <v>0.76770846206958565</v>
      </c>
      <c r="G3691" s="74">
        <v>38.672057583084467</v>
      </c>
      <c r="H3691" s="74">
        <f t="shared" si="115"/>
        <v>1.8223427602480555</v>
      </c>
    </row>
    <row r="3692" spans="5:8" ht="15.6">
      <c r="E3692" s="279" t="s">
        <v>4018</v>
      </c>
      <c r="F3692" s="284">
        <f t="shared" ca="1" si="114"/>
        <v>0.3000745181279082</v>
      </c>
      <c r="G3692" s="74">
        <v>36.964594499735597</v>
      </c>
      <c r="H3692" s="74">
        <f t="shared" si="115"/>
        <v>3.5298058435969253</v>
      </c>
    </row>
    <row r="3693" spans="5:8" ht="15.6">
      <c r="E3693" s="279" t="s">
        <v>4019</v>
      </c>
      <c r="F3693" s="284">
        <f t="shared" ca="1" si="114"/>
        <v>0.99955355858399342</v>
      </c>
      <c r="G3693" s="74">
        <v>36.838039821155952</v>
      </c>
      <c r="H3693" s="74">
        <f t="shared" si="115"/>
        <v>3.6563605221765698</v>
      </c>
    </row>
    <row r="3694" spans="5:8" ht="15.6">
      <c r="E3694" s="279" t="s">
        <v>4020</v>
      </c>
      <c r="F3694" s="284">
        <f t="shared" ca="1" si="114"/>
        <v>0.57504220221109814</v>
      </c>
      <c r="G3694" s="74">
        <v>34.574441773184532</v>
      </c>
      <c r="H3694" s="74">
        <f t="shared" si="115"/>
        <v>5.9199585701479904</v>
      </c>
    </row>
    <row r="3695" spans="5:8" ht="15.6">
      <c r="E3695" s="279" t="s">
        <v>4021</v>
      </c>
      <c r="F3695" s="284">
        <f t="shared" ca="1" si="114"/>
        <v>0.81412260363578448</v>
      </c>
      <c r="G3695" s="74">
        <v>42.853296995487931</v>
      </c>
      <c r="H3695" s="74">
        <f t="shared" si="115"/>
        <v>-2.3588966521554084</v>
      </c>
    </row>
    <row r="3696" spans="5:8" ht="15.6">
      <c r="E3696" s="279" t="s">
        <v>4022</v>
      </c>
      <c r="F3696" s="284">
        <f t="shared" ca="1" si="114"/>
        <v>0.35830708232468611</v>
      </c>
      <c r="G3696" s="74">
        <v>42.877454304777466</v>
      </c>
      <c r="H3696" s="74">
        <f t="shared" si="115"/>
        <v>-2.3830539614449435</v>
      </c>
    </row>
    <row r="3697" spans="5:8" ht="15.6">
      <c r="E3697" s="279" t="s">
        <v>4023</v>
      </c>
      <c r="F3697" s="284">
        <f t="shared" ca="1" si="114"/>
        <v>0.30688250542969564</v>
      </c>
      <c r="G3697" s="74">
        <v>40.496569066553192</v>
      </c>
      <c r="H3697" s="74">
        <f t="shared" si="115"/>
        <v>-2.1687232206701879E-3</v>
      </c>
    </row>
    <row r="3698" spans="5:8" ht="15.6">
      <c r="E3698" s="279" t="s">
        <v>4024</v>
      </c>
      <c r="F3698" s="284">
        <f t="shared" ca="1" si="114"/>
        <v>1.4434665893631515E-2</v>
      </c>
      <c r="G3698" s="74">
        <v>41.864354885816098</v>
      </c>
      <c r="H3698" s="74">
        <f t="shared" si="115"/>
        <v>-1.3699545424835762</v>
      </c>
    </row>
    <row r="3699" spans="5:8" ht="15.6">
      <c r="E3699" s="279" t="s">
        <v>4025</v>
      </c>
      <c r="F3699" s="284">
        <f t="shared" ca="1" si="114"/>
        <v>1.5477784154473206E-2</v>
      </c>
      <c r="G3699" s="74">
        <v>43.233361525596095</v>
      </c>
      <c r="H3699" s="74">
        <f t="shared" si="115"/>
        <v>-2.7389611822635729</v>
      </c>
    </row>
    <row r="3700" spans="5:8" ht="15.6">
      <c r="E3700" s="279" t="s">
        <v>4026</v>
      </c>
      <c r="F3700" s="284">
        <f t="shared" ca="1" si="114"/>
        <v>0.33964707403585681</v>
      </c>
      <c r="G3700" s="74">
        <v>43.25558981193759</v>
      </c>
      <c r="H3700" s="74">
        <f t="shared" si="115"/>
        <v>-2.7611894686050675</v>
      </c>
    </row>
    <row r="3701" spans="5:8" ht="15.6">
      <c r="E3701" s="279" t="s">
        <v>4027</v>
      </c>
      <c r="F3701" s="284">
        <f t="shared" ca="1" si="114"/>
        <v>0.79784879877543669</v>
      </c>
      <c r="G3701" s="74">
        <v>35.26991885323261</v>
      </c>
      <c r="H3701" s="74">
        <f t="shared" si="115"/>
        <v>5.2244814900999117</v>
      </c>
    </row>
    <row r="3702" spans="5:8" ht="15.6">
      <c r="E3702" s="279" t="s">
        <v>4028</v>
      </c>
      <c r="F3702" s="284">
        <f t="shared" ca="1" si="114"/>
        <v>0.85168098411361459</v>
      </c>
      <c r="G3702" s="74">
        <v>39.678965174444357</v>
      </c>
      <c r="H3702" s="74">
        <f t="shared" si="115"/>
        <v>0.8154351688881647</v>
      </c>
    </row>
    <row r="3703" spans="5:8" ht="15.6">
      <c r="E3703" s="279" t="s">
        <v>4029</v>
      </c>
      <c r="F3703" s="284">
        <f t="shared" ca="1" si="114"/>
        <v>0.84098689824640327</v>
      </c>
      <c r="G3703" s="74">
        <v>41.712083436831435</v>
      </c>
      <c r="H3703" s="74">
        <f t="shared" si="115"/>
        <v>-1.2176830934989127</v>
      </c>
    </row>
    <row r="3704" spans="5:8" ht="15.6">
      <c r="E3704" s="279" t="s">
        <v>4030</v>
      </c>
      <c r="F3704" s="284">
        <f t="shared" ca="1" si="114"/>
        <v>0.45523557812845472</v>
      </c>
      <c r="G3704" s="74">
        <v>39.667851550091079</v>
      </c>
      <c r="H3704" s="74">
        <f t="shared" si="115"/>
        <v>0.82654879324144304</v>
      </c>
    </row>
    <row r="3705" spans="5:8" ht="15.6">
      <c r="E3705" s="279" t="s">
        <v>4031</v>
      </c>
      <c r="F3705" s="284">
        <f t="shared" ca="1" si="114"/>
        <v>0.70099419379456995</v>
      </c>
      <c r="G3705" s="74">
        <v>41.09244888286532</v>
      </c>
      <c r="H3705" s="74">
        <f t="shared" si="115"/>
        <v>-0.59804853953279746</v>
      </c>
    </row>
    <row r="3706" spans="5:8" ht="15.6">
      <c r="E3706" s="279" t="s">
        <v>4032</v>
      </c>
      <c r="F3706" s="284">
        <f t="shared" ca="1" si="114"/>
        <v>0.65153392431023416</v>
      </c>
      <c r="G3706" s="74">
        <v>42.07180864085494</v>
      </c>
      <c r="H3706" s="74">
        <f t="shared" si="115"/>
        <v>-1.5774082975224175</v>
      </c>
    </row>
    <row r="3707" spans="5:8" ht="15.6">
      <c r="E3707" s="279" t="s">
        <v>4033</v>
      </c>
      <c r="F3707" s="284">
        <f t="shared" ca="1" si="114"/>
        <v>0.41295695716318093</v>
      </c>
      <c r="G3707" s="74">
        <v>37.334437193985885</v>
      </c>
      <c r="H3707" s="74">
        <f t="shared" si="115"/>
        <v>3.1599631493466376</v>
      </c>
    </row>
    <row r="3708" spans="5:8" ht="15.6">
      <c r="E3708" s="279" t="s">
        <v>4034</v>
      </c>
      <c r="F3708" s="284">
        <f t="shared" ca="1" si="114"/>
        <v>0.90257462839040203</v>
      </c>
      <c r="G3708" s="74">
        <v>42.15603014085243</v>
      </c>
      <c r="H3708" s="74">
        <f t="shared" si="115"/>
        <v>-1.6616297975199075</v>
      </c>
    </row>
    <row r="3709" spans="5:8" ht="15.6">
      <c r="E3709" s="279" t="s">
        <v>4035</v>
      </c>
      <c r="F3709" s="284">
        <f t="shared" ca="1" si="114"/>
        <v>0.78794544394717203</v>
      </c>
      <c r="G3709" s="74">
        <v>36.563614327010903</v>
      </c>
      <c r="H3709" s="74">
        <f t="shared" si="115"/>
        <v>3.9307860163216191</v>
      </c>
    </row>
    <row r="3710" spans="5:8" ht="15.6">
      <c r="E3710" s="279" t="s">
        <v>4036</v>
      </c>
      <c r="F3710" s="284">
        <f t="shared" ca="1" si="114"/>
        <v>0.63688549208497069</v>
      </c>
      <c r="G3710" s="74">
        <v>41.086921727706148</v>
      </c>
      <c r="H3710" s="74">
        <f t="shared" si="115"/>
        <v>-0.59252138437362589</v>
      </c>
    </row>
    <row r="3711" spans="5:8" ht="15.6">
      <c r="E3711" s="279" t="s">
        <v>4037</v>
      </c>
      <c r="F3711" s="284">
        <f t="shared" ca="1" si="114"/>
        <v>0.72712770958693262</v>
      </c>
      <c r="G3711" s="74">
        <v>41.395243859122218</v>
      </c>
      <c r="H3711" s="74">
        <f t="shared" si="115"/>
        <v>-0.90084351578969546</v>
      </c>
    </row>
    <row r="3712" spans="5:8" ht="15.6">
      <c r="E3712" s="279" t="s">
        <v>4038</v>
      </c>
      <c r="F3712" s="284">
        <f t="shared" ca="1" si="114"/>
        <v>0.46093501530636938</v>
      </c>
      <c r="G3712" s="74">
        <v>39.955576908468352</v>
      </c>
      <c r="H3712" s="74">
        <f t="shared" si="115"/>
        <v>0.53882343486417028</v>
      </c>
    </row>
    <row r="3713" spans="5:8" ht="15.6">
      <c r="E3713" s="279" t="s">
        <v>4039</v>
      </c>
      <c r="F3713" s="284">
        <f t="shared" ca="1" si="114"/>
        <v>0.81137147010784438</v>
      </c>
      <c r="G3713" s="74">
        <v>38.470952082957879</v>
      </c>
      <c r="H3713" s="74">
        <f t="shared" si="115"/>
        <v>2.0234482603746429</v>
      </c>
    </row>
    <row r="3714" spans="5:8" ht="15.6">
      <c r="E3714" s="279" t="s">
        <v>4040</v>
      </c>
      <c r="F3714" s="284">
        <f t="shared" ca="1" si="114"/>
        <v>0.44916052724851541</v>
      </c>
      <c r="G3714" s="74">
        <v>39.215008549507978</v>
      </c>
      <c r="H3714" s="74">
        <f t="shared" si="115"/>
        <v>1.2793917938245443</v>
      </c>
    </row>
    <row r="3715" spans="5:8" ht="15.6">
      <c r="E3715" s="279" t="s">
        <v>4041</v>
      </c>
      <c r="F3715" s="284">
        <f t="shared" ca="1" si="114"/>
        <v>0.62999286814477984</v>
      </c>
      <c r="G3715" s="74">
        <v>39.619521130908495</v>
      </c>
      <c r="H3715" s="74">
        <f t="shared" si="115"/>
        <v>0.87487921242402678</v>
      </c>
    </row>
    <row r="3716" spans="5:8" ht="15.6">
      <c r="E3716" s="279" t="s">
        <v>4042</v>
      </c>
      <c r="F3716" s="284">
        <f t="shared" ca="1" si="114"/>
        <v>0.25337788354419011</v>
      </c>
      <c r="G3716" s="74">
        <v>33.351970233918173</v>
      </c>
      <c r="H3716" s="74">
        <f t="shared" si="115"/>
        <v>7.1424301094143487</v>
      </c>
    </row>
    <row r="3717" spans="5:8" ht="15.6">
      <c r="E3717" s="279" t="s">
        <v>4043</v>
      </c>
      <c r="F3717" s="284">
        <f t="shared" ca="1" si="114"/>
        <v>0.23584826479180454</v>
      </c>
      <c r="G3717" s="74">
        <v>38.784259989771833</v>
      </c>
      <c r="H3717" s="74">
        <f t="shared" si="115"/>
        <v>1.7101403535606892</v>
      </c>
    </row>
    <row r="3718" spans="5:8" ht="15.6">
      <c r="E3718" s="279" t="s">
        <v>4044</v>
      </c>
      <c r="F3718" s="284">
        <f t="shared" ca="1" si="114"/>
        <v>0.7199000399231098</v>
      </c>
      <c r="G3718" s="74">
        <v>42.070241306157115</v>
      </c>
      <c r="H3718" s="74">
        <f t="shared" si="115"/>
        <v>-1.5758409628245929</v>
      </c>
    </row>
    <row r="3719" spans="5:8" ht="15.6">
      <c r="E3719" s="279" t="s">
        <v>4045</v>
      </c>
      <c r="F3719" s="284">
        <f t="shared" ca="1" si="114"/>
        <v>0.12610892616580116</v>
      </c>
      <c r="G3719" s="74">
        <v>38.848090204313465</v>
      </c>
      <c r="H3719" s="74">
        <f t="shared" si="115"/>
        <v>1.6463101390190573</v>
      </c>
    </row>
    <row r="3720" spans="5:8" ht="15.6">
      <c r="E3720" s="279" t="s">
        <v>4046</v>
      </c>
      <c r="F3720" s="284">
        <f t="shared" ca="1" si="114"/>
        <v>0.32616118680717232</v>
      </c>
      <c r="G3720" s="74">
        <v>34.953390672938887</v>
      </c>
      <c r="H3720" s="74">
        <f t="shared" si="115"/>
        <v>5.5410096703936347</v>
      </c>
    </row>
    <row r="3721" spans="5:8" ht="15.6">
      <c r="E3721" s="279" t="s">
        <v>4047</v>
      </c>
      <c r="F3721" s="284">
        <f t="shared" ca="1" si="114"/>
        <v>0.3472646920226119</v>
      </c>
      <c r="G3721" s="74">
        <v>38.683208774548874</v>
      </c>
      <c r="H3721" s="74">
        <f t="shared" si="115"/>
        <v>1.8111915687836486</v>
      </c>
    </row>
    <row r="3722" spans="5:8" ht="15.6">
      <c r="E3722" s="279" t="s">
        <v>4048</v>
      </c>
      <c r="F3722" s="284">
        <f t="shared" ca="1" si="114"/>
        <v>0.23489632174839759</v>
      </c>
      <c r="G3722" s="74">
        <v>40.983984012154529</v>
      </c>
      <c r="H3722" s="74">
        <f t="shared" si="115"/>
        <v>-0.48958366882200721</v>
      </c>
    </row>
    <row r="3723" spans="5:8" ht="15.6">
      <c r="E3723" s="279" t="s">
        <v>4049</v>
      </c>
      <c r="F3723" s="284">
        <f t="shared" ca="1" si="114"/>
        <v>0.99948929583988022</v>
      </c>
      <c r="G3723" s="74">
        <v>37.996570661308056</v>
      </c>
      <c r="H3723" s="74">
        <f t="shared" si="115"/>
        <v>2.4978296820244665</v>
      </c>
    </row>
    <row r="3724" spans="5:8" ht="15.6">
      <c r="E3724" s="279" t="s">
        <v>4050</v>
      </c>
      <c r="F3724" s="284">
        <f t="shared" ref="F3724:F3787" ca="1" si="116">RAND()</f>
        <v>0.44711507280932694</v>
      </c>
      <c r="G3724" s="74">
        <v>38.565248708746033</v>
      </c>
      <c r="H3724" s="74">
        <f t="shared" ref="H3724:H3787" si="117">$D$2-G3724</f>
        <v>1.9291516345864892</v>
      </c>
    </row>
    <row r="3725" spans="5:8" ht="15.6">
      <c r="E3725" s="279" t="s">
        <v>4051</v>
      </c>
      <c r="F3725" s="284">
        <f t="shared" ca="1" si="116"/>
        <v>0.27131680885703247</v>
      </c>
      <c r="G3725" s="74">
        <v>40.012038343464333</v>
      </c>
      <c r="H3725" s="74">
        <f t="shared" si="117"/>
        <v>0.48236199986818917</v>
      </c>
    </row>
    <row r="3726" spans="5:8" ht="15.6">
      <c r="E3726" s="279" t="s">
        <v>4052</v>
      </c>
      <c r="F3726" s="284">
        <f t="shared" ca="1" si="116"/>
        <v>0.8584274279312758</v>
      </c>
      <c r="G3726" s="74">
        <v>39.33407224705271</v>
      </c>
      <c r="H3726" s="74">
        <f t="shared" si="117"/>
        <v>1.1603280962798124</v>
      </c>
    </row>
    <row r="3727" spans="5:8" ht="15.6">
      <c r="E3727" s="279" t="s">
        <v>4053</v>
      </c>
      <c r="F3727" s="284">
        <f t="shared" ca="1" si="116"/>
        <v>0.45552192370537514</v>
      </c>
      <c r="G3727" s="74">
        <v>38.811236829412358</v>
      </c>
      <c r="H3727" s="74">
        <f t="shared" si="117"/>
        <v>1.6831635139201637</v>
      </c>
    </row>
    <row r="3728" spans="5:8" ht="15.6">
      <c r="E3728" s="279" t="s">
        <v>4054</v>
      </c>
      <c r="F3728" s="284">
        <f t="shared" ca="1" si="116"/>
        <v>0.19567327576305993</v>
      </c>
      <c r="G3728" s="74">
        <v>36.05145765043379</v>
      </c>
      <c r="H3728" s="74">
        <f t="shared" si="117"/>
        <v>4.4429426928987326</v>
      </c>
    </row>
    <row r="3729" spans="5:8" ht="15.6">
      <c r="E3729" s="279" t="s">
        <v>4055</v>
      </c>
      <c r="F3729" s="284">
        <f t="shared" ca="1" si="116"/>
        <v>0.9921492450747823</v>
      </c>
      <c r="G3729" s="74">
        <v>37.374071297703104</v>
      </c>
      <c r="H3729" s="74">
        <f t="shared" si="117"/>
        <v>3.1203290456294184</v>
      </c>
    </row>
    <row r="3730" spans="5:8" ht="15.6">
      <c r="E3730" s="279" t="s">
        <v>4056</v>
      </c>
      <c r="F3730" s="284">
        <f t="shared" ca="1" si="116"/>
        <v>0.83116932591629156</v>
      </c>
      <c r="G3730" s="74">
        <v>38.986451670088044</v>
      </c>
      <c r="H3730" s="74">
        <f t="shared" si="117"/>
        <v>1.5079486732444778</v>
      </c>
    </row>
    <row r="3731" spans="5:8" ht="15.6">
      <c r="E3731" s="279" t="s">
        <v>4057</v>
      </c>
      <c r="F3731" s="284">
        <f t="shared" ca="1" si="116"/>
        <v>0.10433780261974013</v>
      </c>
      <c r="G3731" s="74">
        <v>43.580171369616913</v>
      </c>
      <c r="H3731" s="74">
        <f t="shared" si="117"/>
        <v>-3.0857710262843909</v>
      </c>
    </row>
    <row r="3732" spans="5:8" ht="15.6">
      <c r="E3732" s="279" t="s">
        <v>4058</v>
      </c>
      <c r="F3732" s="284">
        <f t="shared" ca="1" si="116"/>
        <v>0.93425314608108645</v>
      </c>
      <c r="G3732" s="74">
        <v>36.614477656491239</v>
      </c>
      <c r="H3732" s="74">
        <f t="shared" si="117"/>
        <v>3.8799226868412831</v>
      </c>
    </row>
    <row r="3733" spans="5:8" ht="15.6">
      <c r="E3733" s="279" t="s">
        <v>4059</v>
      </c>
      <c r="F3733" s="284">
        <f t="shared" ca="1" si="116"/>
        <v>0.96655896027481214</v>
      </c>
      <c r="G3733" s="74">
        <v>40.314656301111548</v>
      </c>
      <c r="H3733" s="74">
        <f t="shared" si="117"/>
        <v>0.17974404222097462</v>
      </c>
    </row>
    <row r="3734" spans="5:8" ht="15.6">
      <c r="E3734" s="279" t="s">
        <v>4060</v>
      </c>
      <c r="F3734" s="284">
        <f t="shared" ca="1" si="116"/>
        <v>0.96569847001861009</v>
      </c>
      <c r="G3734" s="74">
        <v>39.701135014970589</v>
      </c>
      <c r="H3734" s="74">
        <f t="shared" si="117"/>
        <v>0.79326532836193309</v>
      </c>
    </row>
    <row r="3735" spans="5:8" ht="15.6">
      <c r="E3735" s="279" t="s">
        <v>4061</v>
      </c>
      <c r="F3735" s="284">
        <f t="shared" ca="1" si="116"/>
        <v>0.81736359593126973</v>
      </c>
      <c r="G3735" s="74">
        <v>36.967000265243158</v>
      </c>
      <c r="H3735" s="74">
        <f t="shared" si="117"/>
        <v>3.5274000780893644</v>
      </c>
    </row>
    <row r="3736" spans="5:8" ht="15.6">
      <c r="E3736" s="279" t="s">
        <v>4062</v>
      </c>
      <c r="F3736" s="284">
        <f t="shared" ca="1" si="116"/>
        <v>0.95162720520132227</v>
      </c>
      <c r="G3736" s="74">
        <v>39.933748739647505</v>
      </c>
      <c r="H3736" s="74">
        <f t="shared" si="117"/>
        <v>0.56065160368501665</v>
      </c>
    </row>
    <row r="3737" spans="5:8" ht="15.6">
      <c r="E3737" s="279" t="s">
        <v>4063</v>
      </c>
      <c r="F3737" s="284">
        <f t="shared" ca="1" si="116"/>
        <v>0.77137501491228022</v>
      </c>
      <c r="G3737" s="74">
        <v>43.357967845558548</v>
      </c>
      <c r="H3737" s="74">
        <f t="shared" si="117"/>
        <v>-2.8635675022260259</v>
      </c>
    </row>
    <row r="3738" spans="5:8" ht="15.6">
      <c r="E3738" s="279" t="s">
        <v>4064</v>
      </c>
      <c r="F3738" s="284">
        <f t="shared" ca="1" si="116"/>
        <v>0.51971249758169469</v>
      </c>
      <c r="G3738" s="74">
        <v>37.085684774750987</v>
      </c>
      <c r="H3738" s="74">
        <f t="shared" si="117"/>
        <v>3.4087155685815347</v>
      </c>
    </row>
    <row r="3739" spans="5:8" ht="15.6">
      <c r="E3739" s="279" t="s">
        <v>4065</v>
      </c>
      <c r="F3739" s="284">
        <f t="shared" ca="1" si="116"/>
        <v>0.19873571001348223</v>
      </c>
      <c r="G3739" s="74">
        <v>44.205160104064632</v>
      </c>
      <c r="H3739" s="74">
        <f t="shared" si="117"/>
        <v>-3.7107597607321097</v>
      </c>
    </row>
    <row r="3740" spans="5:8" ht="15.6">
      <c r="E3740" s="279" t="s">
        <v>4066</v>
      </c>
      <c r="F3740" s="284">
        <f t="shared" ca="1" si="116"/>
        <v>0.33649458737323013</v>
      </c>
      <c r="G3740" s="74">
        <v>40.69637577121442</v>
      </c>
      <c r="H3740" s="74">
        <f t="shared" si="117"/>
        <v>-0.20197542788189793</v>
      </c>
    </row>
    <row r="3741" spans="5:8" ht="15.6">
      <c r="E3741" s="279" t="s">
        <v>4067</v>
      </c>
      <c r="F3741" s="284">
        <f t="shared" ca="1" si="116"/>
        <v>0.94782931289533745</v>
      </c>
      <c r="G3741" s="74">
        <v>34.390247001140793</v>
      </c>
      <c r="H3741" s="74">
        <f t="shared" si="117"/>
        <v>6.1041533421917293</v>
      </c>
    </row>
    <row r="3742" spans="5:8" ht="15.6">
      <c r="E3742" s="279" t="s">
        <v>4068</v>
      </c>
      <c r="F3742" s="284">
        <f t="shared" ca="1" si="116"/>
        <v>0.39421615456561521</v>
      </c>
      <c r="G3742" s="74">
        <v>41.658672905266386</v>
      </c>
      <c r="H3742" s="74">
        <f t="shared" si="117"/>
        <v>-1.1642725619338634</v>
      </c>
    </row>
    <row r="3743" spans="5:8" ht="15.6">
      <c r="E3743" s="279" t="s">
        <v>4069</v>
      </c>
      <c r="F3743" s="284">
        <f t="shared" ca="1" si="116"/>
        <v>0.63477147399287059</v>
      </c>
      <c r="G3743" s="74">
        <v>35.925529523865478</v>
      </c>
      <c r="H3743" s="74">
        <f t="shared" si="117"/>
        <v>4.568870819467044</v>
      </c>
    </row>
    <row r="3744" spans="5:8" ht="15.6">
      <c r="E3744" s="279" t="s">
        <v>4070</v>
      </c>
      <c r="F3744" s="284">
        <f t="shared" ca="1" si="116"/>
        <v>0.85770125355278148</v>
      </c>
      <c r="G3744" s="74">
        <v>39.852869538922981</v>
      </c>
      <c r="H3744" s="74">
        <f t="shared" si="117"/>
        <v>0.64153080440954113</v>
      </c>
    </row>
    <row r="3745" spans="5:8" ht="15.6">
      <c r="E3745" s="279" t="s">
        <v>4071</v>
      </c>
      <c r="F3745" s="284">
        <f t="shared" ca="1" si="116"/>
        <v>8.3995301792205157E-2</v>
      </c>
      <c r="G3745" s="74">
        <v>36.228172751027195</v>
      </c>
      <c r="H3745" s="74">
        <f t="shared" si="117"/>
        <v>4.2662275923053272</v>
      </c>
    </row>
    <row r="3746" spans="5:8" ht="15.6">
      <c r="E3746" s="279" t="s">
        <v>4072</v>
      </c>
      <c r="F3746" s="284">
        <f t="shared" ca="1" si="116"/>
        <v>0.8137830475518133</v>
      </c>
      <c r="G3746" s="74">
        <v>42.881906075645439</v>
      </c>
      <c r="H3746" s="74">
        <f t="shared" si="117"/>
        <v>-2.387505732312917</v>
      </c>
    </row>
    <row r="3747" spans="5:8" ht="15.6">
      <c r="E3747" s="279" t="s">
        <v>4073</v>
      </c>
      <c r="F3747" s="284">
        <f t="shared" ca="1" si="116"/>
        <v>0.6108170559426177</v>
      </c>
      <c r="G3747" s="74">
        <v>36.530512256165117</v>
      </c>
      <c r="H3747" s="74">
        <f t="shared" si="117"/>
        <v>3.9638880871674047</v>
      </c>
    </row>
    <row r="3748" spans="5:8" ht="15.6">
      <c r="E3748" s="279" t="s">
        <v>4074</v>
      </c>
      <c r="F3748" s="284">
        <f t="shared" ca="1" si="116"/>
        <v>0.63350002436255559</v>
      </c>
      <c r="G3748" s="74">
        <v>38.985050477430157</v>
      </c>
      <c r="H3748" s="74">
        <f t="shared" si="117"/>
        <v>1.5093498659023652</v>
      </c>
    </row>
    <row r="3749" spans="5:8" ht="15.6">
      <c r="E3749" s="279" t="s">
        <v>4075</v>
      </c>
      <c r="F3749" s="284">
        <f t="shared" ca="1" si="116"/>
        <v>0.56012721361259044</v>
      </c>
      <c r="G3749" s="74">
        <v>39.741026815038886</v>
      </c>
      <c r="H3749" s="74">
        <f t="shared" si="117"/>
        <v>0.75337352829363624</v>
      </c>
    </row>
    <row r="3750" spans="5:8" ht="15.6">
      <c r="E3750" s="279" t="s">
        <v>4076</v>
      </c>
      <c r="F3750" s="284">
        <f t="shared" ca="1" si="116"/>
        <v>0.76788649673582221</v>
      </c>
      <c r="G3750" s="74">
        <v>40.004960459423366</v>
      </c>
      <c r="H3750" s="74">
        <f t="shared" si="117"/>
        <v>0.48943988390915649</v>
      </c>
    </row>
    <row r="3751" spans="5:8" ht="15.6">
      <c r="E3751" s="279" t="s">
        <v>4077</v>
      </c>
      <c r="F3751" s="284">
        <f t="shared" ca="1" si="116"/>
        <v>0.8678348874958971</v>
      </c>
      <c r="G3751" s="74">
        <v>38.018333133178388</v>
      </c>
      <c r="H3751" s="74">
        <f t="shared" si="117"/>
        <v>2.4760672101541346</v>
      </c>
    </row>
    <row r="3752" spans="5:8" ht="15.6">
      <c r="E3752" s="279" t="s">
        <v>4078</v>
      </c>
      <c r="F3752" s="284">
        <f t="shared" ca="1" si="116"/>
        <v>0.43323974846705204</v>
      </c>
      <c r="G3752" s="74">
        <v>39.389607067814481</v>
      </c>
      <c r="H3752" s="74">
        <f t="shared" si="117"/>
        <v>1.1047932755180412</v>
      </c>
    </row>
    <row r="3753" spans="5:8" ht="15.6">
      <c r="E3753" s="279" t="s">
        <v>4079</v>
      </c>
      <c r="F3753" s="284">
        <f t="shared" ca="1" si="116"/>
        <v>2.2963611380275029E-2</v>
      </c>
      <c r="G3753" s="74">
        <v>33.771607913926275</v>
      </c>
      <c r="H3753" s="74">
        <f t="shared" si="117"/>
        <v>6.7227924294062475</v>
      </c>
    </row>
    <row r="3754" spans="5:8" ht="15.6">
      <c r="E3754" s="279" t="s">
        <v>4080</v>
      </c>
      <c r="F3754" s="284">
        <f t="shared" ca="1" si="116"/>
        <v>0.97830815967570217</v>
      </c>
      <c r="G3754" s="74">
        <v>39.057930626580969</v>
      </c>
      <c r="H3754" s="74">
        <f t="shared" si="117"/>
        <v>1.436469716751553</v>
      </c>
    </row>
    <row r="3755" spans="5:8" ht="15.6">
      <c r="E3755" s="279" t="s">
        <v>4081</v>
      </c>
      <c r="F3755" s="284">
        <f t="shared" ca="1" si="116"/>
        <v>0.48059431978354883</v>
      </c>
      <c r="G3755" s="74">
        <v>39.935386432538714</v>
      </c>
      <c r="H3755" s="74">
        <f t="shared" si="117"/>
        <v>0.55901391079380858</v>
      </c>
    </row>
    <row r="3756" spans="5:8" ht="15.6">
      <c r="E3756" s="279" t="s">
        <v>4082</v>
      </c>
      <c r="F3756" s="284">
        <f t="shared" ca="1" si="116"/>
        <v>0.22018837557124393</v>
      </c>
      <c r="G3756" s="74">
        <v>39.192451161639589</v>
      </c>
      <c r="H3756" s="74">
        <f t="shared" si="117"/>
        <v>1.3019491816929332</v>
      </c>
    </row>
    <row r="3757" spans="5:8" ht="15.6">
      <c r="E3757" s="279" t="s">
        <v>4083</v>
      </c>
      <c r="F3757" s="284">
        <f t="shared" ca="1" si="116"/>
        <v>2.9770199049816481E-2</v>
      </c>
      <c r="G3757" s="74">
        <v>40.42730438604719</v>
      </c>
      <c r="H3757" s="74">
        <f t="shared" si="117"/>
        <v>6.709595728533202E-2</v>
      </c>
    </row>
    <row r="3758" spans="5:8" ht="15.6">
      <c r="E3758" s="279" t="s">
        <v>4084</v>
      </c>
      <c r="F3758" s="284">
        <f t="shared" ca="1" si="116"/>
        <v>0.83943873422536341</v>
      </c>
      <c r="G3758" s="74">
        <v>34.285907510735164</v>
      </c>
      <c r="H3758" s="74">
        <f t="shared" si="117"/>
        <v>6.2084928325973578</v>
      </c>
    </row>
    <row r="3759" spans="5:8" ht="15.6">
      <c r="E3759" s="279" t="s">
        <v>4085</v>
      </c>
      <c r="F3759" s="284">
        <f t="shared" ca="1" si="116"/>
        <v>0.305876488636879</v>
      </c>
      <c r="G3759" s="74">
        <v>33.841383851596127</v>
      </c>
      <c r="H3759" s="74">
        <f t="shared" si="117"/>
        <v>6.6530164917363948</v>
      </c>
    </row>
    <row r="3760" spans="5:8" ht="15.6">
      <c r="E3760" s="279" t="s">
        <v>4086</v>
      </c>
      <c r="F3760" s="284">
        <f t="shared" ca="1" si="116"/>
        <v>0.34971920009789625</v>
      </c>
      <c r="G3760" s="74">
        <v>40.780878471419442</v>
      </c>
      <c r="H3760" s="74">
        <f t="shared" si="117"/>
        <v>-0.28647812808691953</v>
      </c>
    </row>
    <row r="3761" spans="5:8" ht="15.6">
      <c r="E3761" s="279" t="s">
        <v>4087</v>
      </c>
      <c r="F3761" s="284">
        <f t="shared" ca="1" si="116"/>
        <v>0.16754377651906716</v>
      </c>
      <c r="G3761" s="74">
        <v>35.216894923884304</v>
      </c>
      <c r="H3761" s="74">
        <f t="shared" si="117"/>
        <v>5.277505419448218</v>
      </c>
    </row>
    <row r="3762" spans="5:8" ht="15.6">
      <c r="E3762" s="279" t="s">
        <v>4088</v>
      </c>
      <c r="F3762" s="284">
        <f t="shared" ca="1" si="116"/>
        <v>0.89797844021676043</v>
      </c>
      <c r="G3762" s="74">
        <v>40.67442169816988</v>
      </c>
      <c r="H3762" s="74">
        <f t="shared" si="117"/>
        <v>-0.18002135483735771</v>
      </c>
    </row>
    <row r="3763" spans="5:8" ht="15.6">
      <c r="E3763" s="279" t="s">
        <v>4089</v>
      </c>
      <c r="F3763" s="284">
        <f t="shared" ca="1" si="116"/>
        <v>0.24047911995313564</v>
      </c>
      <c r="G3763" s="74">
        <v>38.341288708382855</v>
      </c>
      <c r="H3763" s="74">
        <f t="shared" si="117"/>
        <v>2.1531116349496671</v>
      </c>
    </row>
    <row r="3764" spans="5:8" ht="15.6">
      <c r="E3764" s="279" t="s">
        <v>4090</v>
      </c>
      <c r="F3764" s="284">
        <f t="shared" ca="1" si="116"/>
        <v>0.97402716144848611</v>
      </c>
      <c r="G3764" s="74">
        <v>39.687220432023679</v>
      </c>
      <c r="H3764" s="74">
        <f t="shared" si="117"/>
        <v>0.80717991130884315</v>
      </c>
    </row>
    <row r="3765" spans="5:8" ht="15.6">
      <c r="E3765" s="279" t="s">
        <v>4091</v>
      </c>
      <c r="F3765" s="284">
        <f t="shared" ca="1" si="116"/>
        <v>0.29138315644107404</v>
      </c>
      <c r="G3765" s="74">
        <v>37.163393185999738</v>
      </c>
      <c r="H3765" s="74">
        <f t="shared" si="117"/>
        <v>3.3310071573327846</v>
      </c>
    </row>
    <row r="3766" spans="5:8" ht="15.6">
      <c r="E3766" s="279" t="s">
        <v>4092</v>
      </c>
      <c r="F3766" s="284">
        <f t="shared" ca="1" si="116"/>
        <v>0.38774811414875521</v>
      </c>
      <c r="G3766" s="74">
        <v>41.273918161373594</v>
      </c>
      <c r="H3766" s="74">
        <f t="shared" si="117"/>
        <v>-0.77951781804107156</v>
      </c>
    </row>
    <row r="3767" spans="5:8" ht="15.6">
      <c r="E3767" s="279" t="s">
        <v>4093</v>
      </c>
      <c r="F3767" s="284">
        <f t="shared" ca="1" si="116"/>
        <v>1.9216651913952942E-2</v>
      </c>
      <c r="G3767" s="74">
        <v>36.92481957696959</v>
      </c>
      <c r="H3767" s="74">
        <f t="shared" si="117"/>
        <v>3.5695807663629324</v>
      </c>
    </row>
    <row r="3768" spans="5:8" ht="15.6">
      <c r="E3768" s="279" t="s">
        <v>4094</v>
      </c>
      <c r="F3768" s="284">
        <f t="shared" ca="1" si="116"/>
        <v>0.6484100936146926</v>
      </c>
      <c r="G3768" s="74">
        <v>39.42175549182484</v>
      </c>
      <c r="H3768" s="74">
        <f t="shared" si="117"/>
        <v>1.0726448515076825</v>
      </c>
    </row>
    <row r="3769" spans="5:8" ht="15.6">
      <c r="E3769" s="279" t="s">
        <v>4095</v>
      </c>
      <c r="F3769" s="284">
        <f t="shared" ca="1" si="116"/>
        <v>0.53958168512667126</v>
      </c>
      <c r="G3769" s="74">
        <v>41.034949594597428</v>
      </c>
      <c r="H3769" s="74">
        <f t="shared" si="117"/>
        <v>-0.54054925126490616</v>
      </c>
    </row>
    <row r="3770" spans="5:8" ht="15.6">
      <c r="E3770" s="279" t="s">
        <v>4096</v>
      </c>
      <c r="F3770" s="284">
        <f t="shared" ca="1" si="116"/>
        <v>0.74132589088088074</v>
      </c>
      <c r="G3770" s="74">
        <v>43.04013466611697</v>
      </c>
      <c r="H3770" s="74">
        <f t="shared" si="117"/>
        <v>-2.5457343227844476</v>
      </c>
    </row>
    <row r="3771" spans="5:8" ht="15.6">
      <c r="E3771" s="279" t="s">
        <v>4097</v>
      </c>
      <c r="F3771" s="284">
        <f t="shared" ca="1" si="116"/>
        <v>0.30874687834798165</v>
      </c>
      <c r="G3771" s="74">
        <v>43.201004112606547</v>
      </c>
      <c r="H3771" s="74">
        <f t="shared" si="117"/>
        <v>-2.7066037692740252</v>
      </c>
    </row>
    <row r="3772" spans="5:8" ht="15.6">
      <c r="E3772" s="279" t="s">
        <v>4098</v>
      </c>
      <c r="F3772" s="284">
        <f t="shared" ca="1" si="116"/>
        <v>0.63976586734319874</v>
      </c>
      <c r="G3772" s="74">
        <v>35.955194703593833</v>
      </c>
      <c r="H3772" s="74">
        <f t="shared" si="117"/>
        <v>4.5392056397386895</v>
      </c>
    </row>
    <row r="3773" spans="5:8" ht="15.6">
      <c r="E3773" s="279" t="s">
        <v>4099</v>
      </c>
      <c r="F3773" s="284">
        <f t="shared" ca="1" si="116"/>
        <v>0.15399774797502297</v>
      </c>
      <c r="G3773" s="74">
        <v>40.469838857624957</v>
      </c>
      <c r="H3773" s="74">
        <f t="shared" si="117"/>
        <v>2.4561485707565112E-2</v>
      </c>
    </row>
    <row r="3774" spans="5:8" ht="15.6">
      <c r="E3774" s="279" t="s">
        <v>4100</v>
      </c>
      <c r="F3774" s="284">
        <f t="shared" ca="1" si="116"/>
        <v>0.2626568418347961</v>
      </c>
      <c r="G3774" s="74">
        <v>40.335871759979959</v>
      </c>
      <c r="H3774" s="74">
        <f t="shared" si="117"/>
        <v>0.15852858335256315</v>
      </c>
    </row>
    <row r="3775" spans="5:8" ht="15.6">
      <c r="E3775" s="279" t="s">
        <v>4101</v>
      </c>
      <c r="F3775" s="284">
        <f t="shared" ca="1" si="116"/>
        <v>0.61534354074728848</v>
      </c>
      <c r="G3775" s="74">
        <v>37.188610626523996</v>
      </c>
      <c r="H3775" s="74">
        <f t="shared" si="117"/>
        <v>3.3057897168085262</v>
      </c>
    </row>
    <row r="3776" spans="5:8" ht="15.6">
      <c r="E3776" s="279" t="s">
        <v>4102</v>
      </c>
      <c r="F3776" s="284">
        <f t="shared" ca="1" si="116"/>
        <v>0.63916555041667045</v>
      </c>
      <c r="G3776" s="74">
        <v>36.607845195591977</v>
      </c>
      <c r="H3776" s="74">
        <f t="shared" si="117"/>
        <v>3.8865551477405447</v>
      </c>
    </row>
    <row r="3777" spans="5:8" ht="15.6">
      <c r="E3777" s="279" t="s">
        <v>4103</v>
      </c>
      <c r="F3777" s="284">
        <f t="shared" ca="1" si="116"/>
        <v>0.20103884536796413</v>
      </c>
      <c r="G3777" s="74">
        <v>39.650918991600932</v>
      </c>
      <c r="H3777" s="74">
        <f t="shared" si="117"/>
        <v>0.84348135173159022</v>
      </c>
    </row>
    <row r="3778" spans="5:8" ht="15.6">
      <c r="E3778" s="279" t="s">
        <v>4104</v>
      </c>
      <c r="F3778" s="284">
        <f t="shared" ca="1" si="116"/>
        <v>0.46609316747888507</v>
      </c>
      <c r="G3778" s="74">
        <v>35.777018569531435</v>
      </c>
      <c r="H3778" s="74">
        <f t="shared" si="117"/>
        <v>4.7173817738010868</v>
      </c>
    </row>
    <row r="3779" spans="5:8" ht="15.6">
      <c r="E3779" s="279" t="s">
        <v>4105</v>
      </c>
      <c r="F3779" s="284">
        <f t="shared" ca="1" si="116"/>
        <v>0.30542743843186726</v>
      </c>
      <c r="G3779" s="74">
        <v>42.422005809536927</v>
      </c>
      <c r="H3779" s="74">
        <f t="shared" si="117"/>
        <v>-1.9276054662044046</v>
      </c>
    </row>
    <row r="3780" spans="5:8" ht="15.6">
      <c r="E3780" s="279" t="s">
        <v>4106</v>
      </c>
      <c r="F3780" s="284">
        <f t="shared" ca="1" si="116"/>
        <v>0.68003230706392903</v>
      </c>
      <c r="G3780" s="74">
        <v>44.804620997093693</v>
      </c>
      <c r="H3780" s="74">
        <f t="shared" si="117"/>
        <v>-4.3102206537611707</v>
      </c>
    </row>
    <row r="3781" spans="5:8" ht="15.6">
      <c r="E3781" s="279" t="s">
        <v>4107</v>
      </c>
      <c r="F3781" s="284">
        <f t="shared" ca="1" si="116"/>
        <v>0.24169991685519654</v>
      </c>
      <c r="G3781" s="74">
        <v>41.459441550307915</v>
      </c>
      <c r="H3781" s="74">
        <f t="shared" si="117"/>
        <v>-0.96504120697539264</v>
      </c>
    </row>
    <row r="3782" spans="5:8" ht="15.6">
      <c r="E3782" s="279" t="s">
        <v>4108</v>
      </c>
      <c r="F3782" s="284">
        <f t="shared" ca="1" si="116"/>
        <v>0.99309613967880295</v>
      </c>
      <c r="G3782" s="74">
        <v>39.199342848675855</v>
      </c>
      <c r="H3782" s="74">
        <f t="shared" si="117"/>
        <v>1.2950574946566675</v>
      </c>
    </row>
    <row r="3783" spans="5:8" ht="15.6">
      <c r="E3783" s="279" t="s">
        <v>4109</v>
      </c>
      <c r="F3783" s="284">
        <f t="shared" ca="1" si="116"/>
        <v>7.0101350428305564E-2</v>
      </c>
      <c r="G3783" s="74">
        <v>41.819087916381626</v>
      </c>
      <c r="H3783" s="74">
        <f t="shared" si="117"/>
        <v>-1.3246875730491041</v>
      </c>
    </row>
    <row r="3784" spans="5:8" ht="15.6">
      <c r="E3784" s="279" t="s">
        <v>4110</v>
      </c>
      <c r="F3784" s="284">
        <f t="shared" ca="1" si="116"/>
        <v>0.12156429836115457</v>
      </c>
      <c r="G3784" s="74">
        <v>37.057578164918894</v>
      </c>
      <c r="H3784" s="74">
        <f t="shared" si="117"/>
        <v>3.4368221784136281</v>
      </c>
    </row>
    <row r="3785" spans="5:8" ht="15.6">
      <c r="E3785" s="279" t="s">
        <v>4111</v>
      </c>
      <c r="F3785" s="284">
        <f t="shared" ca="1" si="116"/>
        <v>0.78394410876162224</v>
      </c>
      <c r="G3785" s="74">
        <v>37.757375940494889</v>
      </c>
      <c r="H3785" s="74">
        <f t="shared" si="117"/>
        <v>2.7370244028376334</v>
      </c>
    </row>
    <row r="3786" spans="5:8" ht="15.6">
      <c r="E3786" s="279" t="s">
        <v>4112</v>
      </c>
      <c r="F3786" s="284">
        <f t="shared" ca="1" si="116"/>
        <v>0.52301672712733149</v>
      </c>
      <c r="G3786" s="74">
        <v>42.265784580245835</v>
      </c>
      <c r="H3786" s="74">
        <f t="shared" si="117"/>
        <v>-1.7713842369133133</v>
      </c>
    </row>
    <row r="3787" spans="5:8" ht="15.6">
      <c r="E3787" s="279" t="s">
        <v>4113</v>
      </c>
      <c r="F3787" s="284">
        <f t="shared" ca="1" si="116"/>
        <v>0.89746718295972139</v>
      </c>
      <c r="G3787" s="74">
        <v>41.197718166428096</v>
      </c>
      <c r="H3787" s="74">
        <f t="shared" si="117"/>
        <v>-0.70331782309557411</v>
      </c>
    </row>
    <row r="3788" spans="5:8" ht="15.6">
      <c r="E3788" s="279" t="s">
        <v>4114</v>
      </c>
      <c r="F3788" s="284">
        <f t="shared" ref="F3788:F3851" ca="1" si="118">RAND()</f>
        <v>3.6070287675839197E-2</v>
      </c>
      <c r="G3788" s="74">
        <v>37.427963822636976</v>
      </c>
      <c r="H3788" s="74">
        <f t="shared" ref="H3788:H3851" si="119">$D$2-G3788</f>
        <v>3.0664365206955466</v>
      </c>
    </row>
    <row r="3789" spans="5:8" ht="15.6">
      <c r="E3789" s="279" t="s">
        <v>4115</v>
      </c>
      <c r="F3789" s="284">
        <f t="shared" ca="1" si="118"/>
        <v>5.0393887533302872E-2</v>
      </c>
      <c r="G3789" s="74">
        <v>35.976429747297693</v>
      </c>
      <c r="H3789" s="74">
        <f t="shared" si="119"/>
        <v>4.5179705960348286</v>
      </c>
    </row>
    <row r="3790" spans="5:8" ht="15.6">
      <c r="E3790" s="279" t="s">
        <v>4116</v>
      </c>
      <c r="F3790" s="284">
        <f t="shared" ca="1" si="118"/>
        <v>8.3030309397412738E-3</v>
      </c>
      <c r="G3790" s="74">
        <v>36.551030969993683</v>
      </c>
      <c r="H3790" s="74">
        <f t="shared" si="119"/>
        <v>3.9433693733388395</v>
      </c>
    </row>
    <row r="3791" spans="5:8" ht="15.6">
      <c r="E3791" s="279" t="s">
        <v>4117</v>
      </c>
      <c r="F3791" s="284">
        <f t="shared" ca="1" si="118"/>
        <v>0.24755172643336865</v>
      </c>
      <c r="G3791" s="74">
        <v>38.877021325021943</v>
      </c>
      <c r="H3791" s="74">
        <f t="shared" si="119"/>
        <v>1.6173790183105794</v>
      </c>
    </row>
    <row r="3792" spans="5:8" ht="15.6">
      <c r="E3792" s="279" t="s">
        <v>4118</v>
      </c>
      <c r="F3792" s="284">
        <f t="shared" ca="1" si="118"/>
        <v>0.37188032310167163</v>
      </c>
      <c r="G3792" s="74">
        <v>39.240354203905973</v>
      </c>
      <c r="H3792" s="74">
        <f t="shared" si="119"/>
        <v>1.2540461394265492</v>
      </c>
    </row>
    <row r="3793" spans="5:8" ht="15.6">
      <c r="E3793" s="279" t="s">
        <v>4119</v>
      </c>
      <c r="F3793" s="284">
        <f t="shared" ca="1" si="118"/>
        <v>0.45711664667084873</v>
      </c>
      <c r="G3793" s="74">
        <v>40.519438492967616</v>
      </c>
      <c r="H3793" s="74">
        <f t="shared" si="119"/>
        <v>-2.5038149635093987E-2</v>
      </c>
    </row>
    <row r="3794" spans="5:8" ht="15.6">
      <c r="E3794" s="279" t="s">
        <v>4120</v>
      </c>
      <c r="F3794" s="284">
        <f t="shared" ca="1" si="118"/>
        <v>0.17459728190400092</v>
      </c>
      <c r="G3794" s="74">
        <v>37.894592099990199</v>
      </c>
      <c r="H3794" s="74">
        <f t="shared" si="119"/>
        <v>2.5998082433423235</v>
      </c>
    </row>
    <row r="3795" spans="5:8" ht="15.6">
      <c r="E3795" s="279" t="s">
        <v>4121</v>
      </c>
      <c r="F3795" s="284">
        <f t="shared" ca="1" si="118"/>
        <v>0.63776087142086391</v>
      </c>
      <c r="G3795" s="74">
        <v>43.303475257126436</v>
      </c>
      <c r="H3795" s="74">
        <f t="shared" si="119"/>
        <v>-2.8090749137939142</v>
      </c>
    </row>
    <row r="3796" spans="5:8" ht="15.6">
      <c r="E3796" s="279" t="s">
        <v>4122</v>
      </c>
      <c r="F3796" s="284">
        <f t="shared" ca="1" si="118"/>
        <v>0.95694081711622048</v>
      </c>
      <c r="G3796" s="74">
        <v>38.370113113560151</v>
      </c>
      <c r="H3796" s="74">
        <f t="shared" si="119"/>
        <v>2.1242872297723707</v>
      </c>
    </row>
    <row r="3797" spans="5:8" ht="15.6">
      <c r="E3797" s="279" t="s">
        <v>4123</v>
      </c>
      <c r="F3797" s="284">
        <f t="shared" ca="1" si="118"/>
        <v>0.1410754261391518</v>
      </c>
      <c r="G3797" s="74">
        <v>37.380207995995306</v>
      </c>
      <c r="H3797" s="74">
        <f t="shared" si="119"/>
        <v>3.1141923473372159</v>
      </c>
    </row>
    <row r="3798" spans="5:8" ht="15.6">
      <c r="E3798" s="279" t="s">
        <v>4124</v>
      </c>
      <c r="F3798" s="284">
        <f t="shared" ca="1" si="118"/>
        <v>0.49156671612612712</v>
      </c>
      <c r="G3798" s="74">
        <v>39.882500599594039</v>
      </c>
      <c r="H3798" s="74">
        <f t="shared" si="119"/>
        <v>0.61189974373848344</v>
      </c>
    </row>
    <row r="3799" spans="5:8" ht="15.6">
      <c r="E3799" s="279" t="s">
        <v>4125</v>
      </c>
      <c r="F3799" s="284">
        <f t="shared" ca="1" si="118"/>
        <v>0.39773152493951758</v>
      </c>
      <c r="G3799" s="74">
        <v>40.556086727695089</v>
      </c>
      <c r="H3799" s="74">
        <f t="shared" si="119"/>
        <v>-6.1686384362566571E-2</v>
      </c>
    </row>
    <row r="3800" spans="5:8" ht="15.6">
      <c r="E3800" s="279" t="s">
        <v>4126</v>
      </c>
      <c r="F3800" s="284">
        <f t="shared" ca="1" si="118"/>
        <v>0.8556453311041714</v>
      </c>
      <c r="G3800" s="74">
        <v>38.839248082023929</v>
      </c>
      <c r="H3800" s="74">
        <f t="shared" si="119"/>
        <v>1.6551522613085936</v>
      </c>
    </row>
    <row r="3801" spans="5:8" ht="15.6">
      <c r="E3801" s="279" t="s">
        <v>4127</v>
      </c>
      <c r="F3801" s="284">
        <f t="shared" ca="1" si="118"/>
        <v>0.75146747691336613</v>
      </c>
      <c r="G3801" s="74">
        <v>38.454936882108299</v>
      </c>
      <c r="H3801" s="74">
        <f t="shared" si="119"/>
        <v>2.0394634612242228</v>
      </c>
    </row>
    <row r="3802" spans="5:8" ht="15.6">
      <c r="E3802" s="279" t="s">
        <v>4128</v>
      </c>
      <c r="F3802" s="284">
        <f t="shared" ca="1" si="118"/>
        <v>0.303837399520695</v>
      </c>
      <c r="G3802" s="74">
        <v>39.099527547846456</v>
      </c>
      <c r="H3802" s="74">
        <f t="shared" si="119"/>
        <v>1.3948727954860658</v>
      </c>
    </row>
    <row r="3803" spans="5:8" ht="15.6">
      <c r="E3803" s="279" t="s">
        <v>4129</v>
      </c>
      <c r="F3803" s="284">
        <f t="shared" ca="1" si="118"/>
        <v>0.69948247475200687</v>
      </c>
      <c r="G3803" s="74">
        <v>43.161510613312132</v>
      </c>
      <c r="H3803" s="74">
        <f t="shared" si="119"/>
        <v>-2.6671102699796094</v>
      </c>
    </row>
    <row r="3804" spans="5:8" ht="15.6">
      <c r="E3804" s="279" t="s">
        <v>4130</v>
      </c>
      <c r="F3804" s="284">
        <f t="shared" ca="1" si="118"/>
        <v>0.14668112347586304</v>
      </c>
      <c r="G3804" s="74">
        <v>36.120709736284553</v>
      </c>
      <c r="H3804" s="74">
        <f t="shared" si="119"/>
        <v>4.3736906070479691</v>
      </c>
    </row>
    <row r="3805" spans="5:8" ht="15.6">
      <c r="E3805" s="279" t="s">
        <v>4131</v>
      </c>
      <c r="F3805" s="284">
        <f t="shared" ca="1" si="118"/>
        <v>0.63059617310522176</v>
      </c>
      <c r="G3805" s="74">
        <v>39.669921409162548</v>
      </c>
      <c r="H3805" s="74">
        <f t="shared" si="119"/>
        <v>0.82447893416997431</v>
      </c>
    </row>
    <row r="3806" spans="5:8" ht="15.6">
      <c r="E3806" s="279" t="s">
        <v>4132</v>
      </c>
      <c r="F3806" s="284">
        <f t="shared" ca="1" si="118"/>
        <v>0.60781325908774897</v>
      </c>
      <c r="G3806" s="74">
        <v>40.034147154507622</v>
      </c>
      <c r="H3806" s="74">
        <f t="shared" si="119"/>
        <v>0.46025318882490041</v>
      </c>
    </row>
    <row r="3807" spans="5:8" ht="15.6">
      <c r="E3807" s="279" t="s">
        <v>4133</v>
      </c>
      <c r="F3807" s="284">
        <f t="shared" ca="1" si="118"/>
        <v>0.10649510426062836</v>
      </c>
      <c r="G3807" s="74">
        <v>38.993777235530182</v>
      </c>
      <c r="H3807" s="74">
        <f t="shared" si="119"/>
        <v>1.5006231078023404</v>
      </c>
    </row>
    <row r="3808" spans="5:8" ht="15.6">
      <c r="E3808" s="279" t="s">
        <v>4134</v>
      </c>
      <c r="F3808" s="284">
        <f t="shared" ca="1" si="118"/>
        <v>0.8333362003917183</v>
      </c>
      <c r="G3808" s="74">
        <v>36.796154092544128</v>
      </c>
      <c r="H3808" s="74">
        <f t="shared" si="119"/>
        <v>3.6982462507883938</v>
      </c>
    </row>
    <row r="3809" spans="5:8" ht="15.6">
      <c r="E3809" s="279" t="s">
        <v>4135</v>
      </c>
      <c r="F3809" s="284">
        <f t="shared" ca="1" si="118"/>
        <v>0.51201889369263698</v>
      </c>
      <c r="G3809" s="74">
        <v>39.104622938811488</v>
      </c>
      <c r="H3809" s="74">
        <f t="shared" si="119"/>
        <v>1.389777404521034</v>
      </c>
    </row>
    <row r="3810" spans="5:8" ht="15.6">
      <c r="E3810" s="279" t="s">
        <v>4136</v>
      </c>
      <c r="F3810" s="284">
        <f t="shared" ca="1" si="118"/>
        <v>0.82283152300933005</v>
      </c>
      <c r="G3810" s="74">
        <v>40.132825403265308</v>
      </c>
      <c r="H3810" s="74">
        <f t="shared" si="119"/>
        <v>0.36157494006721436</v>
      </c>
    </row>
    <row r="3811" spans="5:8" ht="15.6">
      <c r="E3811" s="279" t="s">
        <v>4137</v>
      </c>
      <c r="F3811" s="284">
        <f t="shared" ca="1" si="118"/>
        <v>0.54263462349157865</v>
      </c>
      <c r="G3811" s="74">
        <v>38.784146464077573</v>
      </c>
      <c r="H3811" s="74">
        <f t="shared" si="119"/>
        <v>1.7102538792549495</v>
      </c>
    </row>
    <row r="3812" spans="5:8" ht="15.6">
      <c r="E3812" s="279" t="s">
        <v>4138</v>
      </c>
      <c r="F3812" s="284">
        <f t="shared" ca="1" si="118"/>
        <v>0.84312322551497132</v>
      </c>
      <c r="G3812" s="74">
        <v>38.899082390765209</v>
      </c>
      <c r="H3812" s="74">
        <f t="shared" si="119"/>
        <v>1.5953179525673136</v>
      </c>
    </row>
    <row r="3813" spans="5:8" ht="15.6">
      <c r="E3813" s="279" t="s">
        <v>4139</v>
      </c>
      <c r="F3813" s="284">
        <f t="shared" ca="1" si="118"/>
        <v>6.4436012148245347E-2</v>
      </c>
      <c r="G3813" s="74">
        <v>38.848346652608399</v>
      </c>
      <c r="H3813" s="74">
        <f t="shared" si="119"/>
        <v>1.6460536907241234</v>
      </c>
    </row>
    <row r="3814" spans="5:8" ht="15.6">
      <c r="E3814" s="279" t="s">
        <v>4140</v>
      </c>
      <c r="F3814" s="284">
        <f t="shared" ca="1" si="118"/>
        <v>0.82460353670399578</v>
      </c>
      <c r="G3814" s="74">
        <v>37.67634441090356</v>
      </c>
      <c r="H3814" s="74">
        <f t="shared" si="119"/>
        <v>2.8180559324289618</v>
      </c>
    </row>
    <row r="3815" spans="5:8" ht="15.6">
      <c r="E3815" s="279" t="s">
        <v>4141</v>
      </c>
      <c r="F3815" s="284">
        <f t="shared" ca="1" si="118"/>
        <v>0.33745358580615958</v>
      </c>
      <c r="G3815" s="74">
        <v>42.438359732031287</v>
      </c>
      <c r="H3815" s="74">
        <f t="shared" si="119"/>
        <v>-1.9439593886987652</v>
      </c>
    </row>
    <row r="3816" spans="5:8" ht="15.6">
      <c r="E3816" s="279" t="s">
        <v>4142</v>
      </c>
      <c r="F3816" s="284">
        <f t="shared" ca="1" si="118"/>
        <v>0.67969130896098262</v>
      </c>
      <c r="G3816" s="74">
        <v>41.368939949666981</v>
      </c>
      <c r="H3816" s="74">
        <f t="shared" si="119"/>
        <v>-0.8745396063344586</v>
      </c>
    </row>
    <row r="3817" spans="5:8" ht="15.6">
      <c r="E3817" s="279" t="s">
        <v>4143</v>
      </c>
      <c r="F3817" s="284">
        <f t="shared" ca="1" si="118"/>
        <v>0.30606292033555504</v>
      </c>
      <c r="G3817" s="74">
        <v>39.859721202979728</v>
      </c>
      <c r="H3817" s="74">
        <f t="shared" si="119"/>
        <v>0.63467914035279449</v>
      </c>
    </row>
    <row r="3818" spans="5:8" ht="15.6">
      <c r="E3818" s="279" t="s">
        <v>4144</v>
      </c>
      <c r="F3818" s="284">
        <f t="shared" ca="1" si="118"/>
        <v>0.48772619103541937</v>
      </c>
      <c r="G3818" s="74">
        <v>38.214871269823981</v>
      </c>
      <c r="H3818" s="74">
        <f t="shared" si="119"/>
        <v>2.2795290735085416</v>
      </c>
    </row>
    <row r="3819" spans="5:8" ht="15.6">
      <c r="E3819" s="279" t="s">
        <v>4145</v>
      </c>
      <c r="F3819" s="284">
        <f t="shared" ca="1" si="118"/>
        <v>0.15802395155609328</v>
      </c>
      <c r="G3819" s="74">
        <v>38.435982207584033</v>
      </c>
      <c r="H3819" s="74">
        <f t="shared" si="119"/>
        <v>2.0584181357484894</v>
      </c>
    </row>
    <row r="3820" spans="5:8" ht="15.6">
      <c r="E3820" s="279" t="s">
        <v>4146</v>
      </c>
      <c r="F3820" s="284">
        <f t="shared" ca="1" si="118"/>
        <v>0.48656886873743799</v>
      </c>
      <c r="G3820" s="74">
        <v>37.163535462516016</v>
      </c>
      <c r="H3820" s="74">
        <f t="shared" si="119"/>
        <v>3.330864880816506</v>
      </c>
    </row>
    <row r="3821" spans="5:8" ht="15.6">
      <c r="E3821" s="279" t="s">
        <v>4147</v>
      </c>
      <c r="F3821" s="284">
        <f t="shared" ca="1" si="118"/>
        <v>0.24348174337461748</v>
      </c>
      <c r="G3821" s="74">
        <v>42.779446109306768</v>
      </c>
      <c r="H3821" s="74">
        <f t="shared" si="119"/>
        <v>-2.285045765974246</v>
      </c>
    </row>
    <row r="3822" spans="5:8" ht="15.6">
      <c r="E3822" s="279" t="s">
        <v>4148</v>
      </c>
      <c r="F3822" s="284">
        <f t="shared" ca="1" si="118"/>
        <v>0.36113669381395963</v>
      </c>
      <c r="G3822" s="74">
        <v>39.991800386156847</v>
      </c>
      <c r="H3822" s="74">
        <f t="shared" si="119"/>
        <v>0.50259995717567563</v>
      </c>
    </row>
    <row r="3823" spans="5:8" ht="15.6">
      <c r="E3823" s="279" t="s">
        <v>4149</v>
      </c>
      <c r="F3823" s="284">
        <f t="shared" ca="1" si="118"/>
        <v>0.85148317462686318</v>
      </c>
      <c r="G3823" s="74">
        <v>36.502726329644979</v>
      </c>
      <c r="H3823" s="74">
        <f t="shared" si="119"/>
        <v>3.9916740136875433</v>
      </c>
    </row>
    <row r="3824" spans="5:8" ht="15.6">
      <c r="E3824" s="279" t="s">
        <v>4150</v>
      </c>
      <c r="F3824" s="284">
        <f t="shared" ca="1" si="118"/>
        <v>0.28211807753435991</v>
      </c>
      <c r="G3824" s="74">
        <v>39.591177240954877</v>
      </c>
      <c r="H3824" s="74">
        <f t="shared" si="119"/>
        <v>0.90322310237764469</v>
      </c>
    </row>
    <row r="3825" spans="5:8" ht="15.6">
      <c r="E3825" s="279" t="s">
        <v>4151</v>
      </c>
      <c r="F3825" s="284">
        <f t="shared" ca="1" si="118"/>
        <v>0.29607159997342758</v>
      </c>
      <c r="G3825" s="74">
        <v>38.243990260994167</v>
      </c>
      <c r="H3825" s="74">
        <f t="shared" si="119"/>
        <v>2.2504100823383553</v>
      </c>
    </row>
    <row r="3826" spans="5:8" ht="15.6">
      <c r="E3826" s="279" t="s">
        <v>4152</v>
      </c>
      <c r="F3826" s="284">
        <f t="shared" ca="1" si="118"/>
        <v>0.84311244707688804</v>
      </c>
      <c r="G3826" s="74">
        <v>39.734304653557501</v>
      </c>
      <c r="H3826" s="74">
        <f t="shared" si="119"/>
        <v>0.76009568977502084</v>
      </c>
    </row>
    <row r="3827" spans="5:8" ht="15.6">
      <c r="E3827" s="279" t="s">
        <v>4153</v>
      </c>
      <c r="F3827" s="284">
        <f t="shared" ca="1" si="118"/>
        <v>0.91161359530947406</v>
      </c>
      <c r="G3827" s="74">
        <v>37.032207821985963</v>
      </c>
      <c r="H3827" s="74">
        <f t="shared" si="119"/>
        <v>3.4621925213465587</v>
      </c>
    </row>
    <row r="3828" spans="5:8" ht="15.6">
      <c r="E3828" s="279" t="s">
        <v>4154</v>
      </c>
      <c r="F3828" s="284">
        <f t="shared" ca="1" si="118"/>
        <v>0.81245547840731513</v>
      </c>
      <c r="G3828" s="74">
        <v>39.290861747737374</v>
      </c>
      <c r="H3828" s="74">
        <f t="shared" si="119"/>
        <v>1.2035385955951483</v>
      </c>
    </row>
    <row r="3829" spans="5:8" ht="15.6">
      <c r="E3829" s="279" t="s">
        <v>4155</v>
      </c>
      <c r="F3829" s="284">
        <f t="shared" ca="1" si="118"/>
        <v>0.3140211155892656</v>
      </c>
      <c r="G3829" s="74">
        <v>38.301073999052122</v>
      </c>
      <c r="H3829" s="74">
        <f t="shared" si="119"/>
        <v>2.1933263442804005</v>
      </c>
    </row>
    <row r="3830" spans="5:8" ht="15.6">
      <c r="E3830" s="279" t="s">
        <v>4156</v>
      </c>
      <c r="F3830" s="284">
        <f t="shared" ca="1" si="118"/>
        <v>0.25417732299549844</v>
      </c>
      <c r="G3830" s="74">
        <v>37.315369296045141</v>
      </c>
      <c r="H3830" s="74">
        <f t="shared" si="119"/>
        <v>3.1790310472873813</v>
      </c>
    </row>
    <row r="3831" spans="5:8" ht="15.6">
      <c r="E3831" s="279" t="s">
        <v>4157</v>
      </c>
      <c r="F3831" s="284">
        <f t="shared" ca="1" si="118"/>
        <v>8.3512172985527378E-2</v>
      </c>
      <c r="G3831" s="74">
        <v>37.684501192077917</v>
      </c>
      <c r="H3831" s="74">
        <f t="shared" si="119"/>
        <v>2.809899151254605</v>
      </c>
    </row>
    <row r="3832" spans="5:8" ht="15.6">
      <c r="E3832" s="279" t="s">
        <v>4158</v>
      </c>
      <c r="F3832" s="284">
        <f t="shared" ca="1" si="118"/>
        <v>6.3942768174374942E-2</v>
      </c>
      <c r="G3832" s="74">
        <v>42.067435214181764</v>
      </c>
      <c r="H3832" s="74">
        <f t="shared" si="119"/>
        <v>-1.5730348708492414</v>
      </c>
    </row>
    <row r="3833" spans="5:8" ht="15.6">
      <c r="E3833" s="279" t="s">
        <v>4159</v>
      </c>
      <c r="F3833" s="284">
        <f t="shared" ca="1" si="118"/>
        <v>0.40772730557471459</v>
      </c>
      <c r="G3833" s="74">
        <v>40.686370040637108</v>
      </c>
      <c r="H3833" s="74">
        <f t="shared" si="119"/>
        <v>-0.19196969730458591</v>
      </c>
    </row>
    <row r="3834" spans="5:8" ht="15.6">
      <c r="E3834" s="279" t="s">
        <v>4160</v>
      </c>
      <c r="F3834" s="284">
        <f t="shared" ca="1" si="118"/>
        <v>0.12979252699039778</v>
      </c>
      <c r="G3834" s="74">
        <v>38.496839863793177</v>
      </c>
      <c r="H3834" s="74">
        <f t="shared" si="119"/>
        <v>1.9975604795393451</v>
      </c>
    </row>
    <row r="3835" spans="5:8" ht="15.6">
      <c r="E3835" s="279" t="s">
        <v>4161</v>
      </c>
      <c r="F3835" s="284">
        <f t="shared" ca="1" si="118"/>
        <v>0.93941252014122867</v>
      </c>
      <c r="G3835" s="74">
        <v>43.435334579213261</v>
      </c>
      <c r="H3835" s="74">
        <f t="shared" si="119"/>
        <v>-2.9409342358807393</v>
      </c>
    </row>
    <row r="3836" spans="5:8" ht="15.6">
      <c r="E3836" s="279" t="s">
        <v>4162</v>
      </c>
      <c r="F3836" s="284">
        <f t="shared" ca="1" si="118"/>
        <v>0.95306570506276977</v>
      </c>
      <c r="G3836" s="74">
        <v>41.228423675015058</v>
      </c>
      <c r="H3836" s="74">
        <f t="shared" si="119"/>
        <v>-0.7340233316825362</v>
      </c>
    </row>
    <row r="3837" spans="5:8" ht="15.6">
      <c r="E3837" s="279" t="s">
        <v>4163</v>
      </c>
      <c r="F3837" s="284">
        <f t="shared" ca="1" si="118"/>
        <v>0.79746246545898825</v>
      </c>
      <c r="G3837" s="74">
        <v>36.901932396892093</v>
      </c>
      <c r="H3837" s="74">
        <f t="shared" si="119"/>
        <v>3.5924679464404292</v>
      </c>
    </row>
    <row r="3838" spans="5:8" ht="15.6">
      <c r="E3838" s="279" t="s">
        <v>4164</v>
      </c>
      <c r="F3838" s="284">
        <f t="shared" ca="1" si="118"/>
        <v>0.75966326122169403</v>
      </c>
      <c r="G3838" s="74">
        <v>41.627174290330409</v>
      </c>
      <c r="H3838" s="74">
        <f t="shared" si="119"/>
        <v>-1.1327739469978866</v>
      </c>
    </row>
    <row r="3839" spans="5:8" ht="15.6">
      <c r="E3839" s="279" t="s">
        <v>4165</v>
      </c>
      <c r="F3839" s="284">
        <f t="shared" ca="1" si="118"/>
        <v>0.94171764607311348</v>
      </c>
      <c r="G3839" s="74">
        <v>33.876335933792106</v>
      </c>
      <c r="H3839" s="74">
        <f t="shared" si="119"/>
        <v>6.6180644095404162</v>
      </c>
    </row>
    <row r="3840" spans="5:8" ht="15.6">
      <c r="E3840" s="279" t="s">
        <v>4166</v>
      </c>
      <c r="F3840" s="284">
        <f t="shared" ca="1" si="118"/>
        <v>0.49551958450781342</v>
      </c>
      <c r="G3840" s="74">
        <v>45.728300997920641</v>
      </c>
      <c r="H3840" s="74">
        <f t="shared" si="119"/>
        <v>-5.233900654588119</v>
      </c>
    </row>
    <row r="3841" spans="5:8" ht="15.6">
      <c r="E3841" s="279" t="s">
        <v>4167</v>
      </c>
      <c r="F3841" s="284">
        <f t="shared" ca="1" si="118"/>
        <v>0.96832283336060421</v>
      </c>
      <c r="G3841" s="74">
        <v>37.960311012628765</v>
      </c>
      <c r="H3841" s="74">
        <f t="shared" si="119"/>
        <v>2.5340893307037575</v>
      </c>
    </row>
    <row r="3842" spans="5:8" ht="15.6">
      <c r="E3842" s="279" t="s">
        <v>4168</v>
      </c>
      <c r="F3842" s="284">
        <f t="shared" ca="1" si="118"/>
        <v>0.81577831459583627</v>
      </c>
      <c r="G3842" s="74">
        <v>37.036716198401685</v>
      </c>
      <c r="H3842" s="74">
        <f t="shared" si="119"/>
        <v>3.4576841449308375</v>
      </c>
    </row>
    <row r="3843" spans="5:8" ht="15.6">
      <c r="E3843" s="279" t="s">
        <v>4169</v>
      </c>
      <c r="F3843" s="284">
        <f t="shared" ca="1" si="118"/>
        <v>0.74131239702718865</v>
      </c>
      <c r="G3843" s="74">
        <v>36.004868522914727</v>
      </c>
      <c r="H3843" s="74">
        <f t="shared" si="119"/>
        <v>4.4895318204177954</v>
      </c>
    </row>
    <row r="3844" spans="5:8" ht="15.6">
      <c r="E3844" s="279" t="s">
        <v>4170</v>
      </c>
      <c r="F3844" s="284">
        <f t="shared" ca="1" si="118"/>
        <v>0.64397929919998198</v>
      </c>
      <c r="G3844" s="74">
        <v>38.57620015724887</v>
      </c>
      <c r="H3844" s="74">
        <f t="shared" si="119"/>
        <v>1.9182001860836522</v>
      </c>
    </row>
    <row r="3845" spans="5:8" ht="15.6">
      <c r="E3845" s="279" t="s">
        <v>4171</v>
      </c>
      <c r="F3845" s="284">
        <f t="shared" ca="1" si="118"/>
        <v>0.58458800368814434</v>
      </c>
      <c r="G3845" s="74">
        <v>37.678882246152746</v>
      </c>
      <c r="H3845" s="74">
        <f t="shared" si="119"/>
        <v>2.8155180971797762</v>
      </c>
    </row>
    <row r="3846" spans="5:8" ht="15.6">
      <c r="E3846" s="279" t="s">
        <v>4172</v>
      </c>
      <c r="F3846" s="284">
        <f t="shared" ca="1" si="118"/>
        <v>0.4398766221962972</v>
      </c>
      <c r="G3846" s="74">
        <v>40.475441632511377</v>
      </c>
      <c r="H3846" s="74">
        <f t="shared" si="119"/>
        <v>1.895871082114553E-2</v>
      </c>
    </row>
    <row r="3847" spans="5:8" ht="15.6">
      <c r="E3847" s="279" t="s">
        <v>4173</v>
      </c>
      <c r="F3847" s="284">
        <f t="shared" ca="1" si="118"/>
        <v>0.79453799780266643</v>
      </c>
      <c r="G3847" s="74">
        <v>36.915645396232037</v>
      </c>
      <c r="H3847" s="74">
        <f t="shared" si="119"/>
        <v>3.5787549471004851</v>
      </c>
    </row>
    <row r="3848" spans="5:8" ht="15.6">
      <c r="E3848" s="279" t="s">
        <v>4174</v>
      </c>
      <c r="F3848" s="284">
        <f t="shared" ca="1" si="118"/>
        <v>0.40139489841410947</v>
      </c>
      <c r="G3848" s="74">
        <v>39.733469722377727</v>
      </c>
      <c r="H3848" s="74">
        <f t="shared" si="119"/>
        <v>0.76093062095479524</v>
      </c>
    </row>
    <row r="3849" spans="5:8" ht="15.6">
      <c r="E3849" s="279" t="s">
        <v>4175</v>
      </c>
      <c r="F3849" s="284">
        <f t="shared" ca="1" si="118"/>
        <v>0.78324707271162564</v>
      </c>
      <c r="G3849" s="74">
        <v>40.713572006745579</v>
      </c>
      <c r="H3849" s="74">
        <f t="shared" si="119"/>
        <v>-0.21917166341305716</v>
      </c>
    </row>
    <row r="3850" spans="5:8" ht="15.6">
      <c r="E3850" s="279" t="s">
        <v>4176</v>
      </c>
      <c r="F3850" s="284">
        <f t="shared" ca="1" si="118"/>
        <v>0.22014172221567163</v>
      </c>
      <c r="G3850" s="74">
        <v>42.185445809168776</v>
      </c>
      <c r="H3850" s="74">
        <f t="shared" si="119"/>
        <v>-1.6910454658362539</v>
      </c>
    </row>
    <row r="3851" spans="5:8" ht="15.6">
      <c r="E3851" s="279" t="s">
        <v>4177</v>
      </c>
      <c r="F3851" s="284">
        <f t="shared" ca="1" si="118"/>
        <v>0.42415521226699615</v>
      </c>
      <c r="G3851" s="74">
        <v>40.653627564522793</v>
      </c>
      <c r="H3851" s="74">
        <f t="shared" si="119"/>
        <v>-0.159227221190271</v>
      </c>
    </row>
    <row r="3852" spans="5:8" ht="15.6">
      <c r="E3852" s="279" t="s">
        <v>4178</v>
      </c>
      <c r="F3852" s="284">
        <f t="shared" ref="F3852:F3915" ca="1" si="120">RAND()</f>
        <v>0.56898650022347774</v>
      </c>
      <c r="G3852" s="74">
        <v>40.704264968073616</v>
      </c>
      <c r="H3852" s="74">
        <f t="shared" ref="H3852:H3915" si="121">$D$2-G3852</f>
        <v>-0.20986462474109402</v>
      </c>
    </row>
    <row r="3853" spans="5:8" ht="15.6">
      <c r="E3853" s="279" t="s">
        <v>4179</v>
      </c>
      <c r="F3853" s="284">
        <f t="shared" ca="1" si="120"/>
        <v>0.61705608940819323</v>
      </c>
      <c r="G3853" s="74">
        <v>40.025704955823556</v>
      </c>
      <c r="H3853" s="74">
        <f t="shared" si="121"/>
        <v>0.46869538750896567</v>
      </c>
    </row>
    <row r="3854" spans="5:8" ht="15.6">
      <c r="E3854" s="279" t="s">
        <v>4180</v>
      </c>
      <c r="F3854" s="284">
        <f t="shared" ca="1" si="120"/>
        <v>0.30715795255970735</v>
      </c>
      <c r="G3854" s="74">
        <v>41.576640699784527</v>
      </c>
      <c r="H3854" s="74">
        <f t="shared" si="121"/>
        <v>-1.0822403564520044</v>
      </c>
    </row>
    <row r="3855" spans="5:8" ht="15.6">
      <c r="E3855" s="279" t="s">
        <v>4181</v>
      </c>
      <c r="F3855" s="284">
        <f t="shared" ca="1" si="120"/>
        <v>0.85988791118969887</v>
      </c>
      <c r="G3855" s="74">
        <v>34.600030283914393</v>
      </c>
      <c r="H3855" s="74">
        <f t="shared" si="121"/>
        <v>5.8943700594181294</v>
      </c>
    </row>
    <row r="3856" spans="5:8" ht="15.6">
      <c r="E3856" s="279" t="s">
        <v>4182</v>
      </c>
      <c r="F3856" s="284">
        <f t="shared" ca="1" si="120"/>
        <v>0.33365776589364993</v>
      </c>
      <c r="G3856" s="74">
        <v>42.070224504001438</v>
      </c>
      <c r="H3856" s="74">
        <f t="shared" si="121"/>
        <v>-1.5758241606689154</v>
      </c>
    </row>
    <row r="3857" spans="5:8" ht="15.6">
      <c r="E3857" s="279" t="s">
        <v>4183</v>
      </c>
      <c r="F3857" s="284">
        <f t="shared" ca="1" si="120"/>
        <v>0.23688287802264096</v>
      </c>
      <c r="G3857" s="74">
        <v>40.522895016380069</v>
      </c>
      <c r="H3857" s="74">
        <f t="shared" si="121"/>
        <v>-2.8494673047546826E-2</v>
      </c>
    </row>
    <row r="3858" spans="5:8" ht="15.6">
      <c r="E3858" s="279" t="s">
        <v>4184</v>
      </c>
      <c r="F3858" s="284">
        <f t="shared" ca="1" si="120"/>
        <v>0.60536201588678262</v>
      </c>
      <c r="G3858" s="74">
        <v>41.818064292319825</v>
      </c>
      <c r="H3858" s="74">
        <f t="shared" si="121"/>
        <v>-1.3236639489873028</v>
      </c>
    </row>
    <row r="3859" spans="5:8" ht="15.6">
      <c r="E3859" s="279" t="s">
        <v>4185</v>
      </c>
      <c r="F3859" s="284">
        <f t="shared" ca="1" si="120"/>
        <v>0.58046210678902987</v>
      </c>
      <c r="G3859" s="74">
        <v>38.741068252141012</v>
      </c>
      <c r="H3859" s="74">
        <f t="shared" si="121"/>
        <v>1.7533320911915098</v>
      </c>
    </row>
    <row r="3860" spans="5:8" ht="15.6">
      <c r="E3860" s="279" t="s">
        <v>4186</v>
      </c>
      <c r="F3860" s="284">
        <f t="shared" ca="1" si="120"/>
        <v>0.28893958073295989</v>
      </c>
      <c r="G3860" s="74">
        <v>34.462818577470252</v>
      </c>
      <c r="H3860" s="74">
        <f t="shared" si="121"/>
        <v>6.0315817658622706</v>
      </c>
    </row>
    <row r="3861" spans="5:8" ht="15.6">
      <c r="E3861" s="279" t="s">
        <v>4187</v>
      </c>
      <c r="F3861" s="284">
        <f t="shared" ca="1" si="120"/>
        <v>0.76777341692057388</v>
      </c>
      <c r="G3861" s="74">
        <v>38.647970816914992</v>
      </c>
      <c r="H3861" s="74">
        <f t="shared" si="121"/>
        <v>1.8464295264175306</v>
      </c>
    </row>
    <row r="3862" spans="5:8" ht="15.6">
      <c r="E3862" s="279" t="s">
        <v>4188</v>
      </c>
      <c r="F3862" s="284">
        <f t="shared" ca="1" si="120"/>
        <v>0.43573767750374504</v>
      </c>
      <c r="G3862" s="74">
        <v>41.866166733160995</v>
      </c>
      <c r="H3862" s="74">
        <f t="shared" si="121"/>
        <v>-1.3717663898284727</v>
      </c>
    </row>
    <row r="3863" spans="5:8" ht="15.6">
      <c r="E3863" s="279" t="s">
        <v>4189</v>
      </c>
      <c r="F3863" s="284">
        <f t="shared" ca="1" si="120"/>
        <v>0.4473476415674551</v>
      </c>
      <c r="G3863" s="74">
        <v>39.055673872018652</v>
      </c>
      <c r="H3863" s="74">
        <f t="shared" si="121"/>
        <v>1.4387264713138705</v>
      </c>
    </row>
    <row r="3864" spans="5:8" ht="15.6">
      <c r="E3864" s="279" t="s">
        <v>4190</v>
      </c>
      <c r="F3864" s="284">
        <f t="shared" ca="1" si="120"/>
        <v>0.44421234528391318</v>
      </c>
      <c r="G3864" s="74">
        <v>36.744623366098409</v>
      </c>
      <c r="H3864" s="74">
        <f t="shared" si="121"/>
        <v>3.749776977234113</v>
      </c>
    </row>
    <row r="3865" spans="5:8" ht="15.6">
      <c r="E3865" s="279" t="s">
        <v>4191</v>
      </c>
      <c r="F3865" s="284">
        <f t="shared" ca="1" si="120"/>
        <v>9.0400587476332728E-2</v>
      </c>
      <c r="G3865" s="74">
        <v>43.187719665815585</v>
      </c>
      <c r="H3865" s="74">
        <f t="shared" si="121"/>
        <v>-2.6933193224830632</v>
      </c>
    </row>
    <row r="3866" spans="5:8" ht="15.6">
      <c r="E3866" s="279" t="s">
        <v>4192</v>
      </c>
      <c r="F3866" s="284">
        <f t="shared" ca="1" si="120"/>
        <v>0.40731573672815036</v>
      </c>
      <c r="G3866" s="74">
        <v>36.166712392378486</v>
      </c>
      <c r="H3866" s="74">
        <f t="shared" si="121"/>
        <v>4.3276879509540365</v>
      </c>
    </row>
    <row r="3867" spans="5:8" ht="15.6">
      <c r="E3867" s="279" t="s">
        <v>4193</v>
      </c>
      <c r="F3867" s="284">
        <f t="shared" ca="1" si="120"/>
        <v>2.8868957176274024E-2</v>
      </c>
      <c r="G3867" s="74">
        <v>35.061477257452339</v>
      </c>
      <c r="H3867" s="74">
        <f t="shared" si="121"/>
        <v>5.4329230858801836</v>
      </c>
    </row>
    <row r="3868" spans="5:8" ht="15.6">
      <c r="E3868" s="279" t="s">
        <v>4194</v>
      </c>
      <c r="F3868" s="284">
        <f t="shared" ca="1" si="120"/>
        <v>0.95717531750921869</v>
      </c>
      <c r="G3868" s="74">
        <v>42.688533014390629</v>
      </c>
      <c r="H3868" s="74">
        <f t="shared" si="121"/>
        <v>-2.1941326710581066</v>
      </c>
    </row>
    <row r="3869" spans="5:8" ht="15.6">
      <c r="E3869" s="279" t="s">
        <v>4195</v>
      </c>
      <c r="F3869" s="284">
        <f t="shared" ca="1" si="120"/>
        <v>0.48039859782206618</v>
      </c>
      <c r="G3869" s="74">
        <v>40.639241978215146</v>
      </c>
      <c r="H3869" s="74">
        <f t="shared" si="121"/>
        <v>-0.14484163488262425</v>
      </c>
    </row>
    <row r="3870" spans="5:8" ht="15.6">
      <c r="E3870" s="279" t="s">
        <v>4196</v>
      </c>
      <c r="F3870" s="284">
        <f t="shared" ca="1" si="120"/>
        <v>0.5685442408997311</v>
      </c>
      <c r="G3870" s="74">
        <v>37.969105739383053</v>
      </c>
      <c r="H3870" s="74">
        <f t="shared" si="121"/>
        <v>2.5252946039494688</v>
      </c>
    </row>
    <row r="3871" spans="5:8" ht="15.6">
      <c r="E3871" s="279" t="s">
        <v>4197</v>
      </c>
      <c r="F3871" s="284">
        <f t="shared" ca="1" si="120"/>
        <v>0.6628894957619158</v>
      </c>
      <c r="G3871" s="74">
        <v>39.386890029733671</v>
      </c>
      <c r="H3871" s="74">
        <f t="shared" si="121"/>
        <v>1.1075103135988513</v>
      </c>
    </row>
    <row r="3872" spans="5:8" ht="15.6">
      <c r="E3872" s="279" t="s">
        <v>4198</v>
      </c>
      <c r="F3872" s="284">
        <f t="shared" ca="1" si="120"/>
        <v>0.99141725304543904</v>
      </c>
      <c r="G3872" s="74">
        <v>35.661868252594608</v>
      </c>
      <c r="H3872" s="74">
        <f t="shared" si="121"/>
        <v>4.8325320907379137</v>
      </c>
    </row>
    <row r="3873" spans="5:8" ht="15.6">
      <c r="E3873" s="279" t="s">
        <v>4199</v>
      </c>
      <c r="F3873" s="284">
        <f t="shared" ca="1" si="120"/>
        <v>0.45183617319269853</v>
      </c>
      <c r="G3873" s="74">
        <v>36.292164408989386</v>
      </c>
      <c r="H3873" s="74">
        <f t="shared" si="121"/>
        <v>4.2022359343431361</v>
      </c>
    </row>
    <row r="3874" spans="5:8" ht="15.6">
      <c r="E3874" s="279" t="s">
        <v>4200</v>
      </c>
      <c r="F3874" s="284">
        <f t="shared" ca="1" si="120"/>
        <v>0.80230903985155311</v>
      </c>
      <c r="G3874" s="74">
        <v>39.982071337949719</v>
      </c>
      <c r="H3874" s="74">
        <f t="shared" si="121"/>
        <v>0.5123290053828029</v>
      </c>
    </row>
    <row r="3875" spans="5:8" ht="15.6">
      <c r="E3875" s="279" t="s">
        <v>4201</v>
      </c>
      <c r="F3875" s="284">
        <f t="shared" ca="1" si="120"/>
        <v>0.43422315678635093</v>
      </c>
      <c r="G3875" s="74">
        <v>36.965714081961707</v>
      </c>
      <c r="H3875" s="74">
        <f t="shared" si="121"/>
        <v>3.5286862613708152</v>
      </c>
    </row>
    <row r="3876" spans="5:8" ht="15.6">
      <c r="E3876" s="279" t="s">
        <v>4202</v>
      </c>
      <c r="F3876" s="284">
        <f t="shared" ca="1" si="120"/>
        <v>0.18471551182374268</v>
      </c>
      <c r="G3876" s="74">
        <v>41.941668858621959</v>
      </c>
      <c r="H3876" s="74">
        <f t="shared" si="121"/>
        <v>-1.4472685152894371</v>
      </c>
    </row>
    <row r="3877" spans="5:8" ht="15.6">
      <c r="E3877" s="279" t="s">
        <v>4203</v>
      </c>
      <c r="F3877" s="284">
        <f t="shared" ca="1" si="120"/>
        <v>0.21992849861928798</v>
      </c>
      <c r="G3877" s="74">
        <v>40.262996396723373</v>
      </c>
      <c r="H3877" s="74">
        <f t="shared" si="121"/>
        <v>0.23140394660914865</v>
      </c>
    </row>
    <row r="3878" spans="5:8" ht="15.6">
      <c r="E3878" s="279" t="s">
        <v>4204</v>
      </c>
      <c r="F3878" s="284">
        <f t="shared" ca="1" si="120"/>
        <v>0.87880728563142885</v>
      </c>
      <c r="G3878" s="74">
        <v>48.352937779720477</v>
      </c>
      <c r="H3878" s="74">
        <f t="shared" si="121"/>
        <v>-7.8585374363879552</v>
      </c>
    </row>
    <row r="3879" spans="5:8" ht="15.6">
      <c r="E3879" s="279" t="s">
        <v>4205</v>
      </c>
      <c r="F3879" s="284">
        <f t="shared" ca="1" si="120"/>
        <v>0.61803396227972163</v>
      </c>
      <c r="G3879" s="74">
        <v>39.241893240915552</v>
      </c>
      <c r="H3879" s="74">
        <f t="shared" si="121"/>
        <v>1.2525071024169705</v>
      </c>
    </row>
    <row r="3880" spans="5:8" ht="15.6">
      <c r="E3880" s="279" t="s">
        <v>4206</v>
      </c>
      <c r="F3880" s="284">
        <f t="shared" ca="1" si="120"/>
        <v>0.76034141520680576</v>
      </c>
      <c r="G3880" s="74">
        <v>34.11708267139619</v>
      </c>
      <c r="H3880" s="74">
        <f t="shared" si="121"/>
        <v>6.377317671936332</v>
      </c>
    </row>
    <row r="3881" spans="5:8" ht="15.6">
      <c r="E3881" s="279" t="s">
        <v>4207</v>
      </c>
      <c r="F3881" s="284">
        <f t="shared" ca="1" si="120"/>
        <v>0.20800954224907098</v>
      </c>
      <c r="G3881" s="74">
        <v>40.187864805544031</v>
      </c>
      <c r="H3881" s="74">
        <f t="shared" si="121"/>
        <v>0.3065355377884913</v>
      </c>
    </row>
    <row r="3882" spans="5:8" ht="15.6">
      <c r="E3882" s="279" t="s">
        <v>4208</v>
      </c>
      <c r="F3882" s="284">
        <f t="shared" ca="1" si="120"/>
        <v>0.27209461791608736</v>
      </c>
      <c r="G3882" s="74">
        <v>39.426066653282561</v>
      </c>
      <c r="H3882" s="74">
        <f t="shared" si="121"/>
        <v>1.0683336900499611</v>
      </c>
    </row>
    <row r="3883" spans="5:8" ht="15.6">
      <c r="E3883" s="279" t="s">
        <v>4209</v>
      </c>
      <c r="F3883" s="284">
        <f t="shared" ca="1" si="120"/>
        <v>0.17065460334599714</v>
      </c>
      <c r="G3883" s="74">
        <v>41.013272273414294</v>
      </c>
      <c r="H3883" s="74">
        <f t="shared" si="121"/>
        <v>-0.51887193008177235</v>
      </c>
    </row>
    <row r="3884" spans="5:8" ht="15.6">
      <c r="E3884" s="279" t="s">
        <v>4210</v>
      </c>
      <c r="F3884" s="284">
        <f t="shared" ca="1" si="120"/>
        <v>0.23456855749060446</v>
      </c>
      <c r="G3884" s="74">
        <v>40.594083952526049</v>
      </c>
      <c r="H3884" s="74">
        <f t="shared" si="121"/>
        <v>-9.9683609193526479E-2</v>
      </c>
    </row>
    <row r="3885" spans="5:8" ht="15.6">
      <c r="E3885" s="279" t="s">
        <v>4211</v>
      </c>
      <c r="F3885" s="284">
        <f t="shared" ca="1" si="120"/>
        <v>0.31460487282122929</v>
      </c>
      <c r="G3885" s="74">
        <v>38.14593794443654</v>
      </c>
      <c r="H3885" s="74">
        <f t="shared" si="121"/>
        <v>2.3484623988959825</v>
      </c>
    </row>
    <row r="3886" spans="5:8" ht="15.6">
      <c r="E3886" s="279" t="s">
        <v>4212</v>
      </c>
      <c r="F3886" s="284">
        <f t="shared" ca="1" si="120"/>
        <v>0.85765332212802403</v>
      </c>
      <c r="G3886" s="74">
        <v>36.396490033567339</v>
      </c>
      <c r="H3886" s="74">
        <f t="shared" si="121"/>
        <v>4.097910309765183</v>
      </c>
    </row>
    <row r="3887" spans="5:8" ht="15.6">
      <c r="E3887" s="279" t="s">
        <v>4213</v>
      </c>
      <c r="F3887" s="284">
        <f t="shared" ca="1" si="120"/>
        <v>0.85563573331459852</v>
      </c>
      <c r="G3887" s="74">
        <v>41.288328848565584</v>
      </c>
      <c r="H3887" s="74">
        <f t="shared" si="121"/>
        <v>-0.7939285052330618</v>
      </c>
    </row>
    <row r="3888" spans="5:8" ht="15.6">
      <c r="E3888" s="279" t="s">
        <v>4214</v>
      </c>
      <c r="F3888" s="284">
        <f t="shared" ca="1" si="120"/>
        <v>0.75924337437737854</v>
      </c>
      <c r="G3888" s="74">
        <v>35.257966480707907</v>
      </c>
      <c r="H3888" s="74">
        <f t="shared" si="121"/>
        <v>5.2364338626246152</v>
      </c>
    </row>
    <row r="3889" spans="5:8" ht="15.6">
      <c r="E3889" s="279" t="s">
        <v>4215</v>
      </c>
      <c r="F3889" s="284">
        <f t="shared" ca="1" si="120"/>
        <v>0.22329766585227795</v>
      </c>
      <c r="G3889" s="74">
        <v>40.326186587925008</v>
      </c>
      <c r="H3889" s="74">
        <f t="shared" si="121"/>
        <v>0.16821375540751404</v>
      </c>
    </row>
    <row r="3890" spans="5:8" ht="15.6">
      <c r="E3890" s="279" t="s">
        <v>4216</v>
      </c>
      <c r="F3890" s="284">
        <f t="shared" ca="1" si="120"/>
        <v>0.56916132332525471</v>
      </c>
      <c r="G3890" s="74">
        <v>41.560677830258008</v>
      </c>
      <c r="H3890" s="74">
        <f t="shared" si="121"/>
        <v>-1.0662774869254861</v>
      </c>
    </row>
    <row r="3891" spans="5:8" ht="15.6">
      <c r="E3891" s="279" t="s">
        <v>4217</v>
      </c>
      <c r="F3891" s="284">
        <f t="shared" ca="1" si="120"/>
        <v>0.27336897209186239</v>
      </c>
      <c r="G3891" s="74">
        <v>39.991678429042352</v>
      </c>
      <c r="H3891" s="74">
        <f t="shared" si="121"/>
        <v>0.50272191429016999</v>
      </c>
    </row>
    <row r="3892" spans="5:8" ht="15.6">
      <c r="E3892" s="279" t="s">
        <v>4218</v>
      </c>
      <c r="F3892" s="284">
        <f t="shared" ca="1" si="120"/>
        <v>1.034243833098758E-2</v>
      </c>
      <c r="G3892" s="74">
        <v>41.576959294174962</v>
      </c>
      <c r="H3892" s="74">
        <f t="shared" si="121"/>
        <v>-1.08255895084244</v>
      </c>
    </row>
    <row r="3893" spans="5:8" ht="15.6">
      <c r="E3893" s="279" t="s">
        <v>4219</v>
      </c>
      <c r="F3893" s="284">
        <f t="shared" ca="1" si="120"/>
        <v>0.64928865685595705</v>
      </c>
      <c r="G3893" s="74">
        <v>35.872463403216088</v>
      </c>
      <c r="H3893" s="74">
        <f t="shared" si="121"/>
        <v>4.6219369401164343</v>
      </c>
    </row>
    <row r="3894" spans="5:8" ht="15.6">
      <c r="E3894" s="279" t="s">
        <v>4220</v>
      </c>
      <c r="F3894" s="284">
        <f t="shared" ca="1" si="120"/>
        <v>0.66047308177429565</v>
      </c>
      <c r="G3894" s="74">
        <v>36.889430455375553</v>
      </c>
      <c r="H3894" s="74">
        <f t="shared" si="121"/>
        <v>3.6049698879569689</v>
      </c>
    </row>
    <row r="3895" spans="5:8" ht="15.6">
      <c r="E3895" s="279" t="s">
        <v>4221</v>
      </c>
      <c r="F3895" s="284">
        <f t="shared" ca="1" si="120"/>
        <v>0.67299467604713725</v>
      </c>
      <c r="G3895" s="74">
        <v>41.646934399186343</v>
      </c>
      <c r="H3895" s="74">
        <f t="shared" si="121"/>
        <v>-1.1525340558538204</v>
      </c>
    </row>
    <row r="3896" spans="5:8" ht="15.6">
      <c r="E3896" s="279" t="s">
        <v>4222</v>
      </c>
      <c r="F3896" s="284">
        <f t="shared" ca="1" si="120"/>
        <v>0.75224319038418774</v>
      </c>
      <c r="G3896" s="74">
        <v>41.865725934054709</v>
      </c>
      <c r="H3896" s="74">
        <f t="shared" si="121"/>
        <v>-1.3713255907221864</v>
      </c>
    </row>
    <row r="3897" spans="5:8" ht="15.6">
      <c r="E3897" s="279" t="s">
        <v>4223</v>
      </c>
      <c r="F3897" s="284">
        <f t="shared" ca="1" si="120"/>
        <v>0.13043641636642622</v>
      </c>
      <c r="G3897" s="74">
        <v>41.119151843900255</v>
      </c>
      <c r="H3897" s="74">
        <f t="shared" si="121"/>
        <v>-0.62475150056773288</v>
      </c>
    </row>
    <row r="3898" spans="5:8" ht="15.6">
      <c r="E3898" s="279" t="s">
        <v>4224</v>
      </c>
      <c r="F3898" s="284">
        <f t="shared" ca="1" si="120"/>
        <v>0.56325811129074854</v>
      </c>
      <c r="G3898" s="74">
        <v>39.977087060533535</v>
      </c>
      <c r="H3898" s="74">
        <f t="shared" si="121"/>
        <v>0.51731328279898747</v>
      </c>
    </row>
    <row r="3899" spans="5:8" ht="15.6">
      <c r="E3899" s="279" t="s">
        <v>4225</v>
      </c>
      <c r="F3899" s="284">
        <f t="shared" ca="1" si="120"/>
        <v>0.98498845689178804</v>
      </c>
      <c r="G3899" s="74">
        <v>42.982705168044554</v>
      </c>
      <c r="H3899" s="74">
        <f t="shared" si="121"/>
        <v>-2.4883048247120314</v>
      </c>
    </row>
    <row r="3900" spans="5:8" ht="15.6">
      <c r="E3900" s="279" t="s">
        <v>4226</v>
      </c>
      <c r="F3900" s="284">
        <f t="shared" ca="1" si="120"/>
        <v>0.47476917438738642</v>
      </c>
      <c r="G3900" s="74">
        <v>38.264067263848425</v>
      </c>
      <c r="H3900" s="74">
        <f t="shared" si="121"/>
        <v>2.2303330794840974</v>
      </c>
    </row>
    <row r="3901" spans="5:8" ht="15.6">
      <c r="E3901" s="279" t="s">
        <v>4227</v>
      </c>
      <c r="F3901" s="284">
        <f t="shared" ca="1" si="120"/>
        <v>0.50878236835384538</v>
      </c>
      <c r="G3901" s="74">
        <v>37.792710516172015</v>
      </c>
      <c r="H3901" s="74">
        <f t="shared" si="121"/>
        <v>2.7016898271605072</v>
      </c>
    </row>
    <row r="3902" spans="5:8" ht="15.6">
      <c r="E3902" s="279" t="s">
        <v>4228</v>
      </c>
      <c r="F3902" s="284">
        <f t="shared" ca="1" si="120"/>
        <v>0.38553372584061829</v>
      </c>
      <c r="G3902" s="74">
        <v>35.335807391943149</v>
      </c>
      <c r="H3902" s="74">
        <f t="shared" si="121"/>
        <v>5.1585929513893731</v>
      </c>
    </row>
    <row r="3903" spans="5:8" ht="15.6">
      <c r="E3903" s="279" t="s">
        <v>4229</v>
      </c>
      <c r="F3903" s="284">
        <f t="shared" ca="1" si="120"/>
        <v>0.7252746623251809</v>
      </c>
      <c r="G3903" s="74">
        <v>40.784436276729032</v>
      </c>
      <c r="H3903" s="74">
        <f t="shared" si="121"/>
        <v>-0.2900359333965099</v>
      </c>
    </row>
    <row r="3904" spans="5:8" ht="15.6">
      <c r="E3904" s="279" t="s">
        <v>4230</v>
      </c>
      <c r="F3904" s="284">
        <f t="shared" ca="1" si="120"/>
        <v>0.18534156664482127</v>
      </c>
      <c r="G3904" s="74">
        <v>40.637223700082323</v>
      </c>
      <c r="H3904" s="74">
        <f t="shared" si="121"/>
        <v>-0.14282335674980118</v>
      </c>
    </row>
    <row r="3905" spans="5:8" ht="15.6">
      <c r="E3905" s="279" t="s">
        <v>4231</v>
      </c>
      <c r="F3905" s="284">
        <f t="shared" ca="1" si="120"/>
        <v>0.6447099810141943</v>
      </c>
      <c r="G3905" s="74">
        <v>35.574487638535395</v>
      </c>
      <c r="H3905" s="74">
        <f t="shared" si="121"/>
        <v>4.9199127047971274</v>
      </c>
    </row>
    <row r="3906" spans="5:8" ht="15.6">
      <c r="E3906" s="279" t="s">
        <v>4232</v>
      </c>
      <c r="F3906" s="284">
        <f t="shared" ca="1" si="120"/>
        <v>0.51317689515097731</v>
      </c>
      <c r="G3906" s="74">
        <v>40.401308533727587</v>
      </c>
      <c r="H3906" s="74">
        <f t="shared" si="121"/>
        <v>9.3091809604935349E-2</v>
      </c>
    </row>
    <row r="3907" spans="5:8" ht="15.6">
      <c r="E3907" s="279" t="s">
        <v>4233</v>
      </c>
      <c r="F3907" s="284">
        <f t="shared" ca="1" si="120"/>
        <v>0.33905123155853611</v>
      </c>
      <c r="G3907" s="74">
        <v>40.914193383179679</v>
      </c>
      <c r="H3907" s="74">
        <f t="shared" si="121"/>
        <v>-0.41979303984715699</v>
      </c>
    </row>
    <row r="3908" spans="5:8" ht="15.6">
      <c r="E3908" s="279" t="s">
        <v>4234</v>
      </c>
      <c r="F3908" s="284">
        <f t="shared" ca="1" si="120"/>
        <v>0.65461064148236725</v>
      </c>
      <c r="G3908" s="74">
        <v>41.172042410774829</v>
      </c>
      <c r="H3908" s="74">
        <f t="shared" si="121"/>
        <v>-0.67764206744230648</v>
      </c>
    </row>
    <row r="3909" spans="5:8" ht="15.6">
      <c r="E3909" s="279" t="s">
        <v>4235</v>
      </c>
      <c r="F3909" s="284">
        <f t="shared" ca="1" si="120"/>
        <v>0.63991470868532641</v>
      </c>
      <c r="G3909" s="74">
        <v>42.007903115456095</v>
      </c>
      <c r="H3909" s="74">
        <f t="shared" si="121"/>
        <v>-1.513502772123573</v>
      </c>
    </row>
    <row r="3910" spans="5:8" ht="15.6">
      <c r="E3910" s="279" t="s">
        <v>4236</v>
      </c>
      <c r="F3910" s="284">
        <f t="shared" ca="1" si="120"/>
        <v>0.49229746803082908</v>
      </c>
      <c r="G3910" s="74">
        <v>35.942827582803332</v>
      </c>
      <c r="H3910" s="74">
        <f t="shared" si="121"/>
        <v>4.55157276052919</v>
      </c>
    </row>
    <row r="3911" spans="5:8" ht="15.6">
      <c r="E3911" s="279" t="s">
        <v>4237</v>
      </c>
      <c r="F3911" s="284">
        <f t="shared" ca="1" si="120"/>
        <v>0.93141189933885382</v>
      </c>
      <c r="G3911" s="74">
        <v>38.001402275314938</v>
      </c>
      <c r="H3911" s="74">
        <f t="shared" si="121"/>
        <v>2.4929980680175845</v>
      </c>
    </row>
    <row r="3912" spans="5:8" ht="15.6">
      <c r="E3912" s="279" t="s">
        <v>4238</v>
      </c>
      <c r="F3912" s="284">
        <f t="shared" ca="1" si="120"/>
        <v>0.39460116441350734</v>
      </c>
      <c r="G3912" s="74">
        <v>38.276954988313598</v>
      </c>
      <c r="H3912" s="74">
        <f t="shared" si="121"/>
        <v>2.2174453550189241</v>
      </c>
    </row>
    <row r="3913" spans="5:8" ht="15.6">
      <c r="E3913" s="279" t="s">
        <v>4239</v>
      </c>
      <c r="F3913" s="284">
        <f t="shared" ca="1" si="120"/>
        <v>0.29361968898652624</v>
      </c>
      <c r="G3913" s="74">
        <v>40.992934939003192</v>
      </c>
      <c r="H3913" s="74">
        <f t="shared" si="121"/>
        <v>-0.49853459567066949</v>
      </c>
    </row>
    <row r="3914" spans="5:8" ht="15.6">
      <c r="E3914" s="279" t="s">
        <v>4240</v>
      </c>
      <c r="F3914" s="284">
        <f t="shared" ca="1" si="120"/>
        <v>0.50651700214903883</v>
      </c>
      <c r="G3914" s="74">
        <v>39.484765924753411</v>
      </c>
      <c r="H3914" s="74">
        <f t="shared" si="121"/>
        <v>1.0096344185791111</v>
      </c>
    </row>
    <row r="3915" spans="5:8" ht="15.6">
      <c r="E3915" s="279" t="s">
        <v>4241</v>
      </c>
      <c r="F3915" s="284">
        <f t="shared" ca="1" si="120"/>
        <v>0.69601794608842715</v>
      </c>
      <c r="G3915" s="74">
        <v>32.833242058430649</v>
      </c>
      <c r="H3915" s="74">
        <f t="shared" si="121"/>
        <v>7.6611582849018731</v>
      </c>
    </row>
    <row r="3916" spans="5:8" ht="15.6">
      <c r="E3916" s="279" t="s">
        <v>4242</v>
      </c>
      <c r="F3916" s="284">
        <f t="shared" ref="F3916:F3979" ca="1" si="122">RAND()</f>
        <v>0.30758883271211845</v>
      </c>
      <c r="G3916" s="74">
        <v>42.0987688901062</v>
      </c>
      <c r="H3916" s="74">
        <f t="shared" ref="H3916:H3979" si="123">$D$2-G3916</f>
        <v>-1.6043685467736779</v>
      </c>
    </row>
    <row r="3917" spans="5:8" ht="15.6">
      <c r="E3917" s="279" t="s">
        <v>4243</v>
      </c>
      <c r="F3917" s="284">
        <f t="shared" ca="1" si="122"/>
        <v>2.7443867293686086E-4</v>
      </c>
      <c r="G3917" s="74">
        <v>41.953155698101405</v>
      </c>
      <c r="H3917" s="74">
        <f t="shared" si="123"/>
        <v>-1.4587553547688827</v>
      </c>
    </row>
    <row r="3918" spans="5:8" ht="15.6">
      <c r="E3918" s="279" t="s">
        <v>4244</v>
      </c>
      <c r="F3918" s="284">
        <f t="shared" ca="1" si="122"/>
        <v>0.29531916389557833</v>
      </c>
      <c r="G3918" s="74">
        <v>38.163486683357576</v>
      </c>
      <c r="H3918" s="74">
        <f t="shared" si="123"/>
        <v>2.3309136599749465</v>
      </c>
    </row>
    <row r="3919" spans="5:8" ht="15.6">
      <c r="E3919" s="279" t="s">
        <v>4245</v>
      </c>
      <c r="F3919" s="284">
        <f t="shared" ca="1" si="122"/>
        <v>0.56905736122598127</v>
      </c>
      <c r="G3919" s="74">
        <v>40.951389048983557</v>
      </c>
      <c r="H3919" s="74">
        <f t="shared" si="123"/>
        <v>-0.45698870565103533</v>
      </c>
    </row>
    <row r="3920" spans="5:8" ht="15.6">
      <c r="E3920" s="279" t="s">
        <v>4246</v>
      </c>
      <c r="F3920" s="284">
        <f t="shared" ca="1" si="122"/>
        <v>0.70124999001657162</v>
      </c>
      <c r="G3920" s="74">
        <v>34.905748917349804</v>
      </c>
      <c r="H3920" s="74">
        <f t="shared" si="123"/>
        <v>5.588651425982718</v>
      </c>
    </row>
    <row r="3921" spans="5:8" ht="15.6">
      <c r="E3921" s="279" t="s">
        <v>4247</v>
      </c>
      <c r="F3921" s="284">
        <f t="shared" ca="1" si="122"/>
        <v>0.15415248370880974</v>
      </c>
      <c r="G3921" s="74">
        <v>40.052069310064404</v>
      </c>
      <c r="H3921" s="74">
        <f t="shared" si="123"/>
        <v>0.44233103326811829</v>
      </c>
    </row>
    <row r="3922" spans="5:8" ht="15.6">
      <c r="E3922" s="279" t="s">
        <v>4248</v>
      </c>
      <c r="F3922" s="284">
        <f t="shared" ca="1" si="122"/>
        <v>0.19720085786247421</v>
      </c>
      <c r="G3922" s="74">
        <v>38.31354455717937</v>
      </c>
      <c r="H3922" s="74">
        <f t="shared" si="123"/>
        <v>2.1808557861531526</v>
      </c>
    </row>
    <row r="3923" spans="5:8" ht="15.6">
      <c r="E3923" s="279" t="s">
        <v>4249</v>
      </c>
      <c r="F3923" s="284">
        <f t="shared" ca="1" si="122"/>
        <v>0.48098834445068583</v>
      </c>
      <c r="G3923" s="74">
        <v>36.901562692847023</v>
      </c>
      <c r="H3923" s="74">
        <f t="shared" si="123"/>
        <v>3.5928376504854995</v>
      </c>
    </row>
    <row r="3924" spans="5:8" ht="15.6">
      <c r="E3924" s="279" t="s">
        <v>4250</v>
      </c>
      <c r="F3924" s="284">
        <f t="shared" ca="1" si="122"/>
        <v>0.96645500071274049</v>
      </c>
      <c r="G3924" s="74">
        <v>38.559182126841407</v>
      </c>
      <c r="H3924" s="74">
        <f t="shared" si="123"/>
        <v>1.9352182164911156</v>
      </c>
    </row>
    <row r="3925" spans="5:8" ht="15.6">
      <c r="E3925" s="279" t="s">
        <v>4251</v>
      </c>
      <c r="F3925" s="284">
        <f t="shared" ca="1" si="122"/>
        <v>0.94293813339827526</v>
      </c>
      <c r="G3925" s="74">
        <v>43.245365215680962</v>
      </c>
      <c r="H3925" s="74">
        <f t="shared" si="123"/>
        <v>-2.7509648723484403</v>
      </c>
    </row>
    <row r="3926" spans="5:8" ht="15.6">
      <c r="E3926" s="279" t="s">
        <v>4252</v>
      </c>
      <c r="F3926" s="284">
        <f t="shared" ca="1" si="122"/>
        <v>0.23005402118218565</v>
      </c>
      <c r="G3926" s="74">
        <v>37.484647601858079</v>
      </c>
      <c r="H3926" s="74">
        <f t="shared" si="123"/>
        <v>3.0097527414744434</v>
      </c>
    </row>
    <row r="3927" spans="5:8" ht="15.6">
      <c r="E3927" s="279" t="s">
        <v>4253</v>
      </c>
      <c r="F3927" s="284">
        <f t="shared" ca="1" si="122"/>
        <v>0.54348608329999815</v>
      </c>
      <c r="G3927" s="74">
        <v>34.110081765070525</v>
      </c>
      <c r="H3927" s="74">
        <f t="shared" si="123"/>
        <v>6.3843185782619969</v>
      </c>
    </row>
    <row r="3928" spans="5:8" ht="15.6">
      <c r="E3928" s="279" t="s">
        <v>4254</v>
      </c>
      <c r="F3928" s="284">
        <f t="shared" ca="1" si="122"/>
        <v>0.66393959820921922</v>
      </c>
      <c r="G3928" s="74">
        <v>38.732815728472268</v>
      </c>
      <c r="H3928" s="74">
        <f t="shared" si="123"/>
        <v>1.7615846148602543</v>
      </c>
    </row>
    <row r="3929" spans="5:8" ht="15.6">
      <c r="E3929" s="279" t="s">
        <v>4255</v>
      </c>
      <c r="F3929" s="284">
        <f t="shared" ca="1" si="122"/>
        <v>0.56981328813733056</v>
      </c>
      <c r="G3929" s="74">
        <v>42.147699244641252</v>
      </c>
      <c r="H3929" s="74">
        <f t="shared" si="123"/>
        <v>-1.6532989013087303</v>
      </c>
    </row>
    <row r="3930" spans="5:8" ht="15.6">
      <c r="E3930" s="279" t="s">
        <v>4256</v>
      </c>
      <c r="F3930" s="284">
        <f t="shared" ca="1" si="122"/>
        <v>0.62368102571747497</v>
      </c>
      <c r="G3930" s="74">
        <v>38.814854511817309</v>
      </c>
      <c r="H3930" s="74">
        <f t="shared" si="123"/>
        <v>1.6795458315152132</v>
      </c>
    </row>
    <row r="3931" spans="5:8" ht="15.6">
      <c r="E3931" s="279" t="s">
        <v>4257</v>
      </c>
      <c r="F3931" s="284">
        <f t="shared" ca="1" si="122"/>
        <v>0.59369207685607184</v>
      </c>
      <c r="G3931" s="74">
        <v>38.700899698304525</v>
      </c>
      <c r="H3931" s="74">
        <f t="shared" si="123"/>
        <v>1.7935006450279971</v>
      </c>
    </row>
    <row r="3932" spans="5:8" ht="15.6">
      <c r="E3932" s="279" t="s">
        <v>4258</v>
      </c>
      <c r="F3932" s="284">
        <f t="shared" ca="1" si="122"/>
        <v>0.90182290289352585</v>
      </c>
      <c r="G3932" s="74">
        <v>40.529234115356225</v>
      </c>
      <c r="H3932" s="74">
        <f t="shared" si="123"/>
        <v>-3.4833772023702636E-2</v>
      </c>
    </row>
    <row r="3933" spans="5:8" ht="15.6">
      <c r="E3933" s="279" t="s">
        <v>4259</v>
      </c>
      <c r="F3933" s="284">
        <f t="shared" ca="1" si="122"/>
        <v>0.89034749869619056</v>
      </c>
      <c r="G3933" s="74">
        <v>37.670369416833779</v>
      </c>
      <c r="H3933" s="74">
        <f t="shared" si="123"/>
        <v>2.8240309264987431</v>
      </c>
    </row>
    <row r="3934" spans="5:8" ht="15.6">
      <c r="E3934" s="279" t="s">
        <v>4260</v>
      </c>
      <c r="F3934" s="284">
        <f t="shared" ca="1" si="122"/>
        <v>0.17197318637576109</v>
      </c>
      <c r="G3934" s="74">
        <v>36.342767184664559</v>
      </c>
      <c r="H3934" s="74">
        <f t="shared" si="123"/>
        <v>4.1516331586679627</v>
      </c>
    </row>
    <row r="3935" spans="5:8" ht="15.6">
      <c r="E3935" s="279" t="s">
        <v>4261</v>
      </c>
      <c r="F3935" s="284">
        <f t="shared" ca="1" si="122"/>
        <v>0.36111379635610508</v>
      </c>
      <c r="G3935" s="74">
        <v>39.608264299291399</v>
      </c>
      <c r="H3935" s="74">
        <f t="shared" si="123"/>
        <v>0.88613604404112323</v>
      </c>
    </row>
    <row r="3936" spans="5:8" ht="15.6">
      <c r="E3936" s="279" t="s">
        <v>4262</v>
      </c>
      <c r="F3936" s="284">
        <f t="shared" ca="1" si="122"/>
        <v>0.64782340969921126</v>
      </c>
      <c r="G3936" s="74">
        <v>38.672477505496424</v>
      </c>
      <c r="H3936" s="74">
        <f t="shared" si="123"/>
        <v>1.8219228378360981</v>
      </c>
    </row>
    <row r="3937" spans="5:8" ht="15.6">
      <c r="E3937" s="279" t="s">
        <v>4263</v>
      </c>
      <c r="F3937" s="284">
        <f t="shared" ca="1" si="122"/>
        <v>0.21153890226568273</v>
      </c>
      <c r="G3937" s="74">
        <v>37.364612012349809</v>
      </c>
      <c r="H3937" s="74">
        <f t="shared" si="123"/>
        <v>3.1297883309827128</v>
      </c>
    </row>
    <row r="3938" spans="5:8" ht="15.6">
      <c r="E3938" s="279" t="s">
        <v>4264</v>
      </c>
      <c r="F3938" s="284">
        <f t="shared" ca="1" si="122"/>
        <v>0.75988614780299335</v>
      </c>
      <c r="G3938" s="74">
        <v>40.004415901324386</v>
      </c>
      <c r="H3938" s="74">
        <f t="shared" si="123"/>
        <v>0.48998444200813651</v>
      </c>
    </row>
    <row r="3939" spans="5:8" ht="15.6">
      <c r="E3939" s="279" t="s">
        <v>4265</v>
      </c>
      <c r="F3939" s="284">
        <f t="shared" ca="1" si="122"/>
        <v>0.56470296373141105</v>
      </c>
      <c r="G3939" s="74">
        <v>31.884357575744186</v>
      </c>
      <c r="H3939" s="74">
        <f t="shared" si="123"/>
        <v>8.610042767588336</v>
      </c>
    </row>
    <row r="3940" spans="5:8" ht="15.6">
      <c r="E3940" s="279" t="s">
        <v>4266</v>
      </c>
      <c r="F3940" s="284">
        <f t="shared" ca="1" si="122"/>
        <v>0.81927400313619636</v>
      </c>
      <c r="G3940" s="74">
        <v>34.074245451188148</v>
      </c>
      <c r="H3940" s="74">
        <f t="shared" si="123"/>
        <v>6.4201548921443745</v>
      </c>
    </row>
    <row r="3941" spans="5:8" ht="15.6">
      <c r="E3941" s="279" t="s">
        <v>4267</v>
      </c>
      <c r="F3941" s="284">
        <f t="shared" ca="1" si="122"/>
        <v>0.57240428111667374</v>
      </c>
      <c r="G3941" s="74">
        <v>44.050654623518675</v>
      </c>
      <c r="H3941" s="74">
        <f t="shared" si="123"/>
        <v>-3.5562542801861525</v>
      </c>
    </row>
    <row r="3942" spans="5:8" ht="15.6">
      <c r="E3942" s="279" t="s">
        <v>4268</v>
      </c>
      <c r="F3942" s="284">
        <f t="shared" ca="1" si="122"/>
        <v>0.64074697557104021</v>
      </c>
      <c r="G3942" s="74">
        <v>39.826693200635646</v>
      </c>
      <c r="H3942" s="74">
        <f t="shared" si="123"/>
        <v>0.66770714269687659</v>
      </c>
    </row>
    <row r="3943" spans="5:8" ht="15.6">
      <c r="E3943" s="279" t="s">
        <v>4269</v>
      </c>
      <c r="F3943" s="284">
        <f t="shared" ca="1" si="122"/>
        <v>0.77214668001254094</v>
      </c>
      <c r="G3943" s="74">
        <v>37.289558510606412</v>
      </c>
      <c r="H3943" s="74">
        <f t="shared" si="123"/>
        <v>3.2048418327261103</v>
      </c>
    </row>
    <row r="3944" spans="5:8" ht="15.6">
      <c r="E3944" s="279" t="s">
        <v>4270</v>
      </c>
      <c r="F3944" s="284">
        <f t="shared" ca="1" si="122"/>
        <v>0.20545561808288593</v>
      </c>
      <c r="G3944" s="74">
        <v>39.804884428154736</v>
      </c>
      <c r="H3944" s="74">
        <f t="shared" si="123"/>
        <v>0.6895159151777861</v>
      </c>
    </row>
    <row r="3945" spans="5:8" ht="15.6">
      <c r="E3945" s="279" t="s">
        <v>4271</v>
      </c>
      <c r="F3945" s="284">
        <f t="shared" ca="1" si="122"/>
        <v>0.82428806264666254</v>
      </c>
      <c r="G3945" s="74">
        <v>37.545567504412645</v>
      </c>
      <c r="H3945" s="74">
        <f t="shared" si="123"/>
        <v>2.948832838919877</v>
      </c>
    </row>
    <row r="3946" spans="5:8" ht="15.6">
      <c r="E3946" s="279" t="s">
        <v>4272</v>
      </c>
      <c r="F3946" s="284">
        <f t="shared" ca="1" si="122"/>
        <v>0.326920945790663</v>
      </c>
      <c r="G3946" s="74">
        <v>43.03204601366437</v>
      </c>
      <c r="H3946" s="74">
        <f t="shared" si="123"/>
        <v>-2.5376456703318482</v>
      </c>
    </row>
    <row r="3947" spans="5:8" ht="15.6">
      <c r="E3947" s="279" t="s">
        <v>4273</v>
      </c>
      <c r="F3947" s="284">
        <f t="shared" ca="1" si="122"/>
        <v>0.76417231433827126</v>
      </c>
      <c r="G3947" s="74">
        <v>35.273761751565317</v>
      </c>
      <c r="H3947" s="74">
        <f t="shared" si="123"/>
        <v>5.2206385917672051</v>
      </c>
    </row>
    <row r="3948" spans="5:8" ht="15.6">
      <c r="E3948" s="279" t="s">
        <v>4274</v>
      </c>
      <c r="F3948" s="284">
        <f t="shared" ca="1" si="122"/>
        <v>3.2962880055283694E-2</v>
      </c>
      <c r="G3948" s="74">
        <v>42.039120627882951</v>
      </c>
      <c r="H3948" s="74">
        <f t="shared" si="123"/>
        <v>-1.5447202845504293</v>
      </c>
    </row>
    <row r="3949" spans="5:8" ht="15.6">
      <c r="E3949" s="279" t="s">
        <v>4275</v>
      </c>
      <c r="F3949" s="284">
        <f t="shared" ca="1" si="122"/>
        <v>7.2753844537520873E-2</v>
      </c>
      <c r="G3949" s="74">
        <v>40.581384133751051</v>
      </c>
      <c r="H3949" s="74">
        <f t="shared" si="123"/>
        <v>-8.6983790418528883E-2</v>
      </c>
    </row>
    <row r="3950" spans="5:8" ht="15.6">
      <c r="E3950" s="279" t="s">
        <v>4276</v>
      </c>
      <c r="F3950" s="284">
        <f t="shared" ca="1" si="122"/>
        <v>0.61659282969690632</v>
      </c>
      <c r="G3950" s="74">
        <v>41.571186791677746</v>
      </c>
      <c r="H3950" s="74">
        <f t="shared" si="123"/>
        <v>-1.0767864483452243</v>
      </c>
    </row>
    <row r="3951" spans="5:8" ht="15.6">
      <c r="E3951" s="279" t="s">
        <v>4277</v>
      </c>
      <c r="F3951" s="284">
        <f t="shared" ca="1" si="122"/>
        <v>0.10112968866454231</v>
      </c>
      <c r="G3951" s="74">
        <v>39.74818882731698</v>
      </c>
      <c r="H3951" s="74">
        <f t="shared" si="123"/>
        <v>0.74621151601554203</v>
      </c>
    </row>
    <row r="3952" spans="5:8" ht="15.6">
      <c r="E3952" s="279" t="s">
        <v>4278</v>
      </c>
      <c r="F3952" s="284">
        <f t="shared" ca="1" si="122"/>
        <v>0.42259855422564341</v>
      </c>
      <c r="G3952" s="74">
        <v>40.581266134418279</v>
      </c>
      <c r="H3952" s="74">
        <f t="shared" si="123"/>
        <v>-8.6865791085756427E-2</v>
      </c>
    </row>
    <row r="3953" spans="5:8" ht="15.6">
      <c r="E3953" s="279" t="s">
        <v>4279</v>
      </c>
      <c r="F3953" s="284">
        <f t="shared" ca="1" si="122"/>
        <v>0.63076201605694371</v>
      </c>
      <c r="G3953" s="74">
        <v>36.935196798937461</v>
      </c>
      <c r="H3953" s="74">
        <f t="shared" si="123"/>
        <v>3.5592035443950607</v>
      </c>
    </row>
    <row r="3954" spans="5:8" ht="15.6">
      <c r="E3954" s="279" t="s">
        <v>4280</v>
      </c>
      <c r="F3954" s="284">
        <f t="shared" ca="1" si="122"/>
        <v>0.84667029907165681</v>
      </c>
      <c r="G3954" s="74">
        <v>39.518155356662568</v>
      </c>
      <c r="H3954" s="74">
        <f t="shared" si="123"/>
        <v>0.97624498666995407</v>
      </c>
    </row>
    <row r="3955" spans="5:8" ht="15.6">
      <c r="E3955" s="279" t="s">
        <v>4281</v>
      </c>
      <c r="F3955" s="284">
        <f t="shared" ca="1" si="122"/>
        <v>0.38884158670011482</v>
      </c>
      <c r="G3955" s="74">
        <v>35.966657985468046</v>
      </c>
      <c r="H3955" s="74">
        <f t="shared" si="123"/>
        <v>4.5277423578644758</v>
      </c>
    </row>
    <row r="3956" spans="5:8" ht="15.6">
      <c r="E3956" s="279" t="s">
        <v>4282</v>
      </c>
      <c r="F3956" s="284">
        <f t="shared" ca="1" si="122"/>
        <v>0.10321320831368863</v>
      </c>
      <c r="G3956" s="74">
        <v>37.59923690476711</v>
      </c>
      <c r="H3956" s="74">
        <f t="shared" si="123"/>
        <v>2.8951634385654117</v>
      </c>
    </row>
    <row r="3957" spans="5:8" ht="15.6">
      <c r="E3957" s="279" t="s">
        <v>4283</v>
      </c>
      <c r="F3957" s="284">
        <f t="shared" ca="1" si="122"/>
        <v>9.5939647733310318E-2</v>
      </c>
      <c r="G3957" s="74">
        <v>35.673311903082791</v>
      </c>
      <c r="H3957" s="74">
        <f t="shared" si="123"/>
        <v>4.8210884402497314</v>
      </c>
    </row>
    <row r="3958" spans="5:8" ht="15.6">
      <c r="E3958" s="279" t="s">
        <v>4284</v>
      </c>
      <c r="F3958" s="284">
        <f t="shared" ca="1" si="122"/>
        <v>0.62580130568361114</v>
      </c>
      <c r="G3958" s="74">
        <v>39.369062238794427</v>
      </c>
      <c r="H3958" s="74">
        <f t="shared" si="123"/>
        <v>1.1253381045380948</v>
      </c>
    </row>
    <row r="3959" spans="5:8" ht="15.6">
      <c r="E3959" s="279" t="s">
        <v>4285</v>
      </c>
      <c r="F3959" s="284">
        <f t="shared" ca="1" si="122"/>
        <v>0.36392063821984766</v>
      </c>
      <c r="G3959" s="74">
        <v>38.074433386607964</v>
      </c>
      <c r="H3959" s="74">
        <f t="shared" si="123"/>
        <v>2.4199669567245579</v>
      </c>
    </row>
    <row r="3960" spans="5:8" ht="15.6">
      <c r="E3960" s="279" t="s">
        <v>4286</v>
      </c>
      <c r="F3960" s="284">
        <f t="shared" ca="1" si="122"/>
        <v>0.66948926661186137</v>
      </c>
      <c r="G3960" s="74">
        <v>40.869982697501563</v>
      </c>
      <c r="H3960" s="74">
        <f t="shared" si="123"/>
        <v>-0.3755823541690404</v>
      </c>
    </row>
    <row r="3961" spans="5:8" ht="15.6">
      <c r="E3961" s="279" t="s">
        <v>4287</v>
      </c>
      <c r="F3961" s="284">
        <f t="shared" ca="1" si="122"/>
        <v>0.10857367194852552</v>
      </c>
      <c r="G3961" s="74">
        <v>39.203716689861949</v>
      </c>
      <c r="H3961" s="74">
        <f t="shared" si="123"/>
        <v>1.2906836534705732</v>
      </c>
    </row>
    <row r="3962" spans="5:8" ht="15.6">
      <c r="E3962" s="279" t="s">
        <v>4288</v>
      </c>
      <c r="F3962" s="284">
        <f t="shared" ca="1" si="122"/>
        <v>0.88666941335657123</v>
      </c>
      <c r="G3962" s="74">
        <v>40.866861631554414</v>
      </c>
      <c r="H3962" s="74">
        <f t="shared" si="123"/>
        <v>-0.37246128822189206</v>
      </c>
    </row>
    <row r="3963" spans="5:8" ht="15.6">
      <c r="E3963" s="279" t="s">
        <v>4289</v>
      </c>
      <c r="F3963" s="284">
        <f t="shared" ca="1" si="122"/>
        <v>0.9594015747068354</v>
      </c>
      <c r="G3963" s="74">
        <v>40.072206846559212</v>
      </c>
      <c r="H3963" s="74">
        <f t="shared" si="123"/>
        <v>0.42219349677331053</v>
      </c>
    </row>
    <row r="3964" spans="5:8" ht="15.6">
      <c r="E3964" s="279" t="s">
        <v>4290</v>
      </c>
      <c r="F3964" s="284">
        <f t="shared" ca="1" si="122"/>
        <v>4.8178218568388997E-2</v>
      </c>
      <c r="G3964" s="74">
        <v>39.545678695493159</v>
      </c>
      <c r="H3964" s="74">
        <f t="shared" si="123"/>
        <v>0.94872164783936341</v>
      </c>
    </row>
    <row r="3965" spans="5:8" ht="15.6">
      <c r="E3965" s="279" t="s">
        <v>4291</v>
      </c>
      <c r="F3965" s="284">
        <f t="shared" ca="1" si="122"/>
        <v>0.57386340236439093</v>
      </c>
      <c r="G3965" s="74">
        <v>34.301141041085643</v>
      </c>
      <c r="H3965" s="74">
        <f t="shared" si="123"/>
        <v>6.1932593022468794</v>
      </c>
    </row>
    <row r="3966" spans="5:8" ht="15.6">
      <c r="E3966" s="279" t="s">
        <v>4292</v>
      </c>
      <c r="F3966" s="284">
        <f t="shared" ca="1" si="122"/>
        <v>0.22284628326684797</v>
      </c>
      <c r="G3966" s="74">
        <v>41.503337177169314</v>
      </c>
      <c r="H3966" s="74">
        <f t="shared" si="123"/>
        <v>-1.0089368338367919</v>
      </c>
    </row>
    <row r="3967" spans="5:8" ht="15.6">
      <c r="E3967" s="279" t="s">
        <v>4293</v>
      </c>
      <c r="F3967" s="284">
        <f t="shared" ca="1" si="122"/>
        <v>0.47681350289375846</v>
      </c>
      <c r="G3967" s="74">
        <v>35.068933612965793</v>
      </c>
      <c r="H3967" s="74">
        <f t="shared" si="123"/>
        <v>5.425466730366729</v>
      </c>
    </row>
    <row r="3968" spans="5:8" ht="15.6">
      <c r="E3968" s="279" t="s">
        <v>4294</v>
      </c>
      <c r="F3968" s="284">
        <f t="shared" ca="1" si="122"/>
        <v>0.59406564981221266</v>
      </c>
      <c r="G3968" s="74">
        <v>40.478068682645137</v>
      </c>
      <c r="H3968" s="74">
        <f t="shared" si="123"/>
        <v>1.6331660687384897E-2</v>
      </c>
    </row>
    <row r="3969" spans="5:8" ht="15.6">
      <c r="E3969" s="279" t="s">
        <v>4295</v>
      </c>
      <c r="F3969" s="284">
        <f t="shared" ca="1" si="122"/>
        <v>0.72060804402263945</v>
      </c>
      <c r="G3969" s="74">
        <v>36.428012597758453</v>
      </c>
      <c r="H3969" s="74">
        <f t="shared" si="123"/>
        <v>4.0663877455740689</v>
      </c>
    </row>
    <row r="3970" spans="5:8" ht="15.6">
      <c r="E3970" s="279" t="s">
        <v>4296</v>
      </c>
      <c r="F3970" s="284">
        <f t="shared" ca="1" si="122"/>
        <v>0.32487679696950844</v>
      </c>
      <c r="G3970" s="74">
        <v>42.974878340952955</v>
      </c>
      <c r="H3970" s="74">
        <f t="shared" si="123"/>
        <v>-2.480477997620433</v>
      </c>
    </row>
    <row r="3971" spans="5:8" ht="15.6">
      <c r="E3971" s="279" t="s">
        <v>4297</v>
      </c>
      <c r="F3971" s="284">
        <f t="shared" ca="1" si="122"/>
        <v>0.79162712391055612</v>
      </c>
      <c r="G3971" s="74">
        <v>36.400971108150621</v>
      </c>
      <c r="H3971" s="74">
        <f t="shared" si="123"/>
        <v>4.093429235181901</v>
      </c>
    </row>
    <row r="3972" spans="5:8" ht="15.6">
      <c r="E3972" s="279" t="s">
        <v>4298</v>
      </c>
      <c r="F3972" s="284">
        <f t="shared" ca="1" si="122"/>
        <v>0.38030355119441739</v>
      </c>
      <c r="G3972" s="74">
        <v>36.690891930248171</v>
      </c>
      <c r="H3972" s="74">
        <f t="shared" si="123"/>
        <v>3.8035084130843515</v>
      </c>
    </row>
    <row r="3973" spans="5:8" ht="15.6">
      <c r="E3973" s="279" t="s">
        <v>4299</v>
      </c>
      <c r="F3973" s="284">
        <f t="shared" ca="1" si="122"/>
        <v>0.94560401289230567</v>
      </c>
      <c r="G3973" s="74">
        <v>42.84893758801725</v>
      </c>
      <c r="H3973" s="74">
        <f t="shared" si="123"/>
        <v>-2.3545372446847281</v>
      </c>
    </row>
    <row r="3974" spans="5:8" ht="15.6">
      <c r="E3974" s="279" t="s">
        <v>4300</v>
      </c>
      <c r="F3974" s="284">
        <f t="shared" ca="1" si="122"/>
        <v>0.57090436042110948</v>
      </c>
      <c r="G3974" s="74">
        <v>38.822020341309482</v>
      </c>
      <c r="H3974" s="74">
        <f t="shared" si="123"/>
        <v>1.6723800020230399</v>
      </c>
    </row>
    <row r="3975" spans="5:8" ht="15.6">
      <c r="E3975" s="279" t="s">
        <v>4301</v>
      </c>
      <c r="F3975" s="284">
        <f t="shared" ca="1" si="122"/>
        <v>0.89687771315428966</v>
      </c>
      <c r="G3975" s="74">
        <v>38.834803686686868</v>
      </c>
      <c r="H3975" s="74">
        <f t="shared" si="123"/>
        <v>1.6595966566456539</v>
      </c>
    </row>
    <row r="3976" spans="5:8" ht="15.6">
      <c r="E3976" s="279" t="s">
        <v>4302</v>
      </c>
      <c r="F3976" s="284">
        <f t="shared" ca="1" si="122"/>
        <v>0.41100796445680521</v>
      </c>
      <c r="G3976" s="74">
        <v>44.038244034309116</v>
      </c>
      <c r="H3976" s="74">
        <f t="shared" si="123"/>
        <v>-3.543843690976594</v>
      </c>
    </row>
    <row r="3977" spans="5:8" ht="15.6">
      <c r="E3977" s="279" t="s">
        <v>4303</v>
      </c>
      <c r="F3977" s="284">
        <f t="shared" ca="1" si="122"/>
        <v>0.41666384107101928</v>
      </c>
      <c r="G3977" s="74">
        <v>39.917978783872314</v>
      </c>
      <c r="H3977" s="74">
        <f t="shared" si="123"/>
        <v>0.57642155946020779</v>
      </c>
    </row>
    <row r="3978" spans="5:8" ht="15.6">
      <c r="E3978" s="279" t="s">
        <v>4304</v>
      </c>
      <c r="F3978" s="284">
        <f t="shared" ca="1" si="122"/>
        <v>0.62655984930630193</v>
      </c>
      <c r="G3978" s="74">
        <v>39.738861241533186</v>
      </c>
      <c r="H3978" s="74">
        <f t="shared" si="123"/>
        <v>0.75553910179933581</v>
      </c>
    </row>
    <row r="3979" spans="5:8" ht="15.6">
      <c r="E3979" s="279" t="s">
        <v>4305</v>
      </c>
      <c r="F3979" s="284">
        <f t="shared" ca="1" si="122"/>
        <v>0.83688510779572656</v>
      </c>
      <c r="G3979" s="74">
        <v>40.653920978156229</v>
      </c>
      <c r="H3979" s="74">
        <f t="shared" si="123"/>
        <v>-0.15952063482370704</v>
      </c>
    </row>
    <row r="3980" spans="5:8" ht="15.6">
      <c r="E3980" s="279" t="s">
        <v>4306</v>
      </c>
      <c r="F3980" s="284">
        <f t="shared" ref="F3980:F4043" ca="1" si="124">RAND()</f>
        <v>0.37239235402010029</v>
      </c>
      <c r="G3980" s="74">
        <v>38.376229237869246</v>
      </c>
      <c r="H3980" s="74">
        <f t="shared" ref="H3980:H4043" si="125">$D$2-G3980</f>
        <v>2.1181711054632757</v>
      </c>
    </row>
    <row r="3981" spans="5:8" ht="15.6">
      <c r="E3981" s="279" t="s">
        <v>4307</v>
      </c>
      <c r="F3981" s="284">
        <f t="shared" ca="1" si="124"/>
        <v>0.23570258031413116</v>
      </c>
      <c r="G3981" s="74">
        <v>38.932393750096168</v>
      </c>
      <c r="H3981" s="74">
        <f t="shared" si="125"/>
        <v>1.5620065932363545</v>
      </c>
    </row>
    <row r="3982" spans="5:8" ht="15.6">
      <c r="E3982" s="279" t="s">
        <v>4308</v>
      </c>
      <c r="F3982" s="284">
        <f t="shared" ca="1" si="124"/>
        <v>9.9031222327764956E-2</v>
      </c>
      <c r="G3982" s="74">
        <v>38.269709823447876</v>
      </c>
      <c r="H3982" s="74">
        <f t="shared" si="125"/>
        <v>2.2246905198846463</v>
      </c>
    </row>
    <row r="3983" spans="5:8" ht="15.6">
      <c r="E3983" s="279" t="s">
        <v>4309</v>
      </c>
      <c r="F3983" s="284">
        <f t="shared" ca="1" si="124"/>
        <v>0.83668228786644294</v>
      </c>
      <c r="G3983" s="74">
        <v>36.251120851464762</v>
      </c>
      <c r="H3983" s="74">
        <f t="shared" si="125"/>
        <v>4.2432794918677601</v>
      </c>
    </row>
    <row r="3984" spans="5:8" ht="15.6">
      <c r="E3984" s="279" t="s">
        <v>4310</v>
      </c>
      <c r="F3984" s="284">
        <f t="shared" ca="1" si="124"/>
        <v>0.15019648541688491</v>
      </c>
      <c r="G3984" s="74">
        <v>42.149370821534156</v>
      </c>
      <c r="H3984" s="74">
        <f t="shared" si="125"/>
        <v>-1.6549704782016335</v>
      </c>
    </row>
    <row r="3985" spans="5:8" ht="15.6">
      <c r="E3985" s="279" t="s">
        <v>4311</v>
      </c>
      <c r="F3985" s="284">
        <f t="shared" ca="1" si="124"/>
        <v>0.50717429129892988</v>
      </c>
      <c r="G3985" s="74">
        <v>36.922353963335773</v>
      </c>
      <c r="H3985" s="74">
        <f t="shared" si="125"/>
        <v>3.572046379996749</v>
      </c>
    </row>
    <row r="3986" spans="5:8" ht="15.6">
      <c r="E3986" s="279" t="s">
        <v>4312</v>
      </c>
      <c r="F3986" s="284">
        <f t="shared" ca="1" si="124"/>
        <v>0.64919655028089884</v>
      </c>
      <c r="G3986" s="74">
        <v>42.514878491146575</v>
      </c>
      <c r="H3986" s="74">
        <f t="shared" si="125"/>
        <v>-2.0204781478140532</v>
      </c>
    </row>
    <row r="3987" spans="5:8" ht="15.6">
      <c r="E3987" s="279" t="s">
        <v>4313</v>
      </c>
      <c r="F3987" s="284">
        <f t="shared" ca="1" si="124"/>
        <v>0.36940867917507003</v>
      </c>
      <c r="G3987" s="74">
        <v>35.775752221097299</v>
      </c>
      <c r="H3987" s="74">
        <f t="shared" si="125"/>
        <v>4.7186481222352228</v>
      </c>
    </row>
    <row r="3988" spans="5:8" ht="15.6">
      <c r="E3988" s="279" t="s">
        <v>4314</v>
      </c>
      <c r="F3988" s="284">
        <f t="shared" ca="1" si="124"/>
        <v>0.16368205633002275</v>
      </c>
      <c r="G3988" s="74">
        <v>40.887055803361896</v>
      </c>
      <c r="H3988" s="74">
        <f t="shared" si="125"/>
        <v>-0.39265546002937413</v>
      </c>
    </row>
    <row r="3989" spans="5:8" ht="15.6">
      <c r="E3989" s="279" t="s">
        <v>4315</v>
      </c>
      <c r="F3989" s="284">
        <f t="shared" ca="1" si="124"/>
        <v>0.34600492773070279</v>
      </c>
      <c r="G3989" s="74">
        <v>40.586471308750554</v>
      </c>
      <c r="H3989" s="74">
        <f t="shared" si="125"/>
        <v>-9.2070965418031392E-2</v>
      </c>
    </row>
    <row r="3990" spans="5:8" ht="15.6">
      <c r="E3990" s="279" t="s">
        <v>4316</v>
      </c>
      <c r="F3990" s="284">
        <f t="shared" ca="1" si="124"/>
        <v>0.46771299293403501</v>
      </c>
      <c r="G3990" s="74">
        <v>37.18543068047196</v>
      </c>
      <c r="H3990" s="74">
        <f t="shared" si="125"/>
        <v>3.3089696628605623</v>
      </c>
    </row>
    <row r="3991" spans="5:8" ht="15.6">
      <c r="E3991" s="279" t="s">
        <v>4317</v>
      </c>
      <c r="F3991" s="284">
        <f t="shared" ca="1" si="124"/>
        <v>6.7210204841839927E-3</v>
      </c>
      <c r="G3991" s="74">
        <v>40.498545550224321</v>
      </c>
      <c r="H3991" s="74">
        <f t="shared" si="125"/>
        <v>-4.1452068917990914E-3</v>
      </c>
    </row>
    <row r="3992" spans="5:8" ht="15.6">
      <c r="E3992" s="279" t="s">
        <v>4318</v>
      </c>
      <c r="F3992" s="284">
        <f t="shared" ca="1" si="124"/>
        <v>6.4926070086479881E-2</v>
      </c>
      <c r="G3992" s="74">
        <v>33.142557801809311</v>
      </c>
      <c r="H3992" s="74">
        <f t="shared" si="125"/>
        <v>7.3518425415232116</v>
      </c>
    </row>
    <row r="3993" spans="5:8" ht="15.6">
      <c r="E3993" s="279" t="s">
        <v>4319</v>
      </c>
      <c r="F3993" s="284">
        <f t="shared" ca="1" si="124"/>
        <v>0.35716692417518614</v>
      </c>
      <c r="G3993" s="74">
        <v>35.710730818879902</v>
      </c>
      <c r="H3993" s="74">
        <f t="shared" si="125"/>
        <v>4.7836695244526197</v>
      </c>
    </row>
    <row r="3994" spans="5:8" ht="15.6">
      <c r="E3994" s="279" t="s">
        <v>4320</v>
      </c>
      <c r="F3994" s="284">
        <f t="shared" ca="1" si="124"/>
        <v>8.6881550994774015E-2</v>
      </c>
      <c r="G3994" s="74">
        <v>40.309938090020928</v>
      </c>
      <c r="H3994" s="74">
        <f t="shared" si="125"/>
        <v>0.18446225331159383</v>
      </c>
    </row>
    <row r="3995" spans="5:8" ht="15.6">
      <c r="E3995" s="279" t="s">
        <v>4321</v>
      </c>
      <c r="F3995" s="284">
        <f t="shared" ca="1" si="124"/>
        <v>0.46951110312723554</v>
      </c>
      <c r="G3995" s="74">
        <v>37.589781520578576</v>
      </c>
      <c r="H3995" s="74">
        <f t="shared" si="125"/>
        <v>2.904618822753946</v>
      </c>
    </row>
    <row r="3996" spans="5:8" ht="15.6">
      <c r="E3996" s="279" t="s">
        <v>4322</v>
      </c>
      <c r="F3996" s="284">
        <f t="shared" ca="1" si="124"/>
        <v>0.63764772910431033</v>
      </c>
      <c r="G3996" s="74">
        <v>35.292124029234522</v>
      </c>
      <c r="H3996" s="74">
        <f t="shared" si="125"/>
        <v>5.2022763140980004</v>
      </c>
    </row>
    <row r="3997" spans="5:8" ht="15.6">
      <c r="E3997" s="279" t="s">
        <v>4323</v>
      </c>
      <c r="F3997" s="284">
        <f t="shared" ca="1" si="124"/>
        <v>0.8054683489232668</v>
      </c>
      <c r="G3997" s="74">
        <v>41.570609053092625</v>
      </c>
      <c r="H3997" s="74">
        <f t="shared" si="125"/>
        <v>-1.0762087097601025</v>
      </c>
    </row>
    <row r="3998" spans="5:8" ht="15.6">
      <c r="E3998" s="279" t="s">
        <v>4324</v>
      </c>
      <c r="F3998" s="284">
        <f t="shared" ca="1" si="124"/>
        <v>0.71157630478372014</v>
      </c>
      <c r="G3998" s="74">
        <v>39.644059968455736</v>
      </c>
      <c r="H3998" s="74">
        <f t="shared" si="125"/>
        <v>0.8503403748767866</v>
      </c>
    </row>
    <row r="3999" spans="5:8" ht="15.6">
      <c r="E3999" s="279" t="s">
        <v>4325</v>
      </c>
      <c r="F3999" s="284">
        <f t="shared" ca="1" si="124"/>
        <v>0.2208117244309229</v>
      </c>
      <c r="G3999" s="74">
        <v>43.285395700146175</v>
      </c>
      <c r="H3999" s="74">
        <f t="shared" si="125"/>
        <v>-2.790995356813653</v>
      </c>
    </row>
    <row r="4000" spans="5:8" ht="15.6">
      <c r="E4000" s="279" t="s">
        <v>4326</v>
      </c>
      <c r="F4000" s="284">
        <f t="shared" ca="1" si="124"/>
        <v>0.98188572100407245</v>
      </c>
      <c r="G4000" s="74">
        <v>36.129945271027466</v>
      </c>
      <c r="H4000" s="74">
        <f t="shared" si="125"/>
        <v>4.3644550723050557</v>
      </c>
    </row>
    <row r="4001" spans="5:8" ht="15.6">
      <c r="E4001" s="279" t="s">
        <v>4327</v>
      </c>
      <c r="F4001" s="284">
        <f t="shared" ca="1" si="124"/>
        <v>0.10038397952307432</v>
      </c>
      <c r="G4001" s="74">
        <v>38.331807539962441</v>
      </c>
      <c r="H4001" s="74">
        <f t="shared" si="125"/>
        <v>2.1625928033700816</v>
      </c>
    </row>
    <row r="4002" spans="5:8" ht="15.6">
      <c r="E4002" s="279" t="s">
        <v>4328</v>
      </c>
      <c r="F4002" s="284">
        <f t="shared" ca="1" si="124"/>
        <v>0.95036715335185573</v>
      </c>
      <c r="G4002" s="74">
        <v>38.490356522784808</v>
      </c>
      <c r="H4002" s="74">
        <f t="shared" si="125"/>
        <v>2.0040438205477145</v>
      </c>
    </row>
    <row r="4003" spans="5:8" ht="15.6">
      <c r="E4003" s="279" t="s">
        <v>4329</v>
      </c>
      <c r="F4003" s="284">
        <f t="shared" ca="1" si="124"/>
        <v>0.49794522147338849</v>
      </c>
      <c r="G4003" s="74">
        <v>38.169425977937415</v>
      </c>
      <c r="H4003" s="74">
        <f t="shared" si="125"/>
        <v>2.3249743653951072</v>
      </c>
    </row>
    <row r="4004" spans="5:8" ht="15.6">
      <c r="E4004" s="279" t="s">
        <v>4330</v>
      </c>
      <c r="F4004" s="284">
        <f t="shared" ca="1" si="124"/>
        <v>0.24915150060495772</v>
      </c>
      <c r="G4004" s="74">
        <v>34.821008055589026</v>
      </c>
      <c r="H4004" s="74">
        <f t="shared" si="125"/>
        <v>5.6733922877434964</v>
      </c>
    </row>
    <row r="4005" spans="5:8" ht="15.6">
      <c r="E4005" s="279" t="s">
        <v>4331</v>
      </c>
      <c r="F4005" s="284">
        <f t="shared" ca="1" si="124"/>
        <v>0.74456894226877735</v>
      </c>
      <c r="G4005" s="74">
        <v>40.872498379041218</v>
      </c>
      <c r="H4005" s="74">
        <f t="shared" si="125"/>
        <v>-0.37809803570869605</v>
      </c>
    </row>
    <row r="4006" spans="5:8" ht="15.6">
      <c r="E4006" s="279" t="s">
        <v>4332</v>
      </c>
      <c r="F4006" s="284">
        <f t="shared" ca="1" si="124"/>
        <v>0.37535645064834688</v>
      </c>
      <c r="G4006" s="74">
        <v>37.508544923408301</v>
      </c>
      <c r="H4006" s="74">
        <f t="shared" si="125"/>
        <v>2.9858554199242207</v>
      </c>
    </row>
    <row r="4007" spans="5:8" ht="15.6">
      <c r="E4007" s="279" t="s">
        <v>4333</v>
      </c>
      <c r="F4007" s="284">
        <f t="shared" ca="1" si="124"/>
        <v>0.45887622323747901</v>
      </c>
      <c r="G4007" s="74">
        <v>38.016037155116607</v>
      </c>
      <c r="H4007" s="74">
        <f t="shared" si="125"/>
        <v>2.4783631882159156</v>
      </c>
    </row>
    <row r="4008" spans="5:8" ht="15.6">
      <c r="E4008" s="279" t="s">
        <v>4334</v>
      </c>
      <c r="F4008" s="284">
        <f t="shared" ca="1" si="124"/>
        <v>0.69388537603769407</v>
      </c>
      <c r="G4008" s="74">
        <v>44.209092164676093</v>
      </c>
      <c r="H4008" s="74">
        <f t="shared" si="125"/>
        <v>-3.7146918213435711</v>
      </c>
    </row>
    <row r="4009" spans="5:8" ht="15.6">
      <c r="E4009" s="279" t="s">
        <v>4335</v>
      </c>
      <c r="F4009" s="284">
        <f t="shared" ca="1" si="124"/>
        <v>0.12586962697495541</v>
      </c>
      <c r="G4009" s="74">
        <v>41.420663405825323</v>
      </c>
      <c r="H4009" s="74">
        <f t="shared" si="125"/>
        <v>-0.92626306249280077</v>
      </c>
    </row>
    <row r="4010" spans="5:8" ht="15.6">
      <c r="E4010" s="279" t="s">
        <v>4336</v>
      </c>
      <c r="F4010" s="284">
        <f t="shared" ca="1" si="124"/>
        <v>0.12999569450624049</v>
      </c>
      <c r="G4010" s="74">
        <v>39.464843729069386</v>
      </c>
      <c r="H4010" s="74">
        <f t="shared" si="125"/>
        <v>1.0295566142631358</v>
      </c>
    </row>
    <row r="4011" spans="5:8" ht="15.6">
      <c r="E4011" s="279" t="s">
        <v>4337</v>
      </c>
      <c r="F4011" s="284">
        <f t="shared" ca="1" si="124"/>
        <v>0.87215929314725027</v>
      </c>
      <c r="G4011" s="74">
        <v>42.308256351100887</v>
      </c>
      <c r="H4011" s="74">
        <f t="shared" si="125"/>
        <v>-1.813856007768365</v>
      </c>
    </row>
    <row r="4012" spans="5:8" ht="15.6">
      <c r="E4012" s="279" t="s">
        <v>4338</v>
      </c>
      <c r="F4012" s="284">
        <f t="shared" ca="1" si="124"/>
        <v>0.76517219686961269</v>
      </c>
      <c r="G4012" s="74">
        <v>37.380015581565516</v>
      </c>
      <c r="H4012" s="74">
        <f t="shared" si="125"/>
        <v>3.1143847617670062</v>
      </c>
    </row>
    <row r="4013" spans="5:8" ht="15.6">
      <c r="E4013" s="279" t="s">
        <v>4339</v>
      </c>
      <c r="F4013" s="284">
        <f t="shared" ca="1" si="124"/>
        <v>0.18447462393337144</v>
      </c>
      <c r="G4013" s="74">
        <v>40.048173108830163</v>
      </c>
      <c r="H4013" s="74">
        <f t="shared" si="125"/>
        <v>0.44622723450235924</v>
      </c>
    </row>
    <row r="4014" spans="5:8" ht="15.6">
      <c r="E4014" s="279" t="s">
        <v>4340</v>
      </c>
      <c r="F4014" s="284">
        <f t="shared" ca="1" si="124"/>
        <v>0.18401040558298631</v>
      </c>
      <c r="G4014" s="74">
        <v>38.380937334456881</v>
      </c>
      <c r="H4014" s="74">
        <f t="shared" si="125"/>
        <v>2.113463008875641</v>
      </c>
    </row>
    <row r="4015" spans="5:8" ht="15.6">
      <c r="E4015" s="279" t="s">
        <v>4341</v>
      </c>
      <c r="F4015" s="284">
        <f t="shared" ca="1" si="124"/>
        <v>0.87284720919009362</v>
      </c>
      <c r="G4015" s="74">
        <v>36.974963966263772</v>
      </c>
      <c r="H4015" s="74">
        <f t="shared" si="125"/>
        <v>3.5194363770687502</v>
      </c>
    </row>
    <row r="4016" spans="5:8" ht="15.6">
      <c r="E4016" s="279" t="s">
        <v>4342</v>
      </c>
      <c r="F4016" s="284">
        <f t="shared" ca="1" si="124"/>
        <v>0.521323235855222</v>
      </c>
      <c r="G4016" s="74">
        <v>38.921028707730663</v>
      </c>
      <c r="H4016" s="74">
        <f t="shared" si="125"/>
        <v>1.573371635601859</v>
      </c>
    </row>
    <row r="4017" spans="5:8" ht="15.6">
      <c r="E4017" s="279" t="s">
        <v>4343</v>
      </c>
      <c r="F4017" s="284">
        <f t="shared" ca="1" si="124"/>
        <v>0.19822587362777022</v>
      </c>
      <c r="G4017" s="74">
        <v>43.820188288885717</v>
      </c>
      <c r="H4017" s="74">
        <f t="shared" si="125"/>
        <v>-3.3257879455531949</v>
      </c>
    </row>
    <row r="4018" spans="5:8" ht="15.6">
      <c r="E4018" s="279" t="s">
        <v>4344</v>
      </c>
      <c r="F4018" s="284">
        <f t="shared" ca="1" si="124"/>
        <v>0.31190682986756035</v>
      </c>
      <c r="G4018" s="74">
        <v>35.787880841707413</v>
      </c>
      <c r="H4018" s="74">
        <f t="shared" si="125"/>
        <v>4.7065195016251096</v>
      </c>
    </row>
    <row r="4019" spans="5:8" ht="15.6">
      <c r="E4019" s="279" t="s">
        <v>4345</v>
      </c>
      <c r="F4019" s="284">
        <f t="shared" ca="1" si="124"/>
        <v>0.5038929373953811</v>
      </c>
      <c r="G4019" s="74">
        <v>36.730506772909521</v>
      </c>
      <c r="H4019" s="74">
        <f t="shared" si="125"/>
        <v>3.7638935704230008</v>
      </c>
    </row>
    <row r="4020" spans="5:8" ht="15.6">
      <c r="E4020" s="279" t="s">
        <v>4346</v>
      </c>
      <c r="F4020" s="284">
        <f t="shared" ca="1" si="124"/>
        <v>2.9353662263453595E-2</v>
      </c>
      <c r="G4020" s="74">
        <v>38.99611373843014</v>
      </c>
      <c r="H4020" s="74">
        <f t="shared" si="125"/>
        <v>1.4982866049023826</v>
      </c>
    </row>
    <row r="4021" spans="5:8" ht="15.6">
      <c r="E4021" s="279" t="s">
        <v>4347</v>
      </c>
      <c r="F4021" s="284">
        <f t="shared" ca="1" si="124"/>
        <v>0.62040485717931892</v>
      </c>
      <c r="G4021" s="74">
        <v>38.137276624220902</v>
      </c>
      <c r="H4021" s="74">
        <f t="shared" si="125"/>
        <v>2.3571237191116197</v>
      </c>
    </row>
    <row r="4022" spans="5:8" ht="15.6">
      <c r="E4022" s="279" t="s">
        <v>4348</v>
      </c>
      <c r="F4022" s="284">
        <f t="shared" ca="1" si="124"/>
        <v>6.3963474903375284E-2</v>
      </c>
      <c r="G4022" s="74">
        <v>38.691529280754089</v>
      </c>
      <c r="H4022" s="74">
        <f t="shared" si="125"/>
        <v>1.8028710625784328</v>
      </c>
    </row>
    <row r="4023" spans="5:8" ht="15.6">
      <c r="E4023" s="279" t="s">
        <v>4349</v>
      </c>
      <c r="F4023" s="284">
        <f t="shared" ca="1" si="124"/>
        <v>0.97373463479336808</v>
      </c>
      <c r="G4023" s="74">
        <v>40.319029145817318</v>
      </c>
      <c r="H4023" s="74">
        <f t="shared" si="125"/>
        <v>0.17537119751520436</v>
      </c>
    </row>
    <row r="4024" spans="5:8" ht="15.6">
      <c r="E4024" s="279" t="s">
        <v>4350</v>
      </c>
      <c r="F4024" s="284">
        <f t="shared" ca="1" si="124"/>
        <v>0.78487752405268019</v>
      </c>
      <c r="G4024" s="74">
        <v>38.639359832060038</v>
      </c>
      <c r="H4024" s="74">
        <f t="shared" si="125"/>
        <v>1.8550405112724846</v>
      </c>
    </row>
    <row r="4025" spans="5:8" ht="15.6">
      <c r="E4025" s="279" t="s">
        <v>4351</v>
      </c>
      <c r="F4025" s="284">
        <f t="shared" ca="1" si="124"/>
        <v>0.52747692368185128</v>
      </c>
      <c r="G4025" s="74">
        <v>38.481444201190023</v>
      </c>
      <c r="H4025" s="74">
        <f t="shared" si="125"/>
        <v>2.0129561421424995</v>
      </c>
    </row>
    <row r="4026" spans="5:8" ht="15.6">
      <c r="E4026" s="279" t="s">
        <v>4352</v>
      </c>
      <c r="F4026" s="284">
        <f t="shared" ca="1" si="124"/>
        <v>0.22644847868136209</v>
      </c>
      <c r="G4026" s="74">
        <v>38.484992942954804</v>
      </c>
      <c r="H4026" s="74">
        <f t="shared" si="125"/>
        <v>2.009407400377718</v>
      </c>
    </row>
    <row r="4027" spans="5:8" ht="15.6">
      <c r="E4027" s="279" t="s">
        <v>4353</v>
      </c>
      <c r="F4027" s="284">
        <f t="shared" ca="1" si="124"/>
        <v>0.61753876670819519</v>
      </c>
      <c r="G4027" s="74">
        <v>40.790504719599177</v>
      </c>
      <c r="H4027" s="74">
        <f t="shared" si="125"/>
        <v>-0.29610437626665487</v>
      </c>
    </row>
    <row r="4028" spans="5:8" ht="15.6">
      <c r="E4028" s="279" t="s">
        <v>4354</v>
      </c>
      <c r="F4028" s="284">
        <f t="shared" ca="1" si="124"/>
        <v>0.43118283207792452</v>
      </c>
      <c r="G4028" s="74">
        <v>39.184914963259409</v>
      </c>
      <c r="H4028" s="74">
        <f t="shared" si="125"/>
        <v>1.309485380073113</v>
      </c>
    </row>
    <row r="4029" spans="5:8" ht="15.6">
      <c r="E4029" s="279" t="s">
        <v>4355</v>
      </c>
      <c r="F4029" s="284">
        <f t="shared" ca="1" si="124"/>
        <v>0.2479093303197959</v>
      </c>
      <c r="G4029" s="74">
        <v>38.334212772211288</v>
      </c>
      <c r="H4029" s="74">
        <f t="shared" si="125"/>
        <v>2.1601875711212344</v>
      </c>
    </row>
    <row r="4030" spans="5:8" ht="15.6">
      <c r="E4030" s="279" t="s">
        <v>4356</v>
      </c>
      <c r="F4030" s="284">
        <f t="shared" ca="1" si="124"/>
        <v>0.13936515290921259</v>
      </c>
      <c r="G4030" s="74">
        <v>39.428334134322739</v>
      </c>
      <c r="H4030" s="74">
        <f t="shared" si="125"/>
        <v>1.066066209009783</v>
      </c>
    </row>
    <row r="4031" spans="5:8" ht="15.6">
      <c r="E4031" s="279" t="s">
        <v>4357</v>
      </c>
      <c r="F4031" s="284">
        <f t="shared" ca="1" si="124"/>
        <v>0.62940572566363118</v>
      </c>
      <c r="G4031" s="74">
        <v>37.680997907502046</v>
      </c>
      <c r="H4031" s="74">
        <f t="shared" si="125"/>
        <v>2.8134024358304757</v>
      </c>
    </row>
    <row r="4032" spans="5:8" ht="15.6">
      <c r="E4032" s="279" t="s">
        <v>4358</v>
      </c>
      <c r="F4032" s="284">
        <f t="shared" ca="1" si="124"/>
        <v>0.70521392856079301</v>
      </c>
      <c r="G4032" s="74">
        <v>40.449749265283046</v>
      </c>
      <c r="H4032" s="74">
        <f t="shared" si="125"/>
        <v>4.4651078049476212E-2</v>
      </c>
    </row>
    <row r="4033" spans="5:8" ht="15.6">
      <c r="E4033" s="279" t="s">
        <v>4359</v>
      </c>
      <c r="F4033" s="284">
        <f t="shared" ca="1" si="124"/>
        <v>0.54564896075314362</v>
      </c>
      <c r="G4033" s="74">
        <v>39.523640378905782</v>
      </c>
      <c r="H4033" s="74">
        <f t="shared" si="125"/>
        <v>0.9707599644267404</v>
      </c>
    </row>
    <row r="4034" spans="5:8" ht="15.6">
      <c r="E4034" s="279" t="s">
        <v>4360</v>
      </c>
      <c r="F4034" s="284">
        <f t="shared" ca="1" si="124"/>
        <v>8.6904198313533687E-2</v>
      </c>
      <c r="G4034" s="74">
        <v>40.897280540938588</v>
      </c>
      <c r="H4034" s="74">
        <f t="shared" si="125"/>
        <v>-0.4028801976060663</v>
      </c>
    </row>
    <row r="4035" spans="5:8" ht="15.6">
      <c r="E4035" s="279" t="s">
        <v>4361</v>
      </c>
      <c r="F4035" s="284">
        <f t="shared" ca="1" si="124"/>
        <v>0.20982946458375018</v>
      </c>
      <c r="G4035" s="74">
        <v>37.389002789610629</v>
      </c>
      <c r="H4035" s="74">
        <f t="shared" si="125"/>
        <v>3.1053975537218932</v>
      </c>
    </row>
    <row r="4036" spans="5:8" ht="15.6">
      <c r="E4036" s="279" t="s">
        <v>4362</v>
      </c>
      <c r="F4036" s="284">
        <f t="shared" ca="1" si="124"/>
        <v>0.9579607811478571</v>
      </c>
      <c r="G4036" s="74">
        <v>37.084882719178516</v>
      </c>
      <c r="H4036" s="74">
        <f t="shared" si="125"/>
        <v>3.4095176241540059</v>
      </c>
    </row>
    <row r="4037" spans="5:8" ht="15.6">
      <c r="E4037" s="279" t="s">
        <v>4363</v>
      </c>
      <c r="F4037" s="284">
        <f t="shared" ca="1" si="124"/>
        <v>0.88343674905028458</v>
      </c>
      <c r="G4037" s="74">
        <v>38.795266152569042</v>
      </c>
      <c r="H4037" s="74">
        <f t="shared" si="125"/>
        <v>1.6991341907634805</v>
      </c>
    </row>
    <row r="4038" spans="5:8" ht="15.6">
      <c r="E4038" s="279" t="s">
        <v>4364</v>
      </c>
      <c r="F4038" s="284">
        <f t="shared" ca="1" si="124"/>
        <v>0.63616813995420562</v>
      </c>
      <c r="G4038" s="74">
        <v>37.97837910986356</v>
      </c>
      <c r="H4038" s="74">
        <f t="shared" si="125"/>
        <v>2.5160212334689618</v>
      </c>
    </row>
    <row r="4039" spans="5:8" ht="15.6">
      <c r="E4039" s="279" t="s">
        <v>4365</v>
      </c>
      <c r="F4039" s="284">
        <f t="shared" ca="1" si="124"/>
        <v>0.60218799226371722</v>
      </c>
      <c r="G4039" s="74">
        <v>35.515231751934884</v>
      </c>
      <c r="H4039" s="74">
        <f t="shared" si="125"/>
        <v>4.979168591397638</v>
      </c>
    </row>
    <row r="4040" spans="5:8" ht="15.6">
      <c r="E4040" s="279" t="s">
        <v>4366</v>
      </c>
      <c r="F4040" s="284">
        <f t="shared" ca="1" si="124"/>
        <v>0.76054082449803007</v>
      </c>
      <c r="G4040" s="74">
        <v>39.190028339167746</v>
      </c>
      <c r="H4040" s="74">
        <f t="shared" si="125"/>
        <v>1.3043720041647759</v>
      </c>
    </row>
    <row r="4041" spans="5:8" ht="15.6">
      <c r="E4041" s="279" t="s">
        <v>4367</v>
      </c>
      <c r="F4041" s="284">
        <f t="shared" ca="1" si="124"/>
        <v>0.19346475394520846</v>
      </c>
      <c r="G4041" s="74">
        <v>38.877956316507984</v>
      </c>
      <c r="H4041" s="74">
        <f t="shared" si="125"/>
        <v>1.6164440268245386</v>
      </c>
    </row>
    <row r="4042" spans="5:8" ht="15.6">
      <c r="E4042" s="279" t="s">
        <v>4368</v>
      </c>
      <c r="F4042" s="284">
        <f t="shared" ca="1" si="124"/>
        <v>0.358969217097731</v>
      </c>
      <c r="G4042" s="74">
        <v>37.783092370039583</v>
      </c>
      <c r="H4042" s="74">
        <f t="shared" si="125"/>
        <v>2.7113079732929393</v>
      </c>
    </row>
    <row r="4043" spans="5:8" ht="15.6">
      <c r="E4043" s="279" t="s">
        <v>4369</v>
      </c>
      <c r="F4043" s="284">
        <f t="shared" ca="1" si="124"/>
        <v>0.93161246862515712</v>
      </c>
      <c r="G4043" s="74">
        <v>46.868044198993843</v>
      </c>
      <c r="H4043" s="74">
        <f t="shared" si="125"/>
        <v>-6.3736438556613209</v>
      </c>
    </row>
    <row r="4044" spans="5:8" ht="15.6">
      <c r="E4044" s="279" t="s">
        <v>4370</v>
      </c>
      <c r="F4044" s="284">
        <f t="shared" ref="F4044:F4107" ca="1" si="126">RAND()</f>
        <v>1.0113336431053388E-2</v>
      </c>
      <c r="G4044" s="74">
        <v>37.513055058880532</v>
      </c>
      <c r="H4044" s="74">
        <f t="shared" ref="H4044:H4107" si="127">$D$2-G4044</f>
        <v>2.9813452844519901</v>
      </c>
    </row>
    <row r="4045" spans="5:8" ht="15.6">
      <c r="E4045" s="279" t="s">
        <v>4371</v>
      </c>
      <c r="F4045" s="284">
        <f t="shared" ca="1" si="126"/>
        <v>4.0778986301442055E-2</v>
      </c>
      <c r="G4045" s="74">
        <v>36.676354000036874</v>
      </c>
      <c r="H4045" s="74">
        <f t="shared" si="127"/>
        <v>3.8180463432956486</v>
      </c>
    </row>
    <row r="4046" spans="5:8" ht="15.6">
      <c r="E4046" s="279" t="s">
        <v>4372</v>
      </c>
      <c r="F4046" s="284">
        <f t="shared" ca="1" si="126"/>
        <v>0.63965570261283544</v>
      </c>
      <c r="G4046" s="74">
        <v>42.709535903627774</v>
      </c>
      <c r="H4046" s="74">
        <f t="shared" si="127"/>
        <v>-2.215135560295252</v>
      </c>
    </row>
    <row r="4047" spans="5:8" ht="15.6">
      <c r="E4047" s="279" t="s">
        <v>4373</v>
      </c>
      <c r="F4047" s="284">
        <f t="shared" ca="1" si="126"/>
        <v>4.3905164850466138E-2</v>
      </c>
      <c r="G4047" s="74">
        <v>40.087549070211665</v>
      </c>
      <c r="H4047" s="74">
        <f t="shared" si="127"/>
        <v>0.40685127312085712</v>
      </c>
    </row>
    <row r="4048" spans="5:8" ht="15.6">
      <c r="E4048" s="279" t="s">
        <v>4374</v>
      </c>
      <c r="F4048" s="284">
        <f t="shared" ca="1" si="126"/>
        <v>0.8429196767986753</v>
      </c>
      <c r="G4048" s="74">
        <v>39.066979494988949</v>
      </c>
      <c r="H4048" s="74">
        <f t="shared" si="127"/>
        <v>1.4274208483435729</v>
      </c>
    </row>
    <row r="4049" spans="5:8" ht="15.6">
      <c r="E4049" s="279" t="s">
        <v>4375</v>
      </c>
      <c r="F4049" s="284">
        <f t="shared" ca="1" si="126"/>
        <v>0.60841378670871693</v>
      </c>
      <c r="G4049" s="74">
        <v>38.779867939223358</v>
      </c>
      <c r="H4049" s="74">
        <f t="shared" si="127"/>
        <v>1.7145324041091641</v>
      </c>
    </row>
    <row r="4050" spans="5:8" ht="15.6">
      <c r="E4050" s="279" t="s">
        <v>4376</v>
      </c>
      <c r="F4050" s="284">
        <f t="shared" ca="1" si="126"/>
        <v>0.1227744972587419</v>
      </c>
      <c r="G4050" s="74">
        <v>38.730637906117536</v>
      </c>
      <c r="H4050" s="74">
        <f t="shared" si="127"/>
        <v>1.7637624372149858</v>
      </c>
    </row>
    <row r="4051" spans="5:8" ht="15.6">
      <c r="E4051" s="279" t="s">
        <v>4377</v>
      </c>
      <c r="F4051" s="284">
        <f t="shared" ca="1" si="126"/>
        <v>0.48584761010043787</v>
      </c>
      <c r="G4051" s="74">
        <v>36.92787626608191</v>
      </c>
      <c r="H4051" s="74">
        <f t="shared" si="127"/>
        <v>3.5665240772506124</v>
      </c>
    </row>
    <row r="4052" spans="5:8" ht="15.6">
      <c r="E4052" s="279" t="s">
        <v>4378</v>
      </c>
      <c r="F4052" s="284">
        <f t="shared" ca="1" si="126"/>
        <v>0.12103503355055989</v>
      </c>
      <c r="G4052" s="74">
        <v>45.287736307074155</v>
      </c>
      <c r="H4052" s="74">
        <f t="shared" si="127"/>
        <v>-4.7933359637416331</v>
      </c>
    </row>
    <row r="4053" spans="5:8" ht="15.6">
      <c r="E4053" s="279" t="s">
        <v>4379</v>
      </c>
      <c r="F4053" s="284">
        <f t="shared" ca="1" si="126"/>
        <v>0.32436031658369757</v>
      </c>
      <c r="G4053" s="74">
        <v>40.086463345569221</v>
      </c>
      <c r="H4053" s="74">
        <f t="shared" si="127"/>
        <v>0.40793699776330072</v>
      </c>
    </row>
    <row r="4054" spans="5:8" ht="15.6">
      <c r="E4054" s="279" t="s">
        <v>4380</v>
      </c>
      <c r="F4054" s="284">
        <f t="shared" ca="1" si="126"/>
        <v>0.48344339650437729</v>
      </c>
      <c r="G4054" s="74">
        <v>42.882755470982673</v>
      </c>
      <c r="H4054" s="74">
        <f t="shared" si="127"/>
        <v>-2.3883551276501507</v>
      </c>
    </row>
    <row r="4055" spans="5:8" ht="15.6">
      <c r="E4055" s="279" t="s">
        <v>4381</v>
      </c>
      <c r="F4055" s="284">
        <f t="shared" ca="1" si="126"/>
        <v>7.9355441754568545E-2</v>
      </c>
      <c r="G4055" s="74">
        <v>37.810140993964033</v>
      </c>
      <c r="H4055" s="74">
        <f t="shared" si="127"/>
        <v>2.6842593493684888</v>
      </c>
    </row>
    <row r="4056" spans="5:8" ht="15.6">
      <c r="E4056" s="279" t="s">
        <v>4382</v>
      </c>
      <c r="F4056" s="284">
        <f t="shared" ca="1" si="126"/>
        <v>4.0132880011784167E-2</v>
      </c>
      <c r="G4056" s="74">
        <v>37.820926616188281</v>
      </c>
      <c r="H4056" s="74">
        <f t="shared" si="127"/>
        <v>2.6734737271442413</v>
      </c>
    </row>
    <row r="4057" spans="5:8" ht="15.6">
      <c r="E4057" s="279" t="s">
        <v>4383</v>
      </c>
      <c r="F4057" s="284">
        <f t="shared" ca="1" si="126"/>
        <v>0.67312300080933685</v>
      </c>
      <c r="G4057" s="74">
        <v>37.898264245809244</v>
      </c>
      <c r="H4057" s="74">
        <f t="shared" si="127"/>
        <v>2.5961360975232779</v>
      </c>
    </row>
    <row r="4058" spans="5:8" ht="15.6">
      <c r="E4058" s="279" t="s">
        <v>4384</v>
      </c>
      <c r="F4058" s="284">
        <f t="shared" ca="1" si="126"/>
        <v>0.13645749288853271</v>
      </c>
      <c r="G4058" s="74">
        <v>42.686638025634778</v>
      </c>
      <c r="H4058" s="74">
        <f t="shared" si="127"/>
        <v>-2.192237682302256</v>
      </c>
    </row>
    <row r="4059" spans="5:8" ht="15.6">
      <c r="E4059" s="279" t="s">
        <v>4385</v>
      </c>
      <c r="F4059" s="284">
        <f t="shared" ca="1" si="126"/>
        <v>0.1150837065003486</v>
      </c>
      <c r="G4059" s="74">
        <v>36.928907129325843</v>
      </c>
      <c r="H4059" s="74">
        <f t="shared" si="127"/>
        <v>3.5654932140066791</v>
      </c>
    </row>
    <row r="4060" spans="5:8" ht="15.6">
      <c r="E4060" s="279" t="s">
        <v>4386</v>
      </c>
      <c r="F4060" s="284">
        <f t="shared" ca="1" si="126"/>
        <v>0.98063252953289481</v>
      </c>
      <c r="G4060" s="74">
        <v>41.079621795114683</v>
      </c>
      <c r="H4060" s="74">
        <f t="shared" si="127"/>
        <v>-0.58522145178216078</v>
      </c>
    </row>
    <row r="4061" spans="5:8" ht="15.6">
      <c r="E4061" s="279" t="s">
        <v>4387</v>
      </c>
      <c r="F4061" s="284">
        <f t="shared" ca="1" si="126"/>
        <v>0.90750336364388573</v>
      </c>
      <c r="G4061" s="74">
        <v>39.694467530600662</v>
      </c>
      <c r="H4061" s="74">
        <f t="shared" si="127"/>
        <v>0.79993281273186057</v>
      </c>
    </row>
    <row r="4062" spans="5:8" ht="15.6">
      <c r="E4062" s="279" t="s">
        <v>4388</v>
      </c>
      <c r="F4062" s="284">
        <f t="shared" ca="1" si="126"/>
        <v>0.52446586910138082</v>
      </c>
      <c r="G4062" s="74">
        <v>40.337595777091728</v>
      </c>
      <c r="H4062" s="74">
        <f t="shared" si="127"/>
        <v>0.15680456624079397</v>
      </c>
    </row>
    <row r="4063" spans="5:8" ht="15.6">
      <c r="E4063" s="279" t="s">
        <v>4389</v>
      </c>
      <c r="F4063" s="284">
        <f t="shared" ca="1" si="126"/>
        <v>0.15891201883762684</v>
      </c>
      <c r="G4063" s="74">
        <v>36.962462317971394</v>
      </c>
      <c r="H4063" s="74">
        <f t="shared" si="127"/>
        <v>3.5319380253611286</v>
      </c>
    </row>
    <row r="4064" spans="5:8" ht="15.6">
      <c r="E4064" s="279" t="s">
        <v>4390</v>
      </c>
      <c r="F4064" s="284">
        <f t="shared" ca="1" si="126"/>
        <v>0.25877488978221319</v>
      </c>
      <c r="G4064" s="74">
        <v>36.545010973514295</v>
      </c>
      <c r="H4064" s="74">
        <f t="shared" si="127"/>
        <v>3.9493893698182276</v>
      </c>
    </row>
    <row r="4065" spans="5:8" ht="15.6">
      <c r="E4065" s="279" t="s">
        <v>4391</v>
      </c>
      <c r="F4065" s="284">
        <f t="shared" ca="1" si="126"/>
        <v>0.18817440399753638</v>
      </c>
      <c r="G4065" s="74">
        <v>43.101572178275525</v>
      </c>
      <c r="H4065" s="74">
        <f t="shared" si="127"/>
        <v>-2.6071718349430029</v>
      </c>
    </row>
    <row r="4066" spans="5:8" ht="15.6">
      <c r="E4066" s="279" t="s">
        <v>4392</v>
      </c>
      <c r="F4066" s="284">
        <f t="shared" ca="1" si="126"/>
        <v>0.12743253053470072</v>
      </c>
      <c r="G4066" s="74">
        <v>40.653668011912089</v>
      </c>
      <c r="H4066" s="74">
        <f t="shared" si="127"/>
        <v>-0.15926766857956665</v>
      </c>
    </row>
    <row r="4067" spans="5:8" ht="15.6">
      <c r="E4067" s="279" t="s">
        <v>4393</v>
      </c>
      <c r="F4067" s="284">
        <f t="shared" ca="1" si="126"/>
        <v>0.16842013513575127</v>
      </c>
      <c r="G4067" s="74">
        <v>41.751289125691343</v>
      </c>
      <c r="H4067" s="74">
        <f t="shared" si="127"/>
        <v>-1.2568887823588213</v>
      </c>
    </row>
    <row r="4068" spans="5:8" ht="15.6">
      <c r="E4068" s="279" t="s">
        <v>4394</v>
      </c>
      <c r="F4068" s="284">
        <f t="shared" ca="1" si="126"/>
        <v>0.983196267635711</v>
      </c>
      <c r="G4068" s="74">
        <v>42.638509000339354</v>
      </c>
      <c r="H4068" s="74">
        <f t="shared" si="127"/>
        <v>-2.1441086570068322</v>
      </c>
    </row>
    <row r="4069" spans="5:8" ht="15.6">
      <c r="E4069" s="279" t="s">
        <v>4395</v>
      </c>
      <c r="F4069" s="284">
        <f t="shared" ca="1" si="126"/>
        <v>0.61831260731946791</v>
      </c>
      <c r="G4069" s="74">
        <v>40.260177864085222</v>
      </c>
      <c r="H4069" s="74">
        <f t="shared" si="127"/>
        <v>0.23422247924730044</v>
      </c>
    </row>
    <row r="4070" spans="5:8" ht="15.6">
      <c r="E4070" s="279" t="s">
        <v>4396</v>
      </c>
      <c r="F4070" s="284">
        <f t="shared" ca="1" si="126"/>
        <v>0.42695977005666685</v>
      </c>
      <c r="G4070" s="74">
        <v>39.382549384986518</v>
      </c>
      <c r="H4070" s="74">
        <f t="shared" si="127"/>
        <v>1.1118509583460039</v>
      </c>
    </row>
    <row r="4071" spans="5:8" ht="15.6">
      <c r="E4071" s="279" t="s">
        <v>4397</v>
      </c>
      <c r="F4071" s="284">
        <f t="shared" ca="1" si="126"/>
        <v>0.62611022048217169</v>
      </c>
      <c r="G4071" s="74">
        <v>41.092050137432466</v>
      </c>
      <c r="H4071" s="74">
        <f t="shared" si="127"/>
        <v>-0.59764979409994368</v>
      </c>
    </row>
    <row r="4072" spans="5:8" ht="15.6">
      <c r="E4072" s="279" t="s">
        <v>4398</v>
      </c>
      <c r="F4072" s="284">
        <f t="shared" ca="1" si="126"/>
        <v>0.93598580138876941</v>
      </c>
      <c r="G4072" s="74">
        <v>37.905189577906057</v>
      </c>
      <c r="H4072" s="74">
        <f t="shared" si="127"/>
        <v>2.5892107654264649</v>
      </c>
    </row>
    <row r="4073" spans="5:8" ht="15.6">
      <c r="E4073" s="279" t="s">
        <v>4399</v>
      </c>
      <c r="F4073" s="284">
        <f t="shared" ca="1" si="126"/>
        <v>0.50764418061509697</v>
      </c>
      <c r="G4073" s="74">
        <v>38.788253777905496</v>
      </c>
      <c r="H4073" s="74">
        <f t="shared" si="127"/>
        <v>1.7061465654270265</v>
      </c>
    </row>
    <row r="4074" spans="5:8" ht="15.6">
      <c r="E4074" s="279" t="s">
        <v>4400</v>
      </c>
      <c r="F4074" s="284">
        <f t="shared" ca="1" si="126"/>
        <v>9.7395389651163677E-2</v>
      </c>
      <c r="G4074" s="74">
        <v>36.687214423561571</v>
      </c>
      <c r="H4074" s="74">
        <f t="shared" si="127"/>
        <v>3.8071859197709514</v>
      </c>
    </row>
    <row r="4075" spans="5:8" ht="15.6">
      <c r="E4075" s="279" t="s">
        <v>4401</v>
      </c>
      <c r="F4075" s="284">
        <f t="shared" ca="1" si="126"/>
        <v>0.20233384229466622</v>
      </c>
      <c r="G4075" s="74">
        <v>40.618828177888062</v>
      </c>
      <c r="H4075" s="74">
        <f t="shared" si="127"/>
        <v>-0.12442783455554007</v>
      </c>
    </row>
    <row r="4076" spans="5:8" ht="15.6">
      <c r="E4076" s="279" t="s">
        <v>4402</v>
      </c>
      <c r="F4076" s="284">
        <f t="shared" ca="1" si="126"/>
        <v>0.1553469160263854</v>
      </c>
      <c r="G4076" s="74">
        <v>40.533318579279047</v>
      </c>
      <c r="H4076" s="74">
        <f t="shared" si="127"/>
        <v>-3.8918235946525215E-2</v>
      </c>
    </row>
    <row r="4077" spans="5:8" ht="15.6">
      <c r="E4077" s="279" t="s">
        <v>4403</v>
      </c>
      <c r="F4077" s="284">
        <f t="shared" ca="1" si="126"/>
        <v>9.7942828926166792E-2</v>
      </c>
      <c r="G4077" s="74">
        <v>38.784690872963651</v>
      </c>
      <c r="H4077" s="74">
        <f t="shared" si="127"/>
        <v>1.7097094703688711</v>
      </c>
    </row>
    <row r="4078" spans="5:8" ht="15.6">
      <c r="E4078" s="279" t="s">
        <v>4404</v>
      </c>
      <c r="F4078" s="284">
        <f t="shared" ca="1" si="126"/>
        <v>0.88538702650258527</v>
      </c>
      <c r="G4078" s="74">
        <v>39.409680966248835</v>
      </c>
      <c r="H4078" s="74">
        <f t="shared" si="127"/>
        <v>1.0847193770836867</v>
      </c>
    </row>
    <row r="4079" spans="5:8" ht="15.6">
      <c r="E4079" s="279" t="s">
        <v>4405</v>
      </c>
      <c r="F4079" s="284">
        <f t="shared" ca="1" si="126"/>
        <v>0.1780635033980511</v>
      </c>
      <c r="G4079" s="74">
        <v>36.437517738468962</v>
      </c>
      <c r="H4079" s="74">
        <f t="shared" si="127"/>
        <v>4.05688260486356</v>
      </c>
    </row>
    <row r="4080" spans="5:8" ht="15.6">
      <c r="E4080" s="279" t="s">
        <v>4406</v>
      </c>
      <c r="F4080" s="284">
        <f t="shared" ca="1" si="126"/>
        <v>0.39158671821639257</v>
      </c>
      <c r="G4080" s="74">
        <v>41.514666316729119</v>
      </c>
      <c r="H4080" s="74">
        <f t="shared" si="127"/>
        <v>-1.0202659733965973</v>
      </c>
    </row>
    <row r="4081" spans="5:8" ht="15.6">
      <c r="E4081" s="279" t="s">
        <v>4407</v>
      </c>
      <c r="F4081" s="284">
        <f t="shared" ca="1" si="126"/>
        <v>0.27000634063863882</v>
      </c>
      <c r="G4081" s="74">
        <v>37.5327950150281</v>
      </c>
      <c r="H4081" s="74">
        <f t="shared" si="127"/>
        <v>2.9616053283044224</v>
      </c>
    </row>
    <row r="4082" spans="5:8" ht="15.6">
      <c r="E4082" s="279" t="s">
        <v>4408</v>
      </c>
      <c r="F4082" s="284">
        <f t="shared" ca="1" si="126"/>
        <v>0.60927762108582617</v>
      </c>
      <c r="G4082" s="74">
        <v>44.558170646267193</v>
      </c>
      <c r="H4082" s="74">
        <f t="shared" si="127"/>
        <v>-4.063770302934671</v>
      </c>
    </row>
    <row r="4083" spans="5:8" ht="15.6">
      <c r="E4083" s="279" t="s">
        <v>4409</v>
      </c>
      <c r="F4083" s="284">
        <f t="shared" ca="1" si="126"/>
        <v>0.13266742592176772</v>
      </c>
      <c r="G4083" s="74">
        <v>41.984615421753183</v>
      </c>
      <c r="H4083" s="74">
        <f t="shared" si="127"/>
        <v>-1.4902150784206611</v>
      </c>
    </row>
    <row r="4084" spans="5:8" ht="15.6">
      <c r="E4084" s="279" t="s">
        <v>4410</v>
      </c>
      <c r="F4084" s="284">
        <f t="shared" ca="1" si="126"/>
        <v>0.16578728160544798</v>
      </c>
      <c r="G4084" s="74">
        <v>36.541492700105735</v>
      </c>
      <c r="H4084" s="74">
        <f t="shared" si="127"/>
        <v>3.9529076432267871</v>
      </c>
    </row>
    <row r="4085" spans="5:8" ht="15.6">
      <c r="E4085" s="279" t="s">
        <v>4411</v>
      </c>
      <c r="F4085" s="284">
        <f t="shared" ca="1" si="126"/>
        <v>0.35826607193459992</v>
      </c>
      <c r="G4085" s="74">
        <v>38.158878096654611</v>
      </c>
      <c r="H4085" s="74">
        <f t="shared" si="127"/>
        <v>2.3355222466779111</v>
      </c>
    </row>
    <row r="4086" spans="5:8" ht="15.6">
      <c r="E4086" s="279" t="s">
        <v>4412</v>
      </c>
      <c r="F4086" s="284">
        <f t="shared" ca="1" si="126"/>
        <v>3.8926503788541122E-3</v>
      </c>
      <c r="G4086" s="74">
        <v>38.057326596146943</v>
      </c>
      <c r="H4086" s="74">
        <f t="shared" si="127"/>
        <v>2.437073747185579</v>
      </c>
    </row>
    <row r="4087" spans="5:8" ht="15.6">
      <c r="E4087" s="279" t="s">
        <v>4413</v>
      </c>
      <c r="F4087" s="284">
        <f t="shared" ca="1" si="126"/>
        <v>0.79260438579428616</v>
      </c>
      <c r="G4087" s="74">
        <v>35.112216403141566</v>
      </c>
      <c r="H4087" s="74">
        <f t="shared" si="127"/>
        <v>5.3821839401909557</v>
      </c>
    </row>
    <row r="4088" spans="5:8" ht="15.6">
      <c r="E4088" s="279" t="s">
        <v>4414</v>
      </c>
      <c r="F4088" s="284">
        <f t="shared" ca="1" si="126"/>
        <v>0.77307822245792912</v>
      </c>
      <c r="G4088" s="74">
        <v>40.89009888013797</v>
      </c>
      <c r="H4088" s="74">
        <f t="shared" si="127"/>
        <v>-0.39569853680544753</v>
      </c>
    </row>
    <row r="4089" spans="5:8" ht="15.6">
      <c r="E4089" s="279" t="s">
        <v>4415</v>
      </c>
      <c r="F4089" s="284">
        <f t="shared" ca="1" si="126"/>
        <v>0.7579350638617196</v>
      </c>
      <c r="G4089" s="74">
        <v>43.618182836941209</v>
      </c>
      <c r="H4089" s="74">
        <f t="shared" si="127"/>
        <v>-3.1237824936086867</v>
      </c>
    </row>
    <row r="4090" spans="5:8" ht="15.6">
      <c r="E4090" s="279" t="s">
        <v>4416</v>
      </c>
      <c r="F4090" s="284">
        <f t="shared" ca="1" si="126"/>
        <v>0.59361193668696155</v>
      </c>
      <c r="G4090" s="74">
        <v>37.728814755930564</v>
      </c>
      <c r="H4090" s="74">
        <f t="shared" si="127"/>
        <v>2.7655855874019579</v>
      </c>
    </row>
    <row r="4091" spans="5:8" ht="15.6">
      <c r="E4091" s="279" t="s">
        <v>4417</v>
      </c>
      <c r="F4091" s="284">
        <f t="shared" ca="1" si="126"/>
        <v>0.58776521599773013</v>
      </c>
      <c r="G4091" s="74">
        <v>43.534213171995376</v>
      </c>
      <c r="H4091" s="74">
        <f t="shared" si="127"/>
        <v>-3.0398128286628534</v>
      </c>
    </row>
    <row r="4092" spans="5:8" ht="15.6">
      <c r="E4092" s="279" t="s">
        <v>4418</v>
      </c>
      <c r="F4092" s="284">
        <f t="shared" ca="1" si="126"/>
        <v>0.29267523036943788</v>
      </c>
      <c r="G4092" s="74">
        <v>42.353533319387253</v>
      </c>
      <c r="H4092" s="74">
        <f t="shared" si="127"/>
        <v>-1.859132976054731</v>
      </c>
    </row>
    <row r="4093" spans="5:8" ht="15.6">
      <c r="E4093" s="279" t="s">
        <v>4419</v>
      </c>
      <c r="F4093" s="284">
        <f t="shared" ca="1" si="126"/>
        <v>0.33765669684408728</v>
      </c>
      <c r="G4093" s="74">
        <v>39.020445218036812</v>
      </c>
      <c r="H4093" s="74">
        <f t="shared" si="127"/>
        <v>1.4739551252957099</v>
      </c>
    </row>
    <row r="4094" spans="5:8" ht="15.6">
      <c r="E4094" s="279" t="s">
        <v>4420</v>
      </c>
      <c r="F4094" s="284">
        <f t="shared" ca="1" si="126"/>
        <v>7.8469884484016039E-2</v>
      </c>
      <c r="G4094" s="74">
        <v>41.878489169977556</v>
      </c>
      <c r="H4094" s="74">
        <f t="shared" si="127"/>
        <v>-1.3840888266450335</v>
      </c>
    </row>
    <row r="4095" spans="5:8" ht="15.6">
      <c r="E4095" s="279" t="s">
        <v>4421</v>
      </c>
      <c r="F4095" s="284">
        <f t="shared" ca="1" si="126"/>
        <v>0.41312606124517015</v>
      </c>
      <c r="G4095" s="74">
        <v>34.334547300755816</v>
      </c>
      <c r="H4095" s="74">
        <f t="shared" si="127"/>
        <v>6.1598530425767066</v>
      </c>
    </row>
    <row r="4096" spans="5:8" ht="15.6">
      <c r="E4096" s="279" t="s">
        <v>4422</v>
      </c>
      <c r="F4096" s="284">
        <f t="shared" ca="1" si="126"/>
        <v>0.48094400767533041</v>
      </c>
      <c r="G4096" s="74">
        <v>42.508577833456961</v>
      </c>
      <c r="H4096" s="74">
        <f t="shared" si="127"/>
        <v>-2.0141774901244389</v>
      </c>
    </row>
    <row r="4097" spans="5:8" ht="15.6">
      <c r="E4097" s="279" t="s">
        <v>4423</v>
      </c>
      <c r="F4097" s="284">
        <f t="shared" ca="1" si="126"/>
        <v>0.59389977709076947</v>
      </c>
      <c r="G4097" s="74">
        <v>37.721335193145492</v>
      </c>
      <c r="H4097" s="74">
        <f t="shared" si="127"/>
        <v>2.7730651501870298</v>
      </c>
    </row>
    <row r="4098" spans="5:8" ht="15.6">
      <c r="E4098" s="279" t="s">
        <v>4424</v>
      </c>
      <c r="F4098" s="284">
        <f t="shared" ca="1" si="126"/>
        <v>0.73368731711689672</v>
      </c>
      <c r="G4098" s="74">
        <v>43.986510511782917</v>
      </c>
      <c r="H4098" s="74">
        <f t="shared" si="127"/>
        <v>-3.4921101684503952</v>
      </c>
    </row>
    <row r="4099" spans="5:8" ht="15.6">
      <c r="E4099" s="279" t="s">
        <v>4425</v>
      </c>
      <c r="F4099" s="284">
        <f t="shared" ca="1" si="126"/>
        <v>0.736321681059665</v>
      </c>
      <c r="G4099" s="74">
        <v>43.602910702786836</v>
      </c>
      <c r="H4099" s="74">
        <f t="shared" si="127"/>
        <v>-3.1085103594543142</v>
      </c>
    </row>
    <row r="4100" spans="5:8" ht="15.6">
      <c r="E4100" s="279" t="s">
        <v>4426</v>
      </c>
      <c r="F4100" s="284">
        <f t="shared" ca="1" si="126"/>
        <v>0.14567629788348668</v>
      </c>
      <c r="G4100" s="74">
        <v>38.228964620157647</v>
      </c>
      <c r="H4100" s="74">
        <f t="shared" si="127"/>
        <v>2.2654357231748747</v>
      </c>
    </row>
    <row r="4101" spans="5:8" ht="15.6">
      <c r="E4101" s="279" t="s">
        <v>4427</v>
      </c>
      <c r="F4101" s="284">
        <f t="shared" ca="1" si="126"/>
        <v>5.7751713283446082E-2</v>
      </c>
      <c r="G4101" s="74">
        <v>39.228805690441796</v>
      </c>
      <c r="H4101" s="74">
        <f t="shared" si="127"/>
        <v>1.2655946528907265</v>
      </c>
    </row>
    <row r="4102" spans="5:8" ht="15.6">
      <c r="E4102" s="279" t="s">
        <v>4428</v>
      </c>
      <c r="F4102" s="284">
        <f t="shared" ca="1" si="126"/>
        <v>0.65356175264156879</v>
      </c>
      <c r="G4102" s="74">
        <v>38.642324070486808</v>
      </c>
      <c r="H4102" s="74">
        <f t="shared" si="127"/>
        <v>1.8520762728457143</v>
      </c>
    </row>
    <row r="4103" spans="5:8" ht="15.6">
      <c r="E4103" s="279" t="s">
        <v>4429</v>
      </c>
      <c r="F4103" s="284">
        <f t="shared" ca="1" si="126"/>
        <v>0.50192623171046047</v>
      </c>
      <c r="G4103" s="74">
        <v>36.795337600622581</v>
      </c>
      <c r="H4103" s="74">
        <f t="shared" si="127"/>
        <v>3.6990627427099412</v>
      </c>
    </row>
    <row r="4104" spans="5:8" ht="15.6">
      <c r="E4104" s="279" t="s">
        <v>4430</v>
      </c>
      <c r="F4104" s="284">
        <f t="shared" ca="1" si="126"/>
        <v>5.774444947023305E-2</v>
      </c>
      <c r="G4104" s="74">
        <v>37.960983719906302</v>
      </c>
      <c r="H4104" s="74">
        <f t="shared" si="127"/>
        <v>2.5334166234262199</v>
      </c>
    </row>
    <row r="4105" spans="5:8" ht="15.6">
      <c r="E4105" s="279" t="s">
        <v>4431</v>
      </c>
      <c r="F4105" s="284">
        <f t="shared" ca="1" si="126"/>
        <v>0.62655196365192678</v>
      </c>
      <c r="G4105" s="74">
        <v>39.314093386254733</v>
      </c>
      <c r="H4105" s="74">
        <f t="shared" si="127"/>
        <v>1.1803069570777893</v>
      </c>
    </row>
    <row r="4106" spans="5:8" ht="15.6">
      <c r="E4106" s="279" t="s">
        <v>4432</v>
      </c>
      <c r="F4106" s="284">
        <f t="shared" ca="1" si="126"/>
        <v>7.8802784688744687E-2</v>
      </c>
      <c r="G4106" s="74">
        <v>37.332704066990573</v>
      </c>
      <c r="H4106" s="74">
        <f t="shared" si="127"/>
        <v>3.1616962763419494</v>
      </c>
    </row>
    <row r="4107" spans="5:8" ht="15.6">
      <c r="E4107" s="279" t="s">
        <v>4433</v>
      </c>
      <c r="F4107" s="284">
        <f t="shared" ca="1" si="126"/>
        <v>0.73358926712861283</v>
      </c>
      <c r="G4107" s="74">
        <v>38.844606071026448</v>
      </c>
      <c r="H4107" s="74">
        <f t="shared" si="127"/>
        <v>1.6497942723060746</v>
      </c>
    </row>
    <row r="4108" spans="5:8" ht="15.6">
      <c r="E4108" s="279" t="s">
        <v>4434</v>
      </c>
      <c r="F4108" s="284">
        <f t="shared" ref="F4108:F4171" ca="1" si="128">RAND()</f>
        <v>0.97054390703502613</v>
      </c>
      <c r="G4108" s="74">
        <v>31.708511081367572</v>
      </c>
      <c r="H4108" s="74">
        <f t="shared" ref="H4108:H4171" si="129">$D$2-G4108</f>
        <v>8.7858892619649502</v>
      </c>
    </row>
    <row r="4109" spans="5:8" ht="15.6">
      <c r="E4109" s="279" t="s">
        <v>4435</v>
      </c>
      <c r="F4109" s="284">
        <f t="shared" ca="1" si="128"/>
        <v>0.51215775444923217</v>
      </c>
      <c r="G4109" s="74">
        <v>33.547181816528649</v>
      </c>
      <c r="H4109" s="74">
        <f t="shared" si="129"/>
        <v>6.9472185268038729</v>
      </c>
    </row>
    <row r="4110" spans="5:8" ht="15.6">
      <c r="E4110" s="279" t="s">
        <v>4436</v>
      </c>
      <c r="F4110" s="284">
        <f t="shared" ca="1" si="128"/>
        <v>0.31159643313112317</v>
      </c>
      <c r="G4110" s="74">
        <v>38.253167601756104</v>
      </c>
      <c r="H4110" s="74">
        <f t="shared" si="129"/>
        <v>2.2412327415764182</v>
      </c>
    </row>
    <row r="4111" spans="5:8" ht="15.6">
      <c r="E4111" s="279" t="s">
        <v>4437</v>
      </c>
      <c r="F4111" s="284">
        <f t="shared" ca="1" si="128"/>
        <v>0.7812233311669704</v>
      </c>
      <c r="G4111" s="74">
        <v>38.239546584772071</v>
      </c>
      <c r="H4111" s="74">
        <f t="shared" si="129"/>
        <v>2.2548537585604507</v>
      </c>
    </row>
    <row r="4112" spans="5:8" ht="15.6">
      <c r="E4112" s="279" t="s">
        <v>4438</v>
      </c>
      <c r="F4112" s="284">
        <f t="shared" ca="1" si="128"/>
        <v>0.94063013753941482</v>
      </c>
      <c r="G4112" s="74">
        <v>40.235663095839506</v>
      </c>
      <c r="H4112" s="74">
        <f t="shared" si="129"/>
        <v>0.2587372474930163</v>
      </c>
    </row>
    <row r="4113" spans="5:8" ht="15.6">
      <c r="E4113" s="279" t="s">
        <v>4439</v>
      </c>
      <c r="F4113" s="284">
        <f t="shared" ca="1" si="128"/>
        <v>0.41422764257855049</v>
      </c>
      <c r="G4113" s="74">
        <v>43.106476493860413</v>
      </c>
      <c r="H4113" s="74">
        <f t="shared" si="129"/>
        <v>-2.6120761505278907</v>
      </c>
    </row>
    <row r="4114" spans="5:8" ht="15.6">
      <c r="E4114" s="279" t="s">
        <v>4440</v>
      </c>
      <c r="F4114" s="284">
        <f t="shared" ca="1" si="128"/>
        <v>0.1349427908013604</v>
      </c>
      <c r="G4114" s="74">
        <v>36.015109658637229</v>
      </c>
      <c r="H4114" s="74">
        <f t="shared" si="129"/>
        <v>4.4792906846952931</v>
      </c>
    </row>
    <row r="4115" spans="5:8" ht="15.6">
      <c r="E4115" s="279" t="s">
        <v>4441</v>
      </c>
      <c r="F4115" s="284">
        <f t="shared" ca="1" si="128"/>
        <v>0.77307717633861495</v>
      </c>
      <c r="G4115" s="74">
        <v>36.566566554222639</v>
      </c>
      <c r="H4115" s="74">
        <f t="shared" si="129"/>
        <v>3.9278337891098829</v>
      </c>
    </row>
    <row r="4116" spans="5:8" ht="15.6">
      <c r="E4116" s="279" t="s">
        <v>4442</v>
      </c>
      <c r="F4116" s="284">
        <f t="shared" ca="1" si="128"/>
        <v>0.71994190523908685</v>
      </c>
      <c r="G4116" s="74">
        <v>40.431044352560406</v>
      </c>
      <c r="H4116" s="74">
        <f t="shared" si="129"/>
        <v>6.33559907721164E-2</v>
      </c>
    </row>
    <row r="4117" spans="5:8" ht="15.6">
      <c r="E4117" s="279" t="s">
        <v>4443</v>
      </c>
      <c r="F4117" s="284">
        <f t="shared" ca="1" si="128"/>
        <v>0.2428329733983734</v>
      </c>
      <c r="G4117" s="74">
        <v>33.967786205639293</v>
      </c>
      <c r="H4117" s="74">
        <f t="shared" si="129"/>
        <v>6.5266141376932296</v>
      </c>
    </row>
    <row r="4118" spans="5:8" ht="15.6">
      <c r="E4118" s="279" t="s">
        <v>4444</v>
      </c>
      <c r="F4118" s="284">
        <f t="shared" ca="1" si="128"/>
        <v>0.6754969675452428</v>
      </c>
      <c r="G4118" s="74">
        <v>40.674790043703247</v>
      </c>
      <c r="H4118" s="74">
        <f t="shared" si="129"/>
        <v>-0.18038970037072488</v>
      </c>
    </row>
    <row r="4119" spans="5:8" ht="15.6">
      <c r="E4119" s="279" t="s">
        <v>4445</v>
      </c>
      <c r="F4119" s="284">
        <f t="shared" ca="1" si="128"/>
        <v>0.14884130758997982</v>
      </c>
      <c r="G4119" s="74">
        <v>43.58693281185009</v>
      </c>
      <c r="H4119" s="74">
        <f t="shared" si="129"/>
        <v>-3.0925324685175681</v>
      </c>
    </row>
    <row r="4120" spans="5:8" ht="15.6">
      <c r="E4120" s="279" t="s">
        <v>4446</v>
      </c>
      <c r="F4120" s="284">
        <f t="shared" ca="1" si="128"/>
        <v>0.60851221222197593</v>
      </c>
      <c r="G4120" s="74">
        <v>41.448314810613397</v>
      </c>
      <c r="H4120" s="74">
        <f t="shared" si="129"/>
        <v>-0.95391446728087459</v>
      </c>
    </row>
    <row r="4121" spans="5:8" ht="15.6">
      <c r="E4121" s="279" t="s">
        <v>4447</v>
      </c>
      <c r="F4121" s="284">
        <f t="shared" ca="1" si="128"/>
        <v>3.4652299395303565E-2</v>
      </c>
      <c r="G4121" s="74">
        <v>37.57603968290816</v>
      </c>
      <c r="H4121" s="74">
        <f t="shared" si="129"/>
        <v>2.9183606604243622</v>
      </c>
    </row>
    <row r="4122" spans="5:8" ht="15.6">
      <c r="E4122" s="279" t="s">
        <v>4448</v>
      </c>
      <c r="F4122" s="284">
        <f t="shared" ca="1" si="128"/>
        <v>0.77728467083879549</v>
      </c>
      <c r="G4122" s="74">
        <v>38.441194414359543</v>
      </c>
      <c r="H4122" s="74">
        <f t="shared" si="129"/>
        <v>2.0532059289729787</v>
      </c>
    </row>
    <row r="4123" spans="5:8" ht="15.6">
      <c r="E4123" s="279" t="s">
        <v>4449</v>
      </c>
      <c r="F4123" s="284">
        <f t="shared" ca="1" si="128"/>
        <v>0.22547955390760954</v>
      </c>
      <c r="G4123" s="74">
        <v>44.464900686342027</v>
      </c>
      <c r="H4123" s="74">
        <f t="shared" si="129"/>
        <v>-3.9705003430095047</v>
      </c>
    </row>
    <row r="4124" spans="5:8" ht="15.6">
      <c r="E4124" s="279" t="s">
        <v>4450</v>
      </c>
      <c r="F4124" s="284">
        <f t="shared" ca="1" si="128"/>
        <v>0.98302543035068946</v>
      </c>
      <c r="G4124" s="74">
        <v>37.36309046601135</v>
      </c>
      <c r="H4124" s="74">
        <f t="shared" si="129"/>
        <v>3.1313098773211721</v>
      </c>
    </row>
    <row r="4125" spans="5:8" ht="15.6">
      <c r="E4125" s="279" t="s">
        <v>4451</v>
      </c>
      <c r="F4125" s="284">
        <f t="shared" ca="1" si="128"/>
        <v>0.84169357752013818</v>
      </c>
      <c r="G4125" s="74">
        <v>40.995998018503769</v>
      </c>
      <c r="H4125" s="74">
        <f t="shared" si="129"/>
        <v>-0.5015976751712472</v>
      </c>
    </row>
    <row r="4126" spans="5:8" ht="15.6">
      <c r="E4126" s="279" t="s">
        <v>4452</v>
      </c>
      <c r="F4126" s="284">
        <f t="shared" ca="1" si="128"/>
        <v>0.73572588321407639</v>
      </c>
      <c r="G4126" s="74">
        <v>40.70884531112506</v>
      </c>
      <c r="H4126" s="74">
        <f t="shared" si="129"/>
        <v>-0.21444496779253797</v>
      </c>
    </row>
    <row r="4127" spans="5:8" ht="15.6">
      <c r="E4127" s="279" t="s">
        <v>4453</v>
      </c>
      <c r="F4127" s="284">
        <f t="shared" ca="1" si="128"/>
        <v>0.55476506905062206</v>
      </c>
      <c r="G4127" s="74">
        <v>42.032864500545863</v>
      </c>
      <c r="H4127" s="74">
        <f t="shared" si="129"/>
        <v>-1.5384641572133404</v>
      </c>
    </row>
    <row r="4128" spans="5:8" ht="15.6">
      <c r="E4128" s="279" t="s">
        <v>4454</v>
      </c>
      <c r="F4128" s="284">
        <f t="shared" ca="1" si="128"/>
        <v>0.89322691208141769</v>
      </c>
      <c r="G4128" s="74">
        <v>36.994657188069745</v>
      </c>
      <c r="H4128" s="74">
        <f t="shared" si="129"/>
        <v>3.4997431552627773</v>
      </c>
    </row>
    <row r="4129" spans="5:8" ht="15.6">
      <c r="E4129" s="279" t="s">
        <v>4455</v>
      </c>
      <c r="F4129" s="284">
        <f t="shared" ca="1" si="128"/>
        <v>7.0331581965924705E-2</v>
      </c>
      <c r="G4129" s="74">
        <v>40.208731428365823</v>
      </c>
      <c r="H4129" s="74">
        <f t="shared" si="129"/>
        <v>0.28566891496669911</v>
      </c>
    </row>
    <row r="4130" spans="5:8" ht="15.6">
      <c r="E4130" s="279" t="s">
        <v>4456</v>
      </c>
      <c r="F4130" s="284">
        <f t="shared" ca="1" si="128"/>
        <v>0.77847737862769095</v>
      </c>
      <c r="G4130" s="74">
        <v>37.466137412922755</v>
      </c>
      <c r="H4130" s="74">
        <f t="shared" si="129"/>
        <v>3.0282629304097668</v>
      </c>
    </row>
    <row r="4131" spans="5:8" ht="15.6">
      <c r="E4131" s="279" t="s">
        <v>4457</v>
      </c>
      <c r="F4131" s="284">
        <f t="shared" ca="1" si="128"/>
        <v>0.89523426123289662</v>
      </c>
      <c r="G4131" s="74">
        <v>42.772308269158778</v>
      </c>
      <c r="H4131" s="74">
        <f t="shared" si="129"/>
        <v>-2.2779079258262556</v>
      </c>
    </row>
    <row r="4132" spans="5:8" ht="15.6">
      <c r="E4132" s="279" t="s">
        <v>4458</v>
      </c>
      <c r="F4132" s="284">
        <f t="shared" ca="1" si="128"/>
        <v>0.14103041159701424</v>
      </c>
      <c r="G4132" s="74">
        <v>39.207662199571594</v>
      </c>
      <c r="H4132" s="74">
        <f t="shared" si="129"/>
        <v>1.2867381437609282</v>
      </c>
    </row>
    <row r="4133" spans="5:8" ht="15.6">
      <c r="E4133" s="279" t="s">
        <v>4459</v>
      </c>
      <c r="F4133" s="284">
        <f t="shared" ca="1" si="128"/>
        <v>0.73844836697623495</v>
      </c>
      <c r="G4133" s="74">
        <v>37.412299489912158</v>
      </c>
      <c r="H4133" s="74">
        <f t="shared" si="129"/>
        <v>3.0821008534203642</v>
      </c>
    </row>
    <row r="4134" spans="5:8" ht="15.6">
      <c r="E4134" s="279" t="s">
        <v>4460</v>
      </c>
      <c r="F4134" s="284">
        <f t="shared" ca="1" si="128"/>
        <v>0.75619996278886703</v>
      </c>
      <c r="G4134" s="74">
        <v>39.480656820981366</v>
      </c>
      <c r="H4134" s="74">
        <f t="shared" si="129"/>
        <v>1.0137435223511559</v>
      </c>
    </row>
    <row r="4135" spans="5:8" ht="15.6">
      <c r="E4135" s="279" t="s">
        <v>4461</v>
      </c>
      <c r="F4135" s="284">
        <f t="shared" ca="1" si="128"/>
        <v>1.760082703209509E-2</v>
      </c>
      <c r="G4135" s="74">
        <v>37.573396714461801</v>
      </c>
      <c r="H4135" s="74">
        <f t="shared" si="129"/>
        <v>2.9210036288707215</v>
      </c>
    </row>
    <row r="4136" spans="5:8" ht="15.6">
      <c r="E4136" s="279" t="s">
        <v>4462</v>
      </c>
      <c r="F4136" s="284">
        <f t="shared" ca="1" si="128"/>
        <v>0.14257824524606133</v>
      </c>
      <c r="G4136" s="74">
        <v>34.059407951164154</v>
      </c>
      <c r="H4136" s="74">
        <f t="shared" si="129"/>
        <v>6.4349923921683683</v>
      </c>
    </row>
    <row r="4137" spans="5:8" ht="15.6">
      <c r="E4137" s="279" t="s">
        <v>4463</v>
      </c>
      <c r="F4137" s="284">
        <f t="shared" ca="1" si="128"/>
        <v>0.62777486450763897</v>
      </c>
      <c r="G4137" s="74">
        <v>43.978333129159189</v>
      </c>
      <c r="H4137" s="74">
        <f t="shared" si="129"/>
        <v>-3.4839327858266671</v>
      </c>
    </row>
    <row r="4138" spans="5:8" ht="15.6">
      <c r="E4138" s="279" t="s">
        <v>4464</v>
      </c>
      <c r="F4138" s="284">
        <f t="shared" ca="1" si="128"/>
        <v>0.18390643019513186</v>
      </c>
      <c r="G4138" s="74">
        <v>37.310084787661964</v>
      </c>
      <c r="H4138" s="74">
        <f t="shared" si="129"/>
        <v>3.1843155556705582</v>
      </c>
    </row>
    <row r="4139" spans="5:8" ht="15.6">
      <c r="E4139" s="279" t="s">
        <v>4465</v>
      </c>
      <c r="F4139" s="284">
        <f t="shared" ca="1" si="128"/>
        <v>0.12698661131389843</v>
      </c>
      <c r="G4139" s="74">
        <v>40.750211529664277</v>
      </c>
      <c r="H4139" s="74">
        <f t="shared" si="129"/>
        <v>-0.25581118633175493</v>
      </c>
    </row>
    <row r="4140" spans="5:8" ht="15.6">
      <c r="E4140" s="279" t="s">
        <v>4466</v>
      </c>
      <c r="F4140" s="284">
        <f t="shared" ca="1" si="128"/>
        <v>0.85914547740335412</v>
      </c>
      <c r="G4140" s="74">
        <v>36.626212186202125</v>
      </c>
      <c r="H4140" s="74">
        <f t="shared" si="129"/>
        <v>3.8681881571303975</v>
      </c>
    </row>
    <row r="4141" spans="5:8" ht="15.6">
      <c r="E4141" s="279" t="s">
        <v>4467</v>
      </c>
      <c r="F4141" s="284">
        <f t="shared" ca="1" si="128"/>
        <v>0.37707963037930958</v>
      </c>
      <c r="G4141" s="74">
        <v>36.353730612102638</v>
      </c>
      <c r="H4141" s="74">
        <f t="shared" si="129"/>
        <v>4.1406697312298846</v>
      </c>
    </row>
    <row r="4142" spans="5:8" ht="15.6">
      <c r="E4142" s="279" t="s">
        <v>4468</v>
      </c>
      <c r="F4142" s="284">
        <f t="shared" ca="1" si="128"/>
        <v>0.62635161106331683</v>
      </c>
      <c r="G4142" s="74">
        <v>37.144826454119453</v>
      </c>
      <c r="H4142" s="74">
        <f t="shared" si="129"/>
        <v>3.3495738892130689</v>
      </c>
    </row>
    <row r="4143" spans="5:8" ht="15.6">
      <c r="E4143" s="279" t="s">
        <v>4469</v>
      </c>
      <c r="F4143" s="284">
        <f t="shared" ca="1" si="128"/>
        <v>0.76529751085838482</v>
      </c>
      <c r="G4143" s="74">
        <v>39.650761581082598</v>
      </c>
      <c r="H4143" s="74">
        <f t="shared" si="129"/>
        <v>0.84363876224992396</v>
      </c>
    </row>
    <row r="4144" spans="5:8" ht="15.6">
      <c r="E4144" s="279" t="s">
        <v>4470</v>
      </c>
      <c r="F4144" s="284">
        <f t="shared" ca="1" si="128"/>
        <v>5.5867598304179533E-2</v>
      </c>
      <c r="G4144" s="74">
        <v>42.867505342321103</v>
      </c>
      <c r="H4144" s="74">
        <f t="shared" si="129"/>
        <v>-2.3731049989885804</v>
      </c>
    </row>
    <row r="4145" spans="5:8" ht="15.6">
      <c r="E4145" s="279" t="s">
        <v>4471</v>
      </c>
      <c r="F4145" s="284">
        <f t="shared" ca="1" si="128"/>
        <v>0.16947541138393096</v>
      </c>
      <c r="G4145" s="74">
        <v>42.413527299280588</v>
      </c>
      <c r="H4145" s="74">
        <f t="shared" si="129"/>
        <v>-1.9191269559480659</v>
      </c>
    </row>
    <row r="4146" spans="5:8" ht="15.6">
      <c r="E4146" s="279" t="s">
        <v>4472</v>
      </c>
      <c r="F4146" s="284">
        <f t="shared" ca="1" si="128"/>
        <v>6.4723687120407547E-2</v>
      </c>
      <c r="G4146" s="74">
        <v>42.255096407867626</v>
      </c>
      <c r="H4146" s="74">
        <f t="shared" si="129"/>
        <v>-1.7606960645351037</v>
      </c>
    </row>
    <row r="4147" spans="5:8" ht="15.6">
      <c r="E4147" s="279" t="s">
        <v>4473</v>
      </c>
      <c r="F4147" s="284">
        <f t="shared" ca="1" si="128"/>
        <v>0.27122648010776329</v>
      </c>
      <c r="G4147" s="74">
        <v>38.153521061386577</v>
      </c>
      <c r="H4147" s="74">
        <f t="shared" si="129"/>
        <v>2.340879281945945</v>
      </c>
    </row>
    <row r="4148" spans="5:8" ht="15.6">
      <c r="E4148" s="279" t="s">
        <v>4474</v>
      </c>
      <c r="F4148" s="284">
        <f t="shared" ca="1" si="128"/>
        <v>6.7952052917795713E-3</v>
      </c>
      <c r="G4148" s="74">
        <v>40.029731991104242</v>
      </c>
      <c r="H4148" s="74">
        <f t="shared" si="129"/>
        <v>0.46466835222827996</v>
      </c>
    </row>
    <row r="4149" spans="5:8" ht="15.6">
      <c r="E4149" s="279" t="s">
        <v>4475</v>
      </c>
      <c r="F4149" s="284">
        <f t="shared" ca="1" si="128"/>
        <v>0.49256832852145827</v>
      </c>
      <c r="G4149" s="74">
        <v>40.144720925945244</v>
      </c>
      <c r="H4149" s="74">
        <f t="shared" si="129"/>
        <v>0.34967941738727859</v>
      </c>
    </row>
    <row r="4150" spans="5:8" ht="15.6">
      <c r="E4150" s="279" t="s">
        <v>4476</v>
      </c>
      <c r="F4150" s="284">
        <f t="shared" ca="1" si="128"/>
        <v>0.88214657620687598</v>
      </c>
      <c r="G4150" s="74">
        <v>38.749477320118309</v>
      </c>
      <c r="H4150" s="74">
        <f t="shared" si="129"/>
        <v>1.7449230232142128</v>
      </c>
    </row>
    <row r="4151" spans="5:8" ht="15.6">
      <c r="E4151" s="279" t="s">
        <v>4477</v>
      </c>
      <c r="F4151" s="284">
        <f t="shared" ca="1" si="128"/>
        <v>0.47264141816214733</v>
      </c>
      <c r="G4151" s="74">
        <v>34.489381092290841</v>
      </c>
      <c r="H4151" s="74">
        <f t="shared" si="129"/>
        <v>6.0050192510416807</v>
      </c>
    </row>
    <row r="4152" spans="5:8" ht="15.6">
      <c r="E4152" s="279" t="s">
        <v>4478</v>
      </c>
      <c r="F4152" s="284">
        <f t="shared" ca="1" si="128"/>
        <v>0.59467902149575347</v>
      </c>
      <c r="G4152" s="74">
        <v>37.73257240934845</v>
      </c>
      <c r="H4152" s="74">
        <f t="shared" si="129"/>
        <v>2.7618279339840726</v>
      </c>
    </row>
    <row r="4153" spans="5:8" ht="15.6">
      <c r="E4153" s="279" t="s">
        <v>4479</v>
      </c>
      <c r="F4153" s="284">
        <f t="shared" ca="1" si="128"/>
        <v>0.71974492600823026</v>
      </c>
      <c r="G4153" s="74">
        <v>39.934289095728218</v>
      </c>
      <c r="H4153" s="74">
        <f t="shared" si="129"/>
        <v>0.5601112476043042</v>
      </c>
    </row>
    <row r="4154" spans="5:8" ht="15.6">
      <c r="E4154" s="279" t="s">
        <v>4480</v>
      </c>
      <c r="F4154" s="284">
        <f t="shared" ca="1" si="128"/>
        <v>0.38836656952284276</v>
      </c>
      <c r="G4154" s="74">
        <v>41.32692435127796</v>
      </c>
      <c r="H4154" s="74">
        <f t="shared" si="129"/>
        <v>-0.83252400794543746</v>
      </c>
    </row>
    <row r="4155" spans="5:8" ht="15.6">
      <c r="E4155" s="279" t="s">
        <v>4481</v>
      </c>
      <c r="F4155" s="284">
        <f t="shared" ca="1" si="128"/>
        <v>0.10108994765782398</v>
      </c>
      <c r="G4155" s="74">
        <v>42.445600242857829</v>
      </c>
      <c r="H4155" s="74">
        <f t="shared" si="129"/>
        <v>-1.9511998995253066</v>
      </c>
    </row>
    <row r="4156" spans="5:8" ht="15.6">
      <c r="E4156" s="279" t="s">
        <v>4482</v>
      </c>
      <c r="F4156" s="284">
        <f t="shared" ca="1" si="128"/>
        <v>0.66485168464225619</v>
      </c>
      <c r="G4156" s="74">
        <v>40.67802644223179</v>
      </c>
      <c r="H4156" s="74">
        <f t="shared" si="129"/>
        <v>-0.18362609889926773</v>
      </c>
    </row>
    <row r="4157" spans="5:8" ht="15.6">
      <c r="E4157" s="279" t="s">
        <v>4483</v>
      </c>
      <c r="F4157" s="284">
        <f t="shared" ca="1" si="128"/>
        <v>0.86408978207516363</v>
      </c>
      <c r="G4157" s="74">
        <v>39.897129973025315</v>
      </c>
      <c r="H4157" s="74">
        <f t="shared" si="129"/>
        <v>0.59727037030720709</v>
      </c>
    </row>
    <row r="4158" spans="5:8" ht="15.6">
      <c r="E4158" s="279" t="s">
        <v>4484</v>
      </c>
      <c r="F4158" s="284">
        <f t="shared" ca="1" si="128"/>
        <v>4.6916433001655267E-2</v>
      </c>
      <c r="G4158" s="74">
        <v>39.0631228734348</v>
      </c>
      <c r="H4158" s="74">
        <f t="shared" si="129"/>
        <v>1.4312774698977222</v>
      </c>
    </row>
    <row r="4159" spans="5:8" ht="15.6">
      <c r="E4159" s="279" t="s">
        <v>4485</v>
      </c>
      <c r="F4159" s="284">
        <f t="shared" ca="1" si="128"/>
        <v>0.65599062604431813</v>
      </c>
      <c r="G4159" s="74">
        <v>38.844501508322026</v>
      </c>
      <c r="H4159" s="74">
        <f t="shared" si="129"/>
        <v>1.6498988350104966</v>
      </c>
    </row>
    <row r="4160" spans="5:8" ht="15.6">
      <c r="E4160" s="279" t="s">
        <v>4486</v>
      </c>
      <c r="F4160" s="284">
        <f t="shared" ca="1" si="128"/>
        <v>0.98432277751731734</v>
      </c>
      <c r="G4160" s="74">
        <v>34.64090946294673</v>
      </c>
      <c r="H4160" s="74">
        <f t="shared" si="129"/>
        <v>5.8534908803857917</v>
      </c>
    </row>
    <row r="4161" spans="5:8" ht="15.6">
      <c r="E4161" s="279" t="s">
        <v>4487</v>
      </c>
      <c r="F4161" s="284">
        <f t="shared" ca="1" si="128"/>
        <v>0.66406449807540113</v>
      </c>
      <c r="G4161" s="74">
        <v>38.55137229835767</v>
      </c>
      <c r="H4161" s="74">
        <f t="shared" si="129"/>
        <v>1.9430280449748523</v>
      </c>
    </row>
    <row r="4162" spans="5:8" ht="15.6">
      <c r="E4162" s="279" t="s">
        <v>4488</v>
      </c>
      <c r="F4162" s="284">
        <f t="shared" ca="1" si="128"/>
        <v>0.68105100423150167</v>
      </c>
      <c r="G4162" s="74">
        <v>39.459202635031303</v>
      </c>
      <c r="H4162" s="74">
        <f t="shared" si="129"/>
        <v>1.0351977083012187</v>
      </c>
    </row>
    <row r="4163" spans="5:8" ht="15.6">
      <c r="E4163" s="279" t="s">
        <v>4489</v>
      </c>
      <c r="F4163" s="284">
        <f t="shared" ca="1" si="128"/>
        <v>0.23973015811339782</v>
      </c>
      <c r="G4163" s="74">
        <v>40.98846707759779</v>
      </c>
      <c r="H4163" s="74">
        <f t="shared" si="129"/>
        <v>-0.49406673426526737</v>
      </c>
    </row>
    <row r="4164" spans="5:8" ht="15.6">
      <c r="E4164" s="279" t="s">
        <v>4490</v>
      </c>
      <c r="F4164" s="284">
        <f t="shared" ca="1" si="128"/>
        <v>0.27446877642466039</v>
      </c>
      <c r="G4164" s="74">
        <v>37.192912421500992</v>
      </c>
      <c r="H4164" s="74">
        <f t="shared" si="129"/>
        <v>3.3014879218315301</v>
      </c>
    </row>
    <row r="4165" spans="5:8" ht="15.6">
      <c r="E4165" s="279" t="s">
        <v>4491</v>
      </c>
      <c r="F4165" s="284">
        <f t="shared" ca="1" si="128"/>
        <v>0.97780966278444092</v>
      </c>
      <c r="G4165" s="74">
        <v>40.299194664390967</v>
      </c>
      <c r="H4165" s="74">
        <f t="shared" si="129"/>
        <v>0.19520567894155505</v>
      </c>
    </row>
    <row r="4166" spans="5:8" ht="15.6">
      <c r="E4166" s="279" t="s">
        <v>4492</v>
      </c>
      <c r="F4166" s="284">
        <f t="shared" ca="1" si="128"/>
        <v>6.19074488821032E-2</v>
      </c>
      <c r="G4166" s="74">
        <v>35.998220046140723</v>
      </c>
      <c r="H4166" s="74">
        <f t="shared" si="129"/>
        <v>4.496180297191799</v>
      </c>
    </row>
    <row r="4167" spans="5:8" ht="15.6">
      <c r="E4167" s="279" t="s">
        <v>4493</v>
      </c>
      <c r="F4167" s="284">
        <f t="shared" ca="1" si="128"/>
        <v>0.80524674460713874</v>
      </c>
      <c r="G4167" s="74">
        <v>37.736728075325352</v>
      </c>
      <c r="H4167" s="74">
        <f t="shared" si="129"/>
        <v>2.7576722680071697</v>
      </c>
    </row>
    <row r="4168" spans="5:8" ht="15.6">
      <c r="E4168" s="279" t="s">
        <v>4494</v>
      </c>
      <c r="F4168" s="284">
        <f t="shared" ca="1" si="128"/>
        <v>0.49366082647451393</v>
      </c>
      <c r="G4168" s="74">
        <v>36.815659634568213</v>
      </c>
      <c r="H4168" s="74">
        <f t="shared" si="129"/>
        <v>3.6787407087643089</v>
      </c>
    </row>
    <row r="4169" spans="5:8" ht="15.6">
      <c r="E4169" s="279" t="s">
        <v>4495</v>
      </c>
      <c r="F4169" s="284">
        <f t="shared" ca="1" si="128"/>
        <v>0.66513663295601044</v>
      </c>
      <c r="G4169" s="74">
        <v>37.410379453372258</v>
      </c>
      <c r="H4169" s="74">
        <f t="shared" si="129"/>
        <v>3.0840208899602644</v>
      </c>
    </row>
    <row r="4170" spans="5:8" ht="15.6">
      <c r="E4170" s="279" t="s">
        <v>4496</v>
      </c>
      <c r="F4170" s="284">
        <f t="shared" ca="1" si="128"/>
        <v>4.6020238942260594E-2</v>
      </c>
      <c r="G4170" s="74">
        <v>39.556334762788254</v>
      </c>
      <c r="H4170" s="74">
        <f t="shared" si="129"/>
        <v>0.93806558054426858</v>
      </c>
    </row>
    <row r="4171" spans="5:8" ht="15.6">
      <c r="E4171" s="279" t="s">
        <v>4497</v>
      </c>
      <c r="F4171" s="284">
        <f t="shared" ca="1" si="128"/>
        <v>0.19371949945819056</v>
      </c>
      <c r="G4171" s="74">
        <v>37.780870165390894</v>
      </c>
      <c r="H4171" s="74">
        <f t="shared" si="129"/>
        <v>2.7135301779416281</v>
      </c>
    </row>
    <row r="4172" spans="5:8" ht="15.6">
      <c r="E4172" s="279" t="s">
        <v>4498</v>
      </c>
      <c r="F4172" s="284">
        <f t="shared" ref="F4172:F4235" ca="1" si="130">RAND()</f>
        <v>0.63534460382678337</v>
      </c>
      <c r="G4172" s="74">
        <v>37.225708192037104</v>
      </c>
      <c r="H4172" s="74">
        <f t="shared" ref="H4172:H4235" si="131">$D$2-G4172</f>
        <v>3.2686921512954186</v>
      </c>
    </row>
    <row r="4173" spans="5:8" ht="15.6">
      <c r="E4173" s="279" t="s">
        <v>4499</v>
      </c>
      <c r="F4173" s="284">
        <f t="shared" ca="1" si="130"/>
        <v>0.70469899725296858</v>
      </c>
      <c r="G4173" s="74">
        <v>40.353295650510191</v>
      </c>
      <c r="H4173" s="74">
        <f t="shared" si="131"/>
        <v>0.1411046928223314</v>
      </c>
    </row>
    <row r="4174" spans="5:8" ht="15.6">
      <c r="E4174" s="279" t="s">
        <v>4500</v>
      </c>
      <c r="F4174" s="284">
        <f t="shared" ca="1" si="130"/>
        <v>0.61909080436140396</v>
      </c>
      <c r="G4174" s="74">
        <v>44.629987971506786</v>
      </c>
      <c r="H4174" s="74">
        <f t="shared" si="131"/>
        <v>-4.1355876281742638</v>
      </c>
    </row>
    <row r="4175" spans="5:8" ht="15.6">
      <c r="E4175" s="279" t="s">
        <v>4501</v>
      </c>
      <c r="F4175" s="284">
        <f t="shared" ca="1" si="130"/>
        <v>0.71969997935196572</v>
      </c>
      <c r="G4175" s="74">
        <v>41.292429060890733</v>
      </c>
      <c r="H4175" s="74">
        <f t="shared" si="131"/>
        <v>-0.79802871755821059</v>
      </c>
    </row>
    <row r="4176" spans="5:8" ht="15.6">
      <c r="E4176" s="279" t="s">
        <v>4502</v>
      </c>
      <c r="F4176" s="284">
        <f t="shared" ca="1" si="130"/>
        <v>0.74125365940266852</v>
      </c>
      <c r="G4176" s="74">
        <v>35.863621850870345</v>
      </c>
      <c r="H4176" s="74">
        <f t="shared" si="131"/>
        <v>4.6307784924621771</v>
      </c>
    </row>
    <row r="4177" spans="5:8" ht="15.6">
      <c r="E4177" s="279" t="s">
        <v>4503</v>
      </c>
      <c r="F4177" s="284">
        <f t="shared" ca="1" si="130"/>
        <v>0.73673985688199961</v>
      </c>
      <c r="G4177" s="74">
        <v>38.391635765876806</v>
      </c>
      <c r="H4177" s="74">
        <f t="shared" si="131"/>
        <v>2.1027645774557158</v>
      </c>
    </row>
    <row r="4178" spans="5:8" ht="15.6">
      <c r="E4178" s="279" t="s">
        <v>4504</v>
      </c>
      <c r="F4178" s="284">
        <f t="shared" ca="1" si="130"/>
        <v>0.8785961579156093</v>
      </c>
      <c r="G4178" s="74">
        <v>44.069539571912173</v>
      </c>
      <c r="H4178" s="74">
        <f t="shared" si="131"/>
        <v>-3.5751392285796513</v>
      </c>
    </row>
    <row r="4179" spans="5:8" ht="15.6">
      <c r="E4179" s="279" t="s">
        <v>4505</v>
      </c>
      <c r="F4179" s="284">
        <f t="shared" ca="1" si="130"/>
        <v>0.93187438956373336</v>
      </c>
      <c r="G4179" s="74">
        <v>38.994706576366895</v>
      </c>
      <c r="H4179" s="74">
        <f t="shared" si="131"/>
        <v>1.4996937669656276</v>
      </c>
    </row>
    <row r="4180" spans="5:8" ht="15.6">
      <c r="E4180" s="279" t="s">
        <v>4506</v>
      </c>
      <c r="F4180" s="284">
        <f t="shared" ca="1" si="130"/>
        <v>0.910655427423534</v>
      </c>
      <c r="G4180" s="74">
        <v>42.559062864665357</v>
      </c>
      <c r="H4180" s="74">
        <f t="shared" si="131"/>
        <v>-2.0646625213328349</v>
      </c>
    </row>
    <row r="4181" spans="5:8" ht="15.6">
      <c r="E4181" s="279" t="s">
        <v>4507</v>
      </c>
      <c r="F4181" s="284">
        <f t="shared" ca="1" si="130"/>
        <v>0.42621881290136343</v>
      </c>
      <c r="G4181" s="74">
        <v>33.997820545847027</v>
      </c>
      <c r="H4181" s="74">
        <f t="shared" si="131"/>
        <v>6.4965797974854951</v>
      </c>
    </row>
    <row r="4182" spans="5:8" ht="15.6">
      <c r="E4182" s="279" t="s">
        <v>4508</v>
      </c>
      <c r="F4182" s="284">
        <f t="shared" ca="1" si="130"/>
        <v>0.18113428862732583</v>
      </c>
      <c r="G4182" s="74">
        <v>36.890591217037276</v>
      </c>
      <c r="H4182" s="74">
        <f t="shared" si="131"/>
        <v>3.6038091262952463</v>
      </c>
    </row>
    <row r="4183" spans="5:8" ht="15.6">
      <c r="E4183" s="279" t="s">
        <v>4509</v>
      </c>
      <c r="F4183" s="284">
        <f t="shared" ca="1" si="130"/>
        <v>0.39723009713854796</v>
      </c>
      <c r="G4183" s="74">
        <v>39.758317275642341</v>
      </c>
      <c r="H4183" s="74">
        <f t="shared" si="131"/>
        <v>0.73608306769018128</v>
      </c>
    </row>
    <row r="4184" spans="5:8" ht="15.6">
      <c r="E4184" s="279" t="s">
        <v>4510</v>
      </c>
      <c r="F4184" s="284">
        <f t="shared" ca="1" si="130"/>
        <v>0.13659651077244861</v>
      </c>
      <c r="G4184" s="74">
        <v>39.134547474844886</v>
      </c>
      <c r="H4184" s="74">
        <f t="shared" si="131"/>
        <v>1.3598528684876356</v>
      </c>
    </row>
    <row r="4185" spans="5:8" ht="15.6">
      <c r="E4185" s="279" t="s">
        <v>4511</v>
      </c>
      <c r="F4185" s="284">
        <f t="shared" ca="1" si="130"/>
        <v>0.65975594590596187</v>
      </c>
      <c r="G4185" s="74">
        <v>38.326247616700165</v>
      </c>
      <c r="H4185" s="74">
        <f t="shared" si="131"/>
        <v>2.168152726632357</v>
      </c>
    </row>
    <row r="4186" spans="5:8" ht="15.6">
      <c r="E4186" s="279" t="s">
        <v>4512</v>
      </c>
      <c r="F4186" s="284">
        <f t="shared" ca="1" si="130"/>
        <v>0.70580031171480595</v>
      </c>
      <c r="G4186" s="74">
        <v>40.934606274363937</v>
      </c>
      <c r="H4186" s="74">
        <f t="shared" si="131"/>
        <v>-0.44020593103141437</v>
      </c>
    </row>
    <row r="4187" spans="5:8" ht="15.6">
      <c r="E4187" s="279" t="s">
        <v>4513</v>
      </c>
      <c r="F4187" s="284">
        <f t="shared" ca="1" si="130"/>
        <v>0.28069242571021502</v>
      </c>
      <c r="G4187" s="74">
        <v>42.50651329660711</v>
      </c>
      <c r="H4187" s="74">
        <f t="shared" si="131"/>
        <v>-2.0121129532745883</v>
      </c>
    </row>
    <row r="4188" spans="5:8" ht="15.6">
      <c r="E4188" s="279" t="s">
        <v>4514</v>
      </c>
      <c r="F4188" s="284">
        <f t="shared" ca="1" si="130"/>
        <v>9.023541984405159E-2</v>
      </c>
      <c r="G4188" s="74">
        <v>37.395568418388059</v>
      </c>
      <c r="H4188" s="74">
        <f t="shared" si="131"/>
        <v>3.0988319249444629</v>
      </c>
    </row>
    <row r="4189" spans="5:8" ht="15.6">
      <c r="E4189" s="279" t="s">
        <v>4515</v>
      </c>
      <c r="F4189" s="284">
        <f t="shared" ca="1" si="130"/>
        <v>0.50709555760706526</v>
      </c>
      <c r="G4189" s="74">
        <v>39.938754883765547</v>
      </c>
      <c r="H4189" s="74">
        <f t="shared" si="131"/>
        <v>0.55564545956697486</v>
      </c>
    </row>
    <row r="4190" spans="5:8" ht="15.6">
      <c r="E4190" s="279" t="s">
        <v>4516</v>
      </c>
      <c r="F4190" s="284">
        <f t="shared" ca="1" si="130"/>
        <v>0.66787916997043051</v>
      </c>
      <c r="G4190" s="74">
        <v>41.530337949635346</v>
      </c>
      <c r="H4190" s="74">
        <f t="shared" si="131"/>
        <v>-1.0359376063028236</v>
      </c>
    </row>
    <row r="4191" spans="5:8" ht="15.6">
      <c r="E4191" s="279" t="s">
        <v>4517</v>
      </c>
      <c r="F4191" s="284">
        <f t="shared" ca="1" si="130"/>
        <v>0.9571987448078062</v>
      </c>
      <c r="G4191" s="74">
        <v>38.828050182837899</v>
      </c>
      <c r="H4191" s="74">
        <f t="shared" si="131"/>
        <v>1.6663501604946234</v>
      </c>
    </row>
    <row r="4192" spans="5:8" ht="15.6">
      <c r="E4192" s="279" t="s">
        <v>4518</v>
      </c>
      <c r="F4192" s="284">
        <f t="shared" ca="1" si="130"/>
        <v>0.14813086068761949</v>
      </c>
      <c r="G4192" s="74">
        <v>38.017903065053559</v>
      </c>
      <c r="H4192" s="74">
        <f t="shared" si="131"/>
        <v>2.4764972782789627</v>
      </c>
    </row>
    <row r="4193" spans="5:8" ht="15.6">
      <c r="E4193" s="279" t="s">
        <v>4519</v>
      </c>
      <c r="F4193" s="284">
        <f t="shared" ca="1" si="130"/>
        <v>0.97601615513184936</v>
      </c>
      <c r="G4193" s="74">
        <v>37.784499441495214</v>
      </c>
      <c r="H4193" s="74">
        <f t="shared" si="131"/>
        <v>2.7099009018373081</v>
      </c>
    </row>
    <row r="4194" spans="5:8" ht="15.6">
      <c r="E4194" s="279" t="s">
        <v>4520</v>
      </c>
      <c r="F4194" s="284">
        <f t="shared" ca="1" si="130"/>
        <v>0.38418938015475734</v>
      </c>
      <c r="G4194" s="74">
        <v>39.543308364283199</v>
      </c>
      <c r="H4194" s="74">
        <f t="shared" si="131"/>
        <v>0.9510919790493233</v>
      </c>
    </row>
    <row r="4195" spans="5:8" ht="15.6">
      <c r="E4195" s="279" t="s">
        <v>4521</v>
      </c>
      <c r="F4195" s="284">
        <f t="shared" ca="1" si="130"/>
        <v>0.74365121258691014</v>
      </c>
      <c r="G4195" s="74">
        <v>40.62563928438675</v>
      </c>
      <c r="H4195" s="74">
        <f t="shared" si="131"/>
        <v>-0.13123894105422806</v>
      </c>
    </row>
    <row r="4196" spans="5:8" ht="15.6">
      <c r="E4196" s="279" t="s">
        <v>4522</v>
      </c>
      <c r="F4196" s="284">
        <f t="shared" ca="1" si="130"/>
        <v>0.41189117571052802</v>
      </c>
      <c r="G4196" s="74">
        <v>35.929360487681251</v>
      </c>
      <c r="H4196" s="74">
        <f t="shared" si="131"/>
        <v>4.5650398556512712</v>
      </c>
    </row>
    <row r="4197" spans="5:8" ht="15.6">
      <c r="E4197" s="279" t="s">
        <v>4523</v>
      </c>
      <c r="F4197" s="284">
        <f t="shared" ca="1" si="130"/>
        <v>3.2712434130458323E-2</v>
      </c>
      <c r="G4197" s="74">
        <v>39.216554988813847</v>
      </c>
      <c r="H4197" s="74">
        <f t="shared" si="131"/>
        <v>1.277845354518675</v>
      </c>
    </row>
    <row r="4198" spans="5:8" ht="15.6">
      <c r="E4198" s="279" t="s">
        <v>4524</v>
      </c>
      <c r="F4198" s="284">
        <f t="shared" ca="1" si="130"/>
        <v>0.32282911394301517</v>
      </c>
      <c r="G4198" s="74">
        <v>39.552438773653009</v>
      </c>
      <c r="H4198" s="74">
        <f t="shared" si="131"/>
        <v>0.94196156967951339</v>
      </c>
    </row>
    <row r="4199" spans="5:8" ht="15.6">
      <c r="E4199" s="279" t="s">
        <v>4525</v>
      </c>
      <c r="F4199" s="284">
        <f t="shared" ca="1" si="130"/>
        <v>0.38211591418776492</v>
      </c>
      <c r="G4199" s="74">
        <v>36.29358536183188</v>
      </c>
      <c r="H4199" s="74">
        <f t="shared" si="131"/>
        <v>4.2008149815006419</v>
      </c>
    </row>
    <row r="4200" spans="5:8" ht="15.6">
      <c r="E4200" s="279" t="s">
        <v>4526</v>
      </c>
      <c r="F4200" s="284">
        <f t="shared" ca="1" si="130"/>
        <v>0.49497317401557328</v>
      </c>
      <c r="G4200" s="74">
        <v>35.763043674574995</v>
      </c>
      <c r="H4200" s="74">
        <f t="shared" si="131"/>
        <v>4.7313566687575275</v>
      </c>
    </row>
    <row r="4201" spans="5:8" ht="15.6">
      <c r="E4201" s="279" t="s">
        <v>4527</v>
      </c>
      <c r="F4201" s="284">
        <f t="shared" ca="1" si="130"/>
        <v>0.64184341452900173</v>
      </c>
      <c r="G4201" s="74">
        <v>40.985795314219033</v>
      </c>
      <c r="H4201" s="74">
        <f t="shared" si="131"/>
        <v>-0.49139497088651041</v>
      </c>
    </row>
    <row r="4202" spans="5:8" ht="15.6">
      <c r="E4202" s="279" t="s">
        <v>4528</v>
      </c>
      <c r="F4202" s="284">
        <f t="shared" ca="1" si="130"/>
        <v>0.88640023726814554</v>
      </c>
      <c r="G4202" s="74">
        <v>41.262868377831317</v>
      </c>
      <c r="H4202" s="74">
        <f t="shared" si="131"/>
        <v>-0.7684680344987953</v>
      </c>
    </row>
    <row r="4203" spans="5:8" ht="15.6">
      <c r="E4203" s="279" t="s">
        <v>4529</v>
      </c>
      <c r="F4203" s="284">
        <f t="shared" ca="1" si="130"/>
        <v>0.49090512702811362</v>
      </c>
      <c r="G4203" s="74">
        <v>39.886415471518298</v>
      </c>
      <c r="H4203" s="74">
        <f t="shared" si="131"/>
        <v>0.60798487181422445</v>
      </c>
    </row>
    <row r="4204" spans="5:8" ht="15.6">
      <c r="E4204" s="279" t="s">
        <v>4530</v>
      </c>
      <c r="F4204" s="284">
        <f t="shared" ca="1" si="130"/>
        <v>4.9230651316651719E-2</v>
      </c>
      <c r="G4204" s="74">
        <v>37.976613500731077</v>
      </c>
      <c r="H4204" s="74">
        <f t="shared" si="131"/>
        <v>2.5177868426014456</v>
      </c>
    </row>
    <row r="4205" spans="5:8" ht="15.6">
      <c r="E4205" s="279" t="s">
        <v>4531</v>
      </c>
      <c r="F4205" s="284">
        <f t="shared" ca="1" si="130"/>
        <v>0.75561837884212746</v>
      </c>
      <c r="G4205" s="74">
        <v>41.128422650559955</v>
      </c>
      <c r="H4205" s="74">
        <f t="shared" si="131"/>
        <v>-0.63402230722743269</v>
      </c>
    </row>
    <row r="4206" spans="5:8" ht="15.6">
      <c r="E4206" s="279" t="s">
        <v>4532</v>
      </c>
      <c r="F4206" s="284">
        <f t="shared" ca="1" si="130"/>
        <v>0.43552703629487666</v>
      </c>
      <c r="G4206" s="74">
        <v>42.460266763121929</v>
      </c>
      <c r="H4206" s="74">
        <f t="shared" si="131"/>
        <v>-1.9658664197894069</v>
      </c>
    </row>
    <row r="4207" spans="5:8" ht="15.6">
      <c r="E4207" s="279" t="s">
        <v>4533</v>
      </c>
      <c r="F4207" s="284">
        <f t="shared" ca="1" si="130"/>
        <v>0.55605412641658547</v>
      </c>
      <c r="G4207" s="74">
        <v>38.87424030978913</v>
      </c>
      <c r="H4207" s="74">
        <f t="shared" si="131"/>
        <v>1.6201600335433923</v>
      </c>
    </row>
    <row r="4208" spans="5:8" ht="15.6">
      <c r="E4208" s="279" t="s">
        <v>4534</v>
      </c>
      <c r="F4208" s="284">
        <f t="shared" ca="1" si="130"/>
        <v>0.1234000096123915</v>
      </c>
      <c r="G4208" s="74">
        <v>37.695660893316827</v>
      </c>
      <c r="H4208" s="74">
        <f t="shared" si="131"/>
        <v>2.7987394500156952</v>
      </c>
    </row>
    <row r="4209" spans="5:8" ht="15.6">
      <c r="E4209" s="279" t="s">
        <v>4535</v>
      </c>
      <c r="F4209" s="284">
        <f t="shared" ca="1" si="130"/>
        <v>0.40889211135538783</v>
      </c>
      <c r="G4209" s="74">
        <v>39.475992022322096</v>
      </c>
      <c r="H4209" s="74">
        <f t="shared" si="131"/>
        <v>1.0184083210104262</v>
      </c>
    </row>
    <row r="4210" spans="5:8" ht="15.6">
      <c r="E4210" s="279" t="s">
        <v>4536</v>
      </c>
      <c r="F4210" s="284">
        <f t="shared" ca="1" si="130"/>
        <v>0.10628840481854973</v>
      </c>
      <c r="G4210" s="74">
        <v>36.282217513012554</v>
      </c>
      <c r="H4210" s="74">
        <f t="shared" si="131"/>
        <v>4.2121828303199678</v>
      </c>
    </row>
    <row r="4211" spans="5:8" ht="15.6">
      <c r="E4211" s="279" t="s">
        <v>4537</v>
      </c>
      <c r="F4211" s="284">
        <f t="shared" ca="1" si="130"/>
        <v>0.68426386896797353</v>
      </c>
      <c r="G4211" s="74">
        <v>40.043824378898826</v>
      </c>
      <c r="H4211" s="74">
        <f t="shared" si="131"/>
        <v>0.45057596443369619</v>
      </c>
    </row>
    <row r="4212" spans="5:8" ht="15.6">
      <c r="E4212" s="279" t="s">
        <v>4538</v>
      </c>
      <c r="F4212" s="284">
        <f t="shared" ca="1" si="130"/>
        <v>0.29670396672391419</v>
      </c>
      <c r="G4212" s="74">
        <v>44.333980944963557</v>
      </c>
      <c r="H4212" s="74">
        <f t="shared" si="131"/>
        <v>-3.8395806016310345</v>
      </c>
    </row>
    <row r="4213" spans="5:8" ht="15.6">
      <c r="E4213" s="279" t="s">
        <v>4539</v>
      </c>
      <c r="F4213" s="284">
        <f t="shared" ca="1" si="130"/>
        <v>0.46868064421329136</v>
      </c>
      <c r="G4213" s="74">
        <v>42.229279417572386</v>
      </c>
      <c r="H4213" s="74">
        <f t="shared" si="131"/>
        <v>-1.7348790742398634</v>
      </c>
    </row>
    <row r="4214" spans="5:8" ht="15.6">
      <c r="E4214" s="279" t="s">
        <v>4540</v>
      </c>
      <c r="F4214" s="284">
        <f t="shared" ca="1" si="130"/>
        <v>0.90294233467942109</v>
      </c>
      <c r="G4214" s="74">
        <v>38.805876979445955</v>
      </c>
      <c r="H4214" s="74">
        <f t="shared" si="131"/>
        <v>1.6885233638865671</v>
      </c>
    </row>
    <row r="4215" spans="5:8" ht="15.6">
      <c r="E4215" s="279" t="s">
        <v>4541</v>
      </c>
      <c r="F4215" s="284">
        <f t="shared" ca="1" si="130"/>
        <v>0.67484656799353193</v>
      </c>
      <c r="G4215" s="74">
        <v>38.232998164393599</v>
      </c>
      <c r="H4215" s="74">
        <f t="shared" si="131"/>
        <v>2.2614021789389227</v>
      </c>
    </row>
    <row r="4216" spans="5:8" ht="15.6">
      <c r="E4216" s="279" t="s">
        <v>4542</v>
      </c>
      <c r="F4216" s="284">
        <f t="shared" ca="1" si="130"/>
        <v>0.49660487442454027</v>
      </c>
      <c r="G4216" s="74">
        <v>36.431235177938646</v>
      </c>
      <c r="H4216" s="74">
        <f t="shared" si="131"/>
        <v>4.0631651653938761</v>
      </c>
    </row>
    <row r="4217" spans="5:8" ht="15.6">
      <c r="E4217" s="279" t="s">
        <v>4543</v>
      </c>
      <c r="F4217" s="284">
        <f t="shared" ca="1" si="130"/>
        <v>0.42729874199269835</v>
      </c>
      <c r="G4217" s="74">
        <v>39.872093886252699</v>
      </c>
      <c r="H4217" s="74">
        <f t="shared" si="131"/>
        <v>0.62230645707982291</v>
      </c>
    </row>
    <row r="4218" spans="5:8" ht="15.6">
      <c r="E4218" s="279" t="s">
        <v>4544</v>
      </c>
      <c r="F4218" s="284">
        <f t="shared" ca="1" si="130"/>
        <v>0.76507489589945354</v>
      </c>
      <c r="G4218" s="74">
        <v>36.015767381911438</v>
      </c>
      <c r="H4218" s="74">
        <f t="shared" si="131"/>
        <v>4.4786329614210842</v>
      </c>
    </row>
    <row r="4219" spans="5:8" ht="15.6">
      <c r="E4219" s="279" t="s">
        <v>4545</v>
      </c>
      <c r="F4219" s="284">
        <f t="shared" ca="1" si="130"/>
        <v>0.93925202331215429</v>
      </c>
      <c r="G4219" s="74">
        <v>40.587507001345209</v>
      </c>
      <c r="H4219" s="74">
        <f t="shared" si="131"/>
        <v>-9.3106658012686694E-2</v>
      </c>
    </row>
    <row r="4220" spans="5:8" ht="15.6">
      <c r="E4220" s="279" t="s">
        <v>4546</v>
      </c>
      <c r="F4220" s="284">
        <f t="shared" ca="1" si="130"/>
        <v>0.42560128868791647</v>
      </c>
      <c r="G4220" s="74">
        <v>39.073485239977941</v>
      </c>
      <c r="H4220" s="74">
        <f t="shared" si="131"/>
        <v>1.4209151033545808</v>
      </c>
    </row>
    <row r="4221" spans="5:8" ht="15.6">
      <c r="E4221" s="279" t="s">
        <v>4547</v>
      </c>
      <c r="F4221" s="284">
        <f t="shared" ca="1" si="130"/>
        <v>0.59192699172875995</v>
      </c>
      <c r="G4221" s="74">
        <v>44.133434754310116</v>
      </c>
      <c r="H4221" s="74">
        <f t="shared" si="131"/>
        <v>-3.6390344109775938</v>
      </c>
    </row>
    <row r="4222" spans="5:8" ht="15.6">
      <c r="E4222" s="279" t="s">
        <v>4548</v>
      </c>
      <c r="F4222" s="284">
        <f t="shared" ca="1" si="130"/>
        <v>0.18232416388776607</v>
      </c>
      <c r="G4222" s="74">
        <v>37.23916194482301</v>
      </c>
      <c r="H4222" s="74">
        <f t="shared" si="131"/>
        <v>3.2552383985095119</v>
      </c>
    </row>
    <row r="4223" spans="5:8" ht="15.6">
      <c r="E4223" s="279" t="s">
        <v>4549</v>
      </c>
      <c r="F4223" s="284">
        <f t="shared" ca="1" si="130"/>
        <v>0.16365556084598798</v>
      </c>
      <c r="G4223" s="74">
        <v>39.773937115918727</v>
      </c>
      <c r="H4223" s="74">
        <f t="shared" si="131"/>
        <v>0.72046322741379498</v>
      </c>
    </row>
    <row r="4224" spans="5:8" ht="15.6">
      <c r="E4224" s="279" t="s">
        <v>4550</v>
      </c>
      <c r="F4224" s="284">
        <f t="shared" ca="1" si="130"/>
        <v>0.11597929194173051</v>
      </c>
      <c r="G4224" s="74">
        <v>42.278190087047037</v>
      </c>
      <c r="H4224" s="74">
        <f t="shared" si="131"/>
        <v>-1.7837897437145145</v>
      </c>
    </row>
    <row r="4225" spans="5:8" ht="15.6">
      <c r="E4225" s="279" t="s">
        <v>4551</v>
      </c>
      <c r="F4225" s="284">
        <f t="shared" ca="1" si="130"/>
        <v>0.62569216078338075</v>
      </c>
      <c r="G4225" s="74">
        <v>42.245207071029299</v>
      </c>
      <c r="H4225" s="74">
        <f t="shared" si="131"/>
        <v>-1.7508067276967765</v>
      </c>
    </row>
    <row r="4226" spans="5:8" ht="15.6">
      <c r="E4226" s="279" t="s">
        <v>4552</v>
      </c>
      <c r="F4226" s="284">
        <f t="shared" ca="1" si="130"/>
        <v>6.8698370852302348E-2</v>
      </c>
      <c r="G4226" s="74">
        <v>39.168545064796689</v>
      </c>
      <c r="H4226" s="74">
        <f t="shared" si="131"/>
        <v>1.3258552785358333</v>
      </c>
    </row>
    <row r="4227" spans="5:8" ht="15.6">
      <c r="E4227" s="279" t="s">
        <v>4553</v>
      </c>
      <c r="F4227" s="284">
        <f t="shared" ca="1" si="130"/>
        <v>0.11088992481027893</v>
      </c>
      <c r="G4227" s="74">
        <v>41.429116118187601</v>
      </c>
      <c r="H4227" s="74">
        <f t="shared" si="131"/>
        <v>-0.93471577485507851</v>
      </c>
    </row>
    <row r="4228" spans="5:8" ht="15.6">
      <c r="E4228" s="279" t="s">
        <v>4554</v>
      </c>
      <c r="F4228" s="284">
        <f t="shared" ca="1" si="130"/>
        <v>0.83328151899779879</v>
      </c>
      <c r="G4228" s="74">
        <v>37.398718174244188</v>
      </c>
      <c r="H4228" s="74">
        <f t="shared" si="131"/>
        <v>3.0956821690883345</v>
      </c>
    </row>
    <row r="4229" spans="5:8" ht="15.6">
      <c r="E4229" s="279" t="s">
        <v>4555</v>
      </c>
      <c r="F4229" s="284">
        <f t="shared" ca="1" si="130"/>
        <v>0.22468520839328987</v>
      </c>
      <c r="G4229" s="74">
        <v>37.496613852363375</v>
      </c>
      <c r="H4229" s="74">
        <f t="shared" si="131"/>
        <v>2.9977864909691476</v>
      </c>
    </row>
    <row r="4230" spans="5:8" ht="15.6">
      <c r="E4230" s="279" t="s">
        <v>4556</v>
      </c>
      <c r="F4230" s="284">
        <f t="shared" ca="1" si="130"/>
        <v>0.63641830730569415</v>
      </c>
      <c r="G4230" s="74">
        <v>40.956838067141746</v>
      </c>
      <c r="H4230" s="74">
        <f t="shared" si="131"/>
        <v>-0.46243772380922366</v>
      </c>
    </row>
    <row r="4231" spans="5:8" ht="15.6">
      <c r="E4231" s="279" t="s">
        <v>4557</v>
      </c>
      <c r="F4231" s="284">
        <f t="shared" ca="1" si="130"/>
        <v>0.77919523468275675</v>
      </c>
      <c r="G4231" s="74">
        <v>39.277145671359698</v>
      </c>
      <c r="H4231" s="74">
        <f t="shared" si="131"/>
        <v>1.2172546719728246</v>
      </c>
    </row>
    <row r="4232" spans="5:8" ht="15.6">
      <c r="E4232" s="279" t="s">
        <v>4558</v>
      </c>
      <c r="F4232" s="284">
        <f t="shared" ca="1" si="130"/>
        <v>0.7396791741940314</v>
      </c>
      <c r="G4232" s="74">
        <v>39.153869531868864</v>
      </c>
      <c r="H4232" s="74">
        <f t="shared" si="131"/>
        <v>1.3405308114636583</v>
      </c>
    </row>
    <row r="4233" spans="5:8" ht="15.6">
      <c r="E4233" s="279" t="s">
        <v>4559</v>
      </c>
      <c r="F4233" s="284">
        <f t="shared" ca="1" si="130"/>
        <v>0.43829913418300981</v>
      </c>
      <c r="G4233" s="74">
        <v>43.344168919451803</v>
      </c>
      <c r="H4233" s="74">
        <f t="shared" si="131"/>
        <v>-2.8497685761192812</v>
      </c>
    </row>
    <row r="4234" spans="5:8" ht="15.6">
      <c r="E4234" s="279" t="s">
        <v>4560</v>
      </c>
      <c r="F4234" s="284">
        <f t="shared" ca="1" si="130"/>
        <v>0.34164500523846741</v>
      </c>
      <c r="G4234" s="74">
        <v>39.55524914268419</v>
      </c>
      <c r="H4234" s="74">
        <f t="shared" si="131"/>
        <v>0.93915120064833246</v>
      </c>
    </row>
    <row r="4235" spans="5:8" ht="15.6">
      <c r="E4235" s="279" t="s">
        <v>4561</v>
      </c>
      <c r="F4235" s="284">
        <f t="shared" ca="1" si="130"/>
        <v>0.13115372378735612</v>
      </c>
      <c r="G4235" s="74">
        <v>38.515350311724553</v>
      </c>
      <c r="H4235" s="74">
        <f t="shared" si="131"/>
        <v>1.9790500316079687</v>
      </c>
    </row>
    <row r="4236" spans="5:8" ht="15.6">
      <c r="E4236" s="279" t="s">
        <v>4562</v>
      </c>
      <c r="F4236" s="284">
        <f t="shared" ref="F4236:F4299" ca="1" si="132">RAND()</f>
        <v>0.95081938745302363</v>
      </c>
      <c r="G4236" s="74">
        <v>40.64226759978775</v>
      </c>
      <c r="H4236" s="74">
        <f t="shared" ref="H4236:H4299" si="133">$D$2-G4236</f>
        <v>-0.14786725645522836</v>
      </c>
    </row>
    <row r="4237" spans="5:8" ht="15.6">
      <c r="E4237" s="279" t="s">
        <v>4563</v>
      </c>
      <c r="F4237" s="284">
        <f t="shared" ca="1" si="132"/>
        <v>0.10868368507128945</v>
      </c>
      <c r="G4237" s="74">
        <v>36.617740457694161</v>
      </c>
      <c r="H4237" s="74">
        <f t="shared" si="133"/>
        <v>3.8766598856383609</v>
      </c>
    </row>
    <row r="4238" spans="5:8" ht="15.6">
      <c r="E4238" s="279" t="s">
        <v>4564</v>
      </c>
      <c r="F4238" s="284">
        <f t="shared" ca="1" si="132"/>
        <v>1.9503061939836086E-2</v>
      </c>
      <c r="G4238" s="74">
        <v>39.135652979964469</v>
      </c>
      <c r="H4238" s="74">
        <f t="shared" si="133"/>
        <v>1.3587473633680531</v>
      </c>
    </row>
    <row r="4239" spans="5:8" ht="15.6">
      <c r="E4239" s="279" t="s">
        <v>4565</v>
      </c>
      <c r="F4239" s="284">
        <f t="shared" ca="1" si="132"/>
        <v>0.752148534781652</v>
      </c>
      <c r="G4239" s="74">
        <v>42.246995577334474</v>
      </c>
      <c r="H4239" s="74">
        <f t="shared" si="133"/>
        <v>-1.7525952340019515</v>
      </c>
    </row>
    <row r="4240" spans="5:8" ht="15.6">
      <c r="E4240" s="279" t="s">
        <v>4566</v>
      </c>
      <c r="F4240" s="284">
        <f t="shared" ca="1" si="132"/>
        <v>0.99959924383083565</v>
      </c>
      <c r="G4240" s="74">
        <v>34.465409846283201</v>
      </c>
      <c r="H4240" s="74">
        <f t="shared" si="133"/>
        <v>6.0289904970493211</v>
      </c>
    </row>
    <row r="4241" spans="5:8" ht="15.6">
      <c r="E4241" s="279" t="s">
        <v>4567</v>
      </c>
      <c r="F4241" s="284">
        <f t="shared" ca="1" si="132"/>
        <v>2.1864890762157918E-2</v>
      </c>
      <c r="G4241" s="74">
        <v>37.849215547939515</v>
      </c>
      <c r="H4241" s="74">
        <f t="shared" si="133"/>
        <v>2.645184795393007</v>
      </c>
    </row>
    <row r="4242" spans="5:8" ht="15.6">
      <c r="E4242" s="279" t="s">
        <v>4568</v>
      </c>
      <c r="F4242" s="284">
        <f t="shared" ca="1" si="132"/>
        <v>0.80516332412346259</v>
      </c>
      <c r="G4242" s="74">
        <v>43.267268026372605</v>
      </c>
      <c r="H4242" s="74">
        <f t="shared" si="133"/>
        <v>-2.7728676830400829</v>
      </c>
    </row>
    <row r="4243" spans="5:8" ht="15.6">
      <c r="E4243" s="279" t="s">
        <v>4569</v>
      </c>
      <c r="F4243" s="284">
        <f t="shared" ca="1" si="132"/>
        <v>0.84591043273497646</v>
      </c>
      <c r="G4243" s="74">
        <v>38.077546989253023</v>
      </c>
      <c r="H4243" s="74">
        <f t="shared" si="133"/>
        <v>2.4168533540794996</v>
      </c>
    </row>
    <row r="4244" spans="5:8" ht="15.6">
      <c r="E4244" s="279" t="s">
        <v>4570</v>
      </c>
      <c r="F4244" s="284">
        <f t="shared" ca="1" si="132"/>
        <v>0.11625933838410785</v>
      </c>
      <c r="G4244" s="74">
        <v>42.092167892626343</v>
      </c>
      <c r="H4244" s="74">
        <f t="shared" si="133"/>
        <v>-1.5977675492938204</v>
      </c>
    </row>
    <row r="4245" spans="5:8" ht="15.6">
      <c r="E4245" s="279" t="s">
        <v>4571</v>
      </c>
      <c r="F4245" s="284">
        <f t="shared" ca="1" si="132"/>
        <v>0.9214662067634396</v>
      </c>
      <c r="G4245" s="74">
        <v>40.52570393461238</v>
      </c>
      <c r="H4245" s="74">
        <f t="shared" si="133"/>
        <v>-3.1303591279858267E-2</v>
      </c>
    </row>
    <row r="4246" spans="5:8" ht="15.6">
      <c r="E4246" s="279" t="s">
        <v>4572</v>
      </c>
      <c r="F4246" s="284">
        <f t="shared" ca="1" si="132"/>
        <v>0.87933823458621163</v>
      </c>
      <c r="G4246" s="74">
        <v>39.21180776922418</v>
      </c>
      <c r="H4246" s="74">
        <f t="shared" si="133"/>
        <v>1.2825925741083424</v>
      </c>
    </row>
    <row r="4247" spans="5:8" ht="15.6">
      <c r="E4247" s="279" t="s">
        <v>4573</v>
      </c>
      <c r="F4247" s="284">
        <f t="shared" ca="1" si="132"/>
        <v>7.611814745347889E-3</v>
      </c>
      <c r="G4247" s="74">
        <v>37.537724398223901</v>
      </c>
      <c r="H4247" s="74">
        <f t="shared" si="133"/>
        <v>2.9566759451086213</v>
      </c>
    </row>
    <row r="4248" spans="5:8" ht="15.6">
      <c r="E4248" s="279" t="s">
        <v>4574</v>
      </c>
      <c r="F4248" s="284">
        <f t="shared" ca="1" si="132"/>
        <v>0.59983178678127846</v>
      </c>
      <c r="G4248" s="74">
        <v>45.706885275910601</v>
      </c>
      <c r="H4248" s="74">
        <f t="shared" si="133"/>
        <v>-5.2124849325780787</v>
      </c>
    </row>
    <row r="4249" spans="5:8" ht="15.6">
      <c r="E4249" s="279" t="s">
        <v>4575</v>
      </c>
      <c r="F4249" s="284">
        <f t="shared" ca="1" si="132"/>
        <v>0.20932965226810885</v>
      </c>
      <c r="G4249" s="74">
        <v>35.325372420489053</v>
      </c>
      <c r="H4249" s="74">
        <f t="shared" si="133"/>
        <v>5.169027922843469</v>
      </c>
    </row>
    <row r="4250" spans="5:8" ht="15.6">
      <c r="E4250" s="279" t="s">
        <v>4576</v>
      </c>
      <c r="F4250" s="284">
        <f t="shared" ca="1" si="132"/>
        <v>0.49556374806916581</v>
      </c>
      <c r="G4250" s="74">
        <v>40.040957563115001</v>
      </c>
      <c r="H4250" s="74">
        <f t="shared" si="133"/>
        <v>0.4534427802175216</v>
      </c>
    </row>
    <row r="4251" spans="5:8" ht="15.6">
      <c r="E4251" s="279" t="s">
        <v>4577</v>
      </c>
      <c r="F4251" s="284">
        <f t="shared" ca="1" si="132"/>
        <v>0.81923763433797958</v>
      </c>
      <c r="G4251" s="74">
        <v>33.74823878112376</v>
      </c>
      <c r="H4251" s="74">
        <f t="shared" si="133"/>
        <v>6.7461615622087621</v>
      </c>
    </row>
    <row r="4252" spans="5:8" ht="15.6">
      <c r="E4252" s="279" t="s">
        <v>4578</v>
      </c>
      <c r="F4252" s="284">
        <f t="shared" ca="1" si="132"/>
        <v>0.79324249476995212</v>
      </c>
      <c r="G4252" s="74">
        <v>39.94324814712801</v>
      </c>
      <c r="H4252" s="74">
        <f t="shared" si="133"/>
        <v>0.55115219620451228</v>
      </c>
    </row>
    <row r="4253" spans="5:8" ht="15.6">
      <c r="E4253" s="279" t="s">
        <v>4579</v>
      </c>
      <c r="F4253" s="284">
        <f t="shared" ca="1" si="132"/>
        <v>0.41134809114679893</v>
      </c>
      <c r="G4253" s="74">
        <v>41.156610673538559</v>
      </c>
      <c r="H4253" s="74">
        <f t="shared" si="133"/>
        <v>-0.6622103302060367</v>
      </c>
    </row>
    <row r="4254" spans="5:8" ht="15.6">
      <c r="E4254" s="279" t="s">
        <v>4580</v>
      </c>
      <c r="F4254" s="284">
        <f t="shared" ca="1" si="132"/>
        <v>0.63398128432041279</v>
      </c>
      <c r="G4254" s="74">
        <v>39.934689315084952</v>
      </c>
      <c r="H4254" s="74">
        <f t="shared" si="133"/>
        <v>0.55971102824756969</v>
      </c>
    </row>
    <row r="4255" spans="5:8" ht="15.6">
      <c r="E4255" s="279" t="s">
        <v>4581</v>
      </c>
      <c r="F4255" s="284">
        <f t="shared" ca="1" si="132"/>
        <v>0.40189581413713604</v>
      </c>
      <c r="G4255" s="74">
        <v>40.865426304474497</v>
      </c>
      <c r="H4255" s="74">
        <f t="shared" si="133"/>
        <v>-0.37102596114197439</v>
      </c>
    </row>
    <row r="4256" spans="5:8" ht="15.6">
      <c r="E4256" s="279" t="s">
        <v>4582</v>
      </c>
      <c r="F4256" s="284">
        <f t="shared" ca="1" si="132"/>
        <v>0.48901939611318657</v>
      </c>
      <c r="G4256" s="74">
        <v>39.696948229216808</v>
      </c>
      <c r="H4256" s="74">
        <f t="shared" si="133"/>
        <v>0.79745211411571404</v>
      </c>
    </row>
    <row r="4257" spans="5:8" ht="15.6">
      <c r="E4257" s="279" t="s">
        <v>4583</v>
      </c>
      <c r="F4257" s="284">
        <f t="shared" ca="1" si="132"/>
        <v>0.23179843639529052</v>
      </c>
      <c r="G4257" s="74">
        <v>35.700179107770175</v>
      </c>
      <c r="H4257" s="74">
        <f t="shared" si="133"/>
        <v>4.7942212355623468</v>
      </c>
    </row>
    <row r="4258" spans="5:8" ht="15.6">
      <c r="E4258" s="279" t="s">
        <v>4584</v>
      </c>
      <c r="F4258" s="284">
        <f t="shared" ca="1" si="132"/>
        <v>0.88001552838120156</v>
      </c>
      <c r="G4258" s="74">
        <v>39.069220758721166</v>
      </c>
      <c r="H4258" s="74">
        <f t="shared" si="133"/>
        <v>1.4251795846113566</v>
      </c>
    </row>
    <row r="4259" spans="5:8" ht="15.6">
      <c r="E4259" s="279" t="s">
        <v>4585</v>
      </c>
      <c r="F4259" s="284">
        <f t="shared" ca="1" si="132"/>
        <v>0.72283473105196328</v>
      </c>
      <c r="G4259" s="74">
        <v>45.570324155168308</v>
      </c>
      <c r="H4259" s="74">
        <f t="shared" si="133"/>
        <v>-5.0759238118357857</v>
      </c>
    </row>
    <row r="4260" spans="5:8" ht="15.6">
      <c r="E4260" s="279" t="s">
        <v>4586</v>
      </c>
      <c r="F4260" s="284">
        <f t="shared" ca="1" si="132"/>
        <v>0.20027188793972361</v>
      </c>
      <c r="G4260" s="74">
        <v>37.571859306077798</v>
      </c>
      <c r="H4260" s="74">
        <f t="shared" si="133"/>
        <v>2.9225410372547245</v>
      </c>
    </row>
    <row r="4261" spans="5:8" ht="15.6">
      <c r="E4261" s="279" t="s">
        <v>4587</v>
      </c>
      <c r="F4261" s="284">
        <f t="shared" ca="1" si="132"/>
        <v>0.43080131651873821</v>
      </c>
      <c r="G4261" s="74">
        <v>40.624124468287924</v>
      </c>
      <c r="H4261" s="74">
        <f t="shared" si="133"/>
        <v>-0.12972412495540198</v>
      </c>
    </row>
    <row r="4262" spans="5:8" ht="15.6">
      <c r="E4262" s="279" t="s">
        <v>4588</v>
      </c>
      <c r="F4262" s="284">
        <f t="shared" ca="1" si="132"/>
        <v>0.13031759384806818</v>
      </c>
      <c r="G4262" s="74">
        <v>36.175781066338473</v>
      </c>
      <c r="H4262" s="74">
        <f t="shared" si="133"/>
        <v>4.318619276994049</v>
      </c>
    </row>
    <row r="4263" spans="5:8" ht="15.6">
      <c r="E4263" s="279" t="s">
        <v>4589</v>
      </c>
      <c r="F4263" s="284">
        <f t="shared" ca="1" si="132"/>
        <v>0.36849969887708223</v>
      </c>
      <c r="G4263" s="74">
        <v>41.295604884255411</v>
      </c>
      <c r="H4263" s="74">
        <f t="shared" si="133"/>
        <v>-0.80120454092288895</v>
      </c>
    </row>
    <row r="4264" spans="5:8" ht="15.6">
      <c r="E4264" s="279" t="s">
        <v>4590</v>
      </c>
      <c r="F4264" s="284">
        <f t="shared" ca="1" si="132"/>
        <v>0.65023919965972765</v>
      </c>
      <c r="G4264" s="74">
        <v>36.044091806840477</v>
      </c>
      <c r="H4264" s="74">
        <f t="shared" si="133"/>
        <v>4.4503085364920452</v>
      </c>
    </row>
    <row r="4265" spans="5:8" ht="15.6">
      <c r="E4265" s="279" t="s">
        <v>4591</v>
      </c>
      <c r="F4265" s="284">
        <f t="shared" ca="1" si="132"/>
        <v>7.3109059974215351E-2</v>
      </c>
      <c r="G4265" s="74">
        <v>40.807307369636206</v>
      </c>
      <c r="H4265" s="74">
        <f t="shared" si="133"/>
        <v>-0.31290702630368372</v>
      </c>
    </row>
    <row r="4266" spans="5:8" ht="15.6">
      <c r="E4266" s="279" t="s">
        <v>4592</v>
      </c>
      <c r="F4266" s="284">
        <f t="shared" ca="1" si="132"/>
        <v>0.21121223592745619</v>
      </c>
      <c r="G4266" s="74">
        <v>39.164070355395232</v>
      </c>
      <c r="H4266" s="74">
        <f t="shared" si="133"/>
        <v>1.3303299879372901</v>
      </c>
    </row>
    <row r="4267" spans="5:8" ht="15.6">
      <c r="E4267" s="279" t="s">
        <v>4593</v>
      </c>
      <c r="F4267" s="284">
        <f t="shared" ca="1" si="132"/>
        <v>0.34436707487474572</v>
      </c>
      <c r="G4267" s="74">
        <v>43.242971400869543</v>
      </c>
      <c r="H4267" s="74">
        <f t="shared" si="133"/>
        <v>-2.7485710575370206</v>
      </c>
    </row>
    <row r="4268" spans="5:8" ht="15.6">
      <c r="E4268" s="279" t="s">
        <v>4594</v>
      </c>
      <c r="F4268" s="284">
        <f t="shared" ca="1" si="132"/>
        <v>0.34289658292044434</v>
      </c>
      <c r="G4268" s="74">
        <v>36.438100721717319</v>
      </c>
      <c r="H4268" s="74">
        <f t="shared" si="133"/>
        <v>4.056299621615203</v>
      </c>
    </row>
    <row r="4269" spans="5:8" ht="15.6">
      <c r="E4269" s="279" t="s">
        <v>4595</v>
      </c>
      <c r="F4269" s="284">
        <f t="shared" ca="1" si="132"/>
        <v>0.89204283202611834</v>
      </c>
      <c r="G4269" s="74">
        <v>36.116945931139725</v>
      </c>
      <c r="H4269" s="74">
        <f t="shared" si="133"/>
        <v>4.3774544121927974</v>
      </c>
    </row>
    <row r="4270" spans="5:8" ht="15.6">
      <c r="E4270" s="279" t="s">
        <v>4596</v>
      </c>
      <c r="F4270" s="284">
        <f t="shared" ca="1" si="132"/>
        <v>0.50360090487773024</v>
      </c>
      <c r="G4270" s="74">
        <v>35.826892544480216</v>
      </c>
      <c r="H4270" s="74">
        <f t="shared" si="133"/>
        <v>4.6675077988523057</v>
      </c>
    </row>
    <row r="4271" spans="5:8" ht="15.6">
      <c r="E4271" s="279" t="s">
        <v>4597</v>
      </c>
      <c r="F4271" s="284">
        <f t="shared" ca="1" si="132"/>
        <v>0.31837265642992596</v>
      </c>
      <c r="G4271" s="74">
        <v>37.796298283699898</v>
      </c>
      <c r="H4271" s="74">
        <f t="shared" si="133"/>
        <v>2.6981020596326246</v>
      </c>
    </row>
    <row r="4272" spans="5:8" ht="15.6">
      <c r="E4272" s="279" t="s">
        <v>4598</v>
      </c>
      <c r="F4272" s="284">
        <f t="shared" ca="1" si="132"/>
        <v>0.79856016005613362</v>
      </c>
      <c r="G4272" s="74">
        <v>40.167243819635409</v>
      </c>
      <c r="H4272" s="74">
        <f t="shared" si="133"/>
        <v>0.32715652369711279</v>
      </c>
    </row>
    <row r="4273" spans="5:8" ht="15.6">
      <c r="E4273" s="279" t="s">
        <v>4599</v>
      </c>
      <c r="F4273" s="284">
        <f t="shared" ca="1" si="132"/>
        <v>0.76761761385094185</v>
      </c>
      <c r="G4273" s="74">
        <v>37.684150993744346</v>
      </c>
      <c r="H4273" s="74">
        <f t="shared" si="133"/>
        <v>2.810249349588176</v>
      </c>
    </row>
    <row r="4274" spans="5:8" ht="15.6">
      <c r="E4274" s="279" t="s">
        <v>4600</v>
      </c>
      <c r="F4274" s="284">
        <f t="shared" ca="1" si="132"/>
        <v>0.69459595901537297</v>
      </c>
      <c r="G4274" s="74">
        <v>37.996417334175099</v>
      </c>
      <c r="H4274" s="74">
        <f t="shared" si="133"/>
        <v>2.4979830091574229</v>
      </c>
    </row>
    <row r="4275" spans="5:8" ht="15.6">
      <c r="E4275" s="279" t="s">
        <v>4601</v>
      </c>
      <c r="F4275" s="284">
        <f t="shared" ca="1" si="132"/>
        <v>0.3642604063851006</v>
      </c>
      <c r="G4275" s="74">
        <v>39.285062409636055</v>
      </c>
      <c r="H4275" s="74">
        <f t="shared" si="133"/>
        <v>1.2093379336964674</v>
      </c>
    </row>
    <row r="4276" spans="5:8" ht="15.6">
      <c r="E4276" s="279" t="s">
        <v>4602</v>
      </c>
      <c r="F4276" s="284">
        <f t="shared" ca="1" si="132"/>
        <v>0.31000430146157043</v>
      </c>
      <c r="G4276" s="74">
        <v>40.816919193557339</v>
      </c>
      <c r="H4276" s="74">
        <f t="shared" si="133"/>
        <v>-0.3225188502248173</v>
      </c>
    </row>
    <row r="4277" spans="5:8" ht="15.6">
      <c r="E4277" s="279" t="s">
        <v>4603</v>
      </c>
      <c r="F4277" s="284">
        <f t="shared" ca="1" si="132"/>
        <v>0.49844505149774965</v>
      </c>
      <c r="G4277" s="74">
        <v>37.177462140633963</v>
      </c>
      <c r="H4277" s="74">
        <f t="shared" si="133"/>
        <v>3.3169382026985588</v>
      </c>
    </row>
    <row r="4278" spans="5:8" ht="15.6">
      <c r="E4278" s="279" t="s">
        <v>4604</v>
      </c>
      <c r="F4278" s="284">
        <f t="shared" ca="1" si="132"/>
        <v>0.15471575807510907</v>
      </c>
      <c r="G4278" s="74">
        <v>40.447468881691591</v>
      </c>
      <c r="H4278" s="74">
        <f t="shared" si="133"/>
        <v>4.693146164093065E-2</v>
      </c>
    </row>
    <row r="4279" spans="5:8" ht="15.6">
      <c r="E4279" s="279" t="s">
        <v>4605</v>
      </c>
      <c r="F4279" s="284">
        <f t="shared" ca="1" si="132"/>
        <v>0.59974389175112441</v>
      </c>
      <c r="G4279" s="74">
        <v>34.32921061083276</v>
      </c>
      <c r="H4279" s="74">
        <f t="shared" si="133"/>
        <v>6.165189732499762</v>
      </c>
    </row>
    <row r="4280" spans="5:8" ht="15.6">
      <c r="E4280" s="279" t="s">
        <v>4606</v>
      </c>
      <c r="F4280" s="284">
        <f t="shared" ca="1" si="132"/>
        <v>0.72897177215642361</v>
      </c>
      <c r="G4280" s="74">
        <v>39.848739444270166</v>
      </c>
      <c r="H4280" s="74">
        <f t="shared" si="133"/>
        <v>0.64566089906235646</v>
      </c>
    </row>
    <row r="4281" spans="5:8" ht="15.6">
      <c r="E4281" s="279" t="s">
        <v>4607</v>
      </c>
      <c r="F4281" s="284">
        <f t="shared" ca="1" si="132"/>
        <v>0.9213457958246497</v>
      </c>
      <c r="G4281" s="74">
        <v>43.801659730791428</v>
      </c>
      <c r="H4281" s="74">
        <f t="shared" si="133"/>
        <v>-3.307259387458906</v>
      </c>
    </row>
    <row r="4282" spans="5:8" ht="15.6">
      <c r="E4282" s="279" t="s">
        <v>4608</v>
      </c>
      <c r="F4282" s="284">
        <f t="shared" ca="1" si="132"/>
        <v>0.30193681236460279</v>
      </c>
      <c r="G4282" s="74">
        <v>37.444639315174562</v>
      </c>
      <c r="H4282" s="74">
        <f t="shared" si="133"/>
        <v>3.0497610281579597</v>
      </c>
    </row>
    <row r="4283" spans="5:8" ht="15.6">
      <c r="E4283" s="279" t="s">
        <v>4609</v>
      </c>
      <c r="F4283" s="284">
        <f t="shared" ca="1" si="132"/>
        <v>0.33316320202893612</v>
      </c>
      <c r="G4283" s="74">
        <v>41.728957086383971</v>
      </c>
      <c r="H4283" s="74">
        <f t="shared" si="133"/>
        <v>-1.2345567430514492</v>
      </c>
    </row>
    <row r="4284" spans="5:8" ht="15.6">
      <c r="E4284" s="279" t="s">
        <v>4610</v>
      </c>
      <c r="F4284" s="284">
        <f t="shared" ca="1" si="132"/>
        <v>5.8497528296186374E-3</v>
      </c>
      <c r="G4284" s="74">
        <v>39.268315573173304</v>
      </c>
      <c r="H4284" s="74">
        <f t="shared" si="133"/>
        <v>1.2260847701592184</v>
      </c>
    </row>
    <row r="4285" spans="5:8" ht="15.6">
      <c r="E4285" s="279" t="s">
        <v>4611</v>
      </c>
      <c r="F4285" s="284">
        <f t="shared" ca="1" si="132"/>
        <v>0.60390133402304536</v>
      </c>
      <c r="G4285" s="74">
        <v>40.843850882863308</v>
      </c>
      <c r="H4285" s="74">
        <f t="shared" si="133"/>
        <v>-0.34945053953078542</v>
      </c>
    </row>
    <row r="4286" spans="5:8" ht="15.6">
      <c r="E4286" s="279" t="s">
        <v>4612</v>
      </c>
      <c r="F4286" s="284">
        <f t="shared" ca="1" si="132"/>
        <v>0.53343172039919085</v>
      </c>
      <c r="G4286" s="74">
        <v>46.509107215474394</v>
      </c>
      <c r="H4286" s="74">
        <f t="shared" si="133"/>
        <v>-6.0147068721418719</v>
      </c>
    </row>
    <row r="4287" spans="5:8" ht="15.6">
      <c r="E4287" s="279" t="s">
        <v>4613</v>
      </c>
      <c r="F4287" s="284">
        <f t="shared" ca="1" si="132"/>
        <v>0.55263604230690699</v>
      </c>
      <c r="G4287" s="74">
        <v>40.768701464025789</v>
      </c>
      <c r="H4287" s="74">
        <f t="shared" si="133"/>
        <v>-0.2743011206932664</v>
      </c>
    </row>
    <row r="4288" spans="5:8" ht="15.6">
      <c r="E4288" s="279" t="s">
        <v>4614</v>
      </c>
      <c r="F4288" s="284">
        <f t="shared" ca="1" si="132"/>
        <v>6.1423015318865626E-2</v>
      </c>
      <c r="G4288" s="74">
        <v>39.122524927891156</v>
      </c>
      <c r="H4288" s="74">
        <f t="shared" si="133"/>
        <v>1.3718754154413659</v>
      </c>
    </row>
    <row r="4289" spans="5:8" ht="15.6">
      <c r="E4289" s="279" t="s">
        <v>4615</v>
      </c>
      <c r="F4289" s="284">
        <f t="shared" ca="1" si="132"/>
        <v>0.39912010980020451</v>
      </c>
      <c r="G4289" s="74">
        <v>36.993936552184124</v>
      </c>
      <c r="H4289" s="74">
        <f t="shared" si="133"/>
        <v>3.5004637911483982</v>
      </c>
    </row>
    <row r="4290" spans="5:8" ht="15.6">
      <c r="E4290" s="279" t="s">
        <v>4616</v>
      </c>
      <c r="F4290" s="284">
        <f t="shared" ca="1" si="132"/>
        <v>0.18306617199818032</v>
      </c>
      <c r="G4290" s="74">
        <v>41.652300070316073</v>
      </c>
      <c r="H4290" s="74">
        <f t="shared" si="133"/>
        <v>-1.1578997269835511</v>
      </c>
    </row>
    <row r="4291" spans="5:8" ht="15.6">
      <c r="E4291" s="279" t="s">
        <v>4617</v>
      </c>
      <c r="F4291" s="284">
        <f t="shared" ca="1" si="132"/>
        <v>0.67416873273497302</v>
      </c>
      <c r="G4291" s="74">
        <v>43.863402699512321</v>
      </c>
      <c r="H4291" s="74">
        <f t="shared" si="133"/>
        <v>-3.3690023561797986</v>
      </c>
    </row>
    <row r="4292" spans="5:8" ht="15.6">
      <c r="E4292" s="279" t="s">
        <v>4618</v>
      </c>
      <c r="F4292" s="284">
        <f t="shared" ca="1" si="132"/>
        <v>0.52118656182475842</v>
      </c>
      <c r="G4292" s="74">
        <v>36.948451210736238</v>
      </c>
      <c r="H4292" s="74">
        <f t="shared" si="133"/>
        <v>3.5459491325962844</v>
      </c>
    </row>
    <row r="4293" spans="5:8" ht="15.6">
      <c r="E4293" s="279" t="s">
        <v>4619</v>
      </c>
      <c r="F4293" s="284">
        <f t="shared" ca="1" si="132"/>
        <v>0.38997096829740863</v>
      </c>
      <c r="G4293" s="74">
        <v>40.149085956471005</v>
      </c>
      <c r="H4293" s="74">
        <f t="shared" si="133"/>
        <v>0.34531438686151716</v>
      </c>
    </row>
    <row r="4294" spans="5:8" ht="15.6">
      <c r="E4294" s="279" t="s">
        <v>4620</v>
      </c>
      <c r="F4294" s="284">
        <f t="shared" ca="1" si="132"/>
        <v>0.54643098884287877</v>
      </c>
      <c r="G4294" s="74">
        <v>37.682604076073751</v>
      </c>
      <c r="H4294" s="74">
        <f t="shared" si="133"/>
        <v>2.8117962672587709</v>
      </c>
    </row>
    <row r="4295" spans="5:8" ht="15.6">
      <c r="E4295" s="279" t="s">
        <v>4621</v>
      </c>
      <c r="F4295" s="284">
        <f t="shared" ca="1" si="132"/>
        <v>0.30354527952878629</v>
      </c>
      <c r="G4295" s="74">
        <v>40.030353989004468</v>
      </c>
      <c r="H4295" s="74">
        <f t="shared" si="133"/>
        <v>0.46404635432805463</v>
      </c>
    </row>
    <row r="4296" spans="5:8" ht="15.6">
      <c r="E4296" s="279" t="s">
        <v>4622</v>
      </c>
      <c r="F4296" s="284">
        <f t="shared" ca="1" si="132"/>
        <v>0.66814405867966209</v>
      </c>
      <c r="G4296" s="74">
        <v>37.53030988500209</v>
      </c>
      <c r="H4296" s="74">
        <f t="shared" si="133"/>
        <v>2.9640904583304319</v>
      </c>
    </row>
    <row r="4297" spans="5:8" ht="15.6">
      <c r="E4297" s="279" t="s">
        <v>4623</v>
      </c>
      <c r="F4297" s="284">
        <f t="shared" ca="1" si="132"/>
        <v>0.84923950507741486</v>
      </c>
      <c r="G4297" s="74">
        <v>38.744609241609453</v>
      </c>
      <c r="H4297" s="74">
        <f t="shared" si="133"/>
        <v>1.7497911017230692</v>
      </c>
    </row>
    <row r="4298" spans="5:8" ht="15.6">
      <c r="E4298" s="279" t="s">
        <v>4624</v>
      </c>
      <c r="F4298" s="284">
        <f t="shared" ca="1" si="132"/>
        <v>0.68137868776805466</v>
      </c>
      <c r="G4298" s="74">
        <v>34.014256886630299</v>
      </c>
      <c r="H4298" s="74">
        <f t="shared" si="133"/>
        <v>6.4801434567022227</v>
      </c>
    </row>
    <row r="4299" spans="5:8" ht="15.6">
      <c r="E4299" s="279" t="s">
        <v>4625</v>
      </c>
      <c r="F4299" s="284">
        <f t="shared" ca="1" si="132"/>
        <v>0.95350927430169719</v>
      </c>
      <c r="G4299" s="74">
        <v>40.348287552208475</v>
      </c>
      <c r="H4299" s="74">
        <f t="shared" si="133"/>
        <v>0.14611279112404674</v>
      </c>
    </row>
    <row r="4300" spans="5:8" ht="15.6">
      <c r="E4300" s="279" t="s">
        <v>4626</v>
      </c>
      <c r="F4300" s="284">
        <f t="shared" ref="F4300:F4363" ca="1" si="134">RAND()</f>
        <v>0.26425249460666422</v>
      </c>
      <c r="G4300" s="74">
        <v>39.660608146499342</v>
      </c>
      <c r="H4300" s="74">
        <f t="shared" ref="H4300:H4363" si="135">$D$2-G4300</f>
        <v>0.83379219683317984</v>
      </c>
    </row>
    <row r="4301" spans="5:8" ht="15.6">
      <c r="E4301" s="279" t="s">
        <v>4627</v>
      </c>
      <c r="F4301" s="284">
        <f t="shared" ca="1" si="134"/>
        <v>0.39425694230411934</v>
      </c>
      <c r="G4301" s="74">
        <v>38.246849754016715</v>
      </c>
      <c r="H4301" s="74">
        <f t="shared" si="135"/>
        <v>2.2475505893158072</v>
      </c>
    </row>
    <row r="4302" spans="5:8" ht="15.6">
      <c r="E4302" s="279" t="s">
        <v>4628</v>
      </c>
      <c r="F4302" s="284">
        <f t="shared" ca="1" si="134"/>
        <v>0.98116928166190476</v>
      </c>
      <c r="G4302" s="74">
        <v>38.551653839259906</v>
      </c>
      <c r="H4302" s="74">
        <f t="shared" si="135"/>
        <v>1.9427465040726162</v>
      </c>
    </row>
    <row r="4303" spans="5:8" ht="15.6">
      <c r="E4303" s="279" t="s">
        <v>4629</v>
      </c>
      <c r="F4303" s="284">
        <f t="shared" ca="1" si="134"/>
        <v>0.86054383034193593</v>
      </c>
      <c r="G4303" s="74">
        <v>42.09309832571077</v>
      </c>
      <c r="H4303" s="74">
        <f t="shared" si="135"/>
        <v>-1.5986979823782477</v>
      </c>
    </row>
    <row r="4304" spans="5:8" ht="15.6">
      <c r="E4304" s="279" t="s">
        <v>4630</v>
      </c>
      <c r="F4304" s="284">
        <f t="shared" ca="1" si="134"/>
        <v>0.83617248114621001</v>
      </c>
      <c r="G4304" s="74">
        <v>37.512792852956835</v>
      </c>
      <c r="H4304" s="74">
        <f t="shared" si="135"/>
        <v>2.9816074903756871</v>
      </c>
    </row>
    <row r="4305" spans="5:8" ht="15.6">
      <c r="E4305" s="279" t="s">
        <v>4631</v>
      </c>
      <c r="F4305" s="284">
        <f t="shared" ca="1" si="134"/>
        <v>0.18262121511820073</v>
      </c>
      <c r="G4305" s="74">
        <v>42.924494972902252</v>
      </c>
      <c r="H4305" s="74">
        <f t="shared" si="135"/>
        <v>-2.4300946295697301</v>
      </c>
    </row>
    <row r="4306" spans="5:8" ht="15.6">
      <c r="E4306" s="279" t="s">
        <v>4632</v>
      </c>
      <c r="F4306" s="284">
        <f t="shared" ca="1" si="134"/>
        <v>0.76455012875996453</v>
      </c>
      <c r="G4306" s="74">
        <v>41.729611964839293</v>
      </c>
      <c r="H4306" s="74">
        <f t="shared" si="135"/>
        <v>-1.235211621506771</v>
      </c>
    </row>
    <row r="4307" spans="5:8" ht="15.6">
      <c r="E4307" s="279" t="s">
        <v>4633</v>
      </c>
      <c r="F4307" s="284">
        <f t="shared" ca="1" si="134"/>
        <v>0.48451040732154416</v>
      </c>
      <c r="G4307" s="74">
        <v>39.52989426351143</v>
      </c>
      <c r="H4307" s="74">
        <f t="shared" si="135"/>
        <v>0.96450607982109204</v>
      </c>
    </row>
    <row r="4308" spans="5:8" ht="15.6">
      <c r="E4308" s="279" t="s">
        <v>4634</v>
      </c>
      <c r="F4308" s="284">
        <f t="shared" ca="1" si="134"/>
        <v>4.8295862963119607E-2</v>
      </c>
      <c r="G4308" s="74">
        <v>37.296086077298312</v>
      </c>
      <c r="H4308" s="74">
        <f t="shared" si="135"/>
        <v>3.1983142660342097</v>
      </c>
    </row>
    <row r="4309" spans="5:8" ht="15.6">
      <c r="E4309" s="279" t="s">
        <v>4635</v>
      </c>
      <c r="F4309" s="284">
        <f t="shared" ca="1" si="134"/>
        <v>0.71071027207163151</v>
      </c>
      <c r="G4309" s="74">
        <v>34.850792277152152</v>
      </c>
      <c r="H4309" s="74">
        <f t="shared" si="135"/>
        <v>5.64360806618037</v>
      </c>
    </row>
    <row r="4310" spans="5:8" ht="15.6">
      <c r="E4310" s="279" t="s">
        <v>4636</v>
      </c>
      <c r="F4310" s="284">
        <f t="shared" ca="1" si="134"/>
        <v>0.85146207886030223</v>
      </c>
      <c r="G4310" s="74">
        <v>37.355611652823775</v>
      </c>
      <c r="H4310" s="74">
        <f t="shared" si="135"/>
        <v>3.138788690508747</v>
      </c>
    </row>
    <row r="4311" spans="5:8" ht="15.6">
      <c r="E4311" s="279" t="s">
        <v>4637</v>
      </c>
      <c r="F4311" s="284">
        <f t="shared" ca="1" si="134"/>
        <v>0.30126997465842131</v>
      </c>
      <c r="G4311" s="74">
        <v>37.386360353676729</v>
      </c>
      <c r="H4311" s="74">
        <f t="shared" si="135"/>
        <v>3.1080399896557935</v>
      </c>
    </row>
    <row r="4312" spans="5:8" ht="15.6">
      <c r="E4312" s="279" t="s">
        <v>4638</v>
      </c>
      <c r="F4312" s="284">
        <f t="shared" ca="1" si="134"/>
        <v>0.81240754737900078</v>
      </c>
      <c r="G4312" s="74">
        <v>37.691549201661537</v>
      </c>
      <c r="H4312" s="74">
        <f t="shared" si="135"/>
        <v>2.8028511416709847</v>
      </c>
    </row>
    <row r="4313" spans="5:8" ht="15.6">
      <c r="E4313" s="279" t="s">
        <v>4639</v>
      </c>
      <c r="F4313" s="284">
        <f t="shared" ca="1" si="134"/>
        <v>0.17729538381232857</v>
      </c>
      <c r="G4313" s="74">
        <v>40.625311345733202</v>
      </c>
      <c r="H4313" s="74">
        <f t="shared" si="135"/>
        <v>-0.13091100240067988</v>
      </c>
    </row>
    <row r="4314" spans="5:8" ht="15.6">
      <c r="E4314" s="279" t="s">
        <v>4640</v>
      </c>
      <c r="F4314" s="284">
        <f t="shared" ca="1" si="134"/>
        <v>0.27026577704908905</v>
      </c>
      <c r="G4314" s="74">
        <v>39.019512389182495</v>
      </c>
      <c r="H4314" s="74">
        <f t="shared" si="135"/>
        <v>1.4748879541500273</v>
      </c>
    </row>
    <row r="4315" spans="5:8" ht="15.6">
      <c r="E4315" s="279" t="s">
        <v>4641</v>
      </c>
      <c r="F4315" s="284">
        <f t="shared" ca="1" si="134"/>
        <v>0.98991751280125184</v>
      </c>
      <c r="G4315" s="74">
        <v>42.157254958291041</v>
      </c>
      <c r="H4315" s="74">
        <f t="shared" si="135"/>
        <v>-1.6628546149585191</v>
      </c>
    </row>
    <row r="4316" spans="5:8" ht="15.6">
      <c r="E4316" s="279" t="s">
        <v>4642</v>
      </c>
      <c r="F4316" s="284">
        <f t="shared" ca="1" si="134"/>
        <v>5.1531451543964102E-2</v>
      </c>
      <c r="G4316" s="74">
        <v>38.236215888160423</v>
      </c>
      <c r="H4316" s="74">
        <f t="shared" si="135"/>
        <v>2.2581844551720991</v>
      </c>
    </row>
    <row r="4317" spans="5:8" ht="15.6">
      <c r="E4317" s="279" t="s">
        <v>4643</v>
      </c>
      <c r="F4317" s="284">
        <f t="shared" ca="1" si="134"/>
        <v>0.24207848161489065</v>
      </c>
      <c r="G4317" s="74">
        <v>39.561362345170139</v>
      </c>
      <c r="H4317" s="74">
        <f t="shared" si="135"/>
        <v>0.93303799816238353</v>
      </c>
    </row>
    <row r="4318" spans="5:8" ht="15.6">
      <c r="E4318" s="279" t="s">
        <v>4644</v>
      </c>
      <c r="F4318" s="284">
        <f t="shared" ca="1" si="134"/>
        <v>0.89805070756402772</v>
      </c>
      <c r="G4318" s="74">
        <v>42.818538545908211</v>
      </c>
      <c r="H4318" s="74">
        <f t="shared" si="135"/>
        <v>-2.3241382025756891</v>
      </c>
    </row>
    <row r="4319" spans="5:8" ht="15.6">
      <c r="E4319" s="279" t="s">
        <v>4645</v>
      </c>
      <c r="F4319" s="284">
        <f t="shared" ca="1" si="134"/>
        <v>0.69114512473341327</v>
      </c>
      <c r="G4319" s="74">
        <v>39.687428626540537</v>
      </c>
      <c r="H4319" s="74">
        <f t="shared" si="135"/>
        <v>0.80697171679198476</v>
      </c>
    </row>
    <row r="4320" spans="5:8" ht="15.6">
      <c r="E4320" s="279" t="s">
        <v>4646</v>
      </c>
      <c r="F4320" s="284">
        <f t="shared" ca="1" si="134"/>
        <v>0.6556073043392695</v>
      </c>
      <c r="G4320" s="74">
        <v>36.998217869129114</v>
      </c>
      <c r="H4320" s="74">
        <f t="shared" si="135"/>
        <v>3.4961824742034082</v>
      </c>
    </row>
    <row r="4321" spans="5:8" ht="15.6">
      <c r="E4321" s="279" t="s">
        <v>4647</v>
      </c>
      <c r="F4321" s="284">
        <f t="shared" ca="1" si="134"/>
        <v>0.82176258108763167</v>
      </c>
      <c r="G4321" s="74">
        <v>37.422141821887891</v>
      </c>
      <c r="H4321" s="74">
        <f t="shared" si="135"/>
        <v>3.0722585214446312</v>
      </c>
    </row>
    <row r="4322" spans="5:8" ht="15.6">
      <c r="E4322" s="279" t="s">
        <v>4648</v>
      </c>
      <c r="F4322" s="284">
        <f t="shared" ca="1" si="134"/>
        <v>0.52922706852880375</v>
      </c>
      <c r="G4322" s="74">
        <v>38.664840993153412</v>
      </c>
      <c r="H4322" s="74">
        <f t="shared" si="135"/>
        <v>1.8295593501791103</v>
      </c>
    </row>
    <row r="4323" spans="5:8" ht="15.6">
      <c r="E4323" s="279" t="s">
        <v>4649</v>
      </c>
      <c r="F4323" s="284">
        <f t="shared" ca="1" si="134"/>
        <v>0.29498991008650122</v>
      </c>
      <c r="G4323" s="74">
        <v>37.207385669990273</v>
      </c>
      <c r="H4323" s="74">
        <f t="shared" si="135"/>
        <v>3.2870146733422487</v>
      </c>
    </row>
    <row r="4324" spans="5:8" ht="15.6">
      <c r="E4324" s="279" t="s">
        <v>4650</v>
      </c>
      <c r="F4324" s="284">
        <f t="shared" ca="1" si="134"/>
        <v>0.50070402094443844</v>
      </c>
      <c r="G4324" s="74">
        <v>40.952888213182298</v>
      </c>
      <c r="H4324" s="74">
        <f t="shared" si="135"/>
        <v>-0.45848786984977608</v>
      </c>
    </row>
    <row r="4325" spans="5:8" ht="15.6">
      <c r="E4325" s="279" t="s">
        <v>4651</v>
      </c>
      <c r="F4325" s="284">
        <f t="shared" ca="1" si="134"/>
        <v>0.9865617247651598</v>
      </c>
      <c r="G4325" s="74">
        <v>40.695551420247561</v>
      </c>
      <c r="H4325" s="74">
        <f t="shared" si="135"/>
        <v>-0.20115107691503908</v>
      </c>
    </row>
    <row r="4326" spans="5:8" ht="15.6">
      <c r="E4326" s="279" t="s">
        <v>4652</v>
      </c>
      <c r="F4326" s="284">
        <f t="shared" ca="1" si="134"/>
        <v>0.62174160835343661</v>
      </c>
      <c r="G4326" s="74">
        <v>42.987867071781075</v>
      </c>
      <c r="H4326" s="74">
        <f t="shared" si="135"/>
        <v>-2.4934667284485528</v>
      </c>
    </row>
    <row r="4327" spans="5:8" ht="15.6">
      <c r="E4327" s="279" t="s">
        <v>4653</v>
      </c>
      <c r="F4327" s="284">
        <f t="shared" ca="1" si="134"/>
        <v>0.17554118622995074</v>
      </c>
      <c r="G4327" s="74">
        <v>37.186434481701774</v>
      </c>
      <c r="H4327" s="74">
        <f t="shared" si="135"/>
        <v>3.3079658616307483</v>
      </c>
    </row>
    <row r="4328" spans="5:8" ht="15.6">
      <c r="E4328" s="279" t="s">
        <v>4654</v>
      </c>
      <c r="F4328" s="284">
        <f t="shared" ca="1" si="134"/>
        <v>0.35890572491533612</v>
      </c>
      <c r="G4328" s="74">
        <v>41.412934180953854</v>
      </c>
      <c r="H4328" s="74">
        <f t="shared" si="135"/>
        <v>-0.91853383762133234</v>
      </c>
    </row>
    <row r="4329" spans="5:8" ht="15.6">
      <c r="E4329" s="279" t="s">
        <v>4655</v>
      </c>
      <c r="F4329" s="284">
        <f t="shared" ca="1" si="134"/>
        <v>0.57423607541619037</v>
      </c>
      <c r="G4329" s="74">
        <v>43.418332032675984</v>
      </c>
      <c r="H4329" s="74">
        <f t="shared" si="135"/>
        <v>-2.9239316893434619</v>
      </c>
    </row>
    <row r="4330" spans="5:8" ht="15.6">
      <c r="E4330" s="279" t="s">
        <v>4656</v>
      </c>
      <c r="F4330" s="284">
        <f t="shared" ca="1" si="134"/>
        <v>0.91217960314662805</v>
      </c>
      <c r="G4330" s="74">
        <v>36.58716682313171</v>
      </c>
      <c r="H4330" s="74">
        <f t="shared" si="135"/>
        <v>3.9072335202008119</v>
      </c>
    </row>
    <row r="4331" spans="5:8" ht="15.6">
      <c r="E4331" s="279" t="s">
        <v>4657</v>
      </c>
      <c r="F4331" s="284">
        <f t="shared" ca="1" si="134"/>
        <v>0.28422732862150879</v>
      </c>
      <c r="G4331" s="74">
        <v>36.917266442827589</v>
      </c>
      <c r="H4331" s="74">
        <f t="shared" si="135"/>
        <v>3.5771339005049327</v>
      </c>
    </row>
    <row r="4332" spans="5:8" ht="15.6">
      <c r="E4332" s="279" t="s">
        <v>4658</v>
      </c>
      <c r="F4332" s="284">
        <f t="shared" ca="1" si="134"/>
        <v>9.0378829095584368E-2</v>
      </c>
      <c r="G4332" s="74">
        <v>38.511710517055725</v>
      </c>
      <c r="H4332" s="74">
        <f t="shared" si="135"/>
        <v>1.9826898262767969</v>
      </c>
    </row>
    <row r="4333" spans="5:8" ht="15.6">
      <c r="E4333" s="279" t="s">
        <v>4659</v>
      </c>
      <c r="F4333" s="284">
        <f t="shared" ca="1" si="134"/>
        <v>0.95736890209637271</v>
      </c>
      <c r="G4333" s="74">
        <v>42.958083666353573</v>
      </c>
      <c r="H4333" s="74">
        <f t="shared" si="135"/>
        <v>-2.4636833230210513</v>
      </c>
    </row>
    <row r="4334" spans="5:8" ht="15.6">
      <c r="E4334" s="279" t="s">
        <v>4660</v>
      </c>
      <c r="F4334" s="284">
        <f t="shared" ca="1" si="134"/>
        <v>0.56424638438962127</v>
      </c>
      <c r="G4334" s="74">
        <v>39.151444010625305</v>
      </c>
      <c r="H4334" s="74">
        <f t="shared" si="135"/>
        <v>1.3429563327072174</v>
      </c>
    </row>
    <row r="4335" spans="5:8" ht="15.6">
      <c r="E4335" s="279" t="s">
        <v>4661</v>
      </c>
      <c r="F4335" s="284">
        <f t="shared" ca="1" si="134"/>
        <v>4.6483942599058081E-2</v>
      </c>
      <c r="G4335" s="74">
        <v>43.160021614237841</v>
      </c>
      <c r="H4335" s="74">
        <f t="shared" si="135"/>
        <v>-2.6656212709053193</v>
      </c>
    </row>
    <row r="4336" spans="5:8" ht="15.6">
      <c r="E4336" s="279" t="s">
        <v>4662</v>
      </c>
      <c r="F4336" s="284">
        <f t="shared" ca="1" si="134"/>
        <v>0.54589503984408061</v>
      </c>
      <c r="G4336" s="74">
        <v>39.67250024465006</v>
      </c>
      <c r="H4336" s="74">
        <f t="shared" si="135"/>
        <v>0.8219000986824625</v>
      </c>
    </row>
    <row r="4337" spans="5:8" ht="15.6">
      <c r="E4337" s="279" t="s">
        <v>4663</v>
      </c>
      <c r="F4337" s="284">
        <f t="shared" ca="1" si="134"/>
        <v>0.36864858061000794</v>
      </c>
      <c r="G4337" s="74">
        <v>37.052583403414246</v>
      </c>
      <c r="H4337" s="74">
        <f t="shared" si="135"/>
        <v>3.4418169399182759</v>
      </c>
    </row>
    <row r="4338" spans="5:8" ht="15.6">
      <c r="E4338" s="279" t="s">
        <v>4664</v>
      </c>
      <c r="F4338" s="284">
        <f t="shared" ca="1" si="134"/>
        <v>0.16778450027757785</v>
      </c>
      <c r="G4338" s="74">
        <v>36.554022354665506</v>
      </c>
      <c r="H4338" s="74">
        <f t="shared" si="135"/>
        <v>3.9403779886670165</v>
      </c>
    </row>
    <row r="4339" spans="5:8" ht="15.6">
      <c r="E4339" s="279" t="s">
        <v>4665</v>
      </c>
      <c r="F4339" s="284">
        <f t="shared" ca="1" si="134"/>
        <v>0.90765545812689175</v>
      </c>
      <c r="G4339" s="74">
        <v>41.097225867382349</v>
      </c>
      <c r="H4339" s="74">
        <f t="shared" si="135"/>
        <v>-0.60282552404982681</v>
      </c>
    </row>
    <row r="4340" spans="5:8" ht="15.6">
      <c r="E4340" s="279" t="s">
        <v>4666</v>
      </c>
      <c r="F4340" s="284">
        <f t="shared" ca="1" si="134"/>
        <v>0.83820349645503178</v>
      </c>
      <c r="G4340" s="74">
        <v>44.219218999611513</v>
      </c>
      <c r="H4340" s="74">
        <f t="shared" si="135"/>
        <v>-3.7248186562789911</v>
      </c>
    </row>
    <row r="4341" spans="5:8" ht="15.6">
      <c r="E4341" s="279" t="s">
        <v>4667</v>
      </c>
      <c r="F4341" s="284">
        <f t="shared" ca="1" si="134"/>
        <v>0.49118740124524307</v>
      </c>
      <c r="G4341" s="74">
        <v>36.924290950088952</v>
      </c>
      <c r="H4341" s="74">
        <f t="shared" si="135"/>
        <v>3.5701093932435697</v>
      </c>
    </row>
    <row r="4342" spans="5:8" ht="15.6">
      <c r="E4342" s="279" t="s">
        <v>4668</v>
      </c>
      <c r="F4342" s="284">
        <f t="shared" ca="1" si="134"/>
        <v>0.42843490869450684</v>
      </c>
      <c r="G4342" s="74">
        <v>39.714894095889953</v>
      </c>
      <c r="H4342" s="74">
        <f t="shared" si="135"/>
        <v>0.77950624744256913</v>
      </c>
    </row>
    <row r="4343" spans="5:8" ht="15.6">
      <c r="E4343" s="279" t="s">
        <v>4669</v>
      </c>
      <c r="F4343" s="284">
        <f t="shared" ca="1" si="134"/>
        <v>0.79340098839963247</v>
      </c>
      <c r="G4343" s="74">
        <v>39.393289566723304</v>
      </c>
      <c r="H4343" s="74">
        <f t="shared" si="135"/>
        <v>1.1011107766092181</v>
      </c>
    </row>
    <row r="4344" spans="5:8" ht="15.6">
      <c r="E4344" s="279" t="s">
        <v>4670</v>
      </c>
      <c r="F4344" s="284">
        <f t="shared" ca="1" si="134"/>
        <v>0.72433188301811191</v>
      </c>
      <c r="G4344" s="74">
        <v>36.601092458871662</v>
      </c>
      <c r="H4344" s="74">
        <f t="shared" si="135"/>
        <v>3.8933078844608602</v>
      </c>
    </row>
    <row r="4345" spans="5:8" ht="15.6">
      <c r="E4345" s="279" t="s">
        <v>4671</v>
      </c>
      <c r="F4345" s="284">
        <f t="shared" ca="1" si="134"/>
        <v>0.64407695541793419</v>
      </c>
      <c r="G4345" s="74">
        <v>40.591127393279145</v>
      </c>
      <c r="H4345" s="74">
        <f t="shared" si="135"/>
        <v>-9.6727049946622401E-2</v>
      </c>
    </row>
    <row r="4346" spans="5:8" ht="15.6">
      <c r="E4346" s="279" t="s">
        <v>4672</v>
      </c>
      <c r="F4346" s="284">
        <f t="shared" ca="1" si="134"/>
        <v>0.66307347437801445</v>
      </c>
      <c r="G4346" s="74">
        <v>36.527972140985398</v>
      </c>
      <c r="H4346" s="74">
        <f t="shared" si="135"/>
        <v>3.9664282023471245</v>
      </c>
    </row>
    <row r="4347" spans="5:8" ht="15.6">
      <c r="E4347" s="279" t="s">
        <v>4673</v>
      </c>
      <c r="F4347" s="284">
        <f t="shared" ca="1" si="134"/>
        <v>2.3269848905069557E-2</v>
      </c>
      <c r="G4347" s="74">
        <v>36.284852190627653</v>
      </c>
      <c r="H4347" s="74">
        <f t="shared" si="135"/>
        <v>4.209548152704869</v>
      </c>
    </row>
    <row r="4348" spans="5:8" ht="15.6">
      <c r="E4348" s="279" t="s">
        <v>4674</v>
      </c>
      <c r="F4348" s="284">
        <f t="shared" ca="1" si="134"/>
        <v>0.72113158923134468</v>
      </c>
      <c r="G4348" s="74">
        <v>35.815235273925737</v>
      </c>
      <c r="H4348" s="74">
        <f t="shared" si="135"/>
        <v>4.6791650694067854</v>
      </c>
    </row>
    <row r="4349" spans="5:8" ht="15.6">
      <c r="E4349" s="279" t="s">
        <v>4675</v>
      </c>
      <c r="F4349" s="284">
        <f t="shared" ca="1" si="134"/>
        <v>0.59424048948677621</v>
      </c>
      <c r="G4349" s="74">
        <v>36.074157824363319</v>
      </c>
      <c r="H4349" s="74">
        <f t="shared" si="135"/>
        <v>4.4202425189692036</v>
      </c>
    </row>
    <row r="4350" spans="5:8" ht="15.6">
      <c r="E4350" s="279" t="s">
        <v>4676</v>
      </c>
      <c r="F4350" s="284">
        <f t="shared" ca="1" si="134"/>
        <v>0.99081818076998185</v>
      </c>
      <c r="G4350" s="74">
        <v>38.744345337078968</v>
      </c>
      <c r="H4350" s="74">
        <f t="shared" si="135"/>
        <v>1.7500550062535538</v>
      </c>
    </row>
    <row r="4351" spans="5:8" ht="15.6">
      <c r="E4351" s="279" t="s">
        <v>4677</v>
      </c>
      <c r="F4351" s="284">
        <f t="shared" ca="1" si="134"/>
        <v>0.23558312720783359</v>
      </c>
      <c r="G4351" s="74">
        <v>37.906566518996399</v>
      </c>
      <c r="H4351" s="74">
        <f t="shared" si="135"/>
        <v>2.5878338243361227</v>
      </c>
    </row>
    <row r="4352" spans="5:8" ht="15.6">
      <c r="E4352" s="279" t="s">
        <v>4678</v>
      </c>
      <c r="F4352" s="284">
        <f t="shared" ca="1" si="134"/>
        <v>0.58426167092720294</v>
      </c>
      <c r="G4352" s="74">
        <v>36.902935649246096</v>
      </c>
      <c r="H4352" s="74">
        <f t="shared" si="135"/>
        <v>3.5914646940864259</v>
      </c>
    </row>
    <row r="4353" spans="5:8" ht="15.6">
      <c r="E4353" s="279" t="s">
        <v>4679</v>
      </c>
      <c r="F4353" s="284">
        <f t="shared" ca="1" si="134"/>
        <v>9.8701657879156857E-2</v>
      </c>
      <c r="G4353" s="74">
        <v>36.03447646794374</v>
      </c>
      <c r="H4353" s="74">
        <f t="shared" si="135"/>
        <v>4.4599238753887818</v>
      </c>
    </row>
    <row r="4354" spans="5:8" ht="15.6">
      <c r="E4354" s="279" t="s">
        <v>4680</v>
      </c>
      <c r="F4354" s="284">
        <f t="shared" ca="1" si="134"/>
        <v>0.88031888864373864</v>
      </c>
      <c r="G4354" s="74">
        <v>41.350665493631851</v>
      </c>
      <c r="H4354" s="74">
        <f t="shared" si="135"/>
        <v>-0.85626515029932904</v>
      </c>
    </row>
    <row r="4355" spans="5:8" ht="15.6">
      <c r="E4355" s="279" t="s">
        <v>4681</v>
      </c>
      <c r="F4355" s="284">
        <f t="shared" ca="1" si="134"/>
        <v>0.75960409451416577</v>
      </c>
      <c r="G4355" s="74">
        <v>40.322538369241663</v>
      </c>
      <c r="H4355" s="74">
        <f t="shared" si="135"/>
        <v>0.17186197409085935</v>
      </c>
    </row>
    <row r="4356" spans="5:8" ht="15.6">
      <c r="E4356" s="279" t="s">
        <v>4682</v>
      </c>
      <c r="F4356" s="284">
        <f t="shared" ca="1" si="134"/>
        <v>0.31505321186649016</v>
      </c>
      <c r="G4356" s="74">
        <v>36.540479143239601</v>
      </c>
      <c r="H4356" s="74">
        <f t="shared" si="135"/>
        <v>3.9539212000929211</v>
      </c>
    </row>
    <row r="4357" spans="5:8" ht="15.6">
      <c r="E4357" s="279" t="s">
        <v>4683</v>
      </c>
      <c r="F4357" s="284">
        <f t="shared" ca="1" si="134"/>
        <v>0.7136426543677048</v>
      </c>
      <c r="G4357" s="74">
        <v>40.232547264362942</v>
      </c>
      <c r="H4357" s="74">
        <f t="shared" si="135"/>
        <v>0.26185307896957966</v>
      </c>
    </row>
    <row r="4358" spans="5:8" ht="15.6">
      <c r="E4358" s="279" t="s">
        <v>4684</v>
      </c>
      <c r="F4358" s="284">
        <f t="shared" ca="1" si="134"/>
        <v>4.2075592023447239E-3</v>
      </c>
      <c r="G4358" s="74">
        <v>38.744607780781742</v>
      </c>
      <c r="H4358" s="74">
        <f t="shared" si="135"/>
        <v>1.7497925625507804</v>
      </c>
    </row>
    <row r="4359" spans="5:8" ht="15.6">
      <c r="E4359" s="279" t="s">
        <v>4685</v>
      </c>
      <c r="F4359" s="284">
        <f t="shared" ca="1" si="134"/>
        <v>0.37937487117917046</v>
      </c>
      <c r="G4359" s="74">
        <v>34.148401864098169</v>
      </c>
      <c r="H4359" s="74">
        <f t="shared" si="135"/>
        <v>6.3459984792343533</v>
      </c>
    </row>
    <row r="4360" spans="5:8" ht="15.6">
      <c r="E4360" s="279" t="s">
        <v>4686</v>
      </c>
      <c r="F4360" s="284">
        <f t="shared" ca="1" si="134"/>
        <v>0.64865572205279143</v>
      </c>
      <c r="G4360" s="74">
        <v>35.393972244238263</v>
      </c>
      <c r="H4360" s="74">
        <f t="shared" si="135"/>
        <v>5.100428099094259</v>
      </c>
    </row>
    <row r="4361" spans="5:8" ht="15.6">
      <c r="E4361" s="279" t="s">
        <v>4687</v>
      </c>
      <c r="F4361" s="284">
        <f t="shared" ca="1" si="134"/>
        <v>0.11919118532826145</v>
      </c>
      <c r="G4361" s="74">
        <v>36.351359980643799</v>
      </c>
      <c r="H4361" s="74">
        <f t="shared" si="135"/>
        <v>4.1430403626887227</v>
      </c>
    </row>
    <row r="4362" spans="5:8" ht="15.6">
      <c r="E4362" s="279" t="s">
        <v>4688</v>
      </c>
      <c r="F4362" s="284">
        <f t="shared" ca="1" si="134"/>
        <v>0.20838700620111972</v>
      </c>
      <c r="G4362" s="74">
        <v>41.038800123564378</v>
      </c>
      <c r="H4362" s="74">
        <f t="shared" si="135"/>
        <v>-0.54439978023185631</v>
      </c>
    </row>
    <row r="4363" spans="5:8" ht="15.6">
      <c r="E4363" s="279" t="s">
        <v>4689</v>
      </c>
      <c r="F4363" s="284">
        <f t="shared" ca="1" si="134"/>
        <v>0.81000424687654804</v>
      </c>
      <c r="G4363" s="74">
        <v>37.753109580188827</v>
      </c>
      <c r="H4363" s="74">
        <f t="shared" si="135"/>
        <v>2.7412907631436951</v>
      </c>
    </row>
    <row r="4364" spans="5:8" ht="15.6">
      <c r="E4364" s="279" t="s">
        <v>4690</v>
      </c>
      <c r="F4364" s="284">
        <f t="shared" ref="F4364:F4427" ca="1" si="136">RAND()</f>
        <v>0.2705301909285196</v>
      </c>
      <c r="G4364" s="74">
        <v>39.84529004656293</v>
      </c>
      <c r="H4364" s="74">
        <f t="shared" ref="H4364:H4427" si="137">$D$2-G4364</f>
        <v>0.64911029676959231</v>
      </c>
    </row>
    <row r="4365" spans="5:8" ht="15.6">
      <c r="E4365" s="279" t="s">
        <v>4691</v>
      </c>
      <c r="F4365" s="284">
        <f t="shared" ca="1" si="136"/>
        <v>0.26138721874952542</v>
      </c>
      <c r="G4365" s="74">
        <v>34.59120261433754</v>
      </c>
      <c r="H4365" s="74">
        <f t="shared" si="137"/>
        <v>5.9031977289949822</v>
      </c>
    </row>
    <row r="4366" spans="5:8" ht="15.6">
      <c r="E4366" s="279" t="s">
        <v>4692</v>
      </c>
      <c r="F4366" s="284">
        <f t="shared" ca="1" si="136"/>
        <v>0.7407502999040676</v>
      </c>
      <c r="G4366" s="74">
        <v>40.04849007872842</v>
      </c>
      <c r="H4366" s="74">
        <f t="shared" si="137"/>
        <v>0.44591026460410177</v>
      </c>
    </row>
    <row r="4367" spans="5:8" ht="15.6">
      <c r="E4367" s="279" t="s">
        <v>4693</v>
      </c>
      <c r="F4367" s="284">
        <f t="shared" ca="1" si="136"/>
        <v>0.38498165102365767</v>
      </c>
      <c r="G4367" s="74">
        <v>40.201525161822026</v>
      </c>
      <c r="H4367" s="74">
        <f t="shared" si="137"/>
        <v>0.29287518151049596</v>
      </c>
    </row>
    <row r="4368" spans="5:8" ht="15.6">
      <c r="E4368" s="279" t="s">
        <v>4694</v>
      </c>
      <c r="F4368" s="284">
        <f t="shared" ca="1" si="136"/>
        <v>0.88813711777132032</v>
      </c>
      <c r="G4368" s="74">
        <v>37.315216423254952</v>
      </c>
      <c r="H4368" s="74">
        <f t="shared" si="137"/>
        <v>3.1791839200775698</v>
      </c>
    </row>
    <row r="4369" spans="5:8" ht="15.6">
      <c r="E4369" s="279" t="s">
        <v>4695</v>
      </c>
      <c r="F4369" s="284">
        <f t="shared" ca="1" si="136"/>
        <v>0.78464966264004254</v>
      </c>
      <c r="G4369" s="74">
        <v>38.238766152396998</v>
      </c>
      <c r="H4369" s="74">
        <f t="shared" si="137"/>
        <v>2.255634190935524</v>
      </c>
    </row>
    <row r="4370" spans="5:8" ht="15.6">
      <c r="E4370" s="279" t="s">
        <v>4696</v>
      </c>
      <c r="F4370" s="284">
        <f t="shared" ca="1" si="136"/>
        <v>0.93516074202002153</v>
      </c>
      <c r="G4370" s="74">
        <v>37.081567329737339</v>
      </c>
      <c r="H4370" s="74">
        <f t="shared" si="137"/>
        <v>3.4128330135951828</v>
      </c>
    </row>
    <row r="4371" spans="5:8" ht="15.6">
      <c r="E4371" s="279" t="s">
        <v>4697</v>
      </c>
      <c r="F4371" s="284">
        <f t="shared" ca="1" si="136"/>
        <v>0.70208120760570025</v>
      </c>
      <c r="G4371" s="74">
        <v>40.763630095874348</v>
      </c>
      <c r="H4371" s="74">
        <f t="shared" si="137"/>
        <v>-0.26922975254182546</v>
      </c>
    </row>
    <row r="4372" spans="5:8" ht="15.6">
      <c r="E4372" s="279" t="s">
        <v>4698</v>
      </c>
      <c r="F4372" s="284">
        <f t="shared" ca="1" si="136"/>
        <v>0.74698675107825852</v>
      </c>
      <c r="G4372" s="74">
        <v>38.931742727449155</v>
      </c>
      <c r="H4372" s="74">
        <f t="shared" si="137"/>
        <v>1.5626576158833672</v>
      </c>
    </row>
    <row r="4373" spans="5:8" ht="15.6">
      <c r="E4373" s="279" t="s">
        <v>4699</v>
      </c>
      <c r="F4373" s="284">
        <f t="shared" ca="1" si="136"/>
        <v>0.72033851899298762</v>
      </c>
      <c r="G4373" s="74">
        <v>38.322184618585048</v>
      </c>
      <c r="H4373" s="74">
        <f t="shared" si="137"/>
        <v>2.172215724747474</v>
      </c>
    </row>
    <row r="4374" spans="5:8" ht="15.6">
      <c r="E4374" s="279" t="s">
        <v>4700</v>
      </c>
      <c r="F4374" s="284">
        <f t="shared" ca="1" si="136"/>
        <v>0.97748870784285413</v>
      </c>
      <c r="G4374" s="74">
        <v>38.781346910737611</v>
      </c>
      <c r="H4374" s="74">
        <f t="shared" si="137"/>
        <v>1.7130534325949114</v>
      </c>
    </row>
    <row r="4375" spans="5:8" ht="15.6">
      <c r="E4375" s="279" t="s">
        <v>4701</v>
      </c>
      <c r="F4375" s="284">
        <f t="shared" ca="1" si="136"/>
        <v>0.6514704427900222</v>
      </c>
      <c r="G4375" s="74">
        <v>36.824688190555754</v>
      </c>
      <c r="H4375" s="74">
        <f t="shared" si="137"/>
        <v>3.6697121527767678</v>
      </c>
    </row>
    <row r="4376" spans="5:8" ht="15.6">
      <c r="E4376" s="279" t="s">
        <v>4702</v>
      </c>
      <c r="F4376" s="284">
        <f t="shared" ca="1" si="136"/>
        <v>0.35953307124135891</v>
      </c>
      <c r="G4376" s="74">
        <v>37.321708972458381</v>
      </c>
      <c r="H4376" s="74">
        <f t="shared" si="137"/>
        <v>3.1726913708741407</v>
      </c>
    </row>
    <row r="4377" spans="5:8" ht="15.6">
      <c r="E4377" s="279" t="s">
        <v>4703</v>
      </c>
      <c r="F4377" s="284">
        <f t="shared" ca="1" si="136"/>
        <v>0.71719513452420092</v>
      </c>
      <c r="G4377" s="74">
        <v>36.360891961887035</v>
      </c>
      <c r="H4377" s="74">
        <f t="shared" si="137"/>
        <v>4.1335083814454876</v>
      </c>
    </row>
    <row r="4378" spans="5:8" ht="15.6">
      <c r="E4378" s="279" t="s">
        <v>4704</v>
      </c>
      <c r="F4378" s="284">
        <f t="shared" ca="1" si="136"/>
        <v>0.64061430398412</v>
      </c>
      <c r="G4378" s="74">
        <v>40.889767262628332</v>
      </c>
      <c r="H4378" s="74">
        <f t="shared" si="137"/>
        <v>-0.39536691929581025</v>
      </c>
    </row>
    <row r="4379" spans="5:8" ht="15.6">
      <c r="E4379" s="279" t="s">
        <v>4705</v>
      </c>
      <c r="F4379" s="284">
        <f t="shared" ca="1" si="136"/>
        <v>0.75843082456599431</v>
      </c>
      <c r="G4379" s="74">
        <v>38.718039038778336</v>
      </c>
      <c r="H4379" s="74">
        <f t="shared" si="137"/>
        <v>1.7763613045541859</v>
      </c>
    </row>
    <row r="4380" spans="5:8" ht="15.6">
      <c r="E4380" s="279" t="s">
        <v>4706</v>
      </c>
      <c r="F4380" s="284">
        <f t="shared" ca="1" si="136"/>
        <v>0.82744693766220867</v>
      </c>
      <c r="G4380" s="74">
        <v>41.116884002824648</v>
      </c>
      <c r="H4380" s="74">
        <f t="shared" si="137"/>
        <v>-0.6224836594921257</v>
      </c>
    </row>
    <row r="4381" spans="5:8" ht="15.6">
      <c r="E4381" s="279" t="s">
        <v>4707</v>
      </c>
      <c r="F4381" s="284">
        <f t="shared" ca="1" si="136"/>
        <v>0.12634863688481901</v>
      </c>
      <c r="G4381" s="74">
        <v>43.253253808677727</v>
      </c>
      <c r="H4381" s="74">
        <f t="shared" si="137"/>
        <v>-2.7588534653452044</v>
      </c>
    </row>
    <row r="4382" spans="5:8" ht="15.6">
      <c r="E4382" s="279" t="s">
        <v>4708</v>
      </c>
      <c r="F4382" s="284">
        <f t="shared" ca="1" si="136"/>
        <v>0.88476673468313594</v>
      </c>
      <c r="G4382" s="74">
        <v>36.645832861909447</v>
      </c>
      <c r="H4382" s="74">
        <f t="shared" si="137"/>
        <v>3.8485674814230748</v>
      </c>
    </row>
    <row r="4383" spans="5:8" ht="15.6">
      <c r="E4383" s="279" t="s">
        <v>4709</v>
      </c>
      <c r="F4383" s="284">
        <f t="shared" ca="1" si="136"/>
        <v>1.4793638398385878E-2</v>
      </c>
      <c r="G4383" s="74">
        <v>42.557289023551668</v>
      </c>
      <c r="H4383" s="74">
        <f t="shared" si="137"/>
        <v>-2.062888680219146</v>
      </c>
    </row>
    <row r="4384" spans="5:8" ht="15.6">
      <c r="E4384" s="279" t="s">
        <v>4710</v>
      </c>
      <c r="F4384" s="284">
        <f t="shared" ca="1" si="136"/>
        <v>0.10871462264388065</v>
      </c>
      <c r="G4384" s="74">
        <v>37.671876271613407</v>
      </c>
      <c r="H4384" s="74">
        <f t="shared" si="137"/>
        <v>2.8225240717191156</v>
      </c>
    </row>
    <row r="4385" spans="5:8" ht="15.6">
      <c r="E4385" s="279" t="s">
        <v>4711</v>
      </c>
      <c r="F4385" s="284">
        <f t="shared" ca="1" si="136"/>
        <v>0.32050136158382181</v>
      </c>
      <c r="G4385" s="74">
        <v>37.865374758695111</v>
      </c>
      <c r="H4385" s="74">
        <f t="shared" si="137"/>
        <v>2.6290255846374109</v>
      </c>
    </row>
    <row r="4386" spans="5:8" ht="15.6">
      <c r="E4386" s="279" t="s">
        <v>4712</v>
      </c>
      <c r="F4386" s="284">
        <f t="shared" ca="1" si="136"/>
        <v>0.20390374594336191</v>
      </c>
      <c r="G4386" s="74">
        <v>41.596438766257791</v>
      </c>
      <c r="H4386" s="74">
        <f t="shared" si="137"/>
        <v>-1.1020384229252684</v>
      </c>
    </row>
    <row r="4387" spans="5:8" ht="15.6">
      <c r="E4387" s="279" t="s">
        <v>4713</v>
      </c>
      <c r="F4387" s="284">
        <f t="shared" ca="1" si="136"/>
        <v>0.96314741167550899</v>
      </c>
      <c r="G4387" s="74">
        <v>38.533192341875555</v>
      </c>
      <c r="H4387" s="74">
        <f t="shared" si="137"/>
        <v>1.9612080014569671</v>
      </c>
    </row>
    <row r="4388" spans="5:8" ht="15.6">
      <c r="E4388" s="279" t="s">
        <v>4714</v>
      </c>
      <c r="F4388" s="284">
        <f t="shared" ca="1" si="136"/>
        <v>0.96975554947705145</v>
      </c>
      <c r="G4388" s="74">
        <v>40.986646120691873</v>
      </c>
      <c r="H4388" s="74">
        <f t="shared" si="137"/>
        <v>-0.49224577735935071</v>
      </c>
    </row>
    <row r="4389" spans="5:8" ht="15.6">
      <c r="E4389" s="279" t="s">
        <v>4715</v>
      </c>
      <c r="F4389" s="284">
        <f t="shared" ca="1" si="136"/>
        <v>0.44125811432009276</v>
      </c>
      <c r="G4389" s="74">
        <v>45.263880655333537</v>
      </c>
      <c r="H4389" s="74">
        <f t="shared" si="137"/>
        <v>-4.769480312001015</v>
      </c>
    </row>
    <row r="4390" spans="5:8" ht="15.6">
      <c r="E4390" s="279" t="s">
        <v>4716</v>
      </c>
      <c r="F4390" s="284">
        <f t="shared" ca="1" si="136"/>
        <v>0.22099279657558446</v>
      </c>
      <c r="G4390" s="74">
        <v>37.665971916738577</v>
      </c>
      <c r="H4390" s="74">
        <f t="shared" si="137"/>
        <v>2.8284284265939448</v>
      </c>
    </row>
    <row r="4391" spans="5:8" ht="15.6">
      <c r="E4391" s="279" t="s">
        <v>4717</v>
      </c>
      <c r="F4391" s="284">
        <f t="shared" ca="1" si="136"/>
        <v>0.86172532873791519</v>
      </c>
      <c r="G4391" s="74">
        <v>35.075573579596259</v>
      </c>
      <c r="H4391" s="74">
        <f t="shared" si="137"/>
        <v>5.4188267637362628</v>
      </c>
    </row>
    <row r="4392" spans="5:8" ht="15.6">
      <c r="E4392" s="279" t="s">
        <v>4718</v>
      </c>
      <c r="F4392" s="284">
        <f t="shared" ca="1" si="136"/>
        <v>0.30491021081672864</v>
      </c>
      <c r="G4392" s="74">
        <v>40.821909277374125</v>
      </c>
      <c r="H4392" s="74">
        <f t="shared" si="137"/>
        <v>-0.32750893404160308</v>
      </c>
    </row>
    <row r="4393" spans="5:8" ht="15.6">
      <c r="E4393" s="279" t="s">
        <v>4719</v>
      </c>
      <c r="F4393" s="284">
        <f t="shared" ca="1" si="136"/>
        <v>0.4603007134223982</v>
      </c>
      <c r="G4393" s="74">
        <v>40.518705409031924</v>
      </c>
      <c r="H4393" s="74">
        <f t="shared" si="137"/>
        <v>-2.4305065699401496E-2</v>
      </c>
    </row>
    <row r="4394" spans="5:8" ht="15.6">
      <c r="E4394" s="279" t="s">
        <v>4720</v>
      </c>
      <c r="F4394" s="284">
        <f t="shared" ca="1" si="136"/>
        <v>1.4187237965262889E-2</v>
      </c>
      <c r="G4394" s="74">
        <v>41.047079969218082</v>
      </c>
      <c r="H4394" s="74">
        <f t="shared" si="137"/>
        <v>-0.55267962588555974</v>
      </c>
    </row>
    <row r="4395" spans="5:8" ht="15.6">
      <c r="E4395" s="279" t="s">
        <v>4721</v>
      </c>
      <c r="F4395" s="284">
        <f t="shared" ca="1" si="136"/>
        <v>0.59926497841890281</v>
      </c>
      <c r="G4395" s="74">
        <v>42.216004406371908</v>
      </c>
      <c r="H4395" s="74">
        <f t="shared" si="137"/>
        <v>-1.7216040630393863</v>
      </c>
    </row>
    <row r="4396" spans="5:8" ht="15.6">
      <c r="E4396" s="279" t="s">
        <v>4722</v>
      </c>
      <c r="F4396" s="284">
        <f t="shared" ca="1" si="136"/>
        <v>4.1593018912041146E-2</v>
      </c>
      <c r="G4396" s="74">
        <v>37.038745814415243</v>
      </c>
      <c r="H4396" s="74">
        <f t="shared" si="137"/>
        <v>3.4556545289172789</v>
      </c>
    </row>
    <row r="4397" spans="5:8" ht="15.6">
      <c r="E4397" s="279" t="s">
        <v>4723</v>
      </c>
      <c r="F4397" s="284">
        <f t="shared" ca="1" si="136"/>
        <v>0.55367449553818837</v>
      </c>
      <c r="G4397" s="74">
        <v>36.893336079295047</v>
      </c>
      <c r="H4397" s="74">
        <f t="shared" si="137"/>
        <v>3.6010642640374755</v>
      </c>
    </row>
    <row r="4398" spans="5:8" ht="15.6">
      <c r="E4398" s="279" t="s">
        <v>4724</v>
      </c>
      <c r="F4398" s="284">
        <f t="shared" ca="1" si="136"/>
        <v>0.71503568717831079</v>
      </c>
      <c r="G4398" s="74">
        <v>37.818712167795802</v>
      </c>
      <c r="H4398" s="74">
        <f t="shared" si="137"/>
        <v>2.6756881755367203</v>
      </c>
    </row>
    <row r="4399" spans="5:8" ht="15.6">
      <c r="E4399" s="279" t="s">
        <v>4725</v>
      </c>
      <c r="F4399" s="284">
        <f t="shared" ca="1" si="136"/>
        <v>0.76437558253292193</v>
      </c>
      <c r="G4399" s="74">
        <v>40.246614034434437</v>
      </c>
      <c r="H4399" s="74">
        <f t="shared" si="137"/>
        <v>0.24778630889808539</v>
      </c>
    </row>
    <row r="4400" spans="5:8" ht="15.6">
      <c r="E4400" s="279" t="s">
        <v>4726</v>
      </c>
      <c r="F4400" s="284">
        <f t="shared" ca="1" si="136"/>
        <v>0.36073737390352612</v>
      </c>
      <c r="G4400" s="74">
        <v>37.819608110604364</v>
      </c>
      <c r="H4400" s="74">
        <f t="shared" si="137"/>
        <v>2.6747922327281586</v>
      </c>
    </row>
    <row r="4401" spans="5:8" ht="15.6">
      <c r="E4401" s="279" t="s">
        <v>4727</v>
      </c>
      <c r="F4401" s="284">
        <f t="shared" ca="1" si="136"/>
        <v>0.6624113289540644</v>
      </c>
      <c r="G4401" s="74">
        <v>38.029099142081186</v>
      </c>
      <c r="H4401" s="74">
        <f t="shared" si="137"/>
        <v>2.4653012012513358</v>
      </c>
    </row>
    <row r="4402" spans="5:8" ht="15.6">
      <c r="E4402" s="279" t="s">
        <v>4728</v>
      </c>
      <c r="F4402" s="284">
        <f t="shared" ca="1" si="136"/>
        <v>0.18468516267202306</v>
      </c>
      <c r="G4402" s="74">
        <v>38.277319254963039</v>
      </c>
      <c r="H4402" s="74">
        <f t="shared" si="137"/>
        <v>2.2170810883694827</v>
      </c>
    </row>
    <row r="4403" spans="5:8" ht="15.6">
      <c r="E4403" s="279" t="s">
        <v>4729</v>
      </c>
      <c r="F4403" s="284">
        <f t="shared" ca="1" si="136"/>
        <v>0.29351797617752395</v>
      </c>
      <c r="G4403" s="74">
        <v>44.746525219955593</v>
      </c>
      <c r="H4403" s="74">
        <f t="shared" si="137"/>
        <v>-4.2521248766230713</v>
      </c>
    </row>
    <row r="4404" spans="5:8" ht="15.6">
      <c r="E4404" s="279" t="s">
        <v>4730</v>
      </c>
      <c r="F4404" s="284">
        <f t="shared" ca="1" si="136"/>
        <v>0.64378355017071098</v>
      </c>
      <c r="G4404" s="74">
        <v>39.95751178702875</v>
      </c>
      <c r="H4404" s="74">
        <f t="shared" si="137"/>
        <v>0.53688855630377219</v>
      </c>
    </row>
    <row r="4405" spans="5:8" ht="15.6">
      <c r="E4405" s="279" t="s">
        <v>4731</v>
      </c>
      <c r="F4405" s="284">
        <f t="shared" ca="1" si="136"/>
        <v>0.63852771365011729</v>
      </c>
      <c r="G4405" s="74">
        <v>39.341726328801748</v>
      </c>
      <c r="H4405" s="74">
        <f t="shared" si="137"/>
        <v>1.1526740145307741</v>
      </c>
    </row>
    <row r="4406" spans="5:8" ht="15.6">
      <c r="E4406" s="279" t="s">
        <v>4732</v>
      </c>
      <c r="F4406" s="284">
        <f t="shared" ca="1" si="136"/>
        <v>0.52709216956775518</v>
      </c>
      <c r="G4406" s="74">
        <v>36.524856851379127</v>
      </c>
      <c r="H4406" s="74">
        <f t="shared" si="137"/>
        <v>3.9695434919533952</v>
      </c>
    </row>
    <row r="4407" spans="5:8" ht="15.6">
      <c r="E4407" s="279" t="s">
        <v>4733</v>
      </c>
      <c r="F4407" s="284">
        <f t="shared" ca="1" si="136"/>
        <v>0.71139579936692376</v>
      </c>
      <c r="G4407" s="74">
        <v>43.176200456072543</v>
      </c>
      <c r="H4407" s="74">
        <f t="shared" si="137"/>
        <v>-2.6818001127400208</v>
      </c>
    </row>
    <row r="4408" spans="5:8" ht="15.6">
      <c r="E4408" s="279" t="s">
        <v>4734</v>
      </c>
      <c r="F4408" s="284">
        <f t="shared" ca="1" si="136"/>
        <v>0.10737058182898751</v>
      </c>
      <c r="G4408" s="74">
        <v>36.847088382415293</v>
      </c>
      <c r="H4408" s="74">
        <f t="shared" si="137"/>
        <v>3.6473119609172286</v>
      </c>
    </row>
    <row r="4409" spans="5:8" ht="15.6">
      <c r="E4409" s="279" t="s">
        <v>4735</v>
      </c>
      <c r="F4409" s="284">
        <f t="shared" ca="1" si="136"/>
        <v>0.33324937783715525</v>
      </c>
      <c r="G4409" s="74">
        <v>40.389698051614907</v>
      </c>
      <c r="H4409" s="74">
        <f t="shared" si="137"/>
        <v>0.10470229171761503</v>
      </c>
    </row>
    <row r="4410" spans="5:8" ht="15.6">
      <c r="E4410" s="279" t="s">
        <v>4736</v>
      </c>
      <c r="F4410" s="284">
        <f t="shared" ca="1" si="136"/>
        <v>0.32651733499115232</v>
      </c>
      <c r="G4410" s="74">
        <v>37.665146633038439</v>
      </c>
      <c r="H4410" s="74">
        <f t="shared" si="137"/>
        <v>2.8292537102940827</v>
      </c>
    </row>
    <row r="4411" spans="5:8" ht="15.6">
      <c r="E4411" s="279" t="s">
        <v>4737</v>
      </c>
      <c r="F4411" s="284">
        <f t="shared" ca="1" si="136"/>
        <v>0.18282968654105036</v>
      </c>
      <c r="G4411" s="74">
        <v>38.799897599408503</v>
      </c>
      <c r="H4411" s="74">
        <f t="shared" si="137"/>
        <v>1.6945027439240192</v>
      </c>
    </row>
    <row r="4412" spans="5:8" ht="15.6">
      <c r="E4412" s="279" t="s">
        <v>4738</v>
      </c>
      <c r="F4412" s="284">
        <f t="shared" ca="1" si="136"/>
        <v>0.45508153129784212</v>
      </c>
      <c r="G4412" s="74">
        <v>41.448112907836411</v>
      </c>
      <c r="H4412" s="74">
        <f t="shared" si="137"/>
        <v>-0.95371256450388842</v>
      </c>
    </row>
    <row r="4413" spans="5:8" ht="15.6">
      <c r="E4413" s="279" t="s">
        <v>4739</v>
      </c>
      <c r="F4413" s="284">
        <f t="shared" ca="1" si="136"/>
        <v>0.84171605927695659</v>
      </c>
      <c r="G4413" s="74">
        <v>36.320632530922587</v>
      </c>
      <c r="H4413" s="74">
        <f t="shared" si="137"/>
        <v>4.1737678124099347</v>
      </c>
    </row>
    <row r="4414" spans="5:8" ht="15.6">
      <c r="E4414" s="279" t="s">
        <v>4740</v>
      </c>
      <c r="F4414" s="284">
        <f t="shared" ca="1" si="136"/>
        <v>0.95840509932633322</v>
      </c>
      <c r="G4414" s="74">
        <v>34.256425687572403</v>
      </c>
      <c r="H4414" s="74">
        <f t="shared" si="137"/>
        <v>6.2379746557601194</v>
      </c>
    </row>
    <row r="4415" spans="5:8" ht="15.6">
      <c r="E4415" s="279" t="s">
        <v>4741</v>
      </c>
      <c r="F4415" s="284">
        <f t="shared" ca="1" si="136"/>
        <v>0.92713070441723433</v>
      </c>
      <c r="G4415" s="74">
        <v>40.126183927371159</v>
      </c>
      <c r="H4415" s="74">
        <f t="shared" si="137"/>
        <v>0.36821641596136345</v>
      </c>
    </row>
    <row r="4416" spans="5:8" ht="15.6">
      <c r="E4416" s="279" t="s">
        <v>4742</v>
      </c>
      <c r="F4416" s="284">
        <f t="shared" ca="1" si="136"/>
        <v>0.795293509168156</v>
      </c>
      <c r="G4416" s="74">
        <v>38.994543577851637</v>
      </c>
      <c r="H4416" s="74">
        <f t="shared" si="137"/>
        <v>1.4998567654808852</v>
      </c>
    </row>
    <row r="4417" spans="5:8" ht="15.6">
      <c r="E4417" s="279" t="s">
        <v>4743</v>
      </c>
      <c r="F4417" s="284">
        <f t="shared" ca="1" si="136"/>
        <v>0.29163711037978146</v>
      </c>
      <c r="G4417" s="74">
        <v>39.659967967701938</v>
      </c>
      <c r="H4417" s="74">
        <f t="shared" si="137"/>
        <v>0.83443237563058403</v>
      </c>
    </row>
    <row r="4418" spans="5:8" ht="15.6">
      <c r="E4418" s="279" t="s">
        <v>4744</v>
      </c>
      <c r="F4418" s="284">
        <f t="shared" ca="1" si="136"/>
        <v>0.62495151392558645</v>
      </c>
      <c r="G4418" s="74">
        <v>36.568855310114813</v>
      </c>
      <c r="H4418" s="74">
        <f t="shared" si="137"/>
        <v>3.9255450332177091</v>
      </c>
    </row>
    <row r="4419" spans="5:8" ht="15.6">
      <c r="E4419" s="279" t="s">
        <v>4745</v>
      </c>
      <c r="F4419" s="284">
        <f t="shared" ca="1" si="136"/>
        <v>5.4823128479016825E-3</v>
      </c>
      <c r="G4419" s="74">
        <v>36.520320799310049</v>
      </c>
      <c r="H4419" s="74">
        <f t="shared" si="137"/>
        <v>3.974079544022473</v>
      </c>
    </row>
    <row r="4420" spans="5:8" ht="15.6">
      <c r="E4420" s="279" t="s">
        <v>4746</v>
      </c>
      <c r="F4420" s="284">
        <f t="shared" ca="1" si="136"/>
        <v>0.39122817714155045</v>
      </c>
      <c r="G4420" s="74">
        <v>39.706757874030288</v>
      </c>
      <c r="H4420" s="74">
        <f t="shared" si="137"/>
        <v>0.78764246930223436</v>
      </c>
    </row>
    <row r="4421" spans="5:8" ht="15.6">
      <c r="E4421" s="279" t="s">
        <v>4747</v>
      </c>
      <c r="F4421" s="284">
        <f t="shared" ca="1" si="136"/>
        <v>0.78307830982113324</v>
      </c>
      <c r="G4421" s="74">
        <v>41.100182841143202</v>
      </c>
      <c r="H4421" s="74">
        <f t="shared" si="137"/>
        <v>-0.60578249781067939</v>
      </c>
    </row>
    <row r="4422" spans="5:8" ht="15.6">
      <c r="E4422" s="279" t="s">
        <v>4748</v>
      </c>
      <c r="F4422" s="284">
        <f t="shared" ca="1" si="136"/>
        <v>7.0745418953500949E-2</v>
      </c>
      <c r="G4422" s="74">
        <v>39.219321299644932</v>
      </c>
      <c r="H4422" s="74">
        <f t="shared" si="137"/>
        <v>1.2750790436875903</v>
      </c>
    </row>
    <row r="4423" spans="5:8" ht="15.6">
      <c r="E4423" s="279" t="s">
        <v>4749</v>
      </c>
      <c r="F4423" s="284">
        <f t="shared" ca="1" si="136"/>
        <v>0.40906879006739116</v>
      </c>
      <c r="G4423" s="74">
        <v>42.82460613846596</v>
      </c>
      <c r="H4423" s="74">
        <f t="shared" si="137"/>
        <v>-2.3302057951334376</v>
      </c>
    </row>
    <row r="4424" spans="5:8" ht="15.6">
      <c r="E4424" s="279" t="s">
        <v>4750</v>
      </c>
      <c r="F4424" s="284">
        <f t="shared" ca="1" si="136"/>
        <v>0.68362695991125577</v>
      </c>
      <c r="G4424" s="74">
        <v>40.384103891580004</v>
      </c>
      <c r="H4424" s="74">
        <f t="shared" si="137"/>
        <v>0.11029645175251801</v>
      </c>
    </row>
    <row r="4425" spans="5:8" ht="15.6">
      <c r="E4425" s="279" t="s">
        <v>4751</v>
      </c>
      <c r="F4425" s="284">
        <f t="shared" ca="1" si="136"/>
        <v>0.41144020965187966</v>
      </c>
      <c r="G4425" s="74">
        <v>39.409458553223068</v>
      </c>
      <c r="H4425" s="74">
        <f t="shared" si="137"/>
        <v>1.084941790109454</v>
      </c>
    </row>
    <row r="4426" spans="5:8" ht="15.6">
      <c r="E4426" s="279" t="s">
        <v>4752</v>
      </c>
      <c r="F4426" s="284">
        <f t="shared" ca="1" si="136"/>
        <v>3.5903711829107343E-2</v>
      </c>
      <c r="G4426" s="74">
        <v>40.09715105873255</v>
      </c>
      <c r="H4426" s="74">
        <f t="shared" si="137"/>
        <v>0.39724928459997244</v>
      </c>
    </row>
    <row r="4427" spans="5:8" ht="15.6">
      <c r="E4427" s="279" t="s">
        <v>4753</v>
      </c>
      <c r="F4427" s="284">
        <f t="shared" ca="1" si="136"/>
        <v>0.77997599103027115</v>
      </c>
      <c r="G4427" s="74">
        <v>37.370397383902677</v>
      </c>
      <c r="H4427" s="74">
        <f t="shared" si="137"/>
        <v>3.1240029594298449</v>
      </c>
    </row>
    <row r="4428" spans="5:8" ht="15.6">
      <c r="E4428" s="279" t="s">
        <v>4754</v>
      </c>
      <c r="F4428" s="284">
        <f t="shared" ref="F4428:F4491" ca="1" si="138">RAND()</f>
        <v>0.26434912726449589</v>
      </c>
      <c r="G4428" s="74">
        <v>38.236667496864399</v>
      </c>
      <c r="H4428" s="74">
        <f t="shared" ref="H4428:H4491" si="139">$D$2-G4428</f>
        <v>2.257732846468123</v>
      </c>
    </row>
    <row r="4429" spans="5:8" ht="15.6">
      <c r="E4429" s="279" t="s">
        <v>4755</v>
      </c>
      <c r="F4429" s="284">
        <f t="shared" ca="1" si="138"/>
        <v>0.31814598904189217</v>
      </c>
      <c r="G4429" s="74">
        <v>36.566397961264499</v>
      </c>
      <c r="H4429" s="74">
        <f t="shared" si="139"/>
        <v>3.9280023820680228</v>
      </c>
    </row>
    <row r="4430" spans="5:8" ht="15.6">
      <c r="E4430" s="279" t="s">
        <v>4756</v>
      </c>
      <c r="F4430" s="284">
        <f t="shared" ca="1" si="138"/>
        <v>0.9038322113947852</v>
      </c>
      <c r="G4430" s="74">
        <v>39.427197696282207</v>
      </c>
      <c r="H4430" s="74">
        <f t="shared" si="139"/>
        <v>1.0672026470503155</v>
      </c>
    </row>
    <row r="4431" spans="5:8" ht="15.6">
      <c r="E4431" s="279" t="s">
        <v>4757</v>
      </c>
      <c r="F4431" s="284">
        <f t="shared" ca="1" si="138"/>
        <v>0.19865380069275007</v>
      </c>
      <c r="G4431" s="74">
        <v>39.948007240305742</v>
      </c>
      <c r="H4431" s="74">
        <f t="shared" si="139"/>
        <v>0.54639310302678012</v>
      </c>
    </row>
    <row r="4432" spans="5:8" ht="15.6">
      <c r="E4432" s="279" t="s">
        <v>4758</v>
      </c>
      <c r="F4432" s="284">
        <f t="shared" ca="1" si="138"/>
        <v>0.93867735349617776</v>
      </c>
      <c r="G4432" s="74">
        <v>42.664506443834348</v>
      </c>
      <c r="H4432" s="74">
        <f t="shared" si="139"/>
        <v>-2.1701061005018261</v>
      </c>
    </row>
    <row r="4433" spans="5:8" ht="15.6">
      <c r="E4433" s="279" t="s">
        <v>4759</v>
      </c>
      <c r="F4433" s="284">
        <f t="shared" ca="1" si="138"/>
        <v>0.41971074112462481</v>
      </c>
      <c r="G4433" s="74">
        <v>41.342287511688269</v>
      </c>
      <c r="H4433" s="74">
        <f t="shared" si="139"/>
        <v>-0.84788716835574718</v>
      </c>
    </row>
    <row r="4434" spans="5:8" ht="15.6">
      <c r="E4434" s="279" t="s">
        <v>4760</v>
      </c>
      <c r="F4434" s="284">
        <f t="shared" ca="1" si="138"/>
        <v>0.65234568961637396</v>
      </c>
      <c r="G4434" s="74">
        <v>37.611272349249056</v>
      </c>
      <c r="H4434" s="74">
        <f t="shared" si="139"/>
        <v>2.8831279940834662</v>
      </c>
    </row>
    <row r="4435" spans="5:8" ht="15.6">
      <c r="E4435" s="279" t="s">
        <v>4761</v>
      </c>
      <c r="F4435" s="284">
        <f t="shared" ca="1" si="138"/>
        <v>0.21950335186501624</v>
      </c>
      <c r="G4435" s="74">
        <v>41.445964207967691</v>
      </c>
      <c r="H4435" s="74">
        <f t="shared" si="139"/>
        <v>-0.95156386463516895</v>
      </c>
    </row>
    <row r="4436" spans="5:8" ht="15.6">
      <c r="E4436" s="279" t="s">
        <v>4762</v>
      </c>
      <c r="F4436" s="284">
        <f t="shared" ca="1" si="138"/>
        <v>0.17054245450188532</v>
      </c>
      <c r="G4436" s="74">
        <v>36.612968136116351</v>
      </c>
      <c r="H4436" s="74">
        <f t="shared" si="139"/>
        <v>3.8814322072161715</v>
      </c>
    </row>
    <row r="4437" spans="5:8" ht="15.6">
      <c r="E4437" s="279" t="s">
        <v>4763</v>
      </c>
      <c r="F4437" s="284">
        <f t="shared" ca="1" si="138"/>
        <v>0.50541194503046116</v>
      </c>
      <c r="G4437" s="74">
        <v>35.366108034807326</v>
      </c>
      <c r="H4437" s="74">
        <f t="shared" si="139"/>
        <v>5.1282923085251966</v>
      </c>
    </row>
    <row r="4438" spans="5:8" ht="15.6">
      <c r="E4438" s="279" t="s">
        <v>4764</v>
      </c>
      <c r="F4438" s="284">
        <f t="shared" ca="1" si="138"/>
        <v>0.3906920625743302</v>
      </c>
      <c r="G4438" s="74">
        <v>40.352662739879953</v>
      </c>
      <c r="H4438" s="74">
        <f t="shared" si="139"/>
        <v>0.14173760345256881</v>
      </c>
    </row>
    <row r="4439" spans="5:8" ht="15.6">
      <c r="E4439" s="279" t="s">
        <v>4765</v>
      </c>
      <c r="F4439" s="284">
        <f t="shared" ca="1" si="138"/>
        <v>0.87717701651868096</v>
      </c>
      <c r="G4439" s="74">
        <v>37.832491869999465</v>
      </c>
      <c r="H4439" s="74">
        <f t="shared" si="139"/>
        <v>2.6619084733330567</v>
      </c>
    </row>
    <row r="4440" spans="5:8" ht="15.6">
      <c r="E4440" s="279" t="s">
        <v>4766</v>
      </c>
      <c r="F4440" s="284">
        <f t="shared" ca="1" si="138"/>
        <v>0.46009979883243934</v>
      </c>
      <c r="G4440" s="74">
        <v>35.714583398529236</v>
      </c>
      <c r="H4440" s="74">
        <f t="shared" si="139"/>
        <v>4.7798169448032866</v>
      </c>
    </row>
    <row r="4441" spans="5:8" ht="15.6">
      <c r="E4441" s="279" t="s">
        <v>4767</v>
      </c>
      <c r="F4441" s="284">
        <f t="shared" ca="1" si="138"/>
        <v>0.59969027046598578</v>
      </c>
      <c r="G4441" s="74">
        <v>39.336224627153527</v>
      </c>
      <c r="H4441" s="74">
        <f t="shared" si="139"/>
        <v>1.1581757161789952</v>
      </c>
    </row>
    <row r="4442" spans="5:8" ht="15.6">
      <c r="E4442" s="279" t="s">
        <v>4768</v>
      </c>
      <c r="F4442" s="284">
        <f t="shared" ca="1" si="138"/>
        <v>0.17271493716086517</v>
      </c>
      <c r="G4442" s="74">
        <v>36.226489490897244</v>
      </c>
      <c r="H4442" s="74">
        <f t="shared" si="139"/>
        <v>4.2679108524352785</v>
      </c>
    </row>
    <row r="4443" spans="5:8" ht="15.6">
      <c r="E4443" s="279" t="s">
        <v>4769</v>
      </c>
      <c r="F4443" s="284">
        <f t="shared" ca="1" si="138"/>
        <v>0.2078867059551609</v>
      </c>
      <c r="G4443" s="74">
        <v>38.022375919231365</v>
      </c>
      <c r="H4443" s="74">
        <f t="shared" si="139"/>
        <v>2.4720244241011571</v>
      </c>
    </row>
    <row r="4444" spans="5:8" ht="15.6">
      <c r="E4444" s="279" t="s">
        <v>4770</v>
      </c>
      <c r="F4444" s="284">
        <f t="shared" ca="1" si="138"/>
        <v>0.87104077346157394</v>
      </c>
      <c r="G4444" s="74">
        <v>35.731324530673135</v>
      </c>
      <c r="H4444" s="74">
        <f t="shared" si="139"/>
        <v>4.7630758126593875</v>
      </c>
    </row>
    <row r="4445" spans="5:8" ht="15.6">
      <c r="E4445" s="279" t="s">
        <v>4771</v>
      </c>
      <c r="F4445" s="284">
        <f t="shared" ca="1" si="138"/>
        <v>0.517932648213555</v>
      </c>
      <c r="G4445" s="74">
        <v>38.340184213128055</v>
      </c>
      <c r="H4445" s="74">
        <f t="shared" si="139"/>
        <v>2.1542161302044676</v>
      </c>
    </row>
    <row r="4446" spans="5:8" ht="15.6">
      <c r="E4446" s="279" t="s">
        <v>4772</v>
      </c>
      <c r="F4446" s="284">
        <f t="shared" ca="1" si="138"/>
        <v>0.22850404093277255</v>
      </c>
      <c r="G4446" s="74">
        <v>39.799726091419707</v>
      </c>
      <c r="H4446" s="74">
        <f t="shared" si="139"/>
        <v>0.69467425191281507</v>
      </c>
    </row>
    <row r="4447" spans="5:8" ht="15.6">
      <c r="E4447" s="279" t="s">
        <v>4773</v>
      </c>
      <c r="F4447" s="284">
        <f t="shared" ca="1" si="138"/>
        <v>0.42626571657333323</v>
      </c>
      <c r="G4447" s="74">
        <v>40.08162253995868</v>
      </c>
      <c r="H4447" s="74">
        <f t="shared" si="139"/>
        <v>0.41277780337384229</v>
      </c>
    </row>
    <row r="4448" spans="5:8" ht="15.6">
      <c r="E4448" s="279" t="s">
        <v>4774</v>
      </c>
      <c r="F4448" s="284">
        <f t="shared" ca="1" si="138"/>
        <v>1.7922520155109645E-2</v>
      </c>
      <c r="G4448" s="74">
        <v>37.651115943983584</v>
      </c>
      <c r="H4448" s="74">
        <f t="shared" si="139"/>
        <v>2.8432843993489385</v>
      </c>
    </row>
    <row r="4449" spans="5:8" ht="15.6">
      <c r="E4449" s="279" t="s">
        <v>4775</v>
      </c>
      <c r="F4449" s="284">
        <f t="shared" ca="1" si="138"/>
        <v>0.71609001575917208</v>
      </c>
      <c r="G4449" s="74">
        <v>35.881351976860898</v>
      </c>
      <c r="H4449" s="74">
        <f t="shared" si="139"/>
        <v>4.6130483664716238</v>
      </c>
    </row>
    <row r="4450" spans="5:8" ht="15.6">
      <c r="E4450" s="279" t="s">
        <v>4776</v>
      </c>
      <c r="F4450" s="284">
        <f t="shared" ca="1" si="138"/>
        <v>7.7639386864914783E-2</v>
      </c>
      <c r="G4450" s="74">
        <v>39.689805222598643</v>
      </c>
      <c r="H4450" s="74">
        <f t="shared" si="139"/>
        <v>0.80459512073387884</v>
      </c>
    </row>
    <row r="4451" spans="5:8" ht="15.6">
      <c r="E4451" s="279" t="s">
        <v>4777</v>
      </c>
      <c r="F4451" s="284">
        <f t="shared" ca="1" si="138"/>
        <v>0.86646364946091614</v>
      </c>
      <c r="G4451" s="74">
        <v>34.828987658980139</v>
      </c>
      <c r="H4451" s="74">
        <f t="shared" si="139"/>
        <v>5.6654126843523827</v>
      </c>
    </row>
    <row r="4452" spans="5:8" ht="15.6">
      <c r="E4452" s="279" t="s">
        <v>4778</v>
      </c>
      <c r="F4452" s="284">
        <f t="shared" ca="1" si="138"/>
        <v>0.43630758613831389</v>
      </c>
      <c r="G4452" s="74">
        <v>36.315151154848969</v>
      </c>
      <c r="H4452" s="74">
        <f t="shared" si="139"/>
        <v>4.1792491884835528</v>
      </c>
    </row>
    <row r="4453" spans="5:8" ht="15.6">
      <c r="E4453" s="279" t="s">
        <v>4779</v>
      </c>
      <c r="F4453" s="284">
        <f t="shared" ca="1" si="138"/>
        <v>0.45607061501484791</v>
      </c>
      <c r="G4453" s="74">
        <v>40.569483552702685</v>
      </c>
      <c r="H4453" s="74">
        <f t="shared" si="139"/>
        <v>-7.5083209370163217E-2</v>
      </c>
    </row>
    <row r="4454" spans="5:8" ht="15.6">
      <c r="E4454" s="279" t="s">
        <v>4780</v>
      </c>
      <c r="F4454" s="284">
        <f t="shared" ca="1" si="138"/>
        <v>0.97518774989990942</v>
      </c>
      <c r="G4454" s="74">
        <v>39.802938022385746</v>
      </c>
      <c r="H4454" s="74">
        <f t="shared" si="139"/>
        <v>0.69146232094677629</v>
      </c>
    </row>
    <row r="4455" spans="5:8" ht="15.6">
      <c r="E4455" s="279" t="s">
        <v>4781</v>
      </c>
      <c r="F4455" s="284">
        <f t="shared" ca="1" si="138"/>
        <v>5.2254255366744329E-2</v>
      </c>
      <c r="G4455" s="74">
        <v>38.687304177680922</v>
      </c>
      <c r="H4455" s="74">
        <f t="shared" si="139"/>
        <v>1.8070961656516005</v>
      </c>
    </row>
    <row r="4456" spans="5:8" ht="15.6">
      <c r="E4456" s="279" t="s">
        <v>4782</v>
      </c>
      <c r="F4456" s="284">
        <f t="shared" ca="1" si="138"/>
        <v>0.83451201989266388</v>
      </c>
      <c r="G4456" s="74">
        <v>38.126058731104827</v>
      </c>
      <c r="H4456" s="74">
        <f t="shared" si="139"/>
        <v>2.3683416122276952</v>
      </c>
    </row>
    <row r="4457" spans="5:8" ht="15.6">
      <c r="E4457" s="279" t="s">
        <v>4783</v>
      </c>
      <c r="F4457" s="284">
        <f t="shared" ca="1" si="138"/>
        <v>0.9480243735478453</v>
      </c>
      <c r="G4457" s="74">
        <v>38.869354861232033</v>
      </c>
      <c r="H4457" s="74">
        <f t="shared" si="139"/>
        <v>1.6250454821004894</v>
      </c>
    </row>
    <row r="4458" spans="5:8" ht="15.6">
      <c r="E4458" s="279" t="s">
        <v>4784</v>
      </c>
      <c r="F4458" s="284">
        <f t="shared" ca="1" si="138"/>
        <v>0.15044784691730628</v>
      </c>
      <c r="G4458" s="74">
        <v>36.764040207807625</v>
      </c>
      <c r="H4458" s="74">
        <f t="shared" si="139"/>
        <v>3.7303601355248972</v>
      </c>
    </row>
    <row r="4459" spans="5:8" ht="15.6">
      <c r="E4459" s="279" t="s">
        <v>4785</v>
      </c>
      <c r="F4459" s="284">
        <f t="shared" ca="1" si="138"/>
        <v>0.27367203570502352</v>
      </c>
      <c r="G4459" s="74">
        <v>35.263745220000345</v>
      </c>
      <c r="H4459" s="74">
        <f t="shared" si="139"/>
        <v>5.230655123332177</v>
      </c>
    </row>
    <row r="4460" spans="5:8" ht="15.6">
      <c r="E4460" s="279" t="s">
        <v>4786</v>
      </c>
      <c r="F4460" s="284">
        <f t="shared" ca="1" si="138"/>
        <v>0.72255950868541641</v>
      </c>
      <c r="G4460" s="74">
        <v>37.971953365549467</v>
      </c>
      <c r="H4460" s="74">
        <f t="shared" si="139"/>
        <v>2.5224469777830549</v>
      </c>
    </row>
    <row r="4461" spans="5:8" ht="15.6">
      <c r="E4461" s="279" t="s">
        <v>4787</v>
      </c>
      <c r="F4461" s="284">
        <f t="shared" ca="1" si="138"/>
        <v>7.4960469832744514E-2</v>
      </c>
      <c r="G4461" s="74">
        <v>39.205429763321405</v>
      </c>
      <c r="H4461" s="74">
        <f t="shared" si="139"/>
        <v>1.2889705800111173</v>
      </c>
    </row>
    <row r="4462" spans="5:8" ht="15.6">
      <c r="E4462" s="279" t="s">
        <v>4788</v>
      </c>
      <c r="F4462" s="284">
        <f t="shared" ca="1" si="138"/>
        <v>0.65559797637159822</v>
      </c>
      <c r="G4462" s="74">
        <v>35.82906395088046</v>
      </c>
      <c r="H4462" s="74">
        <f t="shared" si="139"/>
        <v>4.6653363924520619</v>
      </c>
    </row>
    <row r="4463" spans="5:8" ht="15.6">
      <c r="E4463" s="279" t="s">
        <v>4789</v>
      </c>
      <c r="F4463" s="284">
        <f t="shared" ca="1" si="138"/>
        <v>0.92441604534917243</v>
      </c>
      <c r="G4463" s="74">
        <v>37.139154458744116</v>
      </c>
      <c r="H4463" s="74">
        <f t="shared" si="139"/>
        <v>3.3552458845884061</v>
      </c>
    </row>
    <row r="4464" spans="5:8" ht="15.6">
      <c r="E4464" s="279" t="s">
        <v>4790</v>
      </c>
      <c r="F4464" s="284">
        <f t="shared" ca="1" si="138"/>
        <v>0.62732853786190979</v>
      </c>
      <c r="G4464" s="74">
        <v>35.810643185394191</v>
      </c>
      <c r="H4464" s="74">
        <f t="shared" si="139"/>
        <v>4.6837571579383308</v>
      </c>
    </row>
    <row r="4465" spans="5:8" ht="15.6">
      <c r="E4465" s="279" t="s">
        <v>4791</v>
      </c>
      <c r="F4465" s="284">
        <f t="shared" ca="1" si="138"/>
        <v>0.71117375026123009</v>
      </c>
      <c r="G4465" s="74">
        <v>40.40784989318972</v>
      </c>
      <c r="H4465" s="74">
        <f t="shared" si="139"/>
        <v>8.6550450142802049E-2</v>
      </c>
    </row>
    <row r="4466" spans="5:8" ht="15.6">
      <c r="E4466" s="279" t="s">
        <v>4792</v>
      </c>
      <c r="F4466" s="284">
        <f t="shared" ca="1" si="138"/>
        <v>0.29787872946782012</v>
      </c>
      <c r="G4466" s="74">
        <v>40.883402229499474</v>
      </c>
      <c r="H4466" s="74">
        <f t="shared" si="139"/>
        <v>-0.38900188616695175</v>
      </c>
    </row>
    <row r="4467" spans="5:8" ht="15.6">
      <c r="E4467" s="279" t="s">
        <v>4793</v>
      </c>
      <c r="F4467" s="284">
        <f t="shared" ca="1" si="138"/>
        <v>0.16708927903060189</v>
      </c>
      <c r="G4467" s="74">
        <v>44.004514876309379</v>
      </c>
      <c r="H4467" s="74">
        <f t="shared" si="139"/>
        <v>-3.510114532976857</v>
      </c>
    </row>
    <row r="4468" spans="5:8" ht="15.6">
      <c r="E4468" s="279" t="s">
        <v>4794</v>
      </c>
      <c r="F4468" s="284">
        <f t="shared" ca="1" si="138"/>
        <v>0.53836039265552882</v>
      </c>
      <c r="G4468" s="74">
        <v>40.946890859293788</v>
      </c>
      <c r="H4468" s="74">
        <f t="shared" si="139"/>
        <v>-0.45249051596126577</v>
      </c>
    </row>
    <row r="4469" spans="5:8" ht="15.6">
      <c r="E4469" s="279" t="s">
        <v>4795</v>
      </c>
      <c r="F4469" s="284">
        <f t="shared" ca="1" si="138"/>
        <v>0.15387999231789662</v>
      </c>
      <c r="G4469" s="74">
        <v>44.818167071727174</v>
      </c>
      <c r="H4469" s="74">
        <f t="shared" si="139"/>
        <v>-4.3237667283946521</v>
      </c>
    </row>
    <row r="4470" spans="5:8" ht="15.6">
      <c r="E4470" s="279" t="s">
        <v>4796</v>
      </c>
      <c r="F4470" s="284">
        <f t="shared" ca="1" si="138"/>
        <v>0.9801157544518212</v>
      </c>
      <c r="G4470" s="74">
        <v>31.180672269911199</v>
      </c>
      <c r="H4470" s="74">
        <f t="shared" si="139"/>
        <v>9.3137280734213235</v>
      </c>
    </row>
    <row r="4471" spans="5:8" ht="15.6">
      <c r="E4471" s="279" t="s">
        <v>4797</v>
      </c>
      <c r="F4471" s="284">
        <f t="shared" ca="1" si="138"/>
        <v>0.86213459326365371</v>
      </c>
      <c r="G4471" s="74">
        <v>41.620916129944135</v>
      </c>
      <c r="H4471" s="74">
        <f t="shared" si="139"/>
        <v>-1.1265157866116127</v>
      </c>
    </row>
    <row r="4472" spans="5:8" ht="15.6">
      <c r="E4472" s="279" t="s">
        <v>4798</v>
      </c>
      <c r="F4472" s="284">
        <f t="shared" ca="1" si="138"/>
        <v>0.32434549234616039</v>
      </c>
      <c r="G4472" s="74">
        <v>42.748894356094766</v>
      </c>
      <c r="H4472" s="74">
        <f t="shared" si="139"/>
        <v>-2.2544940127622439</v>
      </c>
    </row>
    <row r="4473" spans="5:8" ht="15.6">
      <c r="E4473" s="279" t="s">
        <v>4799</v>
      </c>
      <c r="F4473" s="284">
        <f t="shared" ca="1" si="138"/>
        <v>6.1099336124147419E-3</v>
      </c>
      <c r="G4473" s="74">
        <v>41.977098477739162</v>
      </c>
      <c r="H4473" s="74">
        <f t="shared" si="139"/>
        <v>-1.4826981344066397</v>
      </c>
    </row>
    <row r="4474" spans="5:8" ht="15.6">
      <c r="E4474" s="279" t="s">
        <v>4800</v>
      </c>
      <c r="F4474" s="284">
        <f t="shared" ca="1" si="138"/>
        <v>0.43674771211809305</v>
      </c>
      <c r="G4474" s="74">
        <v>39.437369882300061</v>
      </c>
      <c r="H4474" s="74">
        <f t="shared" si="139"/>
        <v>1.0570304610324612</v>
      </c>
    </row>
    <row r="4475" spans="5:8" ht="15.6">
      <c r="E4475" s="279" t="s">
        <v>4801</v>
      </c>
      <c r="F4475" s="284">
        <f t="shared" ca="1" si="138"/>
        <v>0.64027162288329509</v>
      </c>
      <c r="G4475" s="74">
        <v>38.742355320497751</v>
      </c>
      <c r="H4475" s="74">
        <f t="shared" si="139"/>
        <v>1.7520450228347713</v>
      </c>
    </row>
    <row r="4476" spans="5:8" ht="15.6">
      <c r="E4476" s="279" t="s">
        <v>4802</v>
      </c>
      <c r="F4476" s="284">
        <f t="shared" ca="1" si="138"/>
        <v>0.16893241436309814</v>
      </c>
      <c r="G4476" s="74">
        <v>45.620718119663721</v>
      </c>
      <c r="H4476" s="74">
        <f t="shared" si="139"/>
        <v>-5.1263177763311987</v>
      </c>
    </row>
    <row r="4477" spans="5:8" ht="15.6">
      <c r="E4477" s="279" t="s">
        <v>4803</v>
      </c>
      <c r="F4477" s="284">
        <f t="shared" ca="1" si="138"/>
        <v>0.36507982910495729</v>
      </c>
      <c r="G4477" s="74">
        <v>38.521952602434922</v>
      </c>
      <c r="H4477" s="74">
        <f t="shared" si="139"/>
        <v>1.9724477408976</v>
      </c>
    </row>
    <row r="4478" spans="5:8" ht="15.6">
      <c r="E4478" s="279" t="s">
        <v>4804</v>
      </c>
      <c r="F4478" s="284">
        <f t="shared" ca="1" si="138"/>
        <v>0.42952575097969969</v>
      </c>
      <c r="G4478" s="74">
        <v>39.441199566369477</v>
      </c>
      <c r="H4478" s="74">
        <f t="shared" si="139"/>
        <v>1.0532007769630454</v>
      </c>
    </row>
    <row r="4479" spans="5:8" ht="15.6">
      <c r="E4479" s="279" t="s">
        <v>4805</v>
      </c>
      <c r="F4479" s="284">
        <f t="shared" ca="1" si="138"/>
        <v>0.8034541969027128</v>
      </c>
      <c r="G4479" s="74">
        <v>37.536750030962018</v>
      </c>
      <c r="H4479" s="74">
        <f t="shared" si="139"/>
        <v>2.9576503123705038</v>
      </c>
    </row>
    <row r="4480" spans="5:8" ht="15.6">
      <c r="E4480" s="279" t="s">
        <v>4806</v>
      </c>
      <c r="F4480" s="284">
        <f t="shared" ca="1" si="138"/>
        <v>0.3268150659379333</v>
      </c>
      <c r="G4480" s="74">
        <v>37.223753474934014</v>
      </c>
      <c r="H4480" s="74">
        <f t="shared" si="139"/>
        <v>3.2706468683985079</v>
      </c>
    </row>
    <row r="4481" spans="5:8" ht="15.6">
      <c r="E4481" s="279" t="s">
        <v>4807</v>
      </c>
      <c r="F4481" s="284">
        <f t="shared" ca="1" si="138"/>
        <v>0.4085615667667527</v>
      </c>
      <c r="G4481" s="74">
        <v>36.67121266324785</v>
      </c>
      <c r="H4481" s="74">
        <f t="shared" si="139"/>
        <v>3.823187680084672</v>
      </c>
    </row>
    <row r="4482" spans="5:8" ht="15.6">
      <c r="E4482" s="279" t="s">
        <v>4808</v>
      </c>
      <c r="F4482" s="284">
        <f t="shared" ca="1" si="138"/>
        <v>0.23528279524774343</v>
      </c>
      <c r="G4482" s="74">
        <v>39.418790556178493</v>
      </c>
      <c r="H4482" s="74">
        <f t="shared" si="139"/>
        <v>1.0756097871540291</v>
      </c>
    </row>
    <row r="4483" spans="5:8" ht="15.6">
      <c r="E4483" s="279" t="s">
        <v>4809</v>
      </c>
      <c r="F4483" s="284">
        <f t="shared" ca="1" si="138"/>
        <v>0.11590061870852586</v>
      </c>
      <c r="G4483" s="74">
        <v>49.404952816124847</v>
      </c>
      <c r="H4483" s="74">
        <f t="shared" si="139"/>
        <v>-8.9105524727923253</v>
      </c>
    </row>
    <row r="4484" spans="5:8" ht="15.6">
      <c r="E4484" s="279" t="s">
        <v>4810</v>
      </c>
      <c r="F4484" s="284">
        <f t="shared" ca="1" si="138"/>
        <v>0.32068908191216772</v>
      </c>
      <c r="G4484" s="74">
        <v>42.614592388255055</v>
      </c>
      <c r="H4484" s="74">
        <f t="shared" si="139"/>
        <v>-2.1201920449225327</v>
      </c>
    </row>
    <row r="4485" spans="5:8" ht="15.6">
      <c r="E4485" s="279" t="s">
        <v>4811</v>
      </c>
      <c r="F4485" s="284">
        <f t="shared" ca="1" si="138"/>
        <v>0.21700708573483229</v>
      </c>
      <c r="G4485" s="74">
        <v>37.681301168351204</v>
      </c>
      <c r="H4485" s="74">
        <f t="shared" si="139"/>
        <v>2.8130991749813177</v>
      </c>
    </row>
    <row r="4486" spans="5:8" ht="15.6">
      <c r="E4486" s="279" t="s">
        <v>4812</v>
      </c>
      <c r="F4486" s="284">
        <f t="shared" ca="1" si="138"/>
        <v>6.1752531750857376E-2</v>
      </c>
      <c r="G4486" s="74">
        <v>39.002679426818354</v>
      </c>
      <c r="H4486" s="74">
        <f t="shared" si="139"/>
        <v>1.4917209165141685</v>
      </c>
    </row>
    <row r="4487" spans="5:8" ht="15.6">
      <c r="E4487" s="279" t="s">
        <v>4813</v>
      </c>
      <c r="F4487" s="284">
        <f t="shared" ca="1" si="138"/>
        <v>0.99825208005809629</v>
      </c>
      <c r="G4487" s="74">
        <v>41.113154421796999</v>
      </c>
      <c r="H4487" s="74">
        <f t="shared" si="139"/>
        <v>-0.61875407846447672</v>
      </c>
    </row>
    <row r="4488" spans="5:8" ht="15.6">
      <c r="E4488" s="279" t="s">
        <v>4814</v>
      </c>
      <c r="F4488" s="284">
        <f t="shared" ca="1" si="138"/>
        <v>0.96111018004363635</v>
      </c>
      <c r="G4488" s="74">
        <v>43.200594971738973</v>
      </c>
      <c r="H4488" s="74">
        <f t="shared" si="139"/>
        <v>-2.7061946284064504</v>
      </c>
    </row>
    <row r="4489" spans="5:8" ht="15.6">
      <c r="E4489" s="279" t="s">
        <v>4815</v>
      </c>
      <c r="F4489" s="284">
        <f t="shared" ca="1" si="138"/>
        <v>0.49175132973555247</v>
      </c>
      <c r="G4489" s="74">
        <v>38.261802123326895</v>
      </c>
      <c r="H4489" s="74">
        <f t="shared" si="139"/>
        <v>2.2325982200056274</v>
      </c>
    </row>
    <row r="4490" spans="5:8" ht="15.6">
      <c r="E4490" s="279" t="s">
        <v>4816</v>
      </c>
      <c r="F4490" s="284">
        <f t="shared" ca="1" si="138"/>
        <v>0.91405268763788483</v>
      </c>
      <c r="G4490" s="74">
        <v>37.074600092061942</v>
      </c>
      <c r="H4490" s="74">
        <f t="shared" si="139"/>
        <v>3.4198002512705798</v>
      </c>
    </row>
    <row r="4491" spans="5:8" ht="15.6">
      <c r="E4491" s="279" t="s">
        <v>4817</v>
      </c>
      <c r="F4491" s="284">
        <f t="shared" ca="1" si="138"/>
        <v>0.2615775531781882</v>
      </c>
      <c r="G4491" s="74">
        <v>41.220508198210034</v>
      </c>
      <c r="H4491" s="74">
        <f t="shared" si="139"/>
        <v>-0.72610785487751173</v>
      </c>
    </row>
    <row r="4492" spans="5:8" ht="15.6">
      <c r="E4492" s="279" t="s">
        <v>4818</v>
      </c>
      <c r="F4492" s="284">
        <f t="shared" ref="F4492:F4555" ca="1" si="140">RAND()</f>
        <v>0.6903039638334143</v>
      </c>
      <c r="G4492" s="74">
        <v>38.81239940692226</v>
      </c>
      <c r="H4492" s="74">
        <f t="shared" ref="H4492:H4555" si="141">$D$2-G4492</f>
        <v>1.6820009364102617</v>
      </c>
    </row>
    <row r="4493" spans="5:8" ht="15.6">
      <c r="E4493" s="279" t="s">
        <v>4819</v>
      </c>
      <c r="F4493" s="284">
        <f t="shared" ca="1" si="140"/>
        <v>0.71515119261833582</v>
      </c>
      <c r="G4493" s="74">
        <v>37.705464565156483</v>
      </c>
      <c r="H4493" s="74">
        <f t="shared" si="141"/>
        <v>2.7889357781760395</v>
      </c>
    </row>
    <row r="4494" spans="5:8" ht="15.6">
      <c r="E4494" s="279" t="s">
        <v>4820</v>
      </c>
      <c r="F4494" s="284">
        <f t="shared" ca="1" si="140"/>
        <v>8.8850418460863612E-2</v>
      </c>
      <c r="G4494" s="74">
        <v>36.476420854867264</v>
      </c>
      <c r="H4494" s="74">
        <f t="shared" si="141"/>
        <v>4.017979488465258</v>
      </c>
    </row>
    <row r="4495" spans="5:8" ht="15.6">
      <c r="E4495" s="279" t="s">
        <v>4821</v>
      </c>
      <c r="F4495" s="284">
        <f t="shared" ca="1" si="140"/>
        <v>0.71470443832868658</v>
      </c>
      <c r="G4495" s="74">
        <v>37.646477302380603</v>
      </c>
      <c r="H4495" s="74">
        <f t="shared" si="141"/>
        <v>2.8479230409519189</v>
      </c>
    </row>
    <row r="4496" spans="5:8" ht="15.6">
      <c r="E4496" s="279" t="s">
        <v>4822</v>
      </c>
      <c r="F4496" s="284">
        <f t="shared" ca="1" si="140"/>
        <v>0.73707054300458341</v>
      </c>
      <c r="G4496" s="74">
        <v>35.73044240654125</v>
      </c>
      <c r="H4496" s="74">
        <f t="shared" si="141"/>
        <v>4.7639579367912717</v>
      </c>
    </row>
    <row r="4497" spans="5:8" ht="15.6">
      <c r="E4497" s="279" t="s">
        <v>4823</v>
      </c>
      <c r="F4497" s="284">
        <f t="shared" ca="1" si="140"/>
        <v>0.99467820362332227</v>
      </c>
      <c r="G4497" s="74">
        <v>35.733601694145428</v>
      </c>
      <c r="H4497" s="74">
        <f t="shared" si="141"/>
        <v>4.7607986491870946</v>
      </c>
    </row>
    <row r="4498" spans="5:8" ht="15.6">
      <c r="E4498" s="279" t="s">
        <v>4824</v>
      </c>
      <c r="F4498" s="284">
        <f t="shared" ca="1" si="140"/>
        <v>0.8294230923409216</v>
      </c>
      <c r="G4498" s="74">
        <v>37.865327890882689</v>
      </c>
      <c r="H4498" s="74">
        <f t="shared" si="141"/>
        <v>2.629072452449833</v>
      </c>
    </row>
    <row r="4499" spans="5:8" ht="15.6">
      <c r="E4499" s="279" t="s">
        <v>4825</v>
      </c>
      <c r="F4499" s="284">
        <f t="shared" ca="1" si="140"/>
        <v>0.43991885972089972</v>
      </c>
      <c r="G4499" s="74">
        <v>37.056756460855141</v>
      </c>
      <c r="H4499" s="74">
        <f t="shared" si="141"/>
        <v>3.4376438824773814</v>
      </c>
    </row>
    <row r="4500" spans="5:8" ht="15.6">
      <c r="E4500" s="279" t="s">
        <v>4826</v>
      </c>
      <c r="F4500" s="284">
        <f t="shared" ca="1" si="140"/>
        <v>0.73380330153153916</v>
      </c>
      <c r="G4500" s="74">
        <v>41.275135721391742</v>
      </c>
      <c r="H4500" s="74">
        <f t="shared" si="141"/>
        <v>-0.78073537805921944</v>
      </c>
    </row>
    <row r="4501" spans="5:8" ht="15.6">
      <c r="E4501" s="279" t="s">
        <v>4827</v>
      </c>
      <c r="F4501" s="284">
        <f t="shared" ca="1" si="140"/>
        <v>0.56489223873074346</v>
      </c>
      <c r="G4501" s="74">
        <v>40.139235674241569</v>
      </c>
      <c r="H4501" s="74">
        <f t="shared" si="141"/>
        <v>0.35516466909095357</v>
      </c>
    </row>
    <row r="4502" spans="5:8" ht="15.6">
      <c r="E4502" s="279" t="s">
        <v>4828</v>
      </c>
      <c r="F4502" s="284">
        <f t="shared" ca="1" si="140"/>
        <v>0.66183356551954542</v>
      </c>
      <c r="G4502" s="74">
        <v>36.714514618750769</v>
      </c>
      <c r="H4502" s="74">
        <f t="shared" si="141"/>
        <v>3.779885724581753</v>
      </c>
    </row>
    <row r="4503" spans="5:8" ht="15.6">
      <c r="E4503" s="279" t="s">
        <v>4829</v>
      </c>
      <c r="F4503" s="284">
        <f t="shared" ca="1" si="140"/>
        <v>0.47203263266450612</v>
      </c>
      <c r="G4503" s="74">
        <v>37.465259326836566</v>
      </c>
      <c r="H4503" s="74">
        <f t="shared" si="141"/>
        <v>3.0291410164959558</v>
      </c>
    </row>
    <row r="4504" spans="5:8" ht="15.6">
      <c r="E4504" s="279" t="s">
        <v>4830</v>
      </c>
      <c r="F4504" s="284">
        <f t="shared" ca="1" si="140"/>
        <v>0.9918429834171778</v>
      </c>
      <c r="G4504" s="74">
        <v>42.281060011337424</v>
      </c>
      <c r="H4504" s="74">
        <f t="shared" si="141"/>
        <v>-1.7866596680049014</v>
      </c>
    </row>
    <row r="4505" spans="5:8" ht="15.6">
      <c r="E4505" s="279" t="s">
        <v>4831</v>
      </c>
      <c r="F4505" s="284">
        <f t="shared" ca="1" si="140"/>
        <v>0.49732638554044772</v>
      </c>
      <c r="G4505" s="74">
        <v>39.185880625984822</v>
      </c>
      <c r="H4505" s="74">
        <f t="shared" si="141"/>
        <v>1.3085197173476999</v>
      </c>
    </row>
    <row r="4506" spans="5:8" ht="15.6">
      <c r="E4506" s="279" t="s">
        <v>4832</v>
      </c>
      <c r="F4506" s="284">
        <f t="shared" ca="1" si="140"/>
        <v>0.90328033333787094</v>
      </c>
      <c r="G4506" s="74">
        <v>38.345703229507819</v>
      </c>
      <c r="H4506" s="74">
        <f t="shared" si="141"/>
        <v>2.1486971138247029</v>
      </c>
    </row>
    <row r="4507" spans="5:8" ht="15.6">
      <c r="E4507" s="279" t="s">
        <v>4833</v>
      </c>
      <c r="F4507" s="284">
        <f t="shared" ca="1" si="140"/>
        <v>0.90637986542321902</v>
      </c>
      <c r="G4507" s="74">
        <v>41.687097331414776</v>
      </c>
      <c r="H4507" s="74">
        <f t="shared" si="141"/>
        <v>-1.192696988082254</v>
      </c>
    </row>
    <row r="4508" spans="5:8" ht="15.6">
      <c r="E4508" s="279" t="s">
        <v>4834</v>
      </c>
      <c r="F4508" s="284">
        <f t="shared" ca="1" si="140"/>
        <v>0.80074377533785823</v>
      </c>
      <c r="G4508" s="74">
        <v>42.110513949551851</v>
      </c>
      <c r="H4508" s="74">
        <f t="shared" si="141"/>
        <v>-1.6161136062193293</v>
      </c>
    </row>
    <row r="4509" spans="5:8" ht="15.6">
      <c r="E4509" s="279" t="s">
        <v>4835</v>
      </c>
      <c r="F4509" s="284">
        <f t="shared" ca="1" si="140"/>
        <v>0.11472471758336189</v>
      </c>
      <c r="G4509" s="74">
        <v>37.936989440883877</v>
      </c>
      <c r="H4509" s="74">
        <f t="shared" si="141"/>
        <v>2.5574109024486447</v>
      </c>
    </row>
    <row r="4510" spans="5:8" ht="15.6">
      <c r="E4510" s="279" t="s">
        <v>4836</v>
      </c>
      <c r="F4510" s="284">
        <f t="shared" ca="1" si="140"/>
        <v>0.26182087423373024</v>
      </c>
      <c r="G4510" s="74">
        <v>39.858971861387573</v>
      </c>
      <c r="H4510" s="74">
        <f t="shared" si="141"/>
        <v>0.63542848194494894</v>
      </c>
    </row>
    <row r="4511" spans="5:8" ht="15.6">
      <c r="E4511" s="279" t="s">
        <v>4837</v>
      </c>
      <c r="F4511" s="284">
        <f t="shared" ca="1" si="140"/>
        <v>0.96749447963563184</v>
      </c>
      <c r="G4511" s="74">
        <v>39.201897158947965</v>
      </c>
      <c r="H4511" s="74">
        <f t="shared" si="141"/>
        <v>1.2925031843845574</v>
      </c>
    </row>
    <row r="4512" spans="5:8" ht="15.6">
      <c r="E4512" s="279" t="s">
        <v>4838</v>
      </c>
      <c r="F4512" s="284">
        <f t="shared" ca="1" si="140"/>
        <v>0.24452768224473187</v>
      </c>
      <c r="G4512" s="74">
        <v>37.06508110067756</v>
      </c>
      <c r="H4512" s="74">
        <f t="shared" si="141"/>
        <v>3.4293192426549624</v>
      </c>
    </row>
    <row r="4513" spans="5:8" ht="15.6">
      <c r="E4513" s="279" t="s">
        <v>4839</v>
      </c>
      <c r="F4513" s="284">
        <f t="shared" ca="1" si="140"/>
        <v>0.19738219959083769</v>
      </c>
      <c r="G4513" s="74">
        <v>42.049134571640082</v>
      </c>
      <c r="H4513" s="74">
        <f t="shared" si="141"/>
        <v>-1.5547342283075594</v>
      </c>
    </row>
    <row r="4514" spans="5:8" ht="15.6">
      <c r="E4514" s="279" t="s">
        <v>4840</v>
      </c>
      <c r="F4514" s="284">
        <f t="shared" ca="1" si="140"/>
        <v>0.5706157520139038</v>
      </c>
      <c r="G4514" s="74">
        <v>41.231993814561385</v>
      </c>
      <c r="H4514" s="74">
        <f t="shared" si="141"/>
        <v>-0.73759347122886254</v>
      </c>
    </row>
    <row r="4515" spans="5:8" ht="15.6">
      <c r="E4515" s="279" t="s">
        <v>4841</v>
      </c>
      <c r="F4515" s="284">
        <f t="shared" ca="1" si="140"/>
        <v>0.21773419964613472</v>
      </c>
      <c r="G4515" s="74">
        <v>37.209878975404642</v>
      </c>
      <c r="H4515" s="74">
        <f t="shared" si="141"/>
        <v>3.28452136792788</v>
      </c>
    </row>
    <row r="4516" spans="5:8" ht="15.6">
      <c r="E4516" s="279" t="s">
        <v>4842</v>
      </c>
      <c r="F4516" s="284">
        <f t="shared" ca="1" si="140"/>
        <v>0.87225003418459368</v>
      </c>
      <c r="G4516" s="74">
        <v>40.544448631709358</v>
      </c>
      <c r="H4516" s="74">
        <f t="shared" si="141"/>
        <v>-5.0048288376835615E-2</v>
      </c>
    </row>
    <row r="4517" spans="5:8" ht="15.6">
      <c r="E4517" s="279" t="s">
        <v>4843</v>
      </c>
      <c r="F4517" s="284">
        <f t="shared" ca="1" si="140"/>
        <v>0.2365293431677884</v>
      </c>
      <c r="G4517" s="74">
        <v>34.395000462466854</v>
      </c>
      <c r="H4517" s="74">
        <f t="shared" si="141"/>
        <v>6.0993998808656684</v>
      </c>
    </row>
    <row r="4518" spans="5:8" ht="15.6">
      <c r="E4518" s="279" t="s">
        <v>4844</v>
      </c>
      <c r="F4518" s="284">
        <f t="shared" ca="1" si="140"/>
        <v>0.53106202359112731</v>
      </c>
      <c r="G4518" s="74">
        <v>36.753372878129184</v>
      </c>
      <c r="H4518" s="74">
        <f t="shared" si="141"/>
        <v>3.741027465203338</v>
      </c>
    </row>
    <row r="4519" spans="5:8" ht="15.6">
      <c r="E4519" s="279" t="s">
        <v>4845</v>
      </c>
      <c r="F4519" s="284">
        <f t="shared" ca="1" si="140"/>
        <v>0.54560070042973263</v>
      </c>
      <c r="G4519" s="74">
        <v>36.130604901555415</v>
      </c>
      <c r="H4519" s="74">
        <f t="shared" si="141"/>
        <v>4.363795441777107</v>
      </c>
    </row>
    <row r="4520" spans="5:8" ht="15.6">
      <c r="E4520" s="279" t="s">
        <v>4846</v>
      </c>
      <c r="F4520" s="284">
        <f t="shared" ca="1" si="140"/>
        <v>0.2677887217294902</v>
      </c>
      <c r="G4520" s="74">
        <v>41.600992225354823</v>
      </c>
      <c r="H4520" s="74">
        <f t="shared" si="141"/>
        <v>-1.1065918820223004</v>
      </c>
    </row>
    <row r="4521" spans="5:8" ht="15.6">
      <c r="E4521" s="279" t="s">
        <v>4847</v>
      </c>
      <c r="F4521" s="284">
        <f t="shared" ca="1" si="140"/>
        <v>0.34854803470318607</v>
      </c>
      <c r="G4521" s="74">
        <v>36.837208531497915</v>
      </c>
      <c r="H4521" s="74">
        <f t="shared" si="141"/>
        <v>3.6571918118346076</v>
      </c>
    </row>
    <row r="4522" spans="5:8" ht="15.6">
      <c r="E4522" s="279" t="s">
        <v>4848</v>
      </c>
      <c r="F4522" s="284">
        <f t="shared" ca="1" si="140"/>
        <v>0.89290698645405997</v>
      </c>
      <c r="G4522" s="74">
        <v>37.020414516584218</v>
      </c>
      <c r="H4522" s="74">
        <f t="shared" si="141"/>
        <v>3.4739858267483044</v>
      </c>
    </row>
    <row r="4523" spans="5:8" ht="15.6">
      <c r="E4523" s="279" t="s">
        <v>4849</v>
      </c>
      <c r="F4523" s="284">
        <f t="shared" ca="1" si="140"/>
        <v>0.53055557962570288</v>
      </c>
      <c r="G4523" s="74">
        <v>35.792914532214432</v>
      </c>
      <c r="H4523" s="74">
        <f t="shared" si="141"/>
        <v>4.7014858111180899</v>
      </c>
    </row>
    <row r="4524" spans="5:8" ht="15.6">
      <c r="E4524" s="279" t="s">
        <v>4850</v>
      </c>
      <c r="F4524" s="284">
        <f t="shared" ca="1" si="140"/>
        <v>0.57546475132073449</v>
      </c>
      <c r="G4524" s="74">
        <v>40.405335135180735</v>
      </c>
      <c r="H4524" s="74">
        <f t="shared" si="141"/>
        <v>8.906520815178709E-2</v>
      </c>
    </row>
    <row r="4525" spans="5:8" ht="15.6">
      <c r="E4525" s="279" t="s">
        <v>4851</v>
      </c>
      <c r="F4525" s="284">
        <f t="shared" ca="1" si="140"/>
        <v>0.45299772668820482</v>
      </c>
      <c r="G4525" s="74">
        <v>37.580251540833025</v>
      </c>
      <c r="H4525" s="74">
        <f t="shared" si="141"/>
        <v>2.914148802499497</v>
      </c>
    </row>
    <row r="4526" spans="5:8" ht="15.6">
      <c r="E4526" s="279" t="s">
        <v>4852</v>
      </c>
      <c r="F4526" s="284">
        <f t="shared" ca="1" si="140"/>
        <v>0.10656741053457353</v>
      </c>
      <c r="G4526" s="74">
        <v>36.59311307670103</v>
      </c>
      <c r="H4526" s="74">
        <f t="shared" si="141"/>
        <v>3.9012872666314919</v>
      </c>
    </row>
    <row r="4527" spans="5:8" ht="15.6">
      <c r="E4527" s="279" t="s">
        <v>4853</v>
      </c>
      <c r="F4527" s="284">
        <f t="shared" ca="1" si="140"/>
        <v>0.5252355117415074</v>
      </c>
      <c r="G4527" s="74">
        <v>36.611212581288612</v>
      </c>
      <c r="H4527" s="74">
        <f t="shared" si="141"/>
        <v>3.8831877620439101</v>
      </c>
    </row>
    <row r="4528" spans="5:8" ht="15.6">
      <c r="E4528" s="279" t="s">
        <v>4854</v>
      </c>
      <c r="F4528" s="284">
        <f t="shared" ca="1" si="140"/>
        <v>0.12082391385953983</v>
      </c>
      <c r="G4528" s="74">
        <v>46.982402439924691</v>
      </c>
      <c r="H4528" s="74">
        <f t="shared" si="141"/>
        <v>-6.4880020965921688</v>
      </c>
    </row>
    <row r="4529" spans="5:8" ht="15.6">
      <c r="E4529" s="279" t="s">
        <v>4855</v>
      </c>
      <c r="F4529" s="284">
        <f t="shared" ca="1" si="140"/>
        <v>0.25913224240867294</v>
      </c>
      <c r="G4529" s="74">
        <v>36.013689045927137</v>
      </c>
      <c r="H4529" s="74">
        <f t="shared" si="141"/>
        <v>4.4807112974053851</v>
      </c>
    </row>
    <row r="4530" spans="5:8" ht="15.6">
      <c r="E4530" s="279" t="s">
        <v>4856</v>
      </c>
      <c r="F4530" s="284">
        <f t="shared" ca="1" si="140"/>
        <v>0.35917646997402253</v>
      </c>
      <c r="G4530" s="74">
        <v>36.277923684958054</v>
      </c>
      <c r="H4530" s="74">
        <f t="shared" si="141"/>
        <v>4.2164766583744679</v>
      </c>
    </row>
    <row r="4531" spans="5:8" ht="15.6">
      <c r="E4531" s="279" t="s">
        <v>4857</v>
      </c>
      <c r="F4531" s="284">
        <f t="shared" ca="1" si="140"/>
        <v>0.87505094618774515</v>
      </c>
      <c r="G4531" s="74">
        <v>41.033854022179668</v>
      </c>
      <c r="H4531" s="74">
        <f t="shared" si="141"/>
        <v>-0.53945367884714557</v>
      </c>
    </row>
    <row r="4532" spans="5:8" ht="15.6">
      <c r="E4532" s="279" t="s">
        <v>4858</v>
      </c>
      <c r="F4532" s="284">
        <f t="shared" ca="1" si="140"/>
        <v>0.53478284535993859</v>
      </c>
      <c r="G4532" s="74">
        <v>35.899421309889632</v>
      </c>
      <c r="H4532" s="74">
        <f t="shared" si="141"/>
        <v>4.5949790334428897</v>
      </c>
    </row>
    <row r="4533" spans="5:8" ht="15.6">
      <c r="E4533" s="279" t="s">
        <v>4859</v>
      </c>
      <c r="F4533" s="284">
        <f t="shared" ca="1" si="140"/>
        <v>0.87826908014880489</v>
      </c>
      <c r="G4533" s="74">
        <v>40.479074655435923</v>
      </c>
      <c r="H4533" s="74">
        <f t="shared" si="141"/>
        <v>1.532568789659905E-2</v>
      </c>
    </row>
    <row r="4534" spans="5:8" ht="15.6">
      <c r="E4534" s="279" t="s">
        <v>4860</v>
      </c>
      <c r="F4534" s="284">
        <f t="shared" ca="1" si="140"/>
        <v>0.60100413574971578</v>
      </c>
      <c r="G4534" s="74">
        <v>39.481998044896436</v>
      </c>
      <c r="H4534" s="74">
        <f t="shared" si="141"/>
        <v>1.0124022984360863</v>
      </c>
    </row>
    <row r="4535" spans="5:8" ht="15.6">
      <c r="E4535" s="279" t="s">
        <v>4861</v>
      </c>
      <c r="F4535" s="284">
        <f t="shared" ca="1" si="140"/>
        <v>0.12736643747315768</v>
      </c>
      <c r="G4535" s="74">
        <v>34.573172173953772</v>
      </c>
      <c r="H4535" s="74">
        <f t="shared" si="141"/>
        <v>5.9212281693787503</v>
      </c>
    </row>
    <row r="4536" spans="5:8" ht="15.6">
      <c r="E4536" s="279" t="s">
        <v>4862</v>
      </c>
      <c r="F4536" s="284">
        <f t="shared" ca="1" si="140"/>
        <v>4.8688509710126726E-2</v>
      </c>
      <c r="G4536" s="74">
        <v>41.58485545799801</v>
      </c>
      <c r="H4536" s="74">
        <f t="shared" si="141"/>
        <v>-1.0904551146654882</v>
      </c>
    </row>
    <row r="4537" spans="5:8" ht="15.6">
      <c r="E4537" s="279" t="s">
        <v>4863</v>
      </c>
      <c r="F4537" s="284">
        <f t="shared" ca="1" si="140"/>
        <v>0.40354435618049067</v>
      </c>
      <c r="G4537" s="74">
        <v>35.061998104242001</v>
      </c>
      <c r="H4537" s="74">
        <f t="shared" si="141"/>
        <v>5.4324022390905213</v>
      </c>
    </row>
    <row r="4538" spans="5:8" ht="15.6">
      <c r="E4538" s="279" t="s">
        <v>4864</v>
      </c>
      <c r="F4538" s="284">
        <f t="shared" ca="1" si="140"/>
        <v>0.61546034460722743</v>
      </c>
      <c r="G4538" s="74">
        <v>35.322992167729957</v>
      </c>
      <c r="H4538" s="74">
        <f t="shared" si="141"/>
        <v>5.1714081756025649</v>
      </c>
    </row>
    <row r="4539" spans="5:8" ht="15.6">
      <c r="E4539" s="279" t="s">
        <v>4865</v>
      </c>
      <c r="F4539" s="284">
        <f t="shared" ca="1" si="140"/>
        <v>0.38206817289525719</v>
      </c>
      <c r="G4539" s="74">
        <v>40.493255745880695</v>
      </c>
      <c r="H4539" s="74">
        <f t="shared" si="141"/>
        <v>1.1445974518267121E-3</v>
      </c>
    </row>
    <row r="4540" spans="5:8" ht="15.6">
      <c r="E4540" s="279" t="s">
        <v>4866</v>
      </c>
      <c r="F4540" s="284">
        <f t="shared" ca="1" si="140"/>
        <v>0.46249237705709223</v>
      </c>
      <c r="G4540" s="74">
        <v>39.972767479414166</v>
      </c>
      <c r="H4540" s="74">
        <f t="shared" si="141"/>
        <v>0.52163286391835584</v>
      </c>
    </row>
    <row r="4541" spans="5:8" ht="15.6">
      <c r="E4541" s="279" t="s">
        <v>4867</v>
      </c>
      <c r="F4541" s="284">
        <f t="shared" ca="1" si="140"/>
        <v>0.87701154122220215</v>
      </c>
      <c r="G4541" s="74">
        <v>43.384846470421927</v>
      </c>
      <c r="H4541" s="74">
        <f t="shared" si="141"/>
        <v>-2.8904461270894046</v>
      </c>
    </row>
    <row r="4542" spans="5:8" ht="15.6">
      <c r="E4542" s="279" t="s">
        <v>4868</v>
      </c>
      <c r="F4542" s="284">
        <f t="shared" ca="1" si="140"/>
        <v>0.50665692551167119</v>
      </c>
      <c r="G4542" s="74">
        <v>42.647811954480218</v>
      </c>
      <c r="H4542" s="74">
        <f t="shared" si="141"/>
        <v>-2.1534116111476962</v>
      </c>
    </row>
    <row r="4543" spans="5:8" ht="15.6">
      <c r="E4543" s="279" t="s">
        <v>4869</v>
      </c>
      <c r="F4543" s="284">
        <f t="shared" ca="1" si="140"/>
        <v>0.99431085829838939</v>
      </c>
      <c r="G4543" s="74">
        <v>41.346750723310848</v>
      </c>
      <c r="H4543" s="74">
        <f t="shared" si="141"/>
        <v>-0.85235037997832563</v>
      </c>
    </row>
    <row r="4544" spans="5:8" ht="15.6">
      <c r="E4544" s="279" t="s">
        <v>4870</v>
      </c>
      <c r="F4544" s="284">
        <f t="shared" ca="1" si="140"/>
        <v>0.32081317601763515</v>
      </c>
      <c r="G4544" s="74">
        <v>41.504812368984929</v>
      </c>
      <c r="H4544" s="74">
        <f t="shared" si="141"/>
        <v>-1.010412025652407</v>
      </c>
    </row>
    <row r="4545" spans="5:8" ht="15.6">
      <c r="E4545" s="279" t="s">
        <v>4871</v>
      </c>
      <c r="F4545" s="284">
        <f t="shared" ca="1" si="140"/>
        <v>0.91552569672833795</v>
      </c>
      <c r="G4545" s="74">
        <v>45.637828507375112</v>
      </c>
      <c r="H4545" s="74">
        <f t="shared" si="141"/>
        <v>-5.1434281640425894</v>
      </c>
    </row>
    <row r="4546" spans="5:8" ht="15.6">
      <c r="E4546" s="279" t="s">
        <v>4872</v>
      </c>
      <c r="F4546" s="284">
        <f t="shared" ca="1" si="140"/>
        <v>0.76006922850223846</v>
      </c>
      <c r="G4546" s="74">
        <v>35.791870016744888</v>
      </c>
      <c r="H4546" s="74">
        <f t="shared" si="141"/>
        <v>4.7025303265876346</v>
      </c>
    </row>
    <row r="4547" spans="5:8" ht="15.6">
      <c r="E4547" s="279" t="s">
        <v>4873</v>
      </c>
      <c r="F4547" s="284">
        <f t="shared" ca="1" si="140"/>
        <v>0.75684143188373998</v>
      </c>
      <c r="G4547" s="74">
        <v>36.928866366505524</v>
      </c>
      <c r="H4547" s="74">
        <f t="shared" si="141"/>
        <v>3.5655339768269982</v>
      </c>
    </row>
    <row r="4548" spans="5:8" ht="15.6">
      <c r="E4548" s="279" t="s">
        <v>4874</v>
      </c>
      <c r="F4548" s="284">
        <f t="shared" ca="1" si="140"/>
        <v>0.92640640773308369</v>
      </c>
      <c r="G4548" s="74">
        <v>37.538156119620723</v>
      </c>
      <c r="H4548" s="74">
        <f t="shared" si="141"/>
        <v>2.9562442237117992</v>
      </c>
    </row>
    <row r="4549" spans="5:8" ht="15.6">
      <c r="E4549" s="279" t="s">
        <v>4875</v>
      </c>
      <c r="F4549" s="284">
        <f t="shared" ca="1" si="140"/>
        <v>0.28989013771088101</v>
      </c>
      <c r="G4549" s="74">
        <v>41.953681037378331</v>
      </c>
      <c r="H4549" s="74">
        <f t="shared" si="141"/>
        <v>-1.459280694045809</v>
      </c>
    </row>
    <row r="4550" spans="5:8" ht="15.6">
      <c r="E4550" s="279" t="s">
        <v>4876</v>
      </c>
      <c r="F4550" s="284">
        <f t="shared" ca="1" si="140"/>
        <v>0.68974909988062416</v>
      </c>
      <c r="G4550" s="74">
        <v>36.903902474319224</v>
      </c>
      <c r="H4550" s="74">
        <f t="shared" si="141"/>
        <v>3.5904978690132978</v>
      </c>
    </row>
    <row r="4551" spans="5:8" ht="15.6">
      <c r="E4551" s="279" t="s">
        <v>4877</v>
      </c>
      <c r="F4551" s="284">
        <f t="shared" ca="1" si="140"/>
        <v>0.88790077315240379</v>
      </c>
      <c r="G4551" s="74">
        <v>39.704231857768626</v>
      </c>
      <c r="H4551" s="74">
        <f t="shared" si="141"/>
        <v>0.79016848556389618</v>
      </c>
    </row>
    <row r="4552" spans="5:8" ht="15.6">
      <c r="E4552" s="279" t="s">
        <v>4878</v>
      </c>
      <c r="F4552" s="284">
        <f t="shared" ca="1" si="140"/>
        <v>0.83988428865748765</v>
      </c>
      <c r="G4552" s="74">
        <v>36.117166173447956</v>
      </c>
      <c r="H4552" s="74">
        <f t="shared" si="141"/>
        <v>4.3772341698845665</v>
      </c>
    </row>
    <row r="4553" spans="5:8" ht="15.6">
      <c r="E4553" s="279" t="s">
        <v>4879</v>
      </c>
      <c r="F4553" s="284">
        <f t="shared" ca="1" si="140"/>
        <v>0.8367944616532661</v>
      </c>
      <c r="G4553" s="74">
        <v>37.60472302570507</v>
      </c>
      <c r="H4553" s="74">
        <f t="shared" si="141"/>
        <v>2.8896773176274522</v>
      </c>
    </row>
    <row r="4554" spans="5:8" ht="15.6">
      <c r="E4554" s="279" t="s">
        <v>4880</v>
      </c>
      <c r="F4554" s="284">
        <f t="shared" ca="1" si="140"/>
        <v>0.96721055999862793</v>
      </c>
      <c r="G4554" s="74">
        <v>37.682559870054426</v>
      </c>
      <c r="H4554" s="74">
        <f t="shared" si="141"/>
        <v>2.8118404732780959</v>
      </c>
    </row>
    <row r="4555" spans="5:8" ht="15.6">
      <c r="E4555" s="279" t="s">
        <v>4881</v>
      </c>
      <c r="F4555" s="284">
        <f t="shared" ca="1" si="140"/>
        <v>0.41937083209919057</v>
      </c>
      <c r="G4555" s="74">
        <v>41.9918392790388</v>
      </c>
      <c r="H4555" s="74">
        <f t="shared" si="141"/>
        <v>-1.4974389357062776</v>
      </c>
    </row>
    <row r="4556" spans="5:8" ht="15.6">
      <c r="E4556" s="279" t="s">
        <v>4882</v>
      </c>
      <c r="F4556" s="284">
        <f t="shared" ref="F4556:F4619" ca="1" si="142">RAND()</f>
        <v>0.59533177014695859</v>
      </c>
      <c r="G4556" s="74">
        <v>40.059755085825579</v>
      </c>
      <c r="H4556" s="74">
        <f t="shared" ref="H4556:H4619" si="143">$D$2-G4556</f>
        <v>0.43464525750694349</v>
      </c>
    </row>
    <row r="4557" spans="5:8" ht="15.6">
      <c r="E4557" s="279" t="s">
        <v>4883</v>
      </c>
      <c r="F4557" s="284">
        <f t="shared" ca="1" si="142"/>
        <v>0.86006193353831728</v>
      </c>
      <c r="G4557" s="74">
        <v>35.590633093386401</v>
      </c>
      <c r="H4557" s="74">
        <f t="shared" si="143"/>
        <v>4.9037672499461209</v>
      </c>
    </row>
    <row r="4558" spans="5:8" ht="15.6">
      <c r="E4558" s="279" t="s">
        <v>4884</v>
      </c>
      <c r="F4558" s="284">
        <f t="shared" ca="1" si="142"/>
        <v>0.43890579807827768</v>
      </c>
      <c r="G4558" s="74">
        <v>41.663440801309349</v>
      </c>
      <c r="H4558" s="74">
        <f t="shared" si="143"/>
        <v>-1.169040457976827</v>
      </c>
    </row>
    <row r="4559" spans="5:8" ht="15.6">
      <c r="E4559" s="279" t="s">
        <v>4885</v>
      </c>
      <c r="F4559" s="284">
        <f t="shared" ca="1" si="142"/>
        <v>0.57147094100190976</v>
      </c>
      <c r="G4559" s="74">
        <v>37.549518453207241</v>
      </c>
      <c r="H4559" s="74">
        <f t="shared" si="143"/>
        <v>2.9448818901252807</v>
      </c>
    </row>
    <row r="4560" spans="5:8" ht="15.6">
      <c r="E4560" s="279" t="s">
        <v>4886</v>
      </c>
      <c r="F4560" s="284">
        <f t="shared" ca="1" si="142"/>
        <v>4.626648279029677E-2</v>
      </c>
      <c r="G4560" s="74">
        <v>40.048567674071769</v>
      </c>
      <c r="H4560" s="74">
        <f t="shared" si="143"/>
        <v>0.44583266926075282</v>
      </c>
    </row>
    <row r="4561" spans="5:8" ht="15.6">
      <c r="E4561" s="279" t="s">
        <v>4887</v>
      </c>
      <c r="F4561" s="284">
        <f t="shared" ca="1" si="142"/>
        <v>0.28374003509313139</v>
      </c>
      <c r="G4561" s="74">
        <v>38.925376252623394</v>
      </c>
      <c r="H4561" s="74">
        <f t="shared" si="143"/>
        <v>1.569024090709128</v>
      </c>
    </row>
    <row r="4562" spans="5:8" ht="15.6">
      <c r="E4562" s="279" t="s">
        <v>4888</v>
      </c>
      <c r="F4562" s="284">
        <f t="shared" ca="1" si="142"/>
        <v>0.13271328628780721</v>
      </c>
      <c r="G4562" s="74">
        <v>42.883670867111825</v>
      </c>
      <c r="H4562" s="74">
        <f t="shared" si="143"/>
        <v>-2.3892705237793024</v>
      </c>
    </row>
    <row r="4563" spans="5:8" ht="15.6">
      <c r="E4563" s="279" t="s">
        <v>4889</v>
      </c>
      <c r="F4563" s="284">
        <f t="shared" ca="1" si="142"/>
        <v>0.44419236009323737</v>
      </c>
      <c r="G4563" s="74">
        <v>41.921358227157256</v>
      </c>
      <c r="H4563" s="74">
        <f t="shared" si="143"/>
        <v>-1.4269578838247341</v>
      </c>
    </row>
    <row r="4564" spans="5:8" ht="15.6">
      <c r="E4564" s="279" t="s">
        <v>4890</v>
      </c>
      <c r="F4564" s="284">
        <f t="shared" ca="1" si="142"/>
        <v>0.41475866523524363</v>
      </c>
      <c r="G4564" s="74">
        <v>41.079374100850451</v>
      </c>
      <c r="H4564" s="74">
        <f t="shared" si="143"/>
        <v>-0.58497375751792902</v>
      </c>
    </row>
    <row r="4565" spans="5:8" ht="15.6">
      <c r="E4565" s="279" t="s">
        <v>4891</v>
      </c>
      <c r="F4565" s="284">
        <f t="shared" ca="1" si="142"/>
        <v>0.4122640714926038</v>
      </c>
      <c r="G4565" s="74">
        <v>40.789709226713832</v>
      </c>
      <c r="H4565" s="74">
        <f t="shared" si="143"/>
        <v>-0.29530888338130978</v>
      </c>
    </row>
    <row r="4566" spans="5:8" ht="15.6">
      <c r="E4566" s="279" t="s">
        <v>4892</v>
      </c>
      <c r="F4566" s="284">
        <f t="shared" ca="1" si="142"/>
        <v>0.21563252211632622</v>
      </c>
      <c r="G4566" s="74">
        <v>42.150995048446191</v>
      </c>
      <c r="H4566" s="74">
        <f t="shared" si="143"/>
        <v>-1.6565947051136689</v>
      </c>
    </row>
    <row r="4567" spans="5:8" ht="15.6">
      <c r="E4567" s="279" t="s">
        <v>4893</v>
      </c>
      <c r="F4567" s="284">
        <f t="shared" ca="1" si="142"/>
        <v>0.7719634358125298</v>
      </c>
      <c r="G4567" s="74">
        <v>37.219526738025777</v>
      </c>
      <c r="H4567" s="74">
        <f t="shared" si="143"/>
        <v>3.2748736053067447</v>
      </c>
    </row>
    <row r="4568" spans="5:8" ht="15.6">
      <c r="E4568" s="279" t="s">
        <v>4894</v>
      </c>
      <c r="F4568" s="284">
        <f t="shared" ca="1" si="142"/>
        <v>3.4087184202558074E-4</v>
      </c>
      <c r="G4568" s="74">
        <v>39.430179152402999</v>
      </c>
      <c r="H4568" s="74">
        <f t="shared" si="143"/>
        <v>1.0642211909295227</v>
      </c>
    </row>
    <row r="4569" spans="5:8" ht="15.6">
      <c r="E4569" s="279" t="s">
        <v>4895</v>
      </c>
      <c r="F4569" s="284">
        <f t="shared" ca="1" si="142"/>
        <v>0.8020368478639095</v>
      </c>
      <c r="G4569" s="74">
        <v>38.325631585497923</v>
      </c>
      <c r="H4569" s="74">
        <f t="shared" si="143"/>
        <v>2.1687687578345987</v>
      </c>
    </row>
    <row r="4570" spans="5:8" ht="15.6">
      <c r="E4570" s="279" t="s">
        <v>4896</v>
      </c>
      <c r="F4570" s="284">
        <f t="shared" ca="1" si="142"/>
        <v>0.84874524678947239</v>
      </c>
      <c r="G4570" s="74">
        <v>42.599213189995716</v>
      </c>
      <c r="H4570" s="74">
        <f t="shared" si="143"/>
        <v>-2.1048128466631937</v>
      </c>
    </row>
    <row r="4571" spans="5:8" ht="15.6">
      <c r="E4571" s="279" t="s">
        <v>4897</v>
      </c>
      <c r="F4571" s="284">
        <f t="shared" ca="1" si="142"/>
        <v>0.99188935691253011</v>
      </c>
      <c r="G4571" s="74">
        <v>34.35163943155807</v>
      </c>
      <c r="H4571" s="74">
        <f t="shared" si="143"/>
        <v>6.1427609117744524</v>
      </c>
    </row>
    <row r="4572" spans="5:8" ht="15.6">
      <c r="E4572" s="279" t="s">
        <v>4898</v>
      </c>
      <c r="F4572" s="284">
        <f t="shared" ca="1" si="142"/>
        <v>0.55581454545113618</v>
      </c>
      <c r="G4572" s="74">
        <v>36.643580356975122</v>
      </c>
      <c r="H4572" s="74">
        <f t="shared" si="143"/>
        <v>3.8508199863574006</v>
      </c>
    </row>
    <row r="4573" spans="5:8" ht="15.6">
      <c r="E4573" s="279" t="s">
        <v>4899</v>
      </c>
      <c r="F4573" s="284">
        <f t="shared" ca="1" si="142"/>
        <v>0.35696844203055189</v>
      </c>
      <c r="G4573" s="74">
        <v>37.229035426210665</v>
      </c>
      <c r="H4573" s="74">
        <f t="shared" si="143"/>
        <v>3.2653649171218575</v>
      </c>
    </row>
    <row r="4574" spans="5:8" ht="15.6">
      <c r="E4574" s="279" t="s">
        <v>4900</v>
      </c>
      <c r="F4574" s="284">
        <f t="shared" ca="1" si="142"/>
        <v>0.39064558922285764</v>
      </c>
      <c r="G4574" s="74">
        <v>38.008689689432607</v>
      </c>
      <c r="H4574" s="74">
        <f t="shared" si="143"/>
        <v>2.4857106538999147</v>
      </c>
    </row>
    <row r="4575" spans="5:8" ht="15.6">
      <c r="E4575" s="279" t="s">
        <v>4901</v>
      </c>
      <c r="F4575" s="284">
        <f t="shared" ca="1" si="142"/>
        <v>0.3720352164729368</v>
      </c>
      <c r="G4575" s="74">
        <v>41.590985655541694</v>
      </c>
      <c r="H4575" s="74">
        <f t="shared" si="143"/>
        <v>-1.0965853122091715</v>
      </c>
    </row>
    <row r="4576" spans="5:8" ht="15.6">
      <c r="E4576" s="279" t="s">
        <v>4902</v>
      </c>
      <c r="F4576" s="284">
        <f t="shared" ca="1" si="142"/>
        <v>0.80608887032206067</v>
      </c>
      <c r="G4576" s="74">
        <v>35.466850707124351</v>
      </c>
      <c r="H4576" s="74">
        <f t="shared" si="143"/>
        <v>5.0275496362081711</v>
      </c>
    </row>
    <row r="4577" spans="5:8" ht="15.6">
      <c r="E4577" s="279" t="s">
        <v>4903</v>
      </c>
      <c r="F4577" s="284">
        <f t="shared" ca="1" si="142"/>
        <v>0.43765259793697986</v>
      </c>
      <c r="G4577" s="74">
        <v>39.159003402425931</v>
      </c>
      <c r="H4577" s="74">
        <f t="shared" si="143"/>
        <v>1.3353969409065911</v>
      </c>
    </row>
    <row r="4578" spans="5:8" ht="15.6">
      <c r="E4578" s="279" t="s">
        <v>4904</v>
      </c>
      <c r="F4578" s="284">
        <f t="shared" ca="1" si="142"/>
        <v>0.21482678477380623</v>
      </c>
      <c r="G4578" s="74">
        <v>36.137955214789621</v>
      </c>
      <c r="H4578" s="74">
        <f t="shared" si="143"/>
        <v>4.3564451285429016</v>
      </c>
    </row>
    <row r="4579" spans="5:8" ht="15.6">
      <c r="E4579" s="279" t="s">
        <v>4905</v>
      </c>
      <c r="F4579" s="284">
        <f t="shared" ca="1" si="142"/>
        <v>0.52476268374738189</v>
      </c>
      <c r="G4579" s="74">
        <v>42.601161819837969</v>
      </c>
      <c r="H4579" s="74">
        <f t="shared" si="143"/>
        <v>-2.1067614765054472</v>
      </c>
    </row>
    <row r="4580" spans="5:8" ht="15.6">
      <c r="E4580" s="279" t="s">
        <v>4906</v>
      </c>
      <c r="F4580" s="284">
        <f t="shared" ca="1" si="142"/>
        <v>0.54908525644810835</v>
      </c>
      <c r="G4580" s="74">
        <v>39.904758255969952</v>
      </c>
      <c r="H4580" s="74">
        <f t="shared" si="143"/>
        <v>0.58964208736257007</v>
      </c>
    </row>
    <row r="4581" spans="5:8" ht="15.6">
      <c r="E4581" s="279" t="s">
        <v>4907</v>
      </c>
      <c r="F4581" s="284">
        <f t="shared" ca="1" si="142"/>
        <v>0.2983313759153573</v>
      </c>
      <c r="G4581" s="74">
        <v>35.249580695855045</v>
      </c>
      <c r="H4581" s="74">
        <f t="shared" si="143"/>
        <v>5.2448196474774775</v>
      </c>
    </row>
    <row r="4582" spans="5:8" ht="15.6">
      <c r="E4582" s="279" t="s">
        <v>4908</v>
      </c>
      <c r="F4582" s="284">
        <f t="shared" ca="1" si="142"/>
        <v>0.28430620751887847</v>
      </c>
      <c r="G4582" s="74">
        <v>46.168399380919439</v>
      </c>
      <c r="H4582" s="74">
        <f t="shared" si="143"/>
        <v>-5.6739990375869169</v>
      </c>
    </row>
    <row r="4583" spans="5:8" ht="15.6">
      <c r="E4583" s="279" t="s">
        <v>4909</v>
      </c>
      <c r="F4583" s="284">
        <f t="shared" ca="1" si="142"/>
        <v>0.98742251761991895</v>
      </c>
      <c r="G4583" s="74">
        <v>38.187097196668986</v>
      </c>
      <c r="H4583" s="74">
        <f t="shared" si="143"/>
        <v>2.3073031466635356</v>
      </c>
    </row>
    <row r="4584" spans="5:8" ht="15.6">
      <c r="E4584" s="279" t="s">
        <v>4910</v>
      </c>
      <c r="F4584" s="284">
        <f t="shared" ca="1" si="142"/>
        <v>0.88454105076404355</v>
      </c>
      <c r="G4584" s="74">
        <v>40.039145216831315</v>
      </c>
      <c r="H4584" s="74">
        <f t="shared" si="143"/>
        <v>0.45525512650120703</v>
      </c>
    </row>
    <row r="4585" spans="5:8" ht="15.6">
      <c r="E4585" s="279" t="s">
        <v>4911</v>
      </c>
      <c r="F4585" s="284">
        <f t="shared" ca="1" si="142"/>
        <v>0.92283534999484873</v>
      </c>
      <c r="G4585" s="74">
        <v>37.200478730314032</v>
      </c>
      <c r="H4585" s="74">
        <f t="shared" si="143"/>
        <v>3.2939216130184903</v>
      </c>
    </row>
    <row r="4586" spans="5:8" ht="15.6">
      <c r="E4586" s="279" t="s">
        <v>4912</v>
      </c>
      <c r="F4586" s="284">
        <f t="shared" ca="1" si="142"/>
        <v>0.98488200466256159</v>
      </c>
      <c r="G4586" s="74">
        <v>36.102536791626349</v>
      </c>
      <c r="H4586" s="74">
        <f t="shared" si="143"/>
        <v>4.391863551706173</v>
      </c>
    </row>
    <row r="4587" spans="5:8" ht="15.6">
      <c r="E4587" s="279" t="s">
        <v>4913</v>
      </c>
      <c r="F4587" s="284">
        <f t="shared" ca="1" si="142"/>
        <v>0.87879044950393403</v>
      </c>
      <c r="G4587" s="74">
        <v>35.535615988312244</v>
      </c>
      <c r="H4587" s="74">
        <f t="shared" si="143"/>
        <v>4.9587843550202777</v>
      </c>
    </row>
    <row r="4588" spans="5:8" ht="15.6">
      <c r="E4588" s="279" t="s">
        <v>4914</v>
      </c>
      <c r="F4588" s="284">
        <f t="shared" ca="1" si="142"/>
        <v>0.67637173903662784</v>
      </c>
      <c r="G4588" s="74">
        <v>35.488377114498824</v>
      </c>
      <c r="H4588" s="74">
        <f t="shared" si="143"/>
        <v>5.0060232288336977</v>
      </c>
    </row>
    <row r="4589" spans="5:8" ht="15.6">
      <c r="E4589" s="279" t="s">
        <v>4915</v>
      </c>
      <c r="F4589" s="284">
        <f t="shared" ca="1" si="142"/>
        <v>0.82163785633749264</v>
      </c>
      <c r="G4589" s="74">
        <v>41.202017371714632</v>
      </c>
      <c r="H4589" s="74">
        <f t="shared" si="143"/>
        <v>-0.70761702838210994</v>
      </c>
    </row>
    <row r="4590" spans="5:8" ht="15.6">
      <c r="E4590" s="279" t="s">
        <v>4916</v>
      </c>
      <c r="F4590" s="284">
        <f t="shared" ca="1" si="142"/>
        <v>0.86239428782713945</v>
      </c>
      <c r="G4590" s="74">
        <v>38.549696256142703</v>
      </c>
      <c r="H4590" s="74">
        <f t="shared" si="143"/>
        <v>1.9447040871898196</v>
      </c>
    </row>
    <row r="4591" spans="5:8" ht="15.6">
      <c r="E4591" s="279" t="s">
        <v>4917</v>
      </c>
      <c r="F4591" s="284">
        <f t="shared" ca="1" si="142"/>
        <v>0.61427363093353859</v>
      </c>
      <c r="G4591" s="74">
        <v>38.970361287157175</v>
      </c>
      <c r="H4591" s="74">
        <f t="shared" si="143"/>
        <v>1.5240390561753472</v>
      </c>
    </row>
    <row r="4592" spans="5:8" ht="15.6">
      <c r="E4592" s="279" t="s">
        <v>4918</v>
      </c>
      <c r="F4592" s="284">
        <f t="shared" ca="1" si="142"/>
        <v>0.22101181935264158</v>
      </c>
      <c r="G4592" s="74">
        <v>35.047535436261903</v>
      </c>
      <c r="H4592" s="74">
        <f t="shared" si="143"/>
        <v>5.4468649070706192</v>
      </c>
    </row>
    <row r="4593" spans="5:8" ht="15.6">
      <c r="E4593" s="279" t="s">
        <v>4919</v>
      </c>
      <c r="F4593" s="284">
        <f t="shared" ca="1" si="142"/>
        <v>0.55271627213892927</v>
      </c>
      <c r="G4593" s="74">
        <v>35.541132585276209</v>
      </c>
      <c r="H4593" s="74">
        <f t="shared" si="143"/>
        <v>4.9532677580563131</v>
      </c>
    </row>
    <row r="4594" spans="5:8" ht="15.6">
      <c r="E4594" s="279" t="s">
        <v>4920</v>
      </c>
      <c r="F4594" s="284">
        <f t="shared" ca="1" si="142"/>
        <v>0.35283086908208194</v>
      </c>
      <c r="G4594" s="74">
        <v>45.064005725169757</v>
      </c>
      <c r="H4594" s="74">
        <f t="shared" si="143"/>
        <v>-4.5696053818372349</v>
      </c>
    </row>
    <row r="4595" spans="5:8" ht="15.6">
      <c r="E4595" s="279" t="s">
        <v>4921</v>
      </c>
      <c r="F4595" s="284">
        <f t="shared" ca="1" si="142"/>
        <v>0.90531256414389294</v>
      </c>
      <c r="G4595" s="74">
        <v>36.019149104509019</v>
      </c>
      <c r="H4595" s="74">
        <f t="shared" si="143"/>
        <v>4.4752512388235033</v>
      </c>
    </row>
    <row r="4596" spans="5:8" ht="15.6">
      <c r="E4596" s="279" t="s">
        <v>4922</v>
      </c>
      <c r="F4596" s="284">
        <f t="shared" ca="1" si="142"/>
        <v>0.68931524217550189</v>
      </c>
      <c r="G4596" s="74">
        <v>43.679659344641287</v>
      </c>
      <c r="H4596" s="74">
        <f t="shared" si="143"/>
        <v>-3.1852590013087649</v>
      </c>
    </row>
    <row r="4597" spans="5:8" ht="15.6">
      <c r="E4597" s="279" t="s">
        <v>4923</v>
      </c>
      <c r="F4597" s="284">
        <f t="shared" ca="1" si="142"/>
        <v>0.72012222007395843</v>
      </c>
      <c r="G4597" s="74">
        <v>43.993250427927258</v>
      </c>
      <c r="H4597" s="74">
        <f t="shared" si="143"/>
        <v>-3.4988500845947357</v>
      </c>
    </row>
    <row r="4598" spans="5:8" ht="15.6">
      <c r="E4598" s="279" t="s">
        <v>4924</v>
      </c>
      <c r="F4598" s="284">
        <f t="shared" ca="1" si="142"/>
        <v>0.74175650690334438</v>
      </c>
      <c r="G4598" s="74">
        <v>38.107938671732413</v>
      </c>
      <c r="H4598" s="74">
        <f t="shared" si="143"/>
        <v>2.3864616716001095</v>
      </c>
    </row>
    <row r="4599" spans="5:8" ht="15.6">
      <c r="E4599" s="279" t="s">
        <v>4925</v>
      </c>
      <c r="F4599" s="284">
        <f t="shared" ca="1" si="142"/>
        <v>0.46627902606030891</v>
      </c>
      <c r="G4599" s="74">
        <v>41.397936947774433</v>
      </c>
      <c r="H4599" s="74">
        <f t="shared" si="143"/>
        <v>-0.90353660444191064</v>
      </c>
    </row>
    <row r="4600" spans="5:8" ht="15.6">
      <c r="E4600" s="279" t="s">
        <v>4926</v>
      </c>
      <c r="F4600" s="284">
        <f t="shared" ca="1" si="142"/>
        <v>0.89748695777136522</v>
      </c>
      <c r="G4600" s="74">
        <v>36.138617474998412</v>
      </c>
      <c r="H4600" s="74">
        <f t="shared" si="143"/>
        <v>4.35578286833411</v>
      </c>
    </row>
    <row r="4601" spans="5:8" ht="15.6">
      <c r="E4601" s="279" t="s">
        <v>4927</v>
      </c>
      <c r="F4601" s="284">
        <f t="shared" ca="1" si="142"/>
        <v>0.46013750268529419</v>
      </c>
      <c r="G4601" s="74">
        <v>44.056191314442835</v>
      </c>
      <c r="H4601" s="74">
        <f t="shared" si="143"/>
        <v>-3.5617909711103124</v>
      </c>
    </row>
    <row r="4602" spans="5:8" ht="15.6">
      <c r="E4602" s="279" t="s">
        <v>4928</v>
      </c>
      <c r="F4602" s="284">
        <f t="shared" ca="1" si="142"/>
        <v>0.12569569731016772</v>
      </c>
      <c r="G4602" s="74">
        <v>41.369410806290063</v>
      </c>
      <c r="H4602" s="74">
        <f t="shared" si="143"/>
        <v>-0.87501046295754037</v>
      </c>
    </row>
    <row r="4603" spans="5:8" ht="15.6">
      <c r="E4603" s="279" t="s">
        <v>4929</v>
      </c>
      <c r="F4603" s="284">
        <f t="shared" ca="1" si="142"/>
        <v>0.19301286728270539</v>
      </c>
      <c r="G4603" s="74">
        <v>38.079740758303458</v>
      </c>
      <c r="H4603" s="74">
        <f t="shared" si="143"/>
        <v>2.4146595850290637</v>
      </c>
    </row>
    <row r="4604" spans="5:8" ht="15.6">
      <c r="E4604" s="279" t="s">
        <v>4930</v>
      </c>
      <c r="F4604" s="284">
        <f t="shared" ca="1" si="142"/>
        <v>0.97933651565545532</v>
      </c>
      <c r="G4604" s="74">
        <v>45.362562676654434</v>
      </c>
      <c r="H4604" s="74">
        <f t="shared" si="143"/>
        <v>-4.8681623333219122</v>
      </c>
    </row>
    <row r="4605" spans="5:8" ht="15.6">
      <c r="E4605" s="279" t="s">
        <v>4931</v>
      </c>
      <c r="F4605" s="284">
        <f t="shared" ca="1" si="142"/>
        <v>0.37442680089838309</v>
      </c>
      <c r="G4605" s="74">
        <v>35.74398355275784</v>
      </c>
      <c r="H4605" s="74">
        <f t="shared" si="143"/>
        <v>4.7504167905746826</v>
      </c>
    </row>
    <row r="4606" spans="5:8" ht="15.6">
      <c r="E4606" s="279" t="s">
        <v>4932</v>
      </c>
      <c r="F4606" s="284">
        <f t="shared" ca="1" si="142"/>
        <v>3.0554216502913234E-2</v>
      </c>
      <c r="G4606" s="74">
        <v>39.277850437222057</v>
      </c>
      <c r="H4606" s="74">
        <f t="shared" si="143"/>
        <v>1.2165499061104654</v>
      </c>
    </row>
    <row r="4607" spans="5:8" ht="15.6">
      <c r="E4607" s="279" t="s">
        <v>4933</v>
      </c>
      <c r="F4607" s="284">
        <f t="shared" ca="1" si="142"/>
        <v>0.33221642100923754</v>
      </c>
      <c r="G4607" s="74">
        <v>44.225631907247191</v>
      </c>
      <c r="H4607" s="74">
        <f t="shared" si="143"/>
        <v>-3.7312315639146689</v>
      </c>
    </row>
    <row r="4608" spans="5:8" ht="15.6">
      <c r="E4608" s="279" t="s">
        <v>4934</v>
      </c>
      <c r="F4608" s="284">
        <f t="shared" ca="1" si="142"/>
        <v>0.45285279654486632</v>
      </c>
      <c r="G4608" s="74">
        <v>38.832266250046622</v>
      </c>
      <c r="H4608" s="74">
        <f t="shared" si="143"/>
        <v>1.6621340932858999</v>
      </c>
    </row>
    <row r="4609" spans="5:8" ht="15.6">
      <c r="E4609" s="279" t="s">
        <v>4935</v>
      </c>
      <c r="F4609" s="284">
        <f t="shared" ca="1" si="142"/>
        <v>0.95549867253257403</v>
      </c>
      <c r="G4609" s="74">
        <v>38.090593231539465</v>
      </c>
      <c r="H4609" s="74">
        <f t="shared" si="143"/>
        <v>2.4038071117930571</v>
      </c>
    </row>
    <row r="4610" spans="5:8" ht="15.6">
      <c r="E4610" s="279" t="s">
        <v>4936</v>
      </c>
      <c r="F4610" s="284">
        <f t="shared" ca="1" si="142"/>
        <v>0.92565052163002715</v>
      </c>
      <c r="G4610" s="74">
        <v>39.483629335056321</v>
      </c>
      <c r="H4610" s="74">
        <f t="shared" si="143"/>
        <v>1.0107710082762011</v>
      </c>
    </row>
    <row r="4611" spans="5:8" ht="15.6">
      <c r="E4611" s="279" t="s">
        <v>4937</v>
      </c>
      <c r="F4611" s="284">
        <f t="shared" ca="1" si="142"/>
        <v>0.67821355346609657</v>
      </c>
      <c r="G4611" s="74">
        <v>38.627250876935939</v>
      </c>
      <c r="H4611" s="74">
        <f t="shared" si="143"/>
        <v>1.8671494663965831</v>
      </c>
    </row>
    <row r="4612" spans="5:8" ht="15.6">
      <c r="E4612" s="279" t="s">
        <v>4938</v>
      </c>
      <c r="F4612" s="284">
        <f t="shared" ca="1" si="142"/>
        <v>9.2442287987340221E-2</v>
      </c>
      <c r="G4612" s="74">
        <v>39.110722523167752</v>
      </c>
      <c r="H4612" s="74">
        <f t="shared" si="143"/>
        <v>1.3836778201647704</v>
      </c>
    </row>
    <row r="4613" spans="5:8" ht="15.6">
      <c r="E4613" s="279" t="s">
        <v>4939</v>
      </c>
      <c r="F4613" s="284">
        <f t="shared" ca="1" si="142"/>
        <v>0.78028553248624999</v>
      </c>
      <c r="G4613" s="74">
        <v>39.622138166506076</v>
      </c>
      <c r="H4613" s="74">
        <f t="shared" si="143"/>
        <v>0.87226217682644602</v>
      </c>
    </row>
    <row r="4614" spans="5:8" ht="15.6">
      <c r="E4614" s="279" t="s">
        <v>4940</v>
      </c>
      <c r="F4614" s="284">
        <f t="shared" ca="1" si="142"/>
        <v>0.61180208160939509</v>
      </c>
      <c r="G4614" s="74">
        <v>37.888004939597629</v>
      </c>
      <c r="H4614" s="74">
        <f t="shared" si="143"/>
        <v>2.6063954037348935</v>
      </c>
    </row>
    <row r="4615" spans="5:8" ht="15.6">
      <c r="E4615" s="279" t="s">
        <v>4941</v>
      </c>
      <c r="F4615" s="284">
        <f t="shared" ca="1" si="142"/>
        <v>0.14109128648895497</v>
      </c>
      <c r="G4615" s="74">
        <v>40.121955427062318</v>
      </c>
      <c r="H4615" s="74">
        <f t="shared" si="143"/>
        <v>0.37244491627020437</v>
      </c>
    </row>
    <row r="4616" spans="5:8" ht="15.6">
      <c r="E4616" s="279" t="s">
        <v>4942</v>
      </c>
      <c r="F4616" s="284">
        <f t="shared" ca="1" si="142"/>
        <v>0.27709886891280533</v>
      </c>
      <c r="G4616" s="74">
        <v>42.078198164121552</v>
      </c>
      <c r="H4616" s="74">
        <f t="shared" si="143"/>
        <v>-1.5837978207890302</v>
      </c>
    </row>
    <row r="4617" spans="5:8" ht="15.6">
      <c r="E4617" s="279" t="s">
        <v>4943</v>
      </c>
      <c r="F4617" s="284">
        <f t="shared" ca="1" si="142"/>
        <v>0.22981194079297074</v>
      </c>
      <c r="G4617" s="74">
        <v>42.376104209308089</v>
      </c>
      <c r="H4617" s="74">
        <f t="shared" si="143"/>
        <v>-1.8817038659755667</v>
      </c>
    </row>
    <row r="4618" spans="5:8" ht="15.6">
      <c r="E4618" s="279" t="s">
        <v>4944</v>
      </c>
      <c r="F4618" s="284">
        <f t="shared" ca="1" si="142"/>
        <v>0.30864824170667093</v>
      </c>
      <c r="G4618" s="74">
        <v>37.277583965817449</v>
      </c>
      <c r="H4618" s="74">
        <f t="shared" si="143"/>
        <v>3.2168163775150731</v>
      </c>
    </row>
    <row r="4619" spans="5:8" ht="15.6">
      <c r="E4619" s="279" t="s">
        <v>4945</v>
      </c>
      <c r="F4619" s="284">
        <f t="shared" ca="1" si="142"/>
        <v>0.6330762237841765</v>
      </c>
      <c r="G4619" s="74">
        <v>38.528667195256205</v>
      </c>
      <c r="H4619" s="74">
        <f t="shared" si="143"/>
        <v>1.9657331480763176</v>
      </c>
    </row>
    <row r="4620" spans="5:8" ht="15.6">
      <c r="E4620" s="279" t="s">
        <v>4946</v>
      </c>
      <c r="F4620" s="284">
        <f t="shared" ref="F4620:F4683" ca="1" si="144">RAND()</f>
        <v>7.4373249161987842E-2</v>
      </c>
      <c r="G4620" s="74">
        <v>37.112198224071243</v>
      </c>
      <c r="H4620" s="74">
        <f t="shared" ref="H4620:H4683" si="145">$D$2-G4620</f>
        <v>3.3822021192612794</v>
      </c>
    </row>
    <row r="4621" spans="5:8" ht="15.6">
      <c r="E4621" s="279" t="s">
        <v>4947</v>
      </c>
      <c r="F4621" s="284">
        <f t="shared" ca="1" si="144"/>
        <v>0.87711961659518578</v>
      </c>
      <c r="G4621" s="74">
        <v>41.745267274674298</v>
      </c>
      <c r="H4621" s="74">
        <f t="shared" si="145"/>
        <v>-1.2508669313417755</v>
      </c>
    </row>
    <row r="4622" spans="5:8" ht="15.6">
      <c r="E4622" s="279" t="s">
        <v>4948</v>
      </c>
      <c r="F4622" s="284">
        <f t="shared" ca="1" si="144"/>
        <v>0.61315444417119647</v>
      </c>
      <c r="G4622" s="74">
        <v>40.999674022969934</v>
      </c>
      <c r="H4622" s="74">
        <f t="shared" si="145"/>
        <v>-0.50527367963741199</v>
      </c>
    </row>
    <row r="4623" spans="5:8" ht="15.6">
      <c r="E4623" s="279" t="s">
        <v>4949</v>
      </c>
      <c r="F4623" s="284">
        <f t="shared" ca="1" si="144"/>
        <v>0.50729987022306455</v>
      </c>
      <c r="G4623" s="74">
        <v>37.035995508998361</v>
      </c>
      <c r="H4623" s="74">
        <f t="shared" si="145"/>
        <v>3.4584048343341607</v>
      </c>
    </row>
    <row r="4624" spans="5:8" ht="15.6">
      <c r="E4624" s="279" t="s">
        <v>4950</v>
      </c>
      <c r="F4624" s="284">
        <f t="shared" ca="1" si="144"/>
        <v>0.55937047136746521</v>
      </c>
      <c r="G4624" s="74">
        <v>42.121090486895007</v>
      </c>
      <c r="H4624" s="74">
        <f t="shared" si="145"/>
        <v>-1.6266901435624845</v>
      </c>
    </row>
    <row r="4625" spans="5:8" ht="15.6">
      <c r="E4625" s="279" t="s">
        <v>4951</v>
      </c>
      <c r="F4625" s="284">
        <f t="shared" ca="1" si="144"/>
        <v>0.67984319776262314</v>
      </c>
      <c r="G4625" s="74">
        <v>39.086912625692612</v>
      </c>
      <c r="H4625" s="74">
        <f t="shared" si="145"/>
        <v>1.4074877176399099</v>
      </c>
    </row>
    <row r="4626" spans="5:8" ht="15.6">
      <c r="E4626" s="279" t="s">
        <v>4952</v>
      </c>
      <c r="F4626" s="284">
        <f t="shared" ca="1" si="144"/>
        <v>0.95086359199570025</v>
      </c>
      <c r="G4626" s="74">
        <v>38.192658904759284</v>
      </c>
      <c r="H4626" s="74">
        <f t="shared" si="145"/>
        <v>2.301741438573238</v>
      </c>
    </row>
    <row r="4627" spans="5:8" ht="15.6">
      <c r="E4627" s="279" t="s">
        <v>4953</v>
      </c>
      <c r="F4627" s="284">
        <f t="shared" ca="1" si="144"/>
        <v>0.37762179594100265</v>
      </c>
      <c r="G4627" s="74">
        <v>33.397891855726854</v>
      </c>
      <c r="H4627" s="74">
        <f t="shared" si="145"/>
        <v>7.0965084876056679</v>
      </c>
    </row>
    <row r="4628" spans="5:8" ht="15.6">
      <c r="E4628" s="279" t="s">
        <v>4954</v>
      </c>
      <c r="F4628" s="284">
        <f t="shared" ca="1" si="144"/>
        <v>0.31336947966568307</v>
      </c>
      <c r="G4628" s="74">
        <v>40.89960711838318</v>
      </c>
      <c r="H4628" s="74">
        <f t="shared" si="145"/>
        <v>-0.40520677505065805</v>
      </c>
    </row>
    <row r="4629" spans="5:8" ht="15.6">
      <c r="E4629" s="279" t="s">
        <v>4955</v>
      </c>
      <c r="F4629" s="284">
        <f t="shared" ca="1" si="144"/>
        <v>0.69559351082205489</v>
      </c>
      <c r="G4629" s="74">
        <v>43.982498740552579</v>
      </c>
      <c r="H4629" s="74">
        <f t="shared" si="145"/>
        <v>-3.4880983972200568</v>
      </c>
    </row>
    <row r="4630" spans="5:8" ht="15.6">
      <c r="E4630" s="279" t="s">
        <v>4956</v>
      </c>
      <c r="F4630" s="284">
        <f t="shared" ca="1" si="144"/>
        <v>0.43448388598500742</v>
      </c>
      <c r="G4630" s="74">
        <v>37.542417181855818</v>
      </c>
      <c r="H4630" s="74">
        <f t="shared" si="145"/>
        <v>2.9519831614767043</v>
      </c>
    </row>
    <row r="4631" spans="5:8" ht="15.6">
      <c r="E4631" s="279" t="s">
        <v>4957</v>
      </c>
      <c r="F4631" s="284">
        <f t="shared" ca="1" si="144"/>
        <v>0.58107923956037122</v>
      </c>
      <c r="G4631" s="74">
        <v>41.801677947333545</v>
      </c>
      <c r="H4631" s="74">
        <f t="shared" si="145"/>
        <v>-1.3072776040010226</v>
      </c>
    </row>
    <row r="4632" spans="5:8" ht="15.6">
      <c r="E4632" s="279" t="s">
        <v>4958</v>
      </c>
      <c r="F4632" s="284">
        <f t="shared" ca="1" si="144"/>
        <v>0.39664540244647495</v>
      </c>
      <c r="G4632" s="74">
        <v>41.029515657074128</v>
      </c>
      <c r="H4632" s="74">
        <f t="shared" si="145"/>
        <v>-0.53511531374160626</v>
      </c>
    </row>
    <row r="4633" spans="5:8" ht="15.6">
      <c r="E4633" s="279" t="s">
        <v>4959</v>
      </c>
      <c r="F4633" s="284">
        <f t="shared" ca="1" si="144"/>
        <v>0.15990535911450077</v>
      </c>
      <c r="G4633" s="74">
        <v>36.688243706797309</v>
      </c>
      <c r="H4633" s="74">
        <f t="shared" si="145"/>
        <v>3.8061566365352135</v>
      </c>
    </row>
    <row r="4634" spans="5:8" ht="15.6">
      <c r="E4634" s="279" t="s">
        <v>4960</v>
      </c>
      <c r="F4634" s="284">
        <f t="shared" ca="1" si="144"/>
        <v>0.95827422927880312</v>
      </c>
      <c r="G4634" s="74">
        <v>38.715743165109082</v>
      </c>
      <c r="H4634" s="74">
        <f t="shared" si="145"/>
        <v>1.7786571782234404</v>
      </c>
    </row>
    <row r="4635" spans="5:8" ht="15.6">
      <c r="E4635" s="279" t="s">
        <v>4961</v>
      </c>
      <c r="F4635" s="284">
        <f t="shared" ca="1" si="144"/>
        <v>0.29317416654383899</v>
      </c>
      <c r="G4635" s="74">
        <v>33.351638599547506</v>
      </c>
      <c r="H4635" s="74">
        <f t="shared" si="145"/>
        <v>7.1427617437850159</v>
      </c>
    </row>
    <row r="4636" spans="5:8" ht="15.6">
      <c r="E4636" s="279" t="s">
        <v>4962</v>
      </c>
      <c r="F4636" s="284">
        <f t="shared" ca="1" si="144"/>
        <v>0.92868217937609121</v>
      </c>
      <c r="G4636" s="74">
        <v>45.361418025748407</v>
      </c>
      <c r="H4636" s="74">
        <f t="shared" si="145"/>
        <v>-4.8670176824158844</v>
      </c>
    </row>
    <row r="4637" spans="5:8" ht="15.6">
      <c r="E4637" s="279" t="s">
        <v>4963</v>
      </c>
      <c r="F4637" s="284">
        <f t="shared" ca="1" si="144"/>
        <v>0.2214608487074855</v>
      </c>
      <c r="G4637" s="74">
        <v>37.166404408059016</v>
      </c>
      <c r="H4637" s="74">
        <f t="shared" si="145"/>
        <v>3.3279959352735062</v>
      </c>
    </row>
    <row r="4638" spans="5:8" ht="15.6">
      <c r="E4638" s="279" t="s">
        <v>4964</v>
      </c>
      <c r="F4638" s="284">
        <f t="shared" ca="1" si="144"/>
        <v>0.46028353012884293</v>
      </c>
      <c r="G4638" s="74">
        <v>36.854100590073202</v>
      </c>
      <c r="H4638" s="74">
        <f t="shared" si="145"/>
        <v>3.6402997532593204</v>
      </c>
    </row>
    <row r="4639" spans="5:8" ht="15.6">
      <c r="E4639" s="279" t="s">
        <v>4965</v>
      </c>
      <c r="F4639" s="284">
        <f t="shared" ca="1" si="144"/>
        <v>0.79577709987889367</v>
      </c>
      <c r="G4639" s="74">
        <v>37.726912716916544</v>
      </c>
      <c r="H4639" s="74">
        <f t="shared" si="145"/>
        <v>2.7674876264159778</v>
      </c>
    </row>
    <row r="4640" spans="5:8" ht="15.6">
      <c r="E4640" s="279" t="s">
        <v>4966</v>
      </c>
      <c r="F4640" s="284">
        <f t="shared" ca="1" si="144"/>
        <v>0.61478269144389686</v>
      </c>
      <c r="G4640" s="74">
        <v>42.028334878369286</v>
      </c>
      <c r="H4640" s="74">
        <f t="shared" si="145"/>
        <v>-1.5339345350367637</v>
      </c>
    </row>
    <row r="4641" spans="5:8" ht="15.6">
      <c r="E4641" s="279" t="s">
        <v>4967</v>
      </c>
      <c r="F4641" s="284">
        <f t="shared" ca="1" si="144"/>
        <v>0.67292537320535006</v>
      </c>
      <c r="G4641" s="74">
        <v>36.871038235319887</v>
      </c>
      <c r="H4641" s="74">
        <f t="shared" si="145"/>
        <v>3.6233621080126355</v>
      </c>
    </row>
    <row r="4642" spans="5:8" ht="15.6">
      <c r="E4642" s="279" t="s">
        <v>4968</v>
      </c>
      <c r="F4642" s="284">
        <f t="shared" ca="1" si="144"/>
        <v>0.89181547423908247</v>
      </c>
      <c r="G4642" s="74">
        <v>36.416557663654928</v>
      </c>
      <c r="H4642" s="74">
        <f t="shared" si="145"/>
        <v>4.0778426796775946</v>
      </c>
    </row>
    <row r="4643" spans="5:8" ht="15.6">
      <c r="E4643" s="279" t="s">
        <v>4969</v>
      </c>
      <c r="F4643" s="284">
        <f t="shared" ca="1" si="144"/>
        <v>0.56678502014782317</v>
      </c>
      <c r="G4643" s="74">
        <v>40.669555538751425</v>
      </c>
      <c r="H4643" s="74">
        <f t="shared" si="145"/>
        <v>-0.17515519541890257</v>
      </c>
    </row>
    <row r="4644" spans="5:8" ht="15.6">
      <c r="E4644" s="279" t="s">
        <v>4970</v>
      </c>
      <c r="F4644" s="284">
        <f t="shared" ca="1" si="144"/>
        <v>0.60183070595978971</v>
      </c>
      <c r="G4644" s="74">
        <v>42.351343733426887</v>
      </c>
      <c r="H4644" s="74">
        <f t="shared" si="145"/>
        <v>-1.856943390094365</v>
      </c>
    </row>
    <row r="4645" spans="5:8" ht="15.6">
      <c r="E4645" s="279" t="s">
        <v>4971</v>
      </c>
      <c r="F4645" s="284">
        <f t="shared" ca="1" si="144"/>
        <v>0.14819668681385956</v>
      </c>
      <c r="G4645" s="74">
        <v>36.456754826054365</v>
      </c>
      <c r="H4645" s="74">
        <f t="shared" si="145"/>
        <v>4.0376455172781576</v>
      </c>
    </row>
    <row r="4646" spans="5:8" ht="15.6">
      <c r="E4646" s="279" t="s">
        <v>4972</v>
      </c>
      <c r="F4646" s="284">
        <f t="shared" ca="1" si="144"/>
        <v>0.26692795470276331</v>
      </c>
      <c r="G4646" s="74">
        <v>40.958086038977825</v>
      </c>
      <c r="H4646" s="74">
        <f t="shared" si="145"/>
        <v>-0.46368569564530304</v>
      </c>
    </row>
    <row r="4647" spans="5:8" ht="15.6">
      <c r="E4647" s="279" t="s">
        <v>4973</v>
      </c>
      <c r="F4647" s="284">
        <f t="shared" ca="1" si="144"/>
        <v>0.40408463880965761</v>
      </c>
      <c r="G4647" s="74">
        <v>35.570328728039279</v>
      </c>
      <c r="H4647" s="74">
        <f t="shared" si="145"/>
        <v>4.9240716152932436</v>
      </c>
    </row>
    <row r="4648" spans="5:8" ht="15.6">
      <c r="E4648" s="279" t="s">
        <v>4974</v>
      </c>
      <c r="F4648" s="284">
        <f t="shared" ca="1" si="144"/>
        <v>0.29245406081326963</v>
      </c>
      <c r="G4648" s="74">
        <v>37.051508128644748</v>
      </c>
      <c r="H4648" s="74">
        <f t="shared" si="145"/>
        <v>3.4428922146877738</v>
      </c>
    </row>
    <row r="4649" spans="5:8" ht="15.6">
      <c r="E4649" s="279" t="s">
        <v>4975</v>
      </c>
      <c r="F4649" s="284">
        <f t="shared" ca="1" si="144"/>
        <v>0.76291647216933867</v>
      </c>
      <c r="G4649" s="74">
        <v>42.660792954879774</v>
      </c>
      <c r="H4649" s="74">
        <f t="shared" si="145"/>
        <v>-2.166392611547252</v>
      </c>
    </row>
    <row r="4650" spans="5:8" ht="15.6">
      <c r="E4650" s="279" t="s">
        <v>4976</v>
      </c>
      <c r="F4650" s="284">
        <f t="shared" ca="1" si="144"/>
        <v>0.73961117817772171</v>
      </c>
      <c r="G4650" s="74">
        <v>37.591931649360482</v>
      </c>
      <c r="H4650" s="74">
        <f t="shared" si="145"/>
        <v>2.9024686939720397</v>
      </c>
    </row>
    <row r="4651" spans="5:8" ht="15.6">
      <c r="E4651" s="279" t="s">
        <v>4977</v>
      </c>
      <c r="F4651" s="284">
        <f t="shared" ca="1" si="144"/>
        <v>0.16645003931989411</v>
      </c>
      <c r="G4651" s="74">
        <v>42.218638858125821</v>
      </c>
      <c r="H4651" s="74">
        <f t="shared" si="145"/>
        <v>-1.7242385147932993</v>
      </c>
    </row>
    <row r="4652" spans="5:8" ht="15.6">
      <c r="E4652" s="279" t="s">
        <v>4978</v>
      </c>
      <c r="F4652" s="284">
        <f t="shared" ca="1" si="144"/>
        <v>0.15539963131251555</v>
      </c>
      <c r="G4652" s="74">
        <v>37.689104383947843</v>
      </c>
      <c r="H4652" s="74">
        <f t="shared" si="145"/>
        <v>2.8052959593846793</v>
      </c>
    </row>
    <row r="4653" spans="5:8" ht="15.6">
      <c r="E4653" s="279" t="s">
        <v>4979</v>
      </c>
      <c r="F4653" s="284">
        <f t="shared" ca="1" si="144"/>
        <v>9.5840687635896149E-2</v>
      </c>
      <c r="G4653" s="74">
        <v>43.703443440726943</v>
      </c>
      <c r="H4653" s="74">
        <f t="shared" si="145"/>
        <v>-3.2090430973944208</v>
      </c>
    </row>
    <row r="4654" spans="5:8" ht="15.6">
      <c r="E4654" s="279" t="s">
        <v>4980</v>
      </c>
      <c r="F4654" s="284">
        <f t="shared" ca="1" si="144"/>
        <v>0.42286057531336951</v>
      </c>
      <c r="G4654" s="74">
        <v>40.821851013187768</v>
      </c>
      <c r="H4654" s="74">
        <f t="shared" si="145"/>
        <v>-0.32745066985524574</v>
      </c>
    </row>
    <row r="4655" spans="5:8" ht="15.6">
      <c r="E4655" s="279" t="s">
        <v>4981</v>
      </c>
      <c r="F4655" s="284">
        <f t="shared" ca="1" si="144"/>
        <v>0.15927094080413384</v>
      </c>
      <c r="G4655" s="74">
        <v>37.973183575447933</v>
      </c>
      <c r="H4655" s="74">
        <f t="shared" si="145"/>
        <v>2.5212167678845887</v>
      </c>
    </row>
    <row r="4656" spans="5:8" ht="15.6">
      <c r="E4656" s="279" t="s">
        <v>4982</v>
      </c>
      <c r="F4656" s="284">
        <f t="shared" ca="1" si="144"/>
        <v>0.42528135159507097</v>
      </c>
      <c r="G4656" s="74">
        <v>40.149989641554363</v>
      </c>
      <c r="H4656" s="74">
        <f t="shared" si="145"/>
        <v>0.34441070177815902</v>
      </c>
    </row>
    <row r="4657" spans="5:8" ht="15.6">
      <c r="E4657" s="279" t="s">
        <v>4983</v>
      </c>
      <c r="F4657" s="284">
        <f t="shared" ca="1" si="144"/>
        <v>0.85068485755757317</v>
      </c>
      <c r="G4657" s="74">
        <v>40.208466842933767</v>
      </c>
      <c r="H4657" s="74">
        <f t="shared" si="145"/>
        <v>0.28593350039875531</v>
      </c>
    </row>
    <row r="4658" spans="5:8" ht="15.6">
      <c r="E4658" s="279" t="s">
        <v>4984</v>
      </c>
      <c r="F4658" s="284">
        <f t="shared" ca="1" si="144"/>
        <v>1.2507081519175567E-2</v>
      </c>
      <c r="G4658" s="74">
        <v>42.609665248405449</v>
      </c>
      <c r="H4658" s="74">
        <f t="shared" si="145"/>
        <v>-2.1152649050729266</v>
      </c>
    </row>
    <row r="4659" spans="5:8" ht="15.6">
      <c r="E4659" s="279" t="s">
        <v>4985</v>
      </c>
      <c r="F4659" s="284">
        <f t="shared" ca="1" si="144"/>
        <v>3.5973634031284396E-3</v>
      </c>
      <c r="G4659" s="74">
        <v>39.902575292276694</v>
      </c>
      <c r="H4659" s="74">
        <f t="shared" si="145"/>
        <v>0.59182505105582806</v>
      </c>
    </row>
    <row r="4660" spans="5:8" ht="15.6">
      <c r="E4660" s="279" t="s">
        <v>4986</v>
      </c>
      <c r="F4660" s="284">
        <f t="shared" ca="1" si="144"/>
        <v>0.34733679344499224</v>
      </c>
      <c r="G4660" s="74">
        <v>39.855937266346189</v>
      </c>
      <c r="H4660" s="74">
        <f t="shared" si="145"/>
        <v>0.63846307698633353</v>
      </c>
    </row>
    <row r="4661" spans="5:8" ht="15.6">
      <c r="E4661" s="279" t="s">
        <v>4987</v>
      </c>
      <c r="F4661" s="284">
        <f t="shared" ca="1" si="144"/>
        <v>0.62069339378841371</v>
      </c>
      <c r="G4661" s="74">
        <v>38.830995037968414</v>
      </c>
      <c r="H4661" s="74">
        <f t="shared" si="145"/>
        <v>1.6634053053641082</v>
      </c>
    </row>
    <row r="4662" spans="5:8" ht="15.6">
      <c r="E4662" s="279" t="s">
        <v>4988</v>
      </c>
      <c r="F4662" s="284">
        <f t="shared" ca="1" si="144"/>
        <v>0.44466501846135931</v>
      </c>
      <c r="G4662" s="74">
        <v>37.104462912383148</v>
      </c>
      <c r="H4662" s="74">
        <f t="shared" si="145"/>
        <v>3.3899374309493737</v>
      </c>
    </row>
    <row r="4663" spans="5:8" ht="15.6">
      <c r="E4663" s="279" t="s">
        <v>4989</v>
      </c>
      <c r="F4663" s="284">
        <f t="shared" ca="1" si="144"/>
        <v>0.86311993038587176</v>
      </c>
      <c r="G4663" s="74">
        <v>41.004168608136183</v>
      </c>
      <c r="H4663" s="74">
        <f t="shared" si="145"/>
        <v>-0.509768264803661</v>
      </c>
    </row>
    <row r="4664" spans="5:8" ht="15.6">
      <c r="E4664" s="279" t="s">
        <v>4990</v>
      </c>
      <c r="F4664" s="284">
        <f t="shared" ca="1" si="144"/>
        <v>9.1388001932873553E-2</v>
      </c>
      <c r="G4664" s="74">
        <v>39.670034578531855</v>
      </c>
      <c r="H4664" s="74">
        <f t="shared" si="145"/>
        <v>0.82436576480066748</v>
      </c>
    </row>
    <row r="4665" spans="5:8" ht="15.6">
      <c r="E4665" s="279" t="s">
        <v>4991</v>
      </c>
      <c r="F4665" s="284">
        <f t="shared" ca="1" si="144"/>
        <v>0.49150342889277365</v>
      </c>
      <c r="G4665" s="74">
        <v>39.63366009247391</v>
      </c>
      <c r="H4665" s="74">
        <f t="shared" si="145"/>
        <v>0.86074025085861194</v>
      </c>
    </row>
    <row r="4666" spans="5:8" ht="15.6">
      <c r="E4666" s="279" t="s">
        <v>4992</v>
      </c>
      <c r="F4666" s="284">
        <f t="shared" ca="1" si="144"/>
        <v>0.51327100010031257</v>
      </c>
      <c r="G4666" s="74">
        <v>35.308440971604753</v>
      </c>
      <c r="H4666" s="74">
        <f t="shared" si="145"/>
        <v>5.185959371727769</v>
      </c>
    </row>
    <row r="4667" spans="5:8" ht="15.6">
      <c r="E4667" s="279" t="s">
        <v>4993</v>
      </c>
      <c r="F4667" s="284">
        <f t="shared" ca="1" si="144"/>
        <v>0.83887109733239018</v>
      </c>
      <c r="G4667" s="74">
        <v>37.250355344046064</v>
      </c>
      <c r="H4667" s="74">
        <f t="shared" si="145"/>
        <v>3.2440449992864586</v>
      </c>
    </row>
    <row r="4668" spans="5:8" ht="15.6">
      <c r="E4668" s="279" t="s">
        <v>4994</v>
      </c>
      <c r="F4668" s="284">
        <f t="shared" ca="1" si="144"/>
        <v>0.37029795432095614</v>
      </c>
      <c r="G4668" s="74">
        <v>35.735910375273043</v>
      </c>
      <c r="H4668" s="74">
        <f t="shared" si="145"/>
        <v>4.7584899680594788</v>
      </c>
    </row>
    <row r="4669" spans="5:8" ht="15.6">
      <c r="E4669" s="279" t="s">
        <v>4995</v>
      </c>
      <c r="F4669" s="284">
        <f t="shared" ca="1" si="144"/>
        <v>8.0770958510029467E-2</v>
      </c>
      <c r="G4669" s="74">
        <v>45.333274022874022</v>
      </c>
      <c r="H4669" s="74">
        <f t="shared" si="145"/>
        <v>-4.8388736795414999</v>
      </c>
    </row>
    <row r="4670" spans="5:8" ht="15.6">
      <c r="E4670" s="279" t="s">
        <v>4996</v>
      </c>
      <c r="F4670" s="284">
        <f t="shared" ca="1" si="144"/>
        <v>0.78551917768017743</v>
      </c>
      <c r="G4670" s="74">
        <v>42.93784435753534</v>
      </c>
      <c r="H4670" s="74">
        <f t="shared" si="145"/>
        <v>-2.443444014202818</v>
      </c>
    </row>
    <row r="4671" spans="5:8" ht="15.6">
      <c r="E4671" s="279" t="s">
        <v>4997</v>
      </c>
      <c r="F4671" s="284">
        <f t="shared" ca="1" si="144"/>
        <v>0.42567826570648981</v>
      </c>
      <c r="G4671" s="74">
        <v>42.25758451788397</v>
      </c>
      <c r="H4671" s="74">
        <f t="shared" si="145"/>
        <v>-1.7631841745514478</v>
      </c>
    </row>
    <row r="4672" spans="5:8" ht="15.6">
      <c r="E4672" s="279" t="s">
        <v>4998</v>
      </c>
      <c r="F4672" s="284">
        <f t="shared" ca="1" si="144"/>
        <v>0.96161684642278422</v>
      </c>
      <c r="G4672" s="74">
        <v>40.467995805685618</v>
      </c>
      <c r="H4672" s="74">
        <f t="shared" si="145"/>
        <v>2.6404537646904203E-2</v>
      </c>
    </row>
    <row r="4673" spans="5:8" ht="15.6">
      <c r="E4673" s="279" t="s">
        <v>4999</v>
      </c>
      <c r="F4673" s="284">
        <f t="shared" ca="1" si="144"/>
        <v>0.35060628038511032</v>
      </c>
      <c r="G4673" s="74">
        <v>38.785003139402605</v>
      </c>
      <c r="H4673" s="74">
        <f t="shared" si="145"/>
        <v>1.7093972039299175</v>
      </c>
    </row>
    <row r="4674" spans="5:8" ht="15.6">
      <c r="E4674" s="279" t="s">
        <v>5000</v>
      </c>
      <c r="F4674" s="284">
        <f t="shared" ca="1" si="144"/>
        <v>0.96773900747035846</v>
      </c>
      <c r="G4674" s="74">
        <v>41.519867728284957</v>
      </c>
      <c r="H4674" s="74">
        <f t="shared" si="145"/>
        <v>-1.0254673849524352</v>
      </c>
    </row>
    <row r="4675" spans="5:8" ht="15.6">
      <c r="E4675" s="279" t="s">
        <v>5001</v>
      </c>
      <c r="F4675" s="284">
        <f t="shared" ca="1" si="144"/>
        <v>0.55591083834078747</v>
      </c>
      <c r="G4675" s="74">
        <v>41.888511177567906</v>
      </c>
      <c r="H4675" s="74">
        <f t="shared" si="145"/>
        <v>-1.3941108342353843</v>
      </c>
    </row>
    <row r="4676" spans="5:8" ht="15.6">
      <c r="E4676" s="279" t="s">
        <v>5002</v>
      </c>
      <c r="F4676" s="284">
        <f t="shared" ca="1" si="144"/>
        <v>0.16732119951937263</v>
      </c>
      <c r="G4676" s="74">
        <v>38.4000788392608</v>
      </c>
      <c r="H4676" s="74">
        <f t="shared" si="145"/>
        <v>2.094321504071722</v>
      </c>
    </row>
    <row r="4677" spans="5:8" ht="15.6">
      <c r="E4677" s="279" t="s">
        <v>5003</v>
      </c>
      <c r="F4677" s="284">
        <f t="shared" ca="1" si="144"/>
        <v>0.21964209411841085</v>
      </c>
      <c r="G4677" s="74">
        <v>39.587410779579237</v>
      </c>
      <c r="H4677" s="74">
        <f t="shared" si="145"/>
        <v>0.90698956375328521</v>
      </c>
    </row>
    <row r="4678" spans="5:8" ht="15.6">
      <c r="E4678" s="279" t="s">
        <v>5004</v>
      </c>
      <c r="F4678" s="284">
        <f t="shared" ca="1" si="144"/>
        <v>0.35807551784068947</v>
      </c>
      <c r="G4678" s="74">
        <v>36.062778334875915</v>
      </c>
      <c r="H4678" s="74">
        <f t="shared" si="145"/>
        <v>4.4316220084566069</v>
      </c>
    </row>
    <row r="4679" spans="5:8" ht="15.6">
      <c r="E4679" s="279" t="s">
        <v>5005</v>
      </c>
      <c r="F4679" s="284">
        <f t="shared" ca="1" si="144"/>
        <v>3.4617753748129365E-2</v>
      </c>
      <c r="G4679" s="74">
        <v>38.906056837164179</v>
      </c>
      <c r="H4679" s="74">
        <f t="shared" si="145"/>
        <v>1.5883435061683429</v>
      </c>
    </row>
    <row r="4680" spans="5:8" ht="15.6">
      <c r="E4680" s="279" t="s">
        <v>5006</v>
      </c>
      <c r="F4680" s="284">
        <f t="shared" ca="1" si="144"/>
        <v>0.49658910482377738</v>
      </c>
      <c r="G4680" s="74">
        <v>42.099399134259421</v>
      </c>
      <c r="H4680" s="74">
        <f t="shared" si="145"/>
        <v>-1.6049987909268992</v>
      </c>
    </row>
    <row r="4681" spans="5:8" ht="15.6">
      <c r="E4681" s="279" t="s">
        <v>5007</v>
      </c>
      <c r="F4681" s="284">
        <f t="shared" ca="1" si="144"/>
        <v>0.14430176425386498</v>
      </c>
      <c r="G4681" s="74">
        <v>34.588028549108884</v>
      </c>
      <c r="H4681" s="74">
        <f t="shared" si="145"/>
        <v>5.906371794223638</v>
      </c>
    </row>
    <row r="4682" spans="5:8" ht="15.6">
      <c r="E4682" s="279" t="s">
        <v>5008</v>
      </c>
      <c r="F4682" s="284">
        <f t="shared" ca="1" si="144"/>
        <v>0.53088106288298442</v>
      </c>
      <c r="G4682" s="74">
        <v>40.543652896482378</v>
      </c>
      <c r="H4682" s="74">
        <f t="shared" si="145"/>
        <v>-4.9252553149855771E-2</v>
      </c>
    </row>
    <row r="4683" spans="5:8" ht="15.6">
      <c r="E4683" s="279" t="s">
        <v>5009</v>
      </c>
      <c r="F4683" s="284">
        <f t="shared" ca="1" si="144"/>
        <v>0.11534230367812304</v>
      </c>
      <c r="G4683" s="74">
        <v>41.141822410007393</v>
      </c>
      <c r="H4683" s="74">
        <f t="shared" si="145"/>
        <v>-0.64742206667487068</v>
      </c>
    </row>
    <row r="4684" spans="5:8" ht="15.6">
      <c r="E4684" s="279" t="s">
        <v>5010</v>
      </c>
      <c r="F4684" s="284">
        <f t="shared" ref="F4684:F4747" ca="1" si="146">RAND()</f>
        <v>0.43142876343276337</v>
      </c>
      <c r="G4684" s="74">
        <v>38.273728224886405</v>
      </c>
      <c r="H4684" s="74">
        <f t="shared" ref="H4684:H4747" si="147">$D$2-G4684</f>
        <v>2.2206721184461173</v>
      </c>
    </row>
    <row r="4685" spans="5:8" ht="15.6">
      <c r="E4685" s="279" t="s">
        <v>5011</v>
      </c>
      <c r="F4685" s="284">
        <f t="shared" ca="1" si="146"/>
        <v>0.81617718848495124</v>
      </c>
      <c r="G4685" s="74">
        <v>35.891953388486897</v>
      </c>
      <c r="H4685" s="74">
        <f t="shared" si="147"/>
        <v>4.6024469548456253</v>
      </c>
    </row>
    <row r="4686" spans="5:8" ht="15.6">
      <c r="E4686" s="279" t="s">
        <v>5012</v>
      </c>
      <c r="F4686" s="284">
        <f t="shared" ca="1" si="146"/>
        <v>0.15438368081323672</v>
      </c>
      <c r="G4686" s="74">
        <v>41.253053833842372</v>
      </c>
      <c r="H4686" s="74">
        <f t="shared" si="147"/>
        <v>-0.75865349050985031</v>
      </c>
    </row>
    <row r="4687" spans="5:8" ht="15.6">
      <c r="E4687" s="279" t="s">
        <v>5013</v>
      </c>
      <c r="F4687" s="284">
        <f t="shared" ca="1" si="146"/>
        <v>3.6118170782634573E-2</v>
      </c>
      <c r="G4687" s="74">
        <v>38.783033069881711</v>
      </c>
      <c r="H4687" s="74">
        <f t="shared" si="147"/>
        <v>1.7113672734508114</v>
      </c>
    </row>
    <row r="4688" spans="5:8" ht="15.6">
      <c r="E4688" s="279" t="s">
        <v>5014</v>
      </c>
      <c r="F4688" s="284">
        <f t="shared" ca="1" si="146"/>
        <v>0.36172066346464549</v>
      </c>
      <c r="G4688" s="74">
        <v>40.952135506918978</v>
      </c>
      <c r="H4688" s="74">
        <f t="shared" si="147"/>
        <v>-0.45773516358645594</v>
      </c>
    </row>
    <row r="4689" spans="5:8" ht="15.6">
      <c r="E4689" s="279" t="s">
        <v>5015</v>
      </c>
      <c r="F4689" s="284">
        <f t="shared" ca="1" si="146"/>
        <v>0.79950766898323045</v>
      </c>
      <c r="G4689" s="74">
        <v>40.50492915819747</v>
      </c>
      <c r="H4689" s="74">
        <f t="shared" si="147"/>
        <v>-1.0528814864947833E-2</v>
      </c>
    </row>
    <row r="4690" spans="5:8" ht="15.6">
      <c r="E4690" s="279" t="s">
        <v>5016</v>
      </c>
      <c r="F4690" s="284">
        <f t="shared" ca="1" si="146"/>
        <v>0.64852427839666538</v>
      </c>
      <c r="G4690" s="74">
        <v>36.535270686750309</v>
      </c>
      <c r="H4690" s="74">
        <f t="shared" si="147"/>
        <v>3.9591296565822134</v>
      </c>
    </row>
    <row r="4691" spans="5:8" ht="15.6">
      <c r="E4691" s="279" t="s">
        <v>5017</v>
      </c>
      <c r="F4691" s="284">
        <f t="shared" ca="1" si="146"/>
        <v>0.4427463024974444</v>
      </c>
      <c r="G4691" s="74">
        <v>36.177571667393863</v>
      </c>
      <c r="H4691" s="74">
        <f t="shared" si="147"/>
        <v>4.3168286759386589</v>
      </c>
    </row>
    <row r="4692" spans="5:8" ht="15.6">
      <c r="E4692" s="279" t="s">
        <v>5018</v>
      </c>
      <c r="F4692" s="284">
        <f t="shared" ca="1" si="146"/>
        <v>0.53579856135551363</v>
      </c>
      <c r="G4692" s="74">
        <v>38.838519054337539</v>
      </c>
      <c r="H4692" s="74">
        <f t="shared" si="147"/>
        <v>1.6558812889949834</v>
      </c>
    </row>
    <row r="4693" spans="5:8" ht="15.6">
      <c r="E4693" s="279" t="s">
        <v>5019</v>
      </c>
      <c r="F4693" s="284">
        <f t="shared" ca="1" si="146"/>
        <v>0.91325391323759497</v>
      </c>
      <c r="G4693" s="74">
        <v>39.653916282211235</v>
      </c>
      <c r="H4693" s="74">
        <f t="shared" si="147"/>
        <v>0.8404840611212876</v>
      </c>
    </row>
    <row r="4694" spans="5:8" ht="15.6">
      <c r="E4694" s="279" t="s">
        <v>5020</v>
      </c>
      <c r="F4694" s="284">
        <f t="shared" ca="1" si="146"/>
        <v>0.42705511234826843</v>
      </c>
      <c r="G4694" s="74">
        <v>38.699488372597322</v>
      </c>
      <c r="H4694" s="74">
        <f t="shared" si="147"/>
        <v>1.7949119707351997</v>
      </c>
    </row>
    <row r="4695" spans="5:8" ht="15.6">
      <c r="E4695" s="279" t="s">
        <v>5021</v>
      </c>
      <c r="F4695" s="284">
        <f t="shared" ca="1" si="146"/>
        <v>0.54595880001405106</v>
      </c>
      <c r="G4695" s="74">
        <v>42.383428302962308</v>
      </c>
      <c r="H4695" s="74">
        <f t="shared" si="147"/>
        <v>-1.8890279596297859</v>
      </c>
    </row>
    <row r="4696" spans="5:8" ht="15.6">
      <c r="E4696" s="279" t="s">
        <v>5022</v>
      </c>
      <c r="F4696" s="284">
        <f t="shared" ca="1" si="146"/>
        <v>0.61876211085953792</v>
      </c>
      <c r="G4696" s="74">
        <v>42.881005401784648</v>
      </c>
      <c r="H4696" s="74">
        <f t="shared" si="147"/>
        <v>-2.3866050584521261</v>
      </c>
    </row>
    <row r="4697" spans="5:8" ht="15.6">
      <c r="E4697" s="279" t="s">
        <v>5023</v>
      </c>
      <c r="F4697" s="284">
        <f t="shared" ca="1" si="146"/>
        <v>0.62756972118004595</v>
      </c>
      <c r="G4697" s="74">
        <v>43.596090488279536</v>
      </c>
      <c r="H4697" s="74">
        <f t="shared" si="147"/>
        <v>-3.101690144947014</v>
      </c>
    </row>
    <row r="4698" spans="5:8" ht="15.6">
      <c r="E4698" s="279" t="s">
        <v>5024</v>
      </c>
      <c r="F4698" s="284">
        <f t="shared" ca="1" si="146"/>
        <v>0.50255847619729699</v>
      </c>
      <c r="G4698" s="74">
        <v>40.112454047612985</v>
      </c>
      <c r="H4698" s="74">
        <f t="shared" si="147"/>
        <v>0.38194629571953698</v>
      </c>
    </row>
    <row r="4699" spans="5:8" ht="15.6">
      <c r="E4699" s="279" t="s">
        <v>5025</v>
      </c>
      <c r="F4699" s="284">
        <f t="shared" ca="1" si="146"/>
        <v>0.95803021388643705</v>
      </c>
      <c r="G4699" s="74">
        <v>41.426484849790185</v>
      </c>
      <c r="H4699" s="74">
        <f t="shared" si="147"/>
        <v>-0.93208450645766305</v>
      </c>
    </row>
    <row r="4700" spans="5:8" ht="15.6">
      <c r="E4700" s="279" t="s">
        <v>5026</v>
      </c>
      <c r="F4700" s="284">
        <f t="shared" ca="1" si="146"/>
        <v>0.65180767845027532</v>
      </c>
      <c r="G4700" s="74">
        <v>35.066506533376256</v>
      </c>
      <c r="H4700" s="74">
        <f t="shared" si="147"/>
        <v>5.4278938099562666</v>
      </c>
    </row>
    <row r="4701" spans="5:8" ht="15.6">
      <c r="E4701" s="279" t="s">
        <v>5027</v>
      </c>
      <c r="F4701" s="284">
        <f t="shared" ca="1" si="146"/>
        <v>0.30882474293066997</v>
      </c>
      <c r="G4701" s="74">
        <v>37.767730833259876</v>
      </c>
      <c r="H4701" s="74">
        <f t="shared" si="147"/>
        <v>2.7266695100726466</v>
      </c>
    </row>
    <row r="4702" spans="5:8" ht="15.6">
      <c r="E4702" s="279" t="s">
        <v>5028</v>
      </c>
      <c r="F4702" s="284">
        <f t="shared" ca="1" si="146"/>
        <v>0.97968591235020908</v>
      </c>
      <c r="G4702" s="74">
        <v>36.563445690628967</v>
      </c>
      <c r="H4702" s="74">
        <f t="shared" si="147"/>
        <v>3.930954652703555</v>
      </c>
    </row>
    <row r="4703" spans="5:8" ht="15.6">
      <c r="E4703" s="279" t="s">
        <v>5029</v>
      </c>
      <c r="F4703" s="284">
        <f t="shared" ca="1" si="146"/>
        <v>3.0463201993306543E-2</v>
      </c>
      <c r="G4703" s="74">
        <v>37.667226737871772</v>
      </c>
      <c r="H4703" s="74">
        <f t="shared" si="147"/>
        <v>2.8271736054607501</v>
      </c>
    </row>
    <row r="4704" spans="5:8" ht="15.6">
      <c r="E4704" s="279" t="s">
        <v>5030</v>
      </c>
      <c r="F4704" s="284">
        <f t="shared" ca="1" si="146"/>
        <v>0.70673813579577649</v>
      </c>
      <c r="G4704" s="74">
        <v>38.910227483880561</v>
      </c>
      <c r="H4704" s="74">
        <f t="shared" si="147"/>
        <v>1.5841728594519608</v>
      </c>
    </row>
    <row r="4705" spans="5:8" ht="15.6">
      <c r="E4705" s="279" t="s">
        <v>5031</v>
      </c>
      <c r="F4705" s="284">
        <f t="shared" ca="1" si="146"/>
        <v>0.37619218282679479</v>
      </c>
      <c r="G4705" s="74">
        <v>40.549613740309987</v>
      </c>
      <c r="H4705" s="74">
        <f t="shared" si="147"/>
        <v>-5.5213396977464413E-2</v>
      </c>
    </row>
    <row r="4706" spans="5:8" ht="15.6">
      <c r="E4706" s="279" t="s">
        <v>5032</v>
      </c>
      <c r="F4706" s="284">
        <f t="shared" ca="1" si="146"/>
        <v>0.62038008210430762</v>
      </c>
      <c r="G4706" s="74">
        <v>42.07929413327296</v>
      </c>
      <c r="H4706" s="74">
        <f t="shared" si="147"/>
        <v>-1.5848937899404376</v>
      </c>
    </row>
    <row r="4707" spans="5:8" ht="15.6">
      <c r="E4707" s="279" t="s">
        <v>5033</v>
      </c>
      <c r="F4707" s="284">
        <f t="shared" ca="1" si="146"/>
        <v>0.95267911108599945</v>
      </c>
      <c r="G4707" s="74">
        <v>41.513170183495603</v>
      </c>
      <c r="H4707" s="74">
        <f t="shared" si="147"/>
        <v>-1.0187698401630811</v>
      </c>
    </row>
    <row r="4708" spans="5:8" ht="15.6">
      <c r="E4708" s="279" t="s">
        <v>5034</v>
      </c>
      <c r="F4708" s="284">
        <f t="shared" ca="1" si="146"/>
        <v>0.25292842207851629</v>
      </c>
      <c r="G4708" s="74">
        <v>40.009449295369876</v>
      </c>
      <c r="H4708" s="74">
        <f t="shared" si="147"/>
        <v>0.48495104796264599</v>
      </c>
    </row>
    <row r="4709" spans="5:8" ht="15.6">
      <c r="E4709" s="279" t="s">
        <v>5035</v>
      </c>
      <c r="F4709" s="284">
        <f t="shared" ca="1" si="146"/>
        <v>0.76573789595349162</v>
      </c>
      <c r="G4709" s="74">
        <v>38.095308884390739</v>
      </c>
      <c r="H4709" s="74">
        <f t="shared" si="147"/>
        <v>2.3990914589417827</v>
      </c>
    </row>
    <row r="4710" spans="5:8" ht="15.6">
      <c r="E4710" s="279" t="s">
        <v>5036</v>
      </c>
      <c r="F4710" s="284">
        <f t="shared" ca="1" si="146"/>
        <v>0.35276967625698497</v>
      </c>
      <c r="G4710" s="74">
        <v>40.275463906516144</v>
      </c>
      <c r="H4710" s="74">
        <f t="shared" si="147"/>
        <v>0.21893643681637798</v>
      </c>
    </row>
    <row r="4711" spans="5:8" ht="15.6">
      <c r="E4711" s="279" t="s">
        <v>5037</v>
      </c>
      <c r="F4711" s="284">
        <f t="shared" ca="1" si="146"/>
        <v>0.11121859810713397</v>
      </c>
      <c r="G4711" s="74">
        <v>35.015103357050933</v>
      </c>
      <c r="H4711" s="74">
        <f t="shared" si="147"/>
        <v>5.4792969862815895</v>
      </c>
    </row>
    <row r="4712" spans="5:8" ht="15.6">
      <c r="E4712" s="279" t="s">
        <v>5038</v>
      </c>
      <c r="F4712" s="284">
        <f t="shared" ca="1" si="146"/>
        <v>0.81822787626317428</v>
      </c>
      <c r="G4712" s="74">
        <v>45.038226275036642</v>
      </c>
      <c r="H4712" s="74">
        <f t="shared" si="147"/>
        <v>-4.5438259317041201</v>
      </c>
    </row>
    <row r="4713" spans="5:8" ht="15.6">
      <c r="E4713" s="279" t="s">
        <v>5039</v>
      </c>
      <c r="F4713" s="284">
        <f t="shared" ca="1" si="146"/>
        <v>0.2169932966930912</v>
      </c>
      <c r="G4713" s="74">
        <v>36.070233011046703</v>
      </c>
      <c r="H4713" s="74">
        <f t="shared" si="147"/>
        <v>4.424167332285819</v>
      </c>
    </row>
    <row r="4714" spans="5:8" ht="15.6">
      <c r="E4714" s="279" t="s">
        <v>5040</v>
      </c>
      <c r="F4714" s="284">
        <f t="shared" ca="1" si="146"/>
        <v>0.68613072656348084</v>
      </c>
      <c r="G4714" s="74">
        <v>37.773472289764229</v>
      </c>
      <c r="H4714" s="74">
        <f t="shared" si="147"/>
        <v>2.7209280535682936</v>
      </c>
    </row>
    <row r="4715" spans="5:8" ht="15.6">
      <c r="E4715" s="279" t="s">
        <v>5041</v>
      </c>
      <c r="F4715" s="284">
        <f t="shared" ca="1" si="146"/>
        <v>0.82332840335735125</v>
      </c>
      <c r="G4715" s="74">
        <v>37.63470393790378</v>
      </c>
      <c r="H4715" s="74">
        <f t="shared" si="147"/>
        <v>2.8596964054287426</v>
      </c>
    </row>
    <row r="4716" spans="5:8" ht="15.6">
      <c r="E4716" s="279" t="s">
        <v>5042</v>
      </c>
      <c r="F4716" s="284">
        <f t="shared" ca="1" si="146"/>
        <v>0.86546697403294337</v>
      </c>
      <c r="G4716" s="74">
        <v>42.109028119549777</v>
      </c>
      <c r="H4716" s="74">
        <f t="shared" si="147"/>
        <v>-1.6146277762172545</v>
      </c>
    </row>
    <row r="4717" spans="5:8" ht="15.6">
      <c r="E4717" s="279" t="s">
        <v>5043</v>
      </c>
      <c r="F4717" s="284">
        <f t="shared" ca="1" si="146"/>
        <v>8.3414671974158972E-2</v>
      </c>
      <c r="G4717" s="74">
        <v>40.694637090408342</v>
      </c>
      <c r="H4717" s="74">
        <f t="shared" si="147"/>
        <v>-0.20023674707582018</v>
      </c>
    </row>
    <row r="4718" spans="5:8" ht="15.6">
      <c r="E4718" s="279" t="s">
        <v>5044</v>
      </c>
      <c r="F4718" s="284">
        <f t="shared" ca="1" si="146"/>
        <v>0.44905358949473528</v>
      </c>
      <c r="G4718" s="74">
        <v>39.641734226019949</v>
      </c>
      <c r="H4718" s="74">
        <f t="shared" si="147"/>
        <v>0.85266611731257314</v>
      </c>
    </row>
    <row r="4719" spans="5:8" ht="15.6">
      <c r="E4719" s="279" t="s">
        <v>5045</v>
      </c>
      <c r="F4719" s="284">
        <f t="shared" ca="1" si="146"/>
        <v>0.89795210195765551</v>
      </c>
      <c r="G4719" s="74">
        <v>35.533291047454959</v>
      </c>
      <c r="H4719" s="74">
        <f t="shared" si="147"/>
        <v>4.9611092958775629</v>
      </c>
    </row>
    <row r="4720" spans="5:8" ht="15.6">
      <c r="E4720" s="279" t="s">
        <v>5046</v>
      </c>
      <c r="F4720" s="284">
        <f t="shared" ca="1" si="146"/>
        <v>0.70114840357897446</v>
      </c>
      <c r="G4720" s="74">
        <v>37.302516150884188</v>
      </c>
      <c r="H4720" s="74">
        <f t="shared" si="147"/>
        <v>3.1918841924483345</v>
      </c>
    </row>
    <row r="4721" spans="5:8" ht="15.6">
      <c r="E4721" s="279" t="s">
        <v>5047</v>
      </c>
      <c r="F4721" s="284">
        <f t="shared" ca="1" si="146"/>
        <v>0.69020671109358556</v>
      </c>
      <c r="G4721" s="74">
        <v>38.186692810138062</v>
      </c>
      <c r="H4721" s="74">
        <f t="shared" si="147"/>
        <v>2.3077075331944599</v>
      </c>
    </row>
    <row r="4722" spans="5:8" ht="15.6">
      <c r="E4722" s="279" t="s">
        <v>5048</v>
      </c>
      <c r="F4722" s="284">
        <f t="shared" ca="1" si="146"/>
        <v>0.3368153628636753</v>
      </c>
      <c r="G4722" s="74">
        <v>43.266905678503086</v>
      </c>
      <c r="H4722" s="74">
        <f t="shared" si="147"/>
        <v>-2.772505335170564</v>
      </c>
    </row>
    <row r="4723" spans="5:8" ht="15.6">
      <c r="E4723" s="279" t="s">
        <v>5049</v>
      </c>
      <c r="F4723" s="284">
        <f t="shared" ca="1" si="146"/>
        <v>0.25114404333968821</v>
      </c>
      <c r="G4723" s="74">
        <v>42.314651190853979</v>
      </c>
      <c r="H4723" s="74">
        <f t="shared" si="147"/>
        <v>-1.8202508475214572</v>
      </c>
    </row>
    <row r="4724" spans="5:8" ht="15.6">
      <c r="E4724" s="279" t="s">
        <v>5050</v>
      </c>
      <c r="F4724" s="284">
        <f t="shared" ca="1" si="146"/>
        <v>0.17889871887762132</v>
      </c>
      <c r="G4724" s="74">
        <v>37.84666724480568</v>
      </c>
      <c r="H4724" s="74">
        <f t="shared" si="147"/>
        <v>2.6477330985268424</v>
      </c>
    </row>
    <row r="4725" spans="5:8" ht="15.6">
      <c r="E4725" s="279" t="s">
        <v>5051</v>
      </c>
      <c r="F4725" s="284">
        <f t="shared" ca="1" si="146"/>
        <v>0.8641821816912888</v>
      </c>
      <c r="G4725" s="74">
        <v>41.329049588221586</v>
      </c>
      <c r="H4725" s="74">
        <f t="shared" si="147"/>
        <v>-0.83464924488906433</v>
      </c>
    </row>
    <row r="4726" spans="5:8" ht="15.6">
      <c r="E4726" s="279" t="s">
        <v>5052</v>
      </c>
      <c r="F4726" s="284">
        <f t="shared" ca="1" si="146"/>
        <v>0.97306060646875514</v>
      </c>
      <c r="G4726" s="74">
        <v>38.555927956934177</v>
      </c>
      <c r="H4726" s="74">
        <f t="shared" si="147"/>
        <v>1.9384723863983453</v>
      </c>
    </row>
    <row r="4727" spans="5:8" ht="15.6">
      <c r="E4727" s="279" t="s">
        <v>5053</v>
      </c>
      <c r="F4727" s="284">
        <f t="shared" ca="1" si="146"/>
        <v>0.50804416075670222</v>
      </c>
      <c r="G4727" s="74">
        <v>38.513562181724154</v>
      </c>
      <c r="H4727" s="74">
        <f t="shared" si="147"/>
        <v>1.9808381616083679</v>
      </c>
    </row>
    <row r="4728" spans="5:8" ht="15.6">
      <c r="E4728" s="279" t="s">
        <v>5054</v>
      </c>
      <c r="F4728" s="284">
        <f t="shared" ca="1" si="146"/>
        <v>0.66168952955553928</v>
      </c>
      <c r="G4728" s="74">
        <v>34.611488461100521</v>
      </c>
      <c r="H4728" s="74">
        <f t="shared" si="147"/>
        <v>5.8829118822320012</v>
      </c>
    </row>
    <row r="4729" spans="5:8" ht="15.6">
      <c r="E4729" s="279" t="s">
        <v>5055</v>
      </c>
      <c r="F4729" s="284">
        <f t="shared" ca="1" si="146"/>
        <v>0.81246905334470776</v>
      </c>
      <c r="G4729" s="74">
        <v>35.989054460726436</v>
      </c>
      <c r="H4729" s="74">
        <f t="shared" si="147"/>
        <v>4.5053458826060861</v>
      </c>
    </row>
    <row r="4730" spans="5:8" ht="15.6">
      <c r="E4730" s="279" t="s">
        <v>5056</v>
      </c>
      <c r="F4730" s="284">
        <f t="shared" ca="1" si="146"/>
        <v>0.37839832192408784</v>
      </c>
      <c r="G4730" s="74">
        <v>40.466161731061348</v>
      </c>
      <c r="H4730" s="74">
        <f t="shared" si="147"/>
        <v>2.823861227117419E-2</v>
      </c>
    </row>
    <row r="4731" spans="5:8" ht="15.6">
      <c r="E4731" s="279" t="s">
        <v>5057</v>
      </c>
      <c r="F4731" s="284">
        <f t="shared" ca="1" si="146"/>
        <v>0.18132907096866357</v>
      </c>
      <c r="G4731" s="74">
        <v>39.764796026679598</v>
      </c>
      <c r="H4731" s="74">
        <f t="shared" si="147"/>
        <v>0.72960431665292447</v>
      </c>
    </row>
    <row r="4732" spans="5:8" ht="15.6">
      <c r="E4732" s="279" t="s">
        <v>5058</v>
      </c>
      <c r="F4732" s="284">
        <f t="shared" ca="1" si="146"/>
        <v>0.95873838125290467</v>
      </c>
      <c r="G4732" s="74">
        <v>41.347215079053889</v>
      </c>
      <c r="H4732" s="74">
        <f t="shared" si="147"/>
        <v>-0.8528147357213669</v>
      </c>
    </row>
    <row r="4733" spans="5:8" ht="15.6">
      <c r="E4733" s="279" t="s">
        <v>5059</v>
      </c>
      <c r="F4733" s="284">
        <f t="shared" ca="1" si="146"/>
        <v>0.78803286611220336</v>
      </c>
      <c r="G4733" s="74">
        <v>40.39175394900753</v>
      </c>
      <c r="H4733" s="74">
        <f t="shared" si="147"/>
        <v>0.10264639432499223</v>
      </c>
    </row>
    <row r="4734" spans="5:8" ht="15.6">
      <c r="E4734" s="279" t="s">
        <v>5060</v>
      </c>
      <c r="F4734" s="284">
        <f t="shared" ca="1" si="146"/>
        <v>0.69147997479545931</v>
      </c>
      <c r="G4734" s="74">
        <v>37.860708730888149</v>
      </c>
      <c r="H4734" s="74">
        <f t="shared" si="147"/>
        <v>2.6336916124443732</v>
      </c>
    </row>
    <row r="4735" spans="5:8" ht="15.6">
      <c r="E4735" s="279" t="s">
        <v>5061</v>
      </c>
      <c r="F4735" s="284">
        <f t="shared" ca="1" si="146"/>
        <v>0.77377874293108917</v>
      </c>
      <c r="G4735" s="74">
        <v>36.387888469087116</v>
      </c>
      <c r="H4735" s="74">
        <f t="shared" si="147"/>
        <v>4.1065118742454061</v>
      </c>
    </row>
    <row r="4736" spans="5:8" ht="15.6">
      <c r="E4736" s="279" t="s">
        <v>5062</v>
      </c>
      <c r="F4736" s="284">
        <f t="shared" ca="1" si="146"/>
        <v>0.81686497429732985</v>
      </c>
      <c r="G4736" s="74">
        <v>38.510022256901102</v>
      </c>
      <c r="H4736" s="74">
        <f t="shared" si="147"/>
        <v>1.9843780864314198</v>
      </c>
    </row>
    <row r="4737" spans="5:8" ht="15.6">
      <c r="E4737" s="279" t="s">
        <v>5063</v>
      </c>
      <c r="F4737" s="284">
        <f t="shared" ca="1" si="146"/>
        <v>0.15429950648392055</v>
      </c>
      <c r="G4737" s="74">
        <v>40.991443145932408</v>
      </c>
      <c r="H4737" s="74">
        <f t="shared" si="147"/>
        <v>-0.49704280259988565</v>
      </c>
    </row>
    <row r="4738" spans="5:8" ht="15.6">
      <c r="E4738" s="279" t="s">
        <v>5064</v>
      </c>
      <c r="F4738" s="284">
        <f t="shared" ca="1" si="146"/>
        <v>2.6170710800070718E-2</v>
      </c>
      <c r="G4738" s="74">
        <v>38.624958336193316</v>
      </c>
      <c r="H4738" s="74">
        <f t="shared" si="147"/>
        <v>1.8694420071392059</v>
      </c>
    </row>
    <row r="4739" spans="5:8" ht="15.6">
      <c r="E4739" s="279" t="s">
        <v>5065</v>
      </c>
      <c r="F4739" s="284">
        <f t="shared" ca="1" si="146"/>
        <v>0.28860054125195023</v>
      </c>
      <c r="G4739" s="74">
        <v>41.579372059801358</v>
      </c>
      <c r="H4739" s="74">
        <f t="shared" si="147"/>
        <v>-1.0849717164688357</v>
      </c>
    </row>
    <row r="4740" spans="5:8" ht="15.6">
      <c r="E4740" s="279" t="s">
        <v>5066</v>
      </c>
      <c r="F4740" s="284">
        <f t="shared" ca="1" si="146"/>
        <v>0.1350266000539232</v>
      </c>
      <c r="G4740" s="74">
        <v>45.356856597114401</v>
      </c>
      <c r="H4740" s="74">
        <f t="shared" si="147"/>
        <v>-4.862456253781879</v>
      </c>
    </row>
    <row r="4741" spans="5:8" ht="15.6">
      <c r="E4741" s="279" t="s">
        <v>5067</v>
      </c>
      <c r="F4741" s="284">
        <f t="shared" ca="1" si="146"/>
        <v>0.81933633037051423</v>
      </c>
      <c r="G4741" s="74">
        <v>41.531805329511364</v>
      </c>
      <c r="H4741" s="74">
        <f t="shared" si="147"/>
        <v>-1.0374049861788421</v>
      </c>
    </row>
    <row r="4742" spans="5:8" ht="15.6">
      <c r="E4742" s="279" t="s">
        <v>5068</v>
      </c>
      <c r="F4742" s="284">
        <f t="shared" ca="1" si="146"/>
        <v>0.58578049882737881</v>
      </c>
      <c r="G4742" s="74">
        <v>41.939236076798039</v>
      </c>
      <c r="H4742" s="74">
        <f t="shared" si="147"/>
        <v>-1.4448357334655171</v>
      </c>
    </row>
    <row r="4743" spans="5:8" ht="15.6">
      <c r="E4743" s="279" t="s">
        <v>5069</v>
      </c>
      <c r="F4743" s="284">
        <f t="shared" ca="1" si="146"/>
        <v>0.69631913022728842</v>
      </c>
      <c r="G4743" s="74">
        <v>40.959790955569751</v>
      </c>
      <c r="H4743" s="74">
        <f t="shared" si="147"/>
        <v>-0.46539061223722911</v>
      </c>
    </row>
    <row r="4744" spans="5:8" ht="15.6">
      <c r="E4744" s="279" t="s">
        <v>5070</v>
      </c>
      <c r="F4744" s="284">
        <f t="shared" ca="1" si="146"/>
        <v>0.42138875445370505</v>
      </c>
      <c r="G4744" s="74">
        <v>39.5075755441786</v>
      </c>
      <c r="H4744" s="74">
        <f t="shared" si="147"/>
        <v>0.98682479915392207</v>
      </c>
    </row>
    <row r="4745" spans="5:8" ht="15.6">
      <c r="E4745" s="279" t="s">
        <v>5071</v>
      </c>
      <c r="F4745" s="284">
        <f t="shared" ca="1" si="146"/>
        <v>0.52589864187822977</v>
      </c>
      <c r="G4745" s="74">
        <v>39.813950379673045</v>
      </c>
      <c r="H4745" s="74">
        <f t="shared" si="147"/>
        <v>0.68044996365947696</v>
      </c>
    </row>
    <row r="4746" spans="5:8" ht="15.6">
      <c r="E4746" s="279" t="s">
        <v>5072</v>
      </c>
      <c r="F4746" s="284">
        <f t="shared" ca="1" si="146"/>
        <v>0.57557416133809491</v>
      </c>
      <c r="G4746" s="74">
        <v>41.155846414146559</v>
      </c>
      <c r="H4746" s="74">
        <f t="shared" si="147"/>
        <v>-0.66144607081403706</v>
      </c>
    </row>
    <row r="4747" spans="5:8" ht="15.6">
      <c r="E4747" s="279" t="s">
        <v>5073</v>
      </c>
      <c r="F4747" s="284">
        <f t="shared" ca="1" si="146"/>
        <v>0.36665305704662043</v>
      </c>
      <c r="G4747" s="74">
        <v>37.549771787681308</v>
      </c>
      <c r="H4747" s="74">
        <f t="shared" si="147"/>
        <v>2.9446285556512137</v>
      </c>
    </row>
    <row r="4748" spans="5:8" ht="15.6">
      <c r="E4748" s="279" t="s">
        <v>5074</v>
      </c>
      <c r="F4748" s="284">
        <f t="shared" ref="F4748:F4811" ca="1" si="148">RAND()</f>
        <v>0.87608191163901794</v>
      </c>
      <c r="G4748" s="74">
        <v>40.49912749606171</v>
      </c>
      <c r="H4748" s="74">
        <f t="shared" ref="H4748:H4811" si="149">$D$2-G4748</f>
        <v>-4.7271527291883331E-3</v>
      </c>
    </row>
    <row r="4749" spans="5:8" ht="15.6">
      <c r="E4749" s="279" t="s">
        <v>5075</v>
      </c>
      <c r="F4749" s="284">
        <f t="shared" ca="1" si="148"/>
        <v>0.74623288226033224</v>
      </c>
      <c r="G4749" s="74">
        <v>43.119865462438284</v>
      </c>
      <c r="H4749" s="74">
        <f t="shared" si="149"/>
        <v>-2.6254651191057619</v>
      </c>
    </row>
    <row r="4750" spans="5:8" ht="15.6">
      <c r="E4750" s="279" t="s">
        <v>5076</v>
      </c>
      <c r="F4750" s="284">
        <f t="shared" ca="1" si="148"/>
        <v>0.1754737893517343</v>
      </c>
      <c r="G4750" s="74">
        <v>38.805018639746415</v>
      </c>
      <c r="H4750" s="74">
        <f t="shared" si="149"/>
        <v>1.6893817035861076</v>
      </c>
    </row>
    <row r="4751" spans="5:8" ht="15.6">
      <c r="E4751" s="279" t="s">
        <v>5077</v>
      </c>
      <c r="F4751" s="284">
        <f t="shared" ca="1" si="148"/>
        <v>0.82069805935295848</v>
      </c>
      <c r="G4751" s="74">
        <v>39.548684960557075</v>
      </c>
      <c r="H4751" s="74">
        <f t="shared" si="149"/>
        <v>0.94571538277544676</v>
      </c>
    </row>
    <row r="4752" spans="5:8" ht="15.6">
      <c r="E4752" s="279" t="s">
        <v>5078</v>
      </c>
      <c r="F4752" s="284">
        <f t="shared" ca="1" si="148"/>
        <v>0.26323289854117848</v>
      </c>
      <c r="G4752" s="74">
        <v>40.058375141241306</v>
      </c>
      <c r="H4752" s="74">
        <f t="shared" si="149"/>
        <v>0.43602520209121565</v>
      </c>
    </row>
    <row r="4753" spans="5:8" ht="15.6">
      <c r="E4753" s="279" t="s">
        <v>5079</v>
      </c>
      <c r="F4753" s="284">
        <f t="shared" ca="1" si="148"/>
        <v>0.29388116846230838</v>
      </c>
      <c r="G4753" s="74">
        <v>37.077061771153836</v>
      </c>
      <c r="H4753" s="74">
        <f t="shared" si="149"/>
        <v>3.4173385721786858</v>
      </c>
    </row>
    <row r="4754" spans="5:8" ht="15.6">
      <c r="E4754" s="279" t="s">
        <v>5080</v>
      </c>
      <c r="F4754" s="284">
        <f t="shared" ca="1" si="148"/>
        <v>0.43170135921848918</v>
      </c>
      <c r="G4754" s="74">
        <v>40.181806976131845</v>
      </c>
      <c r="H4754" s="74">
        <f t="shared" si="149"/>
        <v>0.31259336720067665</v>
      </c>
    </row>
    <row r="4755" spans="5:8" ht="15.6">
      <c r="E4755" s="279" t="s">
        <v>5081</v>
      </c>
      <c r="F4755" s="284">
        <f t="shared" ca="1" si="148"/>
        <v>0.21861510467234557</v>
      </c>
      <c r="G4755" s="74">
        <v>38.064655464083891</v>
      </c>
      <c r="H4755" s="74">
        <f t="shared" si="149"/>
        <v>2.4297448792486307</v>
      </c>
    </row>
    <row r="4756" spans="5:8" ht="15.6">
      <c r="E4756" s="279" t="s">
        <v>5082</v>
      </c>
      <c r="F4756" s="284">
        <f t="shared" ca="1" si="148"/>
        <v>7.2552953270811349E-2</v>
      </c>
      <c r="G4756" s="74">
        <v>35.352412380208797</v>
      </c>
      <c r="H4756" s="74">
        <f t="shared" si="149"/>
        <v>5.1419879631237251</v>
      </c>
    </row>
    <row r="4757" spans="5:8" ht="15.6">
      <c r="E4757" s="279" t="s">
        <v>5083</v>
      </c>
      <c r="F4757" s="284">
        <f t="shared" ca="1" si="148"/>
        <v>0.83748913086681298</v>
      </c>
      <c r="G4757" s="74">
        <v>39.207562514790325</v>
      </c>
      <c r="H4757" s="74">
        <f t="shared" si="149"/>
        <v>1.2868378285421969</v>
      </c>
    </row>
    <row r="4758" spans="5:8" ht="15.6">
      <c r="E4758" s="279" t="s">
        <v>5084</v>
      </c>
      <c r="F4758" s="284">
        <f t="shared" ca="1" si="148"/>
        <v>0.97471859132781746</v>
      </c>
      <c r="G4758" s="74">
        <v>39.197855845397484</v>
      </c>
      <c r="H4758" s="74">
        <f t="shared" si="149"/>
        <v>1.296544497935038</v>
      </c>
    </row>
    <row r="4759" spans="5:8" ht="15.6">
      <c r="E4759" s="279" t="s">
        <v>5085</v>
      </c>
      <c r="F4759" s="284">
        <f t="shared" ca="1" si="148"/>
        <v>0.48702524357093313</v>
      </c>
      <c r="G4759" s="74">
        <v>36.381505526781467</v>
      </c>
      <c r="H4759" s="74">
        <f t="shared" si="149"/>
        <v>4.112894816551055</v>
      </c>
    </row>
    <row r="4760" spans="5:8" ht="15.6">
      <c r="E4760" s="279" t="s">
        <v>5086</v>
      </c>
      <c r="F4760" s="284">
        <f t="shared" ca="1" si="148"/>
        <v>5.6928757517112683E-2</v>
      </c>
      <c r="G4760" s="74">
        <v>38.95109680765416</v>
      </c>
      <c r="H4760" s="74">
        <f t="shared" si="149"/>
        <v>1.543303535678362</v>
      </c>
    </row>
    <row r="4761" spans="5:8" ht="15.6">
      <c r="E4761" s="279" t="s">
        <v>5087</v>
      </c>
      <c r="F4761" s="284">
        <f t="shared" ca="1" si="148"/>
        <v>0.56282391810099619</v>
      </c>
      <c r="G4761" s="74">
        <v>39.33527708417995</v>
      </c>
      <c r="H4761" s="74">
        <f t="shared" si="149"/>
        <v>1.1591232591525724</v>
      </c>
    </row>
    <row r="4762" spans="5:8" ht="15.6">
      <c r="E4762" s="279" t="s">
        <v>5088</v>
      </c>
      <c r="F4762" s="284">
        <f t="shared" ca="1" si="148"/>
        <v>0.3589079132186308</v>
      </c>
      <c r="G4762" s="74">
        <v>33.752270317396501</v>
      </c>
      <c r="H4762" s="74">
        <f t="shared" si="149"/>
        <v>6.7421300259360208</v>
      </c>
    </row>
    <row r="4763" spans="5:8" ht="15.6">
      <c r="E4763" s="279" t="s">
        <v>5089</v>
      </c>
      <c r="F4763" s="284">
        <f t="shared" ca="1" si="148"/>
        <v>0.89900630630209166</v>
      </c>
      <c r="G4763" s="74">
        <v>39.557851256586467</v>
      </c>
      <c r="H4763" s="74">
        <f t="shared" si="149"/>
        <v>0.93654908674605508</v>
      </c>
    </row>
    <row r="4764" spans="5:8" ht="15.6">
      <c r="E4764" s="279" t="s">
        <v>5090</v>
      </c>
      <c r="F4764" s="284">
        <f t="shared" ca="1" si="148"/>
        <v>0.4961637693236266</v>
      </c>
      <c r="G4764" s="74">
        <v>40.962907820734365</v>
      </c>
      <c r="H4764" s="74">
        <f t="shared" si="149"/>
        <v>-0.46850747740184318</v>
      </c>
    </row>
    <row r="4765" spans="5:8" ht="15.6">
      <c r="E4765" s="279" t="s">
        <v>5091</v>
      </c>
      <c r="F4765" s="284">
        <f t="shared" ca="1" si="148"/>
        <v>0.91178115783890146</v>
      </c>
      <c r="G4765" s="74">
        <v>38.398523486199458</v>
      </c>
      <c r="H4765" s="74">
        <f t="shared" si="149"/>
        <v>2.0958768571330637</v>
      </c>
    </row>
    <row r="4766" spans="5:8" ht="15.6">
      <c r="E4766" s="279" t="s">
        <v>5092</v>
      </c>
      <c r="F4766" s="284">
        <f t="shared" ca="1" si="148"/>
        <v>0.68415500982668109</v>
      </c>
      <c r="G4766" s="74">
        <v>39.526629181372918</v>
      </c>
      <c r="H4766" s="74">
        <f t="shared" si="149"/>
        <v>0.96777116195960389</v>
      </c>
    </row>
    <row r="4767" spans="5:8" ht="15.6">
      <c r="E4767" s="279" t="s">
        <v>5093</v>
      </c>
      <c r="F4767" s="284">
        <f t="shared" ca="1" si="148"/>
        <v>0.8663779415420847</v>
      </c>
      <c r="G4767" s="74">
        <v>41.041763072550289</v>
      </c>
      <c r="H4767" s="74">
        <f t="shared" si="149"/>
        <v>-0.54736272921776674</v>
      </c>
    </row>
    <row r="4768" spans="5:8" ht="15.6">
      <c r="E4768" s="279" t="s">
        <v>5094</v>
      </c>
      <c r="F4768" s="284">
        <f t="shared" ca="1" si="148"/>
        <v>0.76507348823128851</v>
      </c>
      <c r="G4768" s="74">
        <v>42.942875258865314</v>
      </c>
      <c r="H4768" s="74">
        <f t="shared" si="149"/>
        <v>-2.4484749155327918</v>
      </c>
    </row>
    <row r="4769" spans="5:8" ht="15.6">
      <c r="E4769" s="279" t="s">
        <v>5095</v>
      </c>
      <c r="F4769" s="284">
        <f t="shared" ca="1" si="148"/>
        <v>0.72836979945452107</v>
      </c>
      <c r="G4769" s="74">
        <v>41.296904455960444</v>
      </c>
      <c r="H4769" s="74">
        <f t="shared" si="149"/>
        <v>-0.80250411262792198</v>
      </c>
    </row>
    <row r="4770" spans="5:8" ht="15.6">
      <c r="E4770" s="279" t="s">
        <v>5096</v>
      </c>
      <c r="F4770" s="284">
        <f t="shared" ca="1" si="148"/>
        <v>0.70667851745381061</v>
      </c>
      <c r="G4770" s="74">
        <v>38.073328526656965</v>
      </c>
      <c r="H4770" s="74">
        <f t="shared" si="149"/>
        <v>2.4210718166755569</v>
      </c>
    </row>
    <row r="4771" spans="5:8" ht="15.6">
      <c r="E4771" s="279" t="s">
        <v>5097</v>
      </c>
      <c r="F4771" s="284">
        <f t="shared" ca="1" si="148"/>
        <v>0.92373538029482349</v>
      </c>
      <c r="G4771" s="74">
        <v>40.603348450168625</v>
      </c>
      <c r="H4771" s="74">
        <f t="shared" si="149"/>
        <v>-0.10894810683610245</v>
      </c>
    </row>
    <row r="4772" spans="5:8" ht="15.6">
      <c r="E4772" s="279" t="s">
        <v>5098</v>
      </c>
      <c r="F4772" s="284">
        <f t="shared" ca="1" si="148"/>
        <v>0.72039515446198865</v>
      </c>
      <c r="G4772" s="74">
        <v>35.739184269188982</v>
      </c>
      <c r="H4772" s="74">
        <f t="shared" si="149"/>
        <v>4.7552160741435401</v>
      </c>
    </row>
    <row r="4773" spans="5:8" ht="15.6">
      <c r="E4773" s="279" t="s">
        <v>5099</v>
      </c>
      <c r="F4773" s="284">
        <f t="shared" ca="1" si="148"/>
        <v>0.94196445482755742</v>
      </c>
      <c r="G4773" s="74">
        <v>45.833065194889897</v>
      </c>
      <c r="H4773" s="74">
        <f t="shared" si="149"/>
        <v>-5.3386648515573754</v>
      </c>
    </row>
    <row r="4774" spans="5:8" ht="15.6">
      <c r="E4774" s="279" t="s">
        <v>5100</v>
      </c>
      <c r="F4774" s="284">
        <f t="shared" ca="1" si="148"/>
        <v>0.63900698218893726</v>
      </c>
      <c r="G4774" s="74">
        <v>41.382628003775011</v>
      </c>
      <c r="H4774" s="74">
        <f t="shared" si="149"/>
        <v>-0.8882276604424888</v>
      </c>
    </row>
    <row r="4775" spans="5:8" ht="15.6">
      <c r="E4775" s="279" t="s">
        <v>5101</v>
      </c>
      <c r="F4775" s="284">
        <f t="shared" ca="1" si="148"/>
        <v>0.34698180960436709</v>
      </c>
      <c r="G4775" s="74">
        <v>38.284195863150117</v>
      </c>
      <c r="H4775" s="74">
        <f t="shared" si="149"/>
        <v>2.210204480182405</v>
      </c>
    </row>
    <row r="4776" spans="5:8" ht="15.6">
      <c r="E4776" s="279" t="s">
        <v>5102</v>
      </c>
      <c r="F4776" s="284">
        <f t="shared" ca="1" si="148"/>
        <v>0.85135344451856598</v>
      </c>
      <c r="G4776" s="74">
        <v>36.026464765739213</v>
      </c>
      <c r="H4776" s="74">
        <f t="shared" si="149"/>
        <v>4.4679355775933089</v>
      </c>
    </row>
    <row r="4777" spans="5:8" ht="15.6">
      <c r="E4777" s="279" t="s">
        <v>5103</v>
      </c>
      <c r="F4777" s="284">
        <f t="shared" ca="1" si="148"/>
        <v>0.74020501357239721</v>
      </c>
      <c r="G4777" s="74">
        <v>42.823577595396408</v>
      </c>
      <c r="H4777" s="74">
        <f t="shared" si="149"/>
        <v>-2.3291772520638858</v>
      </c>
    </row>
    <row r="4778" spans="5:8" ht="15.6">
      <c r="E4778" s="279" t="s">
        <v>5104</v>
      </c>
      <c r="F4778" s="284">
        <f t="shared" ca="1" si="148"/>
        <v>0.67584295104042857</v>
      </c>
      <c r="G4778" s="74">
        <v>42.723987773619271</v>
      </c>
      <c r="H4778" s="74">
        <f t="shared" si="149"/>
        <v>-2.2295874302867489</v>
      </c>
    </row>
    <row r="4779" spans="5:8" ht="15.6">
      <c r="E4779" s="279" t="s">
        <v>5105</v>
      </c>
      <c r="F4779" s="284">
        <f t="shared" ca="1" si="148"/>
        <v>0.2728690221468234</v>
      </c>
      <c r="G4779" s="74">
        <v>44.694557548463479</v>
      </c>
      <c r="H4779" s="74">
        <f t="shared" si="149"/>
        <v>-4.2001572051309566</v>
      </c>
    </row>
    <row r="4780" spans="5:8" ht="15.6">
      <c r="E4780" s="279" t="s">
        <v>5106</v>
      </c>
      <c r="F4780" s="284">
        <f t="shared" ca="1" si="148"/>
        <v>4.6081879110420054E-3</v>
      </c>
      <c r="G4780" s="74">
        <v>39.209009524743486</v>
      </c>
      <c r="H4780" s="74">
        <f t="shared" si="149"/>
        <v>1.2853908185890361</v>
      </c>
    </row>
    <row r="4781" spans="5:8" ht="15.6">
      <c r="E4781" s="279" t="s">
        <v>5107</v>
      </c>
      <c r="F4781" s="284">
        <f t="shared" ca="1" si="148"/>
        <v>0.32764349373217749</v>
      </c>
      <c r="G4781" s="74">
        <v>35.558122650367757</v>
      </c>
      <c r="H4781" s="74">
        <f t="shared" si="149"/>
        <v>4.9362776929647652</v>
      </c>
    </row>
    <row r="4782" spans="5:8" ht="15.6">
      <c r="E4782" s="279" t="s">
        <v>5108</v>
      </c>
      <c r="F4782" s="284">
        <f t="shared" ca="1" si="148"/>
        <v>0.80895497751668111</v>
      </c>
      <c r="G4782" s="74">
        <v>45.597305378569153</v>
      </c>
      <c r="H4782" s="74">
        <f t="shared" si="149"/>
        <v>-5.1029050352366312</v>
      </c>
    </row>
    <row r="4783" spans="5:8" ht="15.6">
      <c r="E4783" s="279" t="s">
        <v>5109</v>
      </c>
      <c r="F4783" s="284">
        <f t="shared" ca="1" si="148"/>
        <v>0.95252245994109142</v>
      </c>
      <c r="G4783" s="74">
        <v>38.178018271986055</v>
      </c>
      <c r="H4783" s="74">
        <f t="shared" si="149"/>
        <v>2.3163820713464673</v>
      </c>
    </row>
    <row r="4784" spans="5:8" ht="15.6">
      <c r="E4784" s="279" t="s">
        <v>5110</v>
      </c>
      <c r="F4784" s="284">
        <f t="shared" ca="1" si="148"/>
        <v>0.6878311061663297</v>
      </c>
      <c r="G4784" s="74">
        <v>36.35047743143145</v>
      </c>
      <c r="H4784" s="74">
        <f t="shared" si="149"/>
        <v>4.1439229119010719</v>
      </c>
    </row>
    <row r="4785" spans="5:8" ht="15.6">
      <c r="E4785" s="279" t="s">
        <v>5111</v>
      </c>
      <c r="F4785" s="284">
        <f t="shared" ca="1" si="148"/>
        <v>0.12393662291828378</v>
      </c>
      <c r="G4785" s="74">
        <v>42.310635437954701</v>
      </c>
      <c r="H4785" s="74">
        <f t="shared" si="149"/>
        <v>-1.8162350946221792</v>
      </c>
    </row>
    <row r="4786" spans="5:8" ht="15.6">
      <c r="E4786" s="279" t="s">
        <v>5112</v>
      </c>
      <c r="F4786" s="284">
        <f t="shared" ca="1" si="148"/>
        <v>0.19968552276225171</v>
      </c>
      <c r="G4786" s="74">
        <v>40.360735985753671</v>
      </c>
      <c r="H4786" s="74">
        <f t="shared" si="149"/>
        <v>0.13366435757885142</v>
      </c>
    </row>
    <row r="4787" spans="5:8" ht="15.6">
      <c r="E4787" s="279" t="s">
        <v>5113</v>
      </c>
      <c r="F4787" s="284">
        <f t="shared" ca="1" si="148"/>
        <v>0.89237618313833023</v>
      </c>
      <c r="G4787" s="74">
        <v>37.263543851116403</v>
      </c>
      <c r="H4787" s="74">
        <f t="shared" si="149"/>
        <v>3.2308564922161196</v>
      </c>
    </row>
    <row r="4788" spans="5:8" ht="15.6">
      <c r="E4788" s="279" t="s">
        <v>5114</v>
      </c>
      <c r="F4788" s="284">
        <f t="shared" ca="1" si="148"/>
        <v>0.87925360866132685</v>
      </c>
      <c r="G4788" s="74">
        <v>38.77163961434924</v>
      </c>
      <c r="H4788" s="74">
        <f t="shared" si="149"/>
        <v>1.7227607289832818</v>
      </c>
    </row>
    <row r="4789" spans="5:8" ht="15.6">
      <c r="E4789" s="279" t="s">
        <v>5115</v>
      </c>
      <c r="F4789" s="284">
        <f t="shared" ca="1" si="148"/>
        <v>0.19263296365457372</v>
      </c>
      <c r="G4789" s="74">
        <v>41.478478008317175</v>
      </c>
      <c r="H4789" s="74">
        <f t="shared" si="149"/>
        <v>-0.98407766498465321</v>
      </c>
    </row>
    <row r="4790" spans="5:8" ht="15.6">
      <c r="E4790" s="279" t="s">
        <v>5116</v>
      </c>
      <c r="F4790" s="284">
        <f t="shared" ca="1" si="148"/>
        <v>0.53277888472368928</v>
      </c>
      <c r="G4790" s="74">
        <v>40.783853155675523</v>
      </c>
      <c r="H4790" s="74">
        <f t="shared" si="149"/>
        <v>-0.28945281234300069</v>
      </c>
    </row>
    <row r="4791" spans="5:8" ht="15.6">
      <c r="E4791" s="279" t="s">
        <v>5117</v>
      </c>
      <c r="F4791" s="284">
        <f t="shared" ca="1" si="148"/>
        <v>0.27092241757371094</v>
      </c>
      <c r="G4791" s="74">
        <v>39.613707887241468</v>
      </c>
      <c r="H4791" s="74">
        <f t="shared" si="149"/>
        <v>0.88069245609105451</v>
      </c>
    </row>
    <row r="4792" spans="5:8" ht="15.6">
      <c r="E4792" s="279" t="s">
        <v>5118</v>
      </c>
      <c r="F4792" s="284">
        <f t="shared" ca="1" si="148"/>
        <v>0.86762136191986772</v>
      </c>
      <c r="G4792" s="74">
        <v>37.836964847520051</v>
      </c>
      <c r="H4792" s="74">
        <f t="shared" si="149"/>
        <v>2.6574354958124715</v>
      </c>
    </row>
    <row r="4793" spans="5:8" ht="15.6">
      <c r="E4793" s="279" t="s">
        <v>5119</v>
      </c>
      <c r="F4793" s="284">
        <f t="shared" ca="1" si="148"/>
        <v>0.38131327321374142</v>
      </c>
      <c r="G4793" s="74">
        <v>30.922188968140905</v>
      </c>
      <c r="H4793" s="74">
        <f t="shared" si="149"/>
        <v>9.5722113751916176</v>
      </c>
    </row>
    <row r="4794" spans="5:8" ht="15.6">
      <c r="E4794" s="279" t="s">
        <v>5120</v>
      </c>
      <c r="F4794" s="284">
        <f t="shared" ca="1" si="148"/>
        <v>0.53878774903603477</v>
      </c>
      <c r="G4794" s="74">
        <v>37.5439482008806</v>
      </c>
      <c r="H4794" s="74">
        <f t="shared" si="149"/>
        <v>2.9504521424519226</v>
      </c>
    </row>
    <row r="4795" spans="5:8" ht="15.6">
      <c r="E4795" s="279" t="s">
        <v>5121</v>
      </c>
      <c r="F4795" s="284">
        <f t="shared" ca="1" si="148"/>
        <v>0.45076202830372614</v>
      </c>
      <c r="G4795" s="74">
        <v>40.367200733375881</v>
      </c>
      <c r="H4795" s="74">
        <f t="shared" si="149"/>
        <v>0.12719960995664081</v>
      </c>
    </row>
    <row r="4796" spans="5:8" ht="15.6">
      <c r="E4796" s="279" t="s">
        <v>5122</v>
      </c>
      <c r="F4796" s="284">
        <f t="shared" ca="1" si="148"/>
        <v>0.56208721412562301</v>
      </c>
      <c r="G4796" s="74">
        <v>33.847077541958534</v>
      </c>
      <c r="H4796" s="74">
        <f t="shared" si="149"/>
        <v>6.6473228013739885</v>
      </c>
    </row>
    <row r="4797" spans="5:8" ht="15.6">
      <c r="E4797" s="279" t="s">
        <v>5123</v>
      </c>
      <c r="F4797" s="284">
        <f t="shared" ca="1" si="148"/>
        <v>0.39819440658373584</v>
      </c>
      <c r="G4797" s="74">
        <v>43.118861141337391</v>
      </c>
      <c r="H4797" s="74">
        <f t="shared" si="149"/>
        <v>-2.6244607980048684</v>
      </c>
    </row>
    <row r="4798" spans="5:8" ht="15.6">
      <c r="E4798" s="279" t="s">
        <v>5124</v>
      </c>
      <c r="F4798" s="284">
        <f t="shared" ca="1" si="148"/>
        <v>0.82918836364350212</v>
      </c>
      <c r="G4798" s="74">
        <v>36.975680208904073</v>
      </c>
      <c r="H4798" s="74">
        <f t="shared" si="149"/>
        <v>3.5187201344284489</v>
      </c>
    </row>
    <row r="4799" spans="5:8" ht="15.6">
      <c r="E4799" s="279" t="s">
        <v>5125</v>
      </c>
      <c r="F4799" s="284">
        <f t="shared" ca="1" si="148"/>
        <v>0.79584219586427674</v>
      </c>
      <c r="G4799" s="74">
        <v>35.12770225034685</v>
      </c>
      <c r="H4799" s="74">
        <f t="shared" si="149"/>
        <v>5.366698092985672</v>
      </c>
    </row>
    <row r="4800" spans="5:8" ht="15.6">
      <c r="E4800" s="279" t="s">
        <v>5126</v>
      </c>
      <c r="F4800" s="284">
        <f t="shared" ca="1" si="148"/>
        <v>0.83421135811478819</v>
      </c>
      <c r="G4800" s="74">
        <v>39.505661466720561</v>
      </c>
      <c r="H4800" s="74">
        <f t="shared" si="149"/>
        <v>0.98873887661196136</v>
      </c>
    </row>
    <row r="4801" spans="5:8" ht="15.6">
      <c r="E4801" s="279" t="s">
        <v>5127</v>
      </c>
      <c r="F4801" s="284">
        <f t="shared" ca="1" si="148"/>
        <v>0.3506959532729399</v>
      </c>
      <c r="G4801" s="74">
        <v>44.19938386127064</v>
      </c>
      <c r="H4801" s="74">
        <f t="shared" si="149"/>
        <v>-3.7049835179381176</v>
      </c>
    </row>
    <row r="4802" spans="5:8" ht="15.6">
      <c r="E4802" s="279" t="s">
        <v>5128</v>
      </c>
      <c r="F4802" s="284">
        <f t="shared" ca="1" si="148"/>
        <v>0.56191982289190689</v>
      </c>
      <c r="G4802" s="74">
        <v>43.575052715636595</v>
      </c>
      <c r="H4802" s="74">
        <f t="shared" si="149"/>
        <v>-3.0806523723040726</v>
      </c>
    </row>
    <row r="4803" spans="5:8" ht="15.6">
      <c r="E4803" s="279" t="s">
        <v>5129</v>
      </c>
      <c r="F4803" s="284">
        <f t="shared" ca="1" si="148"/>
        <v>0.29439695300772395</v>
      </c>
      <c r="G4803" s="74">
        <v>38.83487725948023</v>
      </c>
      <c r="H4803" s="74">
        <f t="shared" si="149"/>
        <v>1.6595230838522923</v>
      </c>
    </row>
    <row r="4804" spans="5:8" ht="15.6">
      <c r="E4804" s="279" t="s">
        <v>5130</v>
      </c>
      <c r="F4804" s="284">
        <f t="shared" ca="1" si="148"/>
        <v>0.99117085776547431</v>
      </c>
      <c r="G4804" s="74">
        <v>41.03704923769051</v>
      </c>
      <c r="H4804" s="74">
        <f t="shared" si="149"/>
        <v>-0.54264889435798835</v>
      </c>
    </row>
    <row r="4805" spans="5:8" ht="15.6">
      <c r="E4805" s="279" t="s">
        <v>5131</v>
      </c>
      <c r="F4805" s="284">
        <f t="shared" ca="1" si="148"/>
        <v>0.72789432406843824</v>
      </c>
      <c r="G4805" s="74">
        <v>38.533190723529174</v>
      </c>
      <c r="H4805" s="74">
        <f t="shared" si="149"/>
        <v>1.9612096198033484</v>
      </c>
    </row>
    <row r="4806" spans="5:8" ht="15.6">
      <c r="E4806" s="279" t="s">
        <v>5132</v>
      </c>
      <c r="F4806" s="284">
        <f t="shared" ca="1" si="148"/>
        <v>0.35310807614089912</v>
      </c>
      <c r="G4806" s="74">
        <v>41.325690832920252</v>
      </c>
      <c r="H4806" s="74">
        <f t="shared" si="149"/>
        <v>-0.83129048958772955</v>
      </c>
    </row>
    <row r="4807" spans="5:8" ht="15.6">
      <c r="E4807" s="279" t="s">
        <v>5133</v>
      </c>
      <c r="F4807" s="284">
        <f t="shared" ca="1" si="148"/>
        <v>0.15373815749124309</v>
      </c>
      <c r="G4807" s="74">
        <v>38.698949730818605</v>
      </c>
      <c r="H4807" s="74">
        <f t="shared" si="149"/>
        <v>1.7954506125139176</v>
      </c>
    </row>
    <row r="4808" spans="5:8" ht="15.6">
      <c r="E4808" s="279" t="s">
        <v>5134</v>
      </c>
      <c r="F4808" s="284">
        <f t="shared" ca="1" si="148"/>
        <v>0.70059298229255085</v>
      </c>
      <c r="G4808" s="74">
        <v>41.250433299154885</v>
      </c>
      <c r="H4808" s="74">
        <f t="shared" si="149"/>
        <v>-0.75603295582236285</v>
      </c>
    </row>
    <row r="4809" spans="5:8" ht="15.6">
      <c r="E4809" s="279" t="s">
        <v>5135</v>
      </c>
      <c r="F4809" s="284">
        <f t="shared" ca="1" si="148"/>
        <v>0.68215432258713193</v>
      </c>
      <c r="G4809" s="74">
        <v>40.30061310244259</v>
      </c>
      <c r="H4809" s="74">
        <f t="shared" si="149"/>
        <v>0.19378724088993238</v>
      </c>
    </row>
    <row r="4810" spans="5:8" ht="15.6">
      <c r="E4810" s="279" t="s">
        <v>5136</v>
      </c>
      <c r="F4810" s="284">
        <f t="shared" ca="1" si="148"/>
        <v>0.69910110803387471</v>
      </c>
      <c r="G4810" s="74">
        <v>39.178897446893927</v>
      </c>
      <c r="H4810" s="74">
        <f t="shared" si="149"/>
        <v>1.3155028964385949</v>
      </c>
    </row>
    <row r="4811" spans="5:8" ht="15.6">
      <c r="E4811" s="279" t="s">
        <v>5137</v>
      </c>
      <c r="F4811" s="284">
        <f t="shared" ca="1" si="148"/>
        <v>0.90094522616149286</v>
      </c>
      <c r="G4811" s="74">
        <v>35.141856860592142</v>
      </c>
      <c r="H4811" s="74">
        <f t="shared" si="149"/>
        <v>5.3525434827403799</v>
      </c>
    </row>
    <row r="4812" spans="5:8" ht="15.6">
      <c r="E4812" s="279" t="s">
        <v>5138</v>
      </c>
      <c r="F4812" s="284">
        <f t="shared" ref="F4812:F4875" ca="1" si="150">RAND()</f>
        <v>0.3789381169523458</v>
      </c>
      <c r="G4812" s="74">
        <v>46.169191647475401</v>
      </c>
      <c r="H4812" s="74">
        <f t="shared" ref="H4812:H4875" si="151">$D$2-G4812</f>
        <v>-5.6747913041428788</v>
      </c>
    </row>
    <row r="4813" spans="5:8" ht="15.6">
      <c r="E4813" s="279" t="s">
        <v>5139</v>
      </c>
      <c r="F4813" s="284">
        <f t="shared" ca="1" si="150"/>
        <v>0.90237184020409544</v>
      </c>
      <c r="G4813" s="74">
        <v>37.189400076449296</v>
      </c>
      <c r="H4813" s="74">
        <f t="shared" si="151"/>
        <v>3.3050002668832263</v>
      </c>
    </row>
    <row r="4814" spans="5:8" ht="15.6">
      <c r="E4814" s="279" t="s">
        <v>5140</v>
      </c>
      <c r="F4814" s="284">
        <f t="shared" ca="1" si="150"/>
        <v>0.72589165044270343</v>
      </c>
      <c r="G4814" s="74">
        <v>39.746944080391501</v>
      </c>
      <c r="H4814" s="74">
        <f t="shared" si="151"/>
        <v>0.74745626294102152</v>
      </c>
    </row>
    <row r="4815" spans="5:8" ht="15.6">
      <c r="E4815" s="279" t="s">
        <v>5141</v>
      </c>
      <c r="F4815" s="284">
        <f t="shared" ca="1" si="150"/>
        <v>0.45680952220798776</v>
      </c>
      <c r="G4815" s="74">
        <v>39.51874927940051</v>
      </c>
      <c r="H4815" s="74">
        <f t="shared" si="151"/>
        <v>0.97565106393201262</v>
      </c>
    </row>
    <row r="4816" spans="5:8" ht="15.6">
      <c r="E4816" s="279" t="s">
        <v>5142</v>
      </c>
      <c r="F4816" s="284">
        <f t="shared" ca="1" si="150"/>
        <v>0.40438304538583547</v>
      </c>
      <c r="G4816" s="74">
        <v>40.391549590398299</v>
      </c>
      <c r="H4816" s="74">
        <f t="shared" si="151"/>
        <v>0.10285075293422352</v>
      </c>
    </row>
    <row r="4817" spans="5:8" ht="15.6">
      <c r="E4817" s="279" t="s">
        <v>5143</v>
      </c>
      <c r="F4817" s="284">
        <f t="shared" ca="1" si="150"/>
        <v>0.74193110625913283</v>
      </c>
      <c r="G4817" s="74">
        <v>35.993069379916918</v>
      </c>
      <c r="H4817" s="74">
        <f t="shared" si="151"/>
        <v>4.5013309634156045</v>
      </c>
    </row>
    <row r="4818" spans="5:8" ht="15.6">
      <c r="E4818" s="279" t="s">
        <v>5144</v>
      </c>
      <c r="F4818" s="284">
        <f t="shared" ca="1" si="150"/>
        <v>0.23374576088995958</v>
      </c>
      <c r="G4818" s="74">
        <v>39.780948787820783</v>
      </c>
      <c r="H4818" s="74">
        <f t="shared" si="151"/>
        <v>0.71345155551173889</v>
      </c>
    </row>
    <row r="4819" spans="5:8" ht="15.6">
      <c r="E4819" s="279" t="s">
        <v>5145</v>
      </c>
      <c r="F4819" s="284">
        <f t="shared" ca="1" si="150"/>
        <v>0.53008651239965288</v>
      </c>
      <c r="G4819" s="74">
        <v>35.15369640710184</v>
      </c>
      <c r="H4819" s="74">
        <f t="shared" si="151"/>
        <v>5.3407039362306818</v>
      </c>
    </row>
    <row r="4820" spans="5:8" ht="15.6">
      <c r="E4820" s="279" t="s">
        <v>5146</v>
      </c>
      <c r="F4820" s="284">
        <f t="shared" ca="1" si="150"/>
        <v>0.73144291610165657</v>
      </c>
      <c r="G4820" s="74">
        <v>33.77930618993399</v>
      </c>
      <c r="H4820" s="74">
        <f t="shared" si="151"/>
        <v>6.7150941533985318</v>
      </c>
    </row>
    <row r="4821" spans="5:8" ht="15.6">
      <c r="E4821" s="279" t="s">
        <v>5147</v>
      </c>
      <c r="F4821" s="284">
        <f t="shared" ca="1" si="150"/>
        <v>0.39263189712531721</v>
      </c>
      <c r="G4821" s="74">
        <v>35.06020489204564</v>
      </c>
      <c r="H4821" s="74">
        <f t="shared" si="151"/>
        <v>5.4341954512868824</v>
      </c>
    </row>
    <row r="4822" spans="5:8" ht="15.6">
      <c r="E4822" s="279" t="s">
        <v>5148</v>
      </c>
      <c r="F4822" s="284">
        <f t="shared" ca="1" si="150"/>
        <v>0.51410744143755682</v>
      </c>
      <c r="G4822" s="74">
        <v>42.541383691098147</v>
      </c>
      <c r="H4822" s="74">
        <f t="shared" si="151"/>
        <v>-2.0469833477656252</v>
      </c>
    </row>
    <row r="4823" spans="5:8" ht="15.6">
      <c r="E4823" s="279" t="s">
        <v>5149</v>
      </c>
      <c r="F4823" s="284">
        <f t="shared" ca="1" si="150"/>
        <v>0.26137275619788469</v>
      </c>
      <c r="G4823" s="74">
        <v>37.658288694001698</v>
      </c>
      <c r="H4823" s="74">
        <f t="shared" si="151"/>
        <v>2.8361116493308245</v>
      </c>
    </row>
    <row r="4824" spans="5:8" ht="15.6">
      <c r="E4824" s="279" t="s">
        <v>5150</v>
      </c>
      <c r="F4824" s="284">
        <f t="shared" ca="1" si="150"/>
        <v>0.84368824615565319</v>
      </c>
      <c r="G4824" s="74">
        <v>37.64732183836545</v>
      </c>
      <c r="H4824" s="74">
        <f t="shared" si="151"/>
        <v>2.8470785049670724</v>
      </c>
    </row>
    <row r="4825" spans="5:8" ht="15.6">
      <c r="E4825" s="279" t="s">
        <v>5151</v>
      </c>
      <c r="F4825" s="284">
        <f t="shared" ca="1" si="150"/>
        <v>0.29647401860754929</v>
      </c>
      <c r="G4825" s="74">
        <v>37.746063091267089</v>
      </c>
      <c r="H4825" s="74">
        <f t="shared" si="151"/>
        <v>2.7483372520654328</v>
      </c>
    </row>
    <row r="4826" spans="5:8" ht="15.6">
      <c r="E4826" s="279" t="s">
        <v>5152</v>
      </c>
      <c r="F4826" s="284">
        <f t="shared" ca="1" si="150"/>
        <v>0.69728442115290745</v>
      </c>
      <c r="G4826" s="74">
        <v>39.746810084971649</v>
      </c>
      <c r="H4826" s="74">
        <f t="shared" si="151"/>
        <v>0.74759025836087289</v>
      </c>
    </row>
    <row r="4827" spans="5:8" ht="15.6">
      <c r="E4827" s="279" t="s">
        <v>5153</v>
      </c>
      <c r="F4827" s="284">
        <f t="shared" ca="1" si="150"/>
        <v>0.88768859848816983</v>
      </c>
      <c r="G4827" s="74">
        <v>41.478790794406734</v>
      </c>
      <c r="H4827" s="74">
        <f t="shared" si="151"/>
        <v>-0.98439045107421208</v>
      </c>
    </row>
    <row r="4828" spans="5:8" ht="15.6">
      <c r="E4828" s="279" t="s">
        <v>5154</v>
      </c>
      <c r="F4828" s="284">
        <f t="shared" ca="1" si="150"/>
        <v>0.53666155998057785</v>
      </c>
      <c r="G4828" s="74">
        <v>41.369683423472395</v>
      </c>
      <c r="H4828" s="74">
        <f t="shared" si="151"/>
        <v>-0.87528308013987299</v>
      </c>
    </row>
    <row r="4829" spans="5:8" ht="15.6">
      <c r="E4829" s="279" t="s">
        <v>5155</v>
      </c>
      <c r="F4829" s="284">
        <f t="shared" ca="1" si="150"/>
        <v>0.44360350162613826</v>
      </c>
      <c r="G4829" s="74">
        <v>40.45421493325464</v>
      </c>
      <c r="H4829" s="74">
        <f t="shared" si="151"/>
        <v>4.0185410077882011E-2</v>
      </c>
    </row>
    <row r="4830" spans="5:8" ht="15.6">
      <c r="E4830" s="279" t="s">
        <v>5156</v>
      </c>
      <c r="F4830" s="284">
        <f t="shared" ca="1" si="150"/>
        <v>0.58090083209163601</v>
      </c>
      <c r="G4830" s="74">
        <v>34.466867189861503</v>
      </c>
      <c r="H4830" s="74">
        <f t="shared" si="151"/>
        <v>6.027533153471019</v>
      </c>
    </row>
    <row r="4831" spans="5:8" ht="15.6">
      <c r="E4831" s="279" t="s">
        <v>5157</v>
      </c>
      <c r="F4831" s="284">
        <f t="shared" ca="1" si="150"/>
        <v>0.63720054753412647</v>
      </c>
      <c r="G4831" s="74">
        <v>42.14389161257224</v>
      </c>
      <c r="H4831" s="74">
        <f t="shared" si="151"/>
        <v>-1.6494912692397179</v>
      </c>
    </row>
    <row r="4832" spans="5:8" ht="15.6">
      <c r="E4832" s="279" t="s">
        <v>5158</v>
      </c>
      <c r="F4832" s="284">
        <f t="shared" ca="1" si="150"/>
        <v>0.43127311199113882</v>
      </c>
      <c r="G4832" s="74">
        <v>40.355542865556544</v>
      </c>
      <c r="H4832" s="74">
        <f t="shared" si="151"/>
        <v>0.13885747777597857</v>
      </c>
    </row>
    <row r="4833" spans="5:8" ht="15.6">
      <c r="E4833" s="279" t="s">
        <v>5159</v>
      </c>
      <c r="F4833" s="284">
        <f t="shared" ca="1" si="150"/>
        <v>0.83676203422220541</v>
      </c>
      <c r="G4833" s="74">
        <v>38.235548193492129</v>
      </c>
      <c r="H4833" s="74">
        <f t="shared" si="151"/>
        <v>2.2588521498403935</v>
      </c>
    </row>
    <row r="4834" spans="5:8" ht="15.6">
      <c r="E4834" s="279" t="s">
        <v>5160</v>
      </c>
      <c r="F4834" s="284">
        <f t="shared" ca="1" si="150"/>
        <v>0.57626182210719179</v>
      </c>
      <c r="G4834" s="74">
        <v>46.730594259287223</v>
      </c>
      <c r="H4834" s="74">
        <f t="shared" si="151"/>
        <v>-6.2361939159547006</v>
      </c>
    </row>
    <row r="4835" spans="5:8" ht="15.6">
      <c r="E4835" s="279" t="s">
        <v>5161</v>
      </c>
      <c r="F4835" s="284">
        <f t="shared" ca="1" si="150"/>
        <v>0.80157341280803918</v>
      </c>
      <c r="G4835" s="74">
        <v>37.202630048643087</v>
      </c>
      <c r="H4835" s="74">
        <f t="shared" si="151"/>
        <v>3.2917702946894352</v>
      </c>
    </row>
    <row r="4836" spans="5:8" ht="15.6">
      <c r="E4836" s="279" t="s">
        <v>5162</v>
      </c>
      <c r="F4836" s="284">
        <f t="shared" ca="1" si="150"/>
        <v>0.95440739435843658</v>
      </c>
      <c r="G4836" s="74">
        <v>39.196774177938373</v>
      </c>
      <c r="H4836" s="74">
        <f t="shared" si="151"/>
        <v>1.2976261653941492</v>
      </c>
    </row>
    <row r="4837" spans="5:8" ht="15.6">
      <c r="E4837" s="279" t="s">
        <v>5163</v>
      </c>
      <c r="F4837" s="284">
        <f t="shared" ca="1" si="150"/>
        <v>0.8919191032652658</v>
      </c>
      <c r="G4837" s="74">
        <v>38.035122939865921</v>
      </c>
      <c r="H4837" s="74">
        <f t="shared" si="151"/>
        <v>2.4592774034666007</v>
      </c>
    </row>
    <row r="4838" spans="5:8" ht="15.6">
      <c r="E4838" s="279" t="s">
        <v>5164</v>
      </c>
      <c r="F4838" s="284">
        <f t="shared" ca="1" si="150"/>
        <v>0.30456037479327758</v>
      </c>
      <c r="G4838" s="74">
        <v>39.529242554606483</v>
      </c>
      <c r="H4838" s="74">
        <f t="shared" si="151"/>
        <v>0.96515778872603875</v>
      </c>
    </row>
    <row r="4839" spans="5:8" ht="15.6">
      <c r="E4839" s="279" t="s">
        <v>5165</v>
      </c>
      <c r="F4839" s="284">
        <f t="shared" ca="1" si="150"/>
        <v>0.68412097543849681</v>
      </c>
      <c r="G4839" s="74">
        <v>41.38285380384864</v>
      </c>
      <c r="H4839" s="74">
        <f t="shared" si="151"/>
        <v>-0.88845346051611784</v>
      </c>
    </row>
    <row r="4840" spans="5:8" ht="15.6">
      <c r="E4840" s="279" t="s">
        <v>5166</v>
      </c>
      <c r="F4840" s="284">
        <f t="shared" ca="1" si="150"/>
        <v>0.87782368566046698</v>
      </c>
      <c r="G4840" s="74">
        <v>42.395174495871082</v>
      </c>
      <c r="H4840" s="74">
        <f t="shared" si="151"/>
        <v>-1.9007741525385597</v>
      </c>
    </row>
    <row r="4841" spans="5:8" ht="15.6">
      <c r="E4841" s="279" t="s">
        <v>5167</v>
      </c>
      <c r="F4841" s="284">
        <f t="shared" ca="1" si="150"/>
        <v>0.48696167633824394</v>
      </c>
      <c r="G4841" s="74">
        <v>36.231815485517274</v>
      </c>
      <c r="H4841" s="74">
        <f t="shared" si="151"/>
        <v>4.2625848578152485</v>
      </c>
    </row>
    <row r="4842" spans="5:8" ht="15.6">
      <c r="E4842" s="279" t="s">
        <v>5168</v>
      </c>
      <c r="F4842" s="284">
        <f t="shared" ca="1" si="150"/>
        <v>0.72290486829005374</v>
      </c>
      <c r="G4842" s="74">
        <v>43.668681936265251</v>
      </c>
      <c r="H4842" s="74">
        <f t="shared" si="151"/>
        <v>-3.1742815929327293</v>
      </c>
    </row>
    <row r="4843" spans="5:8" ht="15.6">
      <c r="E4843" s="279" t="s">
        <v>5169</v>
      </c>
      <c r="F4843" s="284">
        <f t="shared" ca="1" si="150"/>
        <v>0.30967912971919909</v>
      </c>
      <c r="G4843" s="74">
        <v>39.995968067156355</v>
      </c>
      <c r="H4843" s="74">
        <f t="shared" si="151"/>
        <v>0.49843227617616748</v>
      </c>
    </row>
    <row r="4844" spans="5:8" ht="15.6">
      <c r="E4844" s="279" t="s">
        <v>5170</v>
      </c>
      <c r="F4844" s="284">
        <f t="shared" ca="1" si="150"/>
        <v>0.84043640462672953</v>
      </c>
      <c r="G4844" s="74">
        <v>35.280962354545345</v>
      </c>
      <c r="H4844" s="74">
        <f t="shared" si="151"/>
        <v>5.2134379887871773</v>
      </c>
    </row>
    <row r="4845" spans="5:8" ht="15.6">
      <c r="E4845" s="279" t="s">
        <v>5171</v>
      </c>
      <c r="F4845" s="284">
        <f t="shared" ca="1" si="150"/>
        <v>0.81187475925091568</v>
      </c>
      <c r="G4845" s="74">
        <v>42.636286104688921</v>
      </c>
      <c r="H4845" s="74">
        <f t="shared" si="151"/>
        <v>-2.1418857613563986</v>
      </c>
    </row>
    <row r="4846" spans="5:8" ht="15.6">
      <c r="E4846" s="279" t="s">
        <v>5172</v>
      </c>
      <c r="F4846" s="284">
        <f t="shared" ca="1" si="150"/>
        <v>0.13597191054707025</v>
      </c>
      <c r="G4846" s="74">
        <v>41.870840528113469</v>
      </c>
      <c r="H4846" s="74">
        <f t="shared" si="151"/>
        <v>-1.3764401847809467</v>
      </c>
    </row>
    <row r="4847" spans="5:8" ht="15.6">
      <c r="E4847" s="279" t="s">
        <v>5173</v>
      </c>
      <c r="F4847" s="284">
        <f t="shared" ca="1" si="150"/>
        <v>0.68786652442083751</v>
      </c>
      <c r="G4847" s="74">
        <v>37.274516538015625</v>
      </c>
      <c r="H4847" s="74">
        <f t="shared" si="151"/>
        <v>3.219883805316897</v>
      </c>
    </row>
    <row r="4848" spans="5:8" ht="15.6">
      <c r="E4848" s="279" t="s">
        <v>5174</v>
      </c>
      <c r="F4848" s="284">
        <f t="shared" ca="1" si="150"/>
        <v>0.81972750689093798</v>
      </c>
      <c r="G4848" s="74">
        <v>39.668364784313326</v>
      </c>
      <c r="H4848" s="74">
        <f t="shared" si="151"/>
        <v>0.82603555901919634</v>
      </c>
    </row>
    <row r="4849" spans="5:8" ht="15.6">
      <c r="E4849" s="279" t="s">
        <v>5175</v>
      </c>
      <c r="F4849" s="284">
        <f t="shared" ca="1" si="150"/>
        <v>0.52410618847767487</v>
      </c>
      <c r="G4849" s="74">
        <v>36.431685403620875</v>
      </c>
      <c r="H4849" s="74">
        <f t="shared" si="151"/>
        <v>4.0627149397116469</v>
      </c>
    </row>
    <row r="4850" spans="5:8" ht="15.6">
      <c r="E4850" s="279" t="s">
        <v>5176</v>
      </c>
      <c r="F4850" s="284">
        <f t="shared" ca="1" si="150"/>
        <v>9.9265314277344197E-2</v>
      </c>
      <c r="G4850" s="74">
        <v>41.461220533466637</v>
      </c>
      <c r="H4850" s="74">
        <f t="shared" si="151"/>
        <v>-0.96682019013411491</v>
      </c>
    </row>
    <row r="4851" spans="5:8" ht="15.6">
      <c r="E4851" s="279" t="s">
        <v>5177</v>
      </c>
      <c r="F4851" s="284">
        <f t="shared" ca="1" si="150"/>
        <v>4.1479220012184959E-2</v>
      </c>
      <c r="G4851" s="74">
        <v>37.632332628851046</v>
      </c>
      <c r="H4851" s="74">
        <f t="shared" si="151"/>
        <v>2.8620677144814763</v>
      </c>
    </row>
    <row r="4852" spans="5:8" ht="15.6">
      <c r="E4852" s="279" t="s">
        <v>5178</v>
      </c>
      <c r="F4852" s="284">
        <f t="shared" ca="1" si="150"/>
        <v>0.84205848581035447</v>
      </c>
      <c r="G4852" s="74">
        <v>37.203373081650497</v>
      </c>
      <c r="H4852" s="74">
        <f t="shared" si="151"/>
        <v>3.2910272616820251</v>
      </c>
    </row>
    <row r="4853" spans="5:8" ht="15.6">
      <c r="E4853" s="279" t="s">
        <v>5179</v>
      </c>
      <c r="F4853" s="284">
        <f t="shared" ca="1" si="150"/>
        <v>0.85023338924148617</v>
      </c>
      <c r="G4853" s="74">
        <v>36.604644985950969</v>
      </c>
      <c r="H4853" s="74">
        <f t="shared" si="151"/>
        <v>3.8897553573815529</v>
      </c>
    </row>
    <row r="4854" spans="5:8" ht="15.6">
      <c r="E4854" s="279" t="s">
        <v>5180</v>
      </c>
      <c r="F4854" s="284">
        <f t="shared" ca="1" si="150"/>
        <v>4.3253154428365748E-2</v>
      </c>
      <c r="G4854" s="74">
        <v>39.41982829143226</v>
      </c>
      <c r="H4854" s="74">
        <f t="shared" si="151"/>
        <v>1.0745720519002617</v>
      </c>
    </row>
    <row r="4855" spans="5:8" ht="15.6">
      <c r="E4855" s="279" t="s">
        <v>5181</v>
      </c>
      <c r="F4855" s="284">
        <f t="shared" ca="1" si="150"/>
        <v>0.49300939941650046</v>
      </c>
      <c r="G4855" s="74">
        <v>36.390939584244371</v>
      </c>
      <c r="H4855" s="74">
        <f t="shared" si="151"/>
        <v>4.1034607590881507</v>
      </c>
    </row>
    <row r="4856" spans="5:8" ht="15.6">
      <c r="E4856" s="279" t="s">
        <v>5182</v>
      </c>
      <c r="F4856" s="284">
        <f t="shared" ca="1" si="150"/>
        <v>0.57797367953925949</v>
      </c>
      <c r="G4856" s="74">
        <v>36.316822833437612</v>
      </c>
      <c r="H4856" s="74">
        <f t="shared" si="151"/>
        <v>4.1775775098949097</v>
      </c>
    </row>
    <row r="4857" spans="5:8" ht="15.6">
      <c r="E4857" s="279" t="s">
        <v>5183</v>
      </c>
      <c r="F4857" s="284">
        <f t="shared" ca="1" si="150"/>
        <v>0.58171210847381238</v>
      </c>
      <c r="G4857" s="74">
        <v>38.721833501419056</v>
      </c>
      <c r="H4857" s="74">
        <f t="shared" si="151"/>
        <v>1.7725668419134664</v>
      </c>
    </row>
    <row r="4858" spans="5:8" ht="15.6">
      <c r="E4858" s="279" t="s">
        <v>5184</v>
      </c>
      <c r="F4858" s="284">
        <f t="shared" ca="1" si="150"/>
        <v>0.97662050539594913</v>
      </c>
      <c r="G4858" s="74">
        <v>42.66092747601229</v>
      </c>
      <c r="H4858" s="74">
        <f t="shared" si="151"/>
        <v>-2.1665271326797679</v>
      </c>
    </row>
    <row r="4859" spans="5:8" ht="15.6">
      <c r="E4859" s="279" t="s">
        <v>5185</v>
      </c>
      <c r="F4859" s="284">
        <f t="shared" ca="1" si="150"/>
        <v>0.38994342631040124</v>
      </c>
      <c r="G4859" s="74">
        <v>36.191441807371099</v>
      </c>
      <c r="H4859" s="74">
        <f t="shared" si="151"/>
        <v>4.3029585359614231</v>
      </c>
    </row>
    <row r="4860" spans="5:8" ht="15.6">
      <c r="E4860" s="279" t="s">
        <v>5186</v>
      </c>
      <c r="F4860" s="284">
        <f t="shared" ca="1" si="150"/>
        <v>0.19888853584391453</v>
      </c>
      <c r="G4860" s="74">
        <v>36.582179059008489</v>
      </c>
      <c r="H4860" s="74">
        <f t="shared" si="151"/>
        <v>3.9122212843240334</v>
      </c>
    </row>
    <row r="4861" spans="5:8" ht="15.6">
      <c r="E4861" s="279" t="s">
        <v>5187</v>
      </c>
      <c r="F4861" s="284">
        <f t="shared" ca="1" si="150"/>
        <v>0.92300011982693853</v>
      </c>
      <c r="G4861" s="74">
        <v>38.73317082267873</v>
      </c>
      <c r="H4861" s="74">
        <f t="shared" si="151"/>
        <v>1.7612295206537922</v>
      </c>
    </row>
    <row r="4862" spans="5:8" ht="15.6">
      <c r="E4862" s="279" t="s">
        <v>5188</v>
      </c>
      <c r="F4862" s="284">
        <f t="shared" ca="1" si="150"/>
        <v>0.7572515398871501</v>
      </c>
      <c r="G4862" s="74">
        <v>39.472274185795179</v>
      </c>
      <c r="H4862" s="74">
        <f t="shared" si="151"/>
        <v>1.0221261575373433</v>
      </c>
    </row>
    <row r="4863" spans="5:8" ht="15.6">
      <c r="E4863" s="279" t="s">
        <v>5189</v>
      </c>
      <c r="F4863" s="284">
        <f t="shared" ca="1" si="150"/>
        <v>0.16570785609651262</v>
      </c>
      <c r="G4863" s="74">
        <v>41.400229442326818</v>
      </c>
      <c r="H4863" s="74">
        <f t="shared" si="151"/>
        <v>-0.90582909899429609</v>
      </c>
    </row>
    <row r="4864" spans="5:8" ht="15.6">
      <c r="E4864" s="279" t="s">
        <v>5190</v>
      </c>
      <c r="F4864" s="284">
        <f t="shared" ca="1" si="150"/>
        <v>0.37977014672931775</v>
      </c>
      <c r="G4864" s="74">
        <v>35.875619064262047</v>
      </c>
      <c r="H4864" s="74">
        <f t="shared" si="151"/>
        <v>4.6187812790704754</v>
      </c>
    </row>
    <row r="4865" spans="5:8" ht="15.6">
      <c r="E4865" s="279" t="s">
        <v>5191</v>
      </c>
      <c r="F4865" s="284">
        <f t="shared" ca="1" si="150"/>
        <v>0.28793958066799552</v>
      </c>
      <c r="G4865" s="74">
        <v>37.439587280206815</v>
      </c>
      <c r="H4865" s="74">
        <f t="shared" si="151"/>
        <v>3.0548130631257067</v>
      </c>
    </row>
    <row r="4866" spans="5:8" ht="15.6">
      <c r="E4866" s="279" t="s">
        <v>5192</v>
      </c>
      <c r="F4866" s="284">
        <f t="shared" ca="1" si="150"/>
        <v>0.55693540713718981</v>
      </c>
      <c r="G4866" s="74">
        <v>37.092382042625161</v>
      </c>
      <c r="H4866" s="74">
        <f t="shared" si="151"/>
        <v>3.4020183007073612</v>
      </c>
    </row>
    <row r="4867" spans="5:8" ht="15.6">
      <c r="E4867" s="279" t="s">
        <v>5193</v>
      </c>
      <c r="F4867" s="284">
        <f t="shared" ca="1" si="150"/>
        <v>0.85722538373430002</v>
      </c>
      <c r="G4867" s="74">
        <v>42.364163987988164</v>
      </c>
      <c r="H4867" s="74">
        <f t="shared" si="151"/>
        <v>-1.8697636446556416</v>
      </c>
    </row>
    <row r="4868" spans="5:8" ht="15.6">
      <c r="E4868" s="279" t="s">
        <v>5194</v>
      </c>
      <c r="F4868" s="284">
        <f t="shared" ca="1" si="150"/>
        <v>0.32239006191117781</v>
      </c>
      <c r="G4868" s="74">
        <v>41.012670626093069</v>
      </c>
      <c r="H4868" s="74">
        <f t="shared" si="151"/>
        <v>-0.51827028276054676</v>
      </c>
    </row>
    <row r="4869" spans="5:8" ht="15.6">
      <c r="E4869" s="279" t="s">
        <v>5195</v>
      </c>
      <c r="F4869" s="284">
        <f t="shared" ca="1" si="150"/>
        <v>0.72772430592172199</v>
      </c>
      <c r="G4869" s="74">
        <v>38.376202674433607</v>
      </c>
      <c r="H4869" s="74">
        <f t="shared" si="151"/>
        <v>2.1181976688989153</v>
      </c>
    </row>
    <row r="4870" spans="5:8" ht="15.6">
      <c r="E4870" s="279" t="s">
        <v>5196</v>
      </c>
      <c r="F4870" s="284">
        <f t="shared" ca="1" si="150"/>
        <v>9.6557303575127595E-2</v>
      </c>
      <c r="G4870" s="74">
        <v>38.574445552419441</v>
      </c>
      <c r="H4870" s="74">
        <f t="shared" si="151"/>
        <v>1.9199547909130814</v>
      </c>
    </row>
    <row r="4871" spans="5:8" ht="15.6">
      <c r="E4871" s="279" t="s">
        <v>5197</v>
      </c>
      <c r="F4871" s="284">
        <f t="shared" ca="1" si="150"/>
        <v>0.67910815413812198</v>
      </c>
      <c r="G4871" s="74">
        <v>37.672481877824275</v>
      </c>
      <c r="H4871" s="74">
        <f t="shared" si="151"/>
        <v>2.8219184655082472</v>
      </c>
    </row>
    <row r="4872" spans="5:8" ht="15.6">
      <c r="E4872" s="279" t="s">
        <v>5198</v>
      </c>
      <c r="F4872" s="284">
        <f t="shared" ca="1" si="150"/>
        <v>0.47472993875737635</v>
      </c>
      <c r="G4872" s="74">
        <v>35.200315514193036</v>
      </c>
      <c r="H4872" s="74">
        <f t="shared" si="151"/>
        <v>5.2940848291394857</v>
      </c>
    </row>
    <row r="4873" spans="5:8" ht="15.6">
      <c r="E4873" s="279" t="s">
        <v>5199</v>
      </c>
      <c r="F4873" s="284">
        <f t="shared" ca="1" si="150"/>
        <v>0.97132748754953957</v>
      </c>
      <c r="G4873" s="74">
        <v>39.496912549494759</v>
      </c>
      <c r="H4873" s="74">
        <f t="shared" si="151"/>
        <v>0.99748779383776309</v>
      </c>
    </row>
    <row r="4874" spans="5:8" ht="15.6">
      <c r="E4874" s="279" t="s">
        <v>5200</v>
      </c>
      <c r="F4874" s="284">
        <f t="shared" ca="1" si="150"/>
        <v>0.31581149301930123</v>
      </c>
      <c r="G4874" s="74">
        <v>42.575929631906497</v>
      </c>
      <c r="H4874" s="74">
        <f t="shared" si="151"/>
        <v>-2.0815292885739751</v>
      </c>
    </row>
    <row r="4875" spans="5:8" ht="15.6">
      <c r="E4875" s="279" t="s">
        <v>5201</v>
      </c>
      <c r="F4875" s="284">
        <f t="shared" ca="1" si="150"/>
        <v>4.7041680814250308E-2</v>
      </c>
      <c r="G4875" s="74">
        <v>36.717683501885837</v>
      </c>
      <c r="H4875" s="74">
        <f t="shared" si="151"/>
        <v>3.7767168414466852</v>
      </c>
    </row>
    <row r="4876" spans="5:8" ht="15.6">
      <c r="E4876" s="279" t="s">
        <v>5202</v>
      </c>
      <c r="F4876" s="284">
        <f t="shared" ref="F4876:F4939" ca="1" si="152">RAND()</f>
        <v>3.4324933211337227E-2</v>
      </c>
      <c r="G4876" s="74">
        <v>41.455483906429187</v>
      </c>
      <c r="H4876" s="74">
        <f t="shared" ref="H4876:H4939" si="153">$D$2-G4876</f>
        <v>-0.96108356309666476</v>
      </c>
    </row>
    <row r="4877" spans="5:8" ht="15.6">
      <c r="E4877" s="279" t="s">
        <v>5203</v>
      </c>
      <c r="F4877" s="284">
        <f t="shared" ca="1" si="152"/>
        <v>0.43854517640130208</v>
      </c>
      <c r="G4877" s="74">
        <v>41.763318341536625</v>
      </c>
      <c r="H4877" s="74">
        <f t="shared" si="153"/>
        <v>-1.2689179982041026</v>
      </c>
    </row>
    <row r="4878" spans="5:8" ht="15.6">
      <c r="E4878" s="279" t="s">
        <v>5204</v>
      </c>
      <c r="F4878" s="284">
        <f t="shared" ca="1" si="152"/>
        <v>7.7410640003587106E-2</v>
      </c>
      <c r="G4878" s="74">
        <v>40.594764669116906</v>
      </c>
      <c r="H4878" s="74">
        <f t="shared" si="153"/>
        <v>-0.10036432578438337</v>
      </c>
    </row>
    <row r="4879" spans="5:8" ht="15.6">
      <c r="E4879" s="279" t="s">
        <v>5205</v>
      </c>
      <c r="F4879" s="284">
        <f t="shared" ca="1" si="152"/>
        <v>0.80383381213778171</v>
      </c>
      <c r="G4879" s="74">
        <v>37.201190807656388</v>
      </c>
      <c r="H4879" s="74">
        <f t="shared" si="153"/>
        <v>3.2932095356761337</v>
      </c>
    </row>
    <row r="4880" spans="5:8" ht="15.6">
      <c r="E4880" s="279" t="s">
        <v>5206</v>
      </c>
      <c r="F4880" s="284">
        <f t="shared" ca="1" si="152"/>
        <v>0.90123414323976114</v>
      </c>
      <c r="G4880" s="74">
        <v>43.96159606139009</v>
      </c>
      <c r="H4880" s="74">
        <f t="shared" si="153"/>
        <v>-3.4671957180575674</v>
      </c>
    </row>
    <row r="4881" spans="5:8" ht="15.6">
      <c r="E4881" s="279" t="s">
        <v>5207</v>
      </c>
      <c r="F4881" s="284">
        <f t="shared" ca="1" si="152"/>
        <v>0.72051147079493738</v>
      </c>
      <c r="G4881" s="74">
        <v>39.168623803394397</v>
      </c>
      <c r="H4881" s="74">
        <f t="shared" si="153"/>
        <v>1.3257765399381256</v>
      </c>
    </row>
    <row r="4882" spans="5:8" ht="15.6">
      <c r="E4882" s="279" t="s">
        <v>5208</v>
      </c>
      <c r="F4882" s="284">
        <f t="shared" ca="1" si="152"/>
        <v>0.28051588776738778</v>
      </c>
      <c r="G4882" s="74">
        <v>41.2950693832233</v>
      </c>
      <c r="H4882" s="74">
        <f t="shared" si="153"/>
        <v>-0.80066903989077787</v>
      </c>
    </row>
    <row r="4883" spans="5:8" ht="15.6">
      <c r="E4883" s="279" t="s">
        <v>5209</v>
      </c>
      <c r="F4883" s="284">
        <f t="shared" ca="1" si="152"/>
        <v>0.23656828659557338</v>
      </c>
      <c r="G4883" s="74">
        <v>38.676403224471223</v>
      </c>
      <c r="H4883" s="74">
        <f t="shared" si="153"/>
        <v>1.8179971188612996</v>
      </c>
    </row>
    <row r="4884" spans="5:8" ht="15.6">
      <c r="E4884" s="279" t="s">
        <v>5210</v>
      </c>
      <c r="F4884" s="284">
        <f t="shared" ca="1" si="152"/>
        <v>0.5669746529424956</v>
      </c>
      <c r="G4884" s="74">
        <v>35.441433159514467</v>
      </c>
      <c r="H4884" s="74">
        <f t="shared" si="153"/>
        <v>5.0529671838180548</v>
      </c>
    </row>
    <row r="4885" spans="5:8" ht="15.6">
      <c r="E4885" s="279" t="s">
        <v>5211</v>
      </c>
      <c r="F4885" s="284">
        <f t="shared" ca="1" si="152"/>
        <v>0.81810644315200809</v>
      </c>
      <c r="G4885" s="74">
        <v>40.148634560391073</v>
      </c>
      <c r="H4885" s="74">
        <f t="shared" si="153"/>
        <v>0.34576578294144866</v>
      </c>
    </row>
    <row r="4886" spans="5:8" ht="15.6">
      <c r="E4886" s="279" t="s">
        <v>5212</v>
      </c>
      <c r="F4886" s="284">
        <f t="shared" ca="1" si="152"/>
        <v>0.25801370211434449</v>
      </c>
      <c r="G4886" s="74">
        <v>40.3366083769832</v>
      </c>
      <c r="H4886" s="74">
        <f t="shared" si="153"/>
        <v>0.15779196634932191</v>
      </c>
    </row>
    <row r="4887" spans="5:8" ht="15.6">
      <c r="E4887" s="279" t="s">
        <v>5213</v>
      </c>
      <c r="F4887" s="284">
        <f t="shared" ca="1" si="152"/>
        <v>0.54979444085458307</v>
      </c>
      <c r="G4887" s="74">
        <v>42.262898880426881</v>
      </c>
      <c r="H4887" s="74">
        <f t="shared" si="153"/>
        <v>-1.7684985370943593</v>
      </c>
    </row>
    <row r="4888" spans="5:8" ht="15.6">
      <c r="E4888" s="279" t="s">
        <v>5214</v>
      </c>
      <c r="F4888" s="284">
        <f t="shared" ca="1" si="152"/>
        <v>0.26756576501453022</v>
      </c>
      <c r="G4888" s="74">
        <v>36.649176141956346</v>
      </c>
      <c r="H4888" s="74">
        <f t="shared" si="153"/>
        <v>3.8452242013761762</v>
      </c>
    </row>
    <row r="4889" spans="5:8" ht="15.6">
      <c r="E4889" s="279" t="s">
        <v>5215</v>
      </c>
      <c r="F4889" s="284">
        <f t="shared" ca="1" si="152"/>
        <v>0.61345389654614757</v>
      </c>
      <c r="G4889" s="74">
        <v>37.778523887348705</v>
      </c>
      <c r="H4889" s="74">
        <f t="shared" si="153"/>
        <v>2.7158764559838176</v>
      </c>
    </row>
    <row r="4890" spans="5:8" ht="15.6">
      <c r="E4890" s="279" t="s">
        <v>5216</v>
      </c>
      <c r="F4890" s="284">
        <f t="shared" ca="1" si="152"/>
        <v>0.93153457063150957</v>
      </c>
      <c r="G4890" s="74">
        <v>42.116204160723889</v>
      </c>
      <c r="H4890" s="74">
        <f t="shared" si="153"/>
        <v>-1.6218038173913669</v>
      </c>
    </row>
    <row r="4891" spans="5:8" ht="15.6">
      <c r="E4891" s="279" t="s">
        <v>5217</v>
      </c>
      <c r="F4891" s="284">
        <f t="shared" ca="1" si="152"/>
        <v>0.82054331489103682</v>
      </c>
      <c r="G4891" s="74">
        <v>40.027389617737768</v>
      </c>
      <c r="H4891" s="74">
        <f t="shared" si="153"/>
        <v>0.46701072559475421</v>
      </c>
    </row>
    <row r="4892" spans="5:8" ht="15.6">
      <c r="E4892" s="279" t="s">
        <v>5218</v>
      </c>
      <c r="F4892" s="284">
        <f t="shared" ca="1" si="152"/>
        <v>0.88201338782591843</v>
      </c>
      <c r="G4892" s="74">
        <v>37.489987062327216</v>
      </c>
      <c r="H4892" s="74">
        <f t="shared" si="153"/>
        <v>3.0044132810053057</v>
      </c>
    </row>
    <row r="4893" spans="5:8" ht="15.6">
      <c r="E4893" s="279" t="s">
        <v>5219</v>
      </c>
      <c r="F4893" s="284">
        <f t="shared" ca="1" si="152"/>
        <v>0.81156222127741007</v>
      </c>
      <c r="G4893" s="74">
        <v>38.27876611127963</v>
      </c>
      <c r="H4893" s="74">
        <f t="shared" si="153"/>
        <v>2.2156342320528921</v>
      </c>
    </row>
    <row r="4894" spans="5:8" ht="15.6">
      <c r="E4894" s="279" t="s">
        <v>5220</v>
      </c>
      <c r="F4894" s="284">
        <f t="shared" ca="1" si="152"/>
        <v>1.8017322236634659E-2</v>
      </c>
      <c r="G4894" s="74">
        <v>41.414599698649965</v>
      </c>
      <c r="H4894" s="74">
        <f t="shared" si="153"/>
        <v>-0.92019935531744323</v>
      </c>
    </row>
    <row r="4895" spans="5:8" ht="15.6">
      <c r="E4895" s="279" t="s">
        <v>5221</v>
      </c>
      <c r="F4895" s="284">
        <f t="shared" ca="1" si="152"/>
        <v>0.77304429574933753</v>
      </c>
      <c r="G4895" s="74">
        <v>39.656370653893177</v>
      </c>
      <c r="H4895" s="74">
        <f t="shared" si="153"/>
        <v>0.8380296894393453</v>
      </c>
    </row>
    <row r="4896" spans="5:8" ht="15.6">
      <c r="E4896" s="279" t="s">
        <v>5222</v>
      </c>
      <c r="F4896" s="284">
        <f t="shared" ca="1" si="152"/>
        <v>5.0580144023366524E-2</v>
      </c>
      <c r="G4896" s="74">
        <v>44.909164369045172</v>
      </c>
      <c r="H4896" s="74">
        <f t="shared" si="153"/>
        <v>-4.4147640257126497</v>
      </c>
    </row>
    <row r="4897" spans="5:8" ht="15.6">
      <c r="E4897" s="279" t="s">
        <v>5223</v>
      </c>
      <c r="F4897" s="284">
        <f t="shared" ca="1" si="152"/>
        <v>0.47135061369913478</v>
      </c>
      <c r="G4897" s="74">
        <v>37.453535810376536</v>
      </c>
      <c r="H4897" s="74">
        <f t="shared" si="153"/>
        <v>3.040864532955986</v>
      </c>
    </row>
    <row r="4898" spans="5:8" ht="15.6">
      <c r="E4898" s="279" t="s">
        <v>5224</v>
      </c>
      <c r="F4898" s="284">
        <f t="shared" ca="1" si="152"/>
        <v>0.74779092708930206</v>
      </c>
      <c r="G4898" s="74">
        <v>42.567671083121617</v>
      </c>
      <c r="H4898" s="74">
        <f t="shared" si="153"/>
        <v>-2.0732707397890948</v>
      </c>
    </row>
    <row r="4899" spans="5:8" ht="15.6">
      <c r="E4899" s="279" t="s">
        <v>5225</v>
      </c>
      <c r="F4899" s="284">
        <f t="shared" ca="1" si="152"/>
        <v>0.12799731369707368</v>
      </c>
      <c r="G4899" s="74">
        <v>35.046063131636387</v>
      </c>
      <c r="H4899" s="74">
        <f t="shared" si="153"/>
        <v>5.4483372116961348</v>
      </c>
    </row>
    <row r="4900" spans="5:8" ht="15.6">
      <c r="E4900" s="279" t="s">
        <v>5226</v>
      </c>
      <c r="F4900" s="284">
        <f t="shared" ca="1" si="152"/>
        <v>0.7685327505748154</v>
      </c>
      <c r="G4900" s="74">
        <v>40.189480034605644</v>
      </c>
      <c r="H4900" s="74">
        <f t="shared" si="153"/>
        <v>0.30492030872687792</v>
      </c>
    </row>
    <row r="4901" spans="5:8" ht="15.6">
      <c r="E4901" s="279" t="s">
        <v>5227</v>
      </c>
      <c r="F4901" s="284">
        <f t="shared" ca="1" si="152"/>
        <v>0.76889574702986974</v>
      </c>
      <c r="G4901" s="74">
        <v>40.107784756243049</v>
      </c>
      <c r="H4901" s="74">
        <f t="shared" si="153"/>
        <v>0.38661558708947297</v>
      </c>
    </row>
    <row r="4902" spans="5:8" ht="15.6">
      <c r="E4902" s="279" t="s">
        <v>5228</v>
      </c>
      <c r="F4902" s="284">
        <f t="shared" ca="1" si="152"/>
        <v>0.19156701573546342</v>
      </c>
      <c r="G4902" s="74">
        <v>38.475031175699982</v>
      </c>
      <c r="H4902" s="74">
        <f t="shared" si="153"/>
        <v>2.01936916763254</v>
      </c>
    </row>
    <row r="4903" spans="5:8" ht="15.6">
      <c r="E4903" s="279" t="s">
        <v>5229</v>
      </c>
      <c r="F4903" s="284">
        <f t="shared" ca="1" si="152"/>
        <v>0.90871233837224252</v>
      </c>
      <c r="G4903" s="74">
        <v>41.226477888208386</v>
      </c>
      <c r="H4903" s="74">
        <f t="shared" si="153"/>
        <v>-0.73207754487586385</v>
      </c>
    </row>
    <row r="4904" spans="5:8" ht="15.6">
      <c r="E4904" s="279" t="s">
        <v>5230</v>
      </c>
      <c r="F4904" s="284">
        <f t="shared" ca="1" si="152"/>
        <v>0.79092609986942042</v>
      </c>
      <c r="G4904" s="74">
        <v>41.423245486495709</v>
      </c>
      <c r="H4904" s="74">
        <f t="shared" si="153"/>
        <v>-0.928845143163187</v>
      </c>
    </row>
    <row r="4905" spans="5:8" ht="15.6">
      <c r="E4905" s="279" t="s">
        <v>5231</v>
      </c>
      <c r="F4905" s="284">
        <f t="shared" ca="1" si="152"/>
        <v>0.2073467743020273</v>
      </c>
      <c r="G4905" s="74">
        <v>36.600774205508642</v>
      </c>
      <c r="H4905" s="74">
        <f t="shared" si="153"/>
        <v>3.8936261378238797</v>
      </c>
    </row>
    <row r="4906" spans="5:8" ht="15.6">
      <c r="E4906" s="279" t="s">
        <v>5232</v>
      </c>
      <c r="F4906" s="284">
        <f t="shared" ca="1" si="152"/>
        <v>0.47272951108674655</v>
      </c>
      <c r="G4906" s="74">
        <v>38.607305649551691</v>
      </c>
      <c r="H4906" s="74">
        <f t="shared" si="153"/>
        <v>1.8870946937808313</v>
      </c>
    </row>
    <row r="4907" spans="5:8" ht="15.6">
      <c r="E4907" s="279" t="s">
        <v>5233</v>
      </c>
      <c r="F4907" s="284">
        <f t="shared" ca="1" si="152"/>
        <v>0.8339606367774971</v>
      </c>
      <c r="G4907" s="74">
        <v>36.960603228312451</v>
      </c>
      <c r="H4907" s="74">
        <f t="shared" si="153"/>
        <v>3.5337971150200715</v>
      </c>
    </row>
    <row r="4908" spans="5:8" ht="15.6">
      <c r="E4908" s="279" t="s">
        <v>5234</v>
      </c>
      <c r="F4908" s="284">
        <f t="shared" ca="1" si="152"/>
        <v>0.10126050349965421</v>
      </c>
      <c r="G4908" s="74">
        <v>38.187630937545578</v>
      </c>
      <c r="H4908" s="74">
        <f t="shared" si="153"/>
        <v>2.3067694057869446</v>
      </c>
    </row>
    <row r="4909" spans="5:8" ht="15.6">
      <c r="E4909" s="279" t="s">
        <v>5235</v>
      </c>
      <c r="F4909" s="284">
        <f t="shared" ca="1" si="152"/>
        <v>0.1325768629198697</v>
      </c>
      <c r="G4909" s="74">
        <v>36.91540781527857</v>
      </c>
      <c r="H4909" s="74">
        <f t="shared" si="153"/>
        <v>3.5789925280539521</v>
      </c>
    </row>
    <row r="4910" spans="5:8" ht="15.6">
      <c r="E4910" s="279" t="s">
        <v>5236</v>
      </c>
      <c r="F4910" s="284">
        <f t="shared" ca="1" si="152"/>
        <v>0.29134355276381241</v>
      </c>
      <c r="G4910" s="74">
        <v>37.332096574641085</v>
      </c>
      <c r="H4910" s="74">
        <f t="shared" si="153"/>
        <v>3.1623037686914373</v>
      </c>
    </row>
    <row r="4911" spans="5:8" ht="15.6">
      <c r="E4911" s="279" t="s">
        <v>5237</v>
      </c>
      <c r="F4911" s="284">
        <f t="shared" ca="1" si="152"/>
        <v>0.77066253427031739</v>
      </c>
      <c r="G4911" s="74">
        <v>38.309963201325743</v>
      </c>
      <c r="H4911" s="74">
        <f t="shared" si="153"/>
        <v>2.1844371420067787</v>
      </c>
    </row>
    <row r="4912" spans="5:8" ht="15.6">
      <c r="E4912" s="279" t="s">
        <v>5238</v>
      </c>
      <c r="F4912" s="284">
        <f t="shared" ca="1" si="152"/>
        <v>2.7754561786909937E-2</v>
      </c>
      <c r="G4912" s="74">
        <v>39.540175944367689</v>
      </c>
      <c r="H4912" s="74">
        <f t="shared" si="153"/>
        <v>0.95422439896483269</v>
      </c>
    </row>
    <row r="4913" spans="5:8" ht="15.6">
      <c r="E4913" s="279" t="s">
        <v>5239</v>
      </c>
      <c r="F4913" s="284">
        <f t="shared" ca="1" si="152"/>
        <v>0.33232529850109549</v>
      </c>
      <c r="G4913" s="74">
        <v>39.167798452638444</v>
      </c>
      <c r="H4913" s="74">
        <f t="shared" si="153"/>
        <v>1.3266018906940786</v>
      </c>
    </row>
    <row r="4914" spans="5:8" ht="15.6">
      <c r="E4914" s="279" t="s">
        <v>5240</v>
      </c>
      <c r="F4914" s="284">
        <f t="shared" ca="1" si="152"/>
        <v>0.37717843469935231</v>
      </c>
      <c r="G4914" s="74">
        <v>39.512831781206366</v>
      </c>
      <c r="H4914" s="74">
        <f t="shared" si="153"/>
        <v>0.98156856212615651</v>
      </c>
    </row>
    <row r="4915" spans="5:8" ht="15.6">
      <c r="E4915" s="279" t="s">
        <v>5241</v>
      </c>
      <c r="F4915" s="284">
        <f t="shared" ca="1" si="152"/>
        <v>0.81321822256227982</v>
      </c>
      <c r="G4915" s="74">
        <v>38.485346808944612</v>
      </c>
      <c r="H4915" s="74">
        <f t="shared" si="153"/>
        <v>2.0090535343879097</v>
      </c>
    </row>
    <row r="4916" spans="5:8" ht="15.6">
      <c r="E4916" s="279" t="s">
        <v>5242</v>
      </c>
      <c r="F4916" s="284">
        <f t="shared" ca="1" si="152"/>
        <v>0.62040338087221569</v>
      </c>
      <c r="G4916" s="74">
        <v>40.114326320263444</v>
      </c>
      <c r="H4916" s="74">
        <f t="shared" si="153"/>
        <v>0.38007402306907778</v>
      </c>
    </row>
    <row r="4917" spans="5:8" ht="15.6">
      <c r="E4917" s="279" t="s">
        <v>5243</v>
      </c>
      <c r="F4917" s="284">
        <f t="shared" ca="1" si="152"/>
        <v>0.82259747459462584</v>
      </c>
      <c r="G4917" s="74">
        <v>34.049159055470874</v>
      </c>
      <c r="H4917" s="74">
        <f t="shared" si="153"/>
        <v>6.4452412878616485</v>
      </c>
    </row>
    <row r="4918" spans="5:8" ht="15.6">
      <c r="E4918" s="279" t="s">
        <v>5244</v>
      </c>
      <c r="F4918" s="284">
        <f t="shared" ca="1" si="152"/>
        <v>0.57833200141576635</v>
      </c>
      <c r="G4918" s="74">
        <v>42.075547689451234</v>
      </c>
      <c r="H4918" s="74">
        <f t="shared" si="153"/>
        <v>-1.581147346118712</v>
      </c>
    </row>
    <row r="4919" spans="5:8" ht="15.6">
      <c r="E4919" s="279" t="s">
        <v>5245</v>
      </c>
      <c r="F4919" s="284">
        <f t="shared" ca="1" si="152"/>
        <v>0.74857761506031495</v>
      </c>
      <c r="G4919" s="74">
        <v>39.580780420675467</v>
      </c>
      <c r="H4919" s="74">
        <f t="shared" si="153"/>
        <v>0.91361992265705538</v>
      </c>
    </row>
    <row r="4920" spans="5:8" ht="15.6">
      <c r="E4920" s="279" t="s">
        <v>5246</v>
      </c>
      <c r="F4920" s="284">
        <f t="shared" ca="1" si="152"/>
        <v>0.35947517931355921</v>
      </c>
      <c r="G4920" s="74">
        <v>40.821804405636215</v>
      </c>
      <c r="H4920" s="74">
        <f t="shared" si="153"/>
        <v>-0.32740406230369246</v>
      </c>
    </row>
    <row r="4921" spans="5:8" ht="15.6">
      <c r="E4921" s="279" t="s">
        <v>5247</v>
      </c>
      <c r="F4921" s="284">
        <f t="shared" ca="1" si="152"/>
        <v>0.35815967153481887</v>
      </c>
      <c r="G4921" s="74">
        <v>42.550542309594633</v>
      </c>
      <c r="H4921" s="74">
        <f t="shared" si="153"/>
        <v>-2.0561419662621105</v>
      </c>
    </row>
    <row r="4922" spans="5:8" ht="15.6">
      <c r="E4922" s="279" t="s">
        <v>5248</v>
      </c>
      <c r="F4922" s="284">
        <f t="shared" ca="1" si="152"/>
        <v>0.42030123401191155</v>
      </c>
      <c r="G4922" s="74">
        <v>35.565504078898535</v>
      </c>
      <c r="H4922" s="74">
        <f t="shared" si="153"/>
        <v>4.9288962644339875</v>
      </c>
    </row>
    <row r="4923" spans="5:8" ht="15.6">
      <c r="E4923" s="279" t="s">
        <v>5249</v>
      </c>
      <c r="F4923" s="284">
        <f t="shared" ca="1" si="152"/>
        <v>0.752262837085932</v>
      </c>
      <c r="G4923" s="74">
        <v>42.690827820899152</v>
      </c>
      <c r="H4923" s="74">
        <f t="shared" si="153"/>
        <v>-2.1964274775666297</v>
      </c>
    </row>
    <row r="4924" spans="5:8" ht="15.6">
      <c r="E4924" s="279" t="s">
        <v>5250</v>
      </c>
      <c r="F4924" s="284">
        <f t="shared" ca="1" si="152"/>
        <v>0.53354093547938164</v>
      </c>
      <c r="G4924" s="74">
        <v>35.912248042040432</v>
      </c>
      <c r="H4924" s="74">
        <f t="shared" si="153"/>
        <v>4.5821523012920906</v>
      </c>
    </row>
    <row r="4925" spans="5:8" ht="15.6">
      <c r="E4925" s="279" t="s">
        <v>5251</v>
      </c>
      <c r="F4925" s="284">
        <f t="shared" ca="1" si="152"/>
        <v>0.22262275236636098</v>
      </c>
      <c r="G4925" s="74">
        <v>38.939995293248195</v>
      </c>
      <c r="H4925" s="74">
        <f t="shared" si="153"/>
        <v>1.5544050500843269</v>
      </c>
    </row>
    <row r="4926" spans="5:8" ht="15.6">
      <c r="E4926" s="279" t="s">
        <v>5252</v>
      </c>
      <c r="F4926" s="284">
        <f t="shared" ca="1" si="152"/>
        <v>0.65027256714917736</v>
      </c>
      <c r="G4926" s="74">
        <v>42.441761649782272</v>
      </c>
      <c r="H4926" s="74">
        <f t="shared" si="153"/>
        <v>-1.9473613064497499</v>
      </c>
    </row>
    <row r="4927" spans="5:8" ht="15.6">
      <c r="E4927" s="279" t="s">
        <v>5253</v>
      </c>
      <c r="F4927" s="284">
        <f t="shared" ca="1" si="152"/>
        <v>0.58062948364524969</v>
      </c>
      <c r="G4927" s="74">
        <v>37.711275660367271</v>
      </c>
      <c r="H4927" s="74">
        <f t="shared" si="153"/>
        <v>2.7831246829652514</v>
      </c>
    </row>
    <row r="4928" spans="5:8" ht="15.6">
      <c r="E4928" s="279" t="s">
        <v>5254</v>
      </c>
      <c r="F4928" s="284">
        <f t="shared" ca="1" si="152"/>
        <v>0.41073693903019148</v>
      </c>
      <c r="G4928" s="74">
        <v>42.803766355242587</v>
      </c>
      <c r="H4928" s="74">
        <f t="shared" si="153"/>
        <v>-2.3093660119100647</v>
      </c>
    </row>
    <row r="4929" spans="5:8" ht="15.6">
      <c r="E4929" s="279" t="s">
        <v>5255</v>
      </c>
      <c r="F4929" s="284">
        <f t="shared" ca="1" si="152"/>
        <v>0.40867460662054322</v>
      </c>
      <c r="G4929" s="74">
        <v>38.427270850633043</v>
      </c>
      <c r="H4929" s="74">
        <f t="shared" si="153"/>
        <v>2.067129492699479</v>
      </c>
    </row>
    <row r="4930" spans="5:8" ht="15.6">
      <c r="E4930" s="279" t="s">
        <v>5256</v>
      </c>
      <c r="F4930" s="284">
        <f t="shared" ca="1" si="152"/>
        <v>0.52334601984651907</v>
      </c>
      <c r="G4930" s="74">
        <v>36.306603680399562</v>
      </c>
      <c r="H4930" s="74">
        <f t="shared" si="153"/>
        <v>4.1877966629329606</v>
      </c>
    </row>
    <row r="4931" spans="5:8" ht="15.6">
      <c r="E4931" s="279" t="s">
        <v>5257</v>
      </c>
      <c r="F4931" s="284">
        <f t="shared" ca="1" si="152"/>
        <v>3.3861144786380248E-2</v>
      </c>
      <c r="G4931" s="74">
        <v>41.03290046975237</v>
      </c>
      <c r="H4931" s="74">
        <f t="shared" si="153"/>
        <v>-0.5385001264198479</v>
      </c>
    </row>
    <row r="4932" spans="5:8" ht="15.6">
      <c r="E4932" s="279" t="s">
        <v>5258</v>
      </c>
      <c r="F4932" s="284">
        <f t="shared" ca="1" si="152"/>
        <v>0.79168078233448946</v>
      </c>
      <c r="G4932" s="74">
        <v>40.420347746189073</v>
      </c>
      <c r="H4932" s="74">
        <f t="shared" si="153"/>
        <v>7.4052597143449361E-2</v>
      </c>
    </row>
    <row r="4933" spans="5:8" ht="15.6">
      <c r="E4933" s="279" t="s">
        <v>5259</v>
      </c>
      <c r="F4933" s="284">
        <f t="shared" ca="1" si="152"/>
        <v>0.85206877122069302</v>
      </c>
      <c r="G4933" s="74">
        <v>43.284195555309381</v>
      </c>
      <c r="H4933" s="74">
        <f t="shared" si="153"/>
        <v>-2.789795211976859</v>
      </c>
    </row>
    <row r="4934" spans="5:8" ht="15.6">
      <c r="E4934" s="279" t="s">
        <v>5260</v>
      </c>
      <c r="F4934" s="284">
        <f t="shared" ca="1" si="152"/>
        <v>0.12780860103702896</v>
      </c>
      <c r="G4934" s="74">
        <v>42.143851108084498</v>
      </c>
      <c r="H4934" s="74">
        <f t="shared" si="153"/>
        <v>-1.6494507647519754</v>
      </c>
    </row>
    <row r="4935" spans="5:8" ht="15.6">
      <c r="E4935" s="279" t="s">
        <v>5261</v>
      </c>
      <c r="F4935" s="284">
        <f t="shared" ca="1" si="152"/>
        <v>0.76201661496238426</v>
      </c>
      <c r="G4935" s="74">
        <v>35.750098771297147</v>
      </c>
      <c r="H4935" s="74">
        <f t="shared" si="153"/>
        <v>4.7443015720353756</v>
      </c>
    </row>
    <row r="4936" spans="5:8" ht="15.6">
      <c r="E4936" s="279" t="s">
        <v>5262</v>
      </c>
      <c r="F4936" s="284">
        <f t="shared" ca="1" si="152"/>
        <v>0.59585436484575915</v>
      </c>
      <c r="G4936" s="74">
        <v>42.728802329406669</v>
      </c>
      <c r="H4936" s="74">
        <f t="shared" si="153"/>
        <v>-2.2344019860741469</v>
      </c>
    </row>
    <row r="4937" spans="5:8" ht="15.6">
      <c r="E4937" s="279" t="s">
        <v>5263</v>
      </c>
      <c r="F4937" s="284">
        <f t="shared" ca="1" si="152"/>
        <v>0.58416320941815392</v>
      </c>
      <c r="G4937" s="74">
        <v>35.711315529303555</v>
      </c>
      <c r="H4937" s="74">
        <f t="shared" si="153"/>
        <v>4.7830848140289675</v>
      </c>
    </row>
    <row r="4938" spans="5:8" ht="15.6">
      <c r="E4938" s="279" t="s">
        <v>5264</v>
      </c>
      <c r="F4938" s="284">
        <f t="shared" ca="1" si="152"/>
        <v>0.58158110533688101</v>
      </c>
      <c r="G4938" s="74">
        <v>39.42020252732727</v>
      </c>
      <c r="H4938" s="74">
        <f t="shared" si="153"/>
        <v>1.0741978160052525</v>
      </c>
    </row>
    <row r="4939" spans="5:8" ht="15.6">
      <c r="E4939" s="279" t="s">
        <v>5265</v>
      </c>
      <c r="F4939" s="284">
        <f t="shared" ca="1" si="152"/>
        <v>0.79517626913248685</v>
      </c>
      <c r="G4939" s="74">
        <v>38.108541375383993</v>
      </c>
      <c r="H4939" s="74">
        <f t="shared" si="153"/>
        <v>2.3858589679485291</v>
      </c>
    </row>
    <row r="4940" spans="5:8" ht="15.6">
      <c r="E4940" s="279" t="s">
        <v>5266</v>
      </c>
      <c r="F4940" s="284">
        <f t="shared" ref="F4940:F5003" ca="1" si="154">RAND()</f>
        <v>0.25791084840379452</v>
      </c>
      <c r="G4940" s="74">
        <v>37.225335761543114</v>
      </c>
      <c r="H4940" s="74">
        <f t="shared" ref="H4940:H5003" si="155">$D$2-G4940</f>
        <v>3.269064581789408</v>
      </c>
    </row>
    <row r="4941" spans="5:8" ht="15.6">
      <c r="E4941" s="279" t="s">
        <v>5267</v>
      </c>
      <c r="F4941" s="284">
        <f t="shared" ca="1" si="154"/>
        <v>0.97458106849764436</v>
      </c>
      <c r="G4941" s="74">
        <v>38.012391041777356</v>
      </c>
      <c r="H4941" s="74">
        <f t="shared" si="155"/>
        <v>2.4820093015551663</v>
      </c>
    </row>
    <row r="4942" spans="5:8" ht="15.6">
      <c r="E4942" s="279" t="s">
        <v>5268</v>
      </c>
      <c r="F4942" s="284">
        <f t="shared" ca="1" si="154"/>
        <v>0.2876211660277791</v>
      </c>
      <c r="G4942" s="74">
        <v>42.393804761843619</v>
      </c>
      <c r="H4942" s="74">
        <f t="shared" si="155"/>
        <v>-1.8994044185110965</v>
      </c>
    </row>
    <row r="4943" spans="5:8" ht="15.6">
      <c r="E4943" s="279" t="s">
        <v>5269</v>
      </c>
      <c r="F4943" s="284">
        <f t="shared" ca="1" si="154"/>
        <v>0.4816126520237588</v>
      </c>
      <c r="G4943" s="74">
        <v>39.043840894919725</v>
      </c>
      <c r="H4943" s="74">
        <f t="shared" si="155"/>
        <v>1.4505594484127968</v>
      </c>
    </row>
    <row r="4944" spans="5:8" ht="15.6">
      <c r="E4944" s="279" t="s">
        <v>5270</v>
      </c>
      <c r="F4944" s="284">
        <f t="shared" ca="1" si="154"/>
        <v>0.22231590743165563</v>
      </c>
      <c r="G4944" s="74">
        <v>39.242602855780781</v>
      </c>
      <c r="H4944" s="74">
        <f t="shared" si="155"/>
        <v>1.251797487551741</v>
      </c>
    </row>
    <row r="4945" spans="5:8" ht="15.6">
      <c r="E4945" s="279" t="s">
        <v>5271</v>
      </c>
      <c r="F4945" s="284">
        <f t="shared" ca="1" si="154"/>
        <v>0.55845392024709373</v>
      </c>
      <c r="G4945" s="74">
        <v>39.698490859207887</v>
      </c>
      <c r="H4945" s="74">
        <f t="shared" si="155"/>
        <v>0.79590948412463547</v>
      </c>
    </row>
    <row r="4946" spans="5:8" ht="15.6">
      <c r="E4946" s="279" t="s">
        <v>5272</v>
      </c>
      <c r="F4946" s="284">
        <f t="shared" ca="1" si="154"/>
        <v>0.16737885448888101</v>
      </c>
      <c r="G4946" s="74">
        <v>40.894237030336505</v>
      </c>
      <c r="H4946" s="74">
        <f t="shared" si="155"/>
        <v>-0.39983668700398312</v>
      </c>
    </row>
    <row r="4947" spans="5:8" ht="15.6">
      <c r="E4947" s="279" t="s">
        <v>5273</v>
      </c>
      <c r="F4947" s="284">
        <f t="shared" ca="1" si="154"/>
        <v>8.3750574373138154E-3</v>
      </c>
      <c r="G4947" s="74">
        <v>39.415153723605833</v>
      </c>
      <c r="H4947" s="74">
        <f t="shared" si="155"/>
        <v>1.079246619726689</v>
      </c>
    </row>
    <row r="4948" spans="5:8" ht="15.6">
      <c r="E4948" s="279" t="s">
        <v>5274</v>
      </c>
      <c r="F4948" s="284">
        <f t="shared" ca="1" si="154"/>
        <v>0.9796424842233924</v>
      </c>
      <c r="G4948" s="74">
        <v>41.068671272995715</v>
      </c>
      <c r="H4948" s="74">
        <f t="shared" si="155"/>
        <v>-0.57427092966319293</v>
      </c>
    </row>
    <row r="4949" spans="5:8" ht="15.6">
      <c r="E4949" s="279" t="s">
        <v>5275</v>
      </c>
      <c r="F4949" s="284">
        <f t="shared" ca="1" si="154"/>
        <v>0.42670537992244084</v>
      </c>
      <c r="G4949" s="74">
        <v>43.075777996866158</v>
      </c>
      <c r="H4949" s="74">
        <f t="shared" si="155"/>
        <v>-2.5813776535336359</v>
      </c>
    </row>
    <row r="4950" spans="5:8" ht="15.6">
      <c r="E4950" s="279" t="s">
        <v>5276</v>
      </c>
      <c r="F4950" s="284">
        <f t="shared" ca="1" si="154"/>
        <v>0.78219103605033946</v>
      </c>
      <c r="G4950" s="74">
        <v>37.188052672832896</v>
      </c>
      <c r="H4950" s="74">
        <f t="shared" si="155"/>
        <v>3.3063476704996262</v>
      </c>
    </row>
    <row r="4951" spans="5:8" ht="15.6">
      <c r="E4951" s="279" t="s">
        <v>5277</v>
      </c>
      <c r="F4951" s="284">
        <f t="shared" ca="1" si="154"/>
        <v>6.7311110243269856E-2</v>
      </c>
      <c r="G4951" s="74">
        <v>41.524759878558008</v>
      </c>
      <c r="H4951" s="74">
        <f t="shared" si="155"/>
        <v>-1.030359535225486</v>
      </c>
    </row>
    <row r="4952" spans="5:8" ht="15.6">
      <c r="E4952" s="279" t="s">
        <v>5278</v>
      </c>
      <c r="F4952" s="284">
        <f t="shared" ca="1" si="154"/>
        <v>0.23412744350392212</v>
      </c>
      <c r="G4952" s="74">
        <v>45.046736325468153</v>
      </c>
      <c r="H4952" s="74">
        <f t="shared" si="155"/>
        <v>-4.5523359821356308</v>
      </c>
    </row>
    <row r="4953" spans="5:8" ht="15.6">
      <c r="E4953" s="279" t="s">
        <v>5279</v>
      </c>
      <c r="F4953" s="284">
        <f t="shared" ca="1" si="154"/>
        <v>0.96193419840276939</v>
      </c>
      <c r="G4953" s="74">
        <v>40.052719911478839</v>
      </c>
      <c r="H4953" s="74">
        <f t="shared" si="155"/>
        <v>0.44168043185368333</v>
      </c>
    </row>
    <row r="4954" spans="5:8" ht="15.6">
      <c r="E4954" s="279" t="s">
        <v>5280</v>
      </c>
      <c r="F4954" s="284">
        <f t="shared" ca="1" si="154"/>
        <v>0.19010773093099476</v>
      </c>
      <c r="G4954" s="74">
        <v>41.299800111240145</v>
      </c>
      <c r="H4954" s="74">
        <f t="shared" si="155"/>
        <v>-0.80539976790762324</v>
      </c>
    </row>
    <row r="4955" spans="5:8" ht="15.6">
      <c r="E4955" s="279" t="s">
        <v>5281</v>
      </c>
      <c r="F4955" s="284">
        <f t="shared" ca="1" si="154"/>
        <v>7.230168599479192E-2</v>
      </c>
      <c r="G4955" s="74">
        <v>40.327663578930249</v>
      </c>
      <c r="H4955" s="74">
        <f t="shared" si="155"/>
        <v>0.16673676440227325</v>
      </c>
    </row>
    <row r="4956" spans="5:8" ht="15.6">
      <c r="E4956" s="279" t="s">
        <v>5282</v>
      </c>
      <c r="F4956" s="284">
        <f t="shared" ca="1" si="154"/>
        <v>0.90957242976552155</v>
      </c>
      <c r="G4956" s="74">
        <v>42.729353957965763</v>
      </c>
      <c r="H4956" s="74">
        <f t="shared" si="155"/>
        <v>-2.2349536146332412</v>
      </c>
    </row>
    <row r="4957" spans="5:8" ht="15.6">
      <c r="E4957" s="279" t="s">
        <v>5283</v>
      </c>
      <c r="F4957" s="284">
        <f t="shared" ca="1" si="154"/>
        <v>0.17778025185789303</v>
      </c>
      <c r="G4957" s="74">
        <v>40.017903189083228</v>
      </c>
      <c r="H4957" s="74">
        <f t="shared" si="155"/>
        <v>0.4764971542492944</v>
      </c>
    </row>
    <row r="4958" spans="5:8" ht="15.6">
      <c r="E4958" s="279" t="s">
        <v>5284</v>
      </c>
      <c r="F4958" s="284">
        <f t="shared" ca="1" si="154"/>
        <v>0.99719504973904594</v>
      </c>
      <c r="G4958" s="74">
        <v>37.555207749890009</v>
      </c>
      <c r="H4958" s="74">
        <f t="shared" si="155"/>
        <v>2.9391925934425132</v>
      </c>
    </row>
    <row r="4959" spans="5:8" ht="15.6">
      <c r="E4959" s="279" t="s">
        <v>5285</v>
      </c>
      <c r="F4959" s="284">
        <f t="shared" ca="1" si="154"/>
        <v>0.14664648874145569</v>
      </c>
      <c r="G4959" s="74">
        <v>35.24562296953696</v>
      </c>
      <c r="H4959" s="74">
        <f t="shared" si="155"/>
        <v>5.2487773737955621</v>
      </c>
    </row>
    <row r="4960" spans="5:8" ht="15.6">
      <c r="E4960" s="279" t="s">
        <v>5286</v>
      </c>
      <c r="F4960" s="284">
        <f t="shared" ca="1" si="154"/>
        <v>0.6025540898399534</v>
      </c>
      <c r="G4960" s="74">
        <v>38.184313401734165</v>
      </c>
      <c r="H4960" s="74">
        <f t="shared" si="155"/>
        <v>2.3100869415983567</v>
      </c>
    </row>
    <row r="4961" spans="5:8" ht="15.6">
      <c r="E4961" s="279" t="s">
        <v>5287</v>
      </c>
      <c r="F4961" s="284">
        <f t="shared" ca="1" si="154"/>
        <v>3.0764599807586723E-3</v>
      </c>
      <c r="G4961" s="74">
        <v>40.754523537177455</v>
      </c>
      <c r="H4961" s="74">
        <f t="shared" si="155"/>
        <v>-0.2601231938449331</v>
      </c>
    </row>
    <row r="4962" spans="5:8" ht="15.6">
      <c r="E4962" s="279" t="s">
        <v>5288</v>
      </c>
      <c r="F4962" s="284">
        <f t="shared" ca="1" si="154"/>
        <v>0.50162588501375083</v>
      </c>
      <c r="G4962" s="74">
        <v>40.959769174121462</v>
      </c>
      <c r="H4962" s="74">
        <f t="shared" si="155"/>
        <v>-0.46536883078893965</v>
      </c>
    </row>
    <row r="4963" spans="5:8" ht="15.6">
      <c r="E4963" s="279" t="s">
        <v>5289</v>
      </c>
      <c r="F4963" s="284">
        <f t="shared" ca="1" si="154"/>
        <v>0.5671618776849604</v>
      </c>
      <c r="G4963" s="74">
        <v>37.278319625826285</v>
      </c>
      <c r="H4963" s="74">
        <f t="shared" si="155"/>
        <v>3.2160807175062374</v>
      </c>
    </row>
    <row r="4964" spans="5:8" ht="15.6">
      <c r="E4964" s="279" t="s">
        <v>5290</v>
      </c>
      <c r="F4964" s="284">
        <f t="shared" ca="1" si="154"/>
        <v>0.79128867171652473</v>
      </c>
      <c r="G4964" s="74">
        <v>37.936297352012701</v>
      </c>
      <c r="H4964" s="74">
        <f t="shared" si="155"/>
        <v>2.5581029913198208</v>
      </c>
    </row>
    <row r="4965" spans="5:8" ht="15.6">
      <c r="E4965" s="279" t="s">
        <v>5291</v>
      </c>
      <c r="F4965" s="284">
        <f t="shared" ca="1" si="154"/>
        <v>0.46532528575125798</v>
      </c>
      <c r="G4965" s="74">
        <v>42.967929885264468</v>
      </c>
      <c r="H4965" s="74">
        <f t="shared" si="155"/>
        <v>-2.4735295419319456</v>
      </c>
    </row>
    <row r="4966" spans="5:8" ht="15.6">
      <c r="E4966" s="279" t="s">
        <v>5292</v>
      </c>
      <c r="F4966" s="284">
        <f t="shared" ca="1" si="154"/>
        <v>0.52321226889330552</v>
      </c>
      <c r="G4966" s="74">
        <v>38.293814017580885</v>
      </c>
      <c r="H4966" s="74">
        <f t="shared" si="155"/>
        <v>2.2005863257516367</v>
      </c>
    </row>
    <row r="4967" spans="5:8" ht="15.6">
      <c r="E4967" s="279" t="s">
        <v>5293</v>
      </c>
      <c r="F4967" s="284">
        <f t="shared" ca="1" si="154"/>
        <v>0.9647806693994383</v>
      </c>
      <c r="G4967" s="74">
        <v>40.00397518388295</v>
      </c>
      <c r="H4967" s="74">
        <f t="shared" si="155"/>
        <v>0.49042515944957188</v>
      </c>
    </row>
    <row r="4968" spans="5:8" ht="15.6">
      <c r="E4968" s="279" t="s">
        <v>5294</v>
      </c>
      <c r="F4968" s="284">
        <f t="shared" ca="1" si="154"/>
        <v>0.97860913856080223</v>
      </c>
      <c r="G4968" s="74">
        <v>41.276018805729393</v>
      </c>
      <c r="H4968" s="74">
        <f t="shared" si="155"/>
        <v>-0.78161846239687094</v>
      </c>
    </row>
    <row r="4969" spans="5:8" ht="15.6">
      <c r="E4969" s="279" t="s">
        <v>5295</v>
      </c>
      <c r="F4969" s="284">
        <f t="shared" ca="1" si="154"/>
        <v>0.6100351506909607</v>
      </c>
      <c r="G4969" s="74">
        <v>42.760847721560239</v>
      </c>
      <c r="H4969" s="74">
        <f t="shared" si="155"/>
        <v>-2.266447378227717</v>
      </c>
    </row>
    <row r="4970" spans="5:8" ht="15.6">
      <c r="E4970" s="279" t="s">
        <v>5296</v>
      </c>
      <c r="F4970" s="284">
        <f t="shared" ca="1" si="154"/>
        <v>0.58558960796532333</v>
      </c>
      <c r="G4970" s="74">
        <v>37.851952280557221</v>
      </c>
      <c r="H4970" s="74">
        <f t="shared" si="155"/>
        <v>2.6424480627753013</v>
      </c>
    </row>
    <row r="4971" spans="5:8" ht="15.6">
      <c r="E4971" s="279" t="s">
        <v>5297</v>
      </c>
      <c r="F4971" s="284">
        <f t="shared" ca="1" si="154"/>
        <v>0.68309339202463903</v>
      </c>
      <c r="G4971" s="74">
        <v>39.983456137084055</v>
      </c>
      <c r="H4971" s="74">
        <f t="shared" si="155"/>
        <v>0.51094420624846748</v>
      </c>
    </row>
    <row r="4972" spans="5:8" ht="15.6">
      <c r="E4972" s="279" t="s">
        <v>5298</v>
      </c>
      <c r="F4972" s="284">
        <f t="shared" ca="1" si="154"/>
        <v>0.70493854352442076</v>
      </c>
      <c r="G4972" s="74">
        <v>40.188908725095509</v>
      </c>
      <c r="H4972" s="74">
        <f t="shared" si="155"/>
        <v>0.30549161823701354</v>
      </c>
    </row>
    <row r="4973" spans="5:8" ht="15.6">
      <c r="E4973" s="279" t="s">
        <v>5299</v>
      </c>
      <c r="F4973" s="284">
        <f t="shared" ca="1" si="154"/>
        <v>0.77394360224002001</v>
      </c>
      <c r="G4973" s="74">
        <v>39.119670256044017</v>
      </c>
      <c r="H4973" s="74">
        <f t="shared" si="155"/>
        <v>1.3747300872885049</v>
      </c>
    </row>
    <row r="4974" spans="5:8" ht="15.6">
      <c r="E4974" s="279" t="s">
        <v>5300</v>
      </c>
      <c r="F4974" s="284">
        <f t="shared" ca="1" si="154"/>
        <v>0.20212409380681351</v>
      </c>
      <c r="G4974" s="74">
        <v>40.075440169285507</v>
      </c>
      <c r="H4974" s="74">
        <f t="shared" si="155"/>
        <v>0.41896017404701524</v>
      </c>
    </row>
    <row r="4975" spans="5:8" ht="15.6">
      <c r="E4975" s="279" t="s">
        <v>5301</v>
      </c>
      <c r="F4975" s="284">
        <f t="shared" ca="1" si="154"/>
        <v>0.29409155432592415</v>
      </c>
      <c r="G4975" s="74">
        <v>42.222188865468766</v>
      </c>
      <c r="H4975" s="74">
        <f t="shared" si="155"/>
        <v>-1.7277885221362439</v>
      </c>
    </row>
    <row r="4976" spans="5:8" ht="15.6">
      <c r="E4976" s="279" t="s">
        <v>5302</v>
      </c>
      <c r="F4976" s="284">
        <f t="shared" ca="1" si="154"/>
        <v>0.34552449704306554</v>
      </c>
      <c r="G4976" s="74">
        <v>35.19826364114396</v>
      </c>
      <c r="H4976" s="74">
        <f t="shared" si="155"/>
        <v>5.2961367021885621</v>
      </c>
    </row>
    <row r="4977" spans="5:8" ht="15.6">
      <c r="E4977" s="279" t="s">
        <v>5303</v>
      </c>
      <c r="F4977" s="284">
        <f t="shared" ca="1" si="154"/>
        <v>6.8715655972517387E-2</v>
      </c>
      <c r="G4977" s="74">
        <v>35.841209570577121</v>
      </c>
      <c r="H4977" s="74">
        <f t="shared" si="155"/>
        <v>4.6531907727554014</v>
      </c>
    </row>
    <row r="4978" spans="5:8" ht="15.6">
      <c r="E4978" s="279" t="s">
        <v>5304</v>
      </c>
      <c r="F4978" s="284">
        <f t="shared" ca="1" si="154"/>
        <v>0.60864611285308923</v>
      </c>
      <c r="G4978" s="74">
        <v>38.148955592238941</v>
      </c>
      <c r="H4978" s="74">
        <f t="shared" si="155"/>
        <v>2.3454447510935807</v>
      </c>
    </row>
    <row r="4979" spans="5:8" ht="15.6">
      <c r="E4979" s="279" t="s">
        <v>5305</v>
      </c>
      <c r="F4979" s="284">
        <f t="shared" ca="1" si="154"/>
        <v>0.96592263770083775</v>
      </c>
      <c r="G4979" s="74">
        <v>40.815333479815642</v>
      </c>
      <c r="H4979" s="74">
        <f t="shared" si="155"/>
        <v>-0.32093313648312005</v>
      </c>
    </row>
    <row r="4980" spans="5:8" ht="15.6">
      <c r="E4980" s="279" t="s">
        <v>5306</v>
      </c>
      <c r="F4980" s="284">
        <f t="shared" ca="1" si="154"/>
        <v>7.0760114151450226E-2</v>
      </c>
      <c r="G4980" s="74">
        <v>40.861936664010329</v>
      </c>
      <c r="H4980" s="74">
        <f t="shared" si="155"/>
        <v>-0.36753632067780728</v>
      </c>
    </row>
    <row r="4981" spans="5:8" ht="15.6">
      <c r="E4981" s="279" t="s">
        <v>5307</v>
      </c>
      <c r="F4981" s="284">
        <f t="shared" ca="1" si="154"/>
        <v>0.89543724218498166</v>
      </c>
      <c r="G4981" s="74">
        <v>38.674045185213139</v>
      </c>
      <c r="H4981" s="74">
        <f t="shared" si="155"/>
        <v>1.8203551581193835</v>
      </c>
    </row>
    <row r="4982" spans="5:8" ht="15.6">
      <c r="E4982" s="279" t="s">
        <v>5308</v>
      </c>
      <c r="F4982" s="284">
        <f t="shared" ca="1" si="154"/>
        <v>0.79483845398657282</v>
      </c>
      <c r="G4982" s="74">
        <v>36.895842119061278</v>
      </c>
      <c r="H4982" s="74">
        <f t="shared" si="155"/>
        <v>3.5985582242712439</v>
      </c>
    </row>
    <row r="4983" spans="5:8" ht="15.6">
      <c r="E4983" s="279" t="s">
        <v>5309</v>
      </c>
      <c r="F4983" s="284">
        <f t="shared" ca="1" si="154"/>
        <v>0.5857912065924743</v>
      </c>
      <c r="G4983" s="74">
        <v>36.376910185372111</v>
      </c>
      <c r="H4983" s="74">
        <f t="shared" si="155"/>
        <v>4.1174901579604111</v>
      </c>
    </row>
    <row r="4984" spans="5:8" ht="15.6">
      <c r="E4984" s="279" t="s">
        <v>5310</v>
      </c>
      <c r="F4984" s="284">
        <f t="shared" ca="1" si="154"/>
        <v>0.43295449815784059</v>
      </c>
      <c r="G4984" s="74">
        <v>36.609929516538507</v>
      </c>
      <c r="H4984" s="74">
        <f t="shared" si="155"/>
        <v>3.8844708267940149</v>
      </c>
    </row>
    <row r="4985" spans="5:8" ht="15.6">
      <c r="E4985" s="279" t="s">
        <v>5311</v>
      </c>
      <c r="F4985" s="284">
        <f t="shared" ca="1" si="154"/>
        <v>0.69707378383203678</v>
      </c>
      <c r="G4985" s="74">
        <v>34.458297916501401</v>
      </c>
      <c r="H4985" s="74">
        <f t="shared" si="155"/>
        <v>6.0361024268311212</v>
      </c>
    </row>
    <row r="4986" spans="5:8" ht="15.6">
      <c r="E4986" s="279" t="s">
        <v>5312</v>
      </c>
      <c r="F4986" s="284">
        <f t="shared" ca="1" si="154"/>
        <v>0.70791248538587959</v>
      </c>
      <c r="G4986" s="74">
        <v>41.92775439628479</v>
      </c>
      <c r="H4986" s="74">
        <f t="shared" si="155"/>
        <v>-1.4333540529522679</v>
      </c>
    </row>
    <row r="4987" spans="5:8" ht="15.6">
      <c r="E4987" s="279" t="s">
        <v>5313</v>
      </c>
      <c r="F4987" s="284">
        <f t="shared" ca="1" si="154"/>
        <v>0.53149641305373063</v>
      </c>
      <c r="G4987" s="74">
        <v>37.467211034825098</v>
      </c>
      <c r="H4987" s="74">
        <f t="shared" si="155"/>
        <v>3.027189308507424</v>
      </c>
    </row>
    <row r="4988" spans="5:8" ht="15.6">
      <c r="E4988" s="279" t="s">
        <v>5314</v>
      </c>
      <c r="F4988" s="284">
        <f t="shared" ca="1" si="154"/>
        <v>0.79084543008249653</v>
      </c>
      <c r="G4988" s="74">
        <v>38.680404269477272</v>
      </c>
      <c r="H4988" s="74">
        <f t="shared" si="155"/>
        <v>1.8139960738552503</v>
      </c>
    </row>
    <row r="4989" spans="5:8" ht="15.6">
      <c r="E4989" s="279" t="s">
        <v>5315</v>
      </c>
      <c r="F4989" s="284">
        <f t="shared" ca="1" si="154"/>
        <v>0.72478437172895172</v>
      </c>
      <c r="G4989" s="74">
        <v>36.576616595623882</v>
      </c>
      <c r="H4989" s="74">
        <f t="shared" si="155"/>
        <v>3.9177837477086399</v>
      </c>
    </row>
    <row r="4990" spans="5:8" ht="15.6">
      <c r="E4990" s="279" t="s">
        <v>5316</v>
      </c>
      <c r="F4990" s="284">
        <f t="shared" ca="1" si="154"/>
        <v>0.63026274457134901</v>
      </c>
      <c r="G4990" s="74">
        <v>35.205346380353113</v>
      </c>
      <c r="H4990" s="74">
        <f t="shared" si="155"/>
        <v>5.2890539629794091</v>
      </c>
    </row>
    <row r="4991" spans="5:8" ht="15.6">
      <c r="E4991" s="279" t="s">
        <v>5317</v>
      </c>
      <c r="F4991" s="284">
        <f t="shared" ca="1" si="154"/>
        <v>0.31530442444646667</v>
      </c>
      <c r="G4991" s="74">
        <v>43.96553763207087</v>
      </c>
      <c r="H4991" s="74">
        <f t="shared" si="155"/>
        <v>-3.4711372887383476</v>
      </c>
    </row>
    <row r="4992" spans="5:8" ht="15.6">
      <c r="E4992" s="279" t="s">
        <v>5318</v>
      </c>
      <c r="F4992" s="284">
        <f t="shared" ca="1" si="154"/>
        <v>0.88668625071190821</v>
      </c>
      <c r="G4992" s="74">
        <v>41.795379662155021</v>
      </c>
      <c r="H4992" s="74">
        <f t="shared" si="155"/>
        <v>-1.300979318822499</v>
      </c>
    </row>
    <row r="4993" spans="5:8" ht="15.6">
      <c r="E4993" s="279" t="s">
        <v>5319</v>
      </c>
      <c r="F4993" s="284">
        <f t="shared" ca="1" si="154"/>
        <v>0.94773016646396824</v>
      </c>
      <c r="G4993" s="74">
        <v>37.261197765698192</v>
      </c>
      <c r="H4993" s="74">
        <f t="shared" si="155"/>
        <v>3.2332025776343301</v>
      </c>
    </row>
    <row r="4994" spans="5:8" ht="15.6">
      <c r="E4994" s="279" t="s">
        <v>5320</v>
      </c>
      <c r="F4994" s="284">
        <f t="shared" ca="1" si="154"/>
        <v>0.70959345565113752</v>
      </c>
      <c r="G4994" s="74">
        <v>39.2905952557985</v>
      </c>
      <c r="H4994" s="74">
        <f t="shared" si="155"/>
        <v>1.2038050875340218</v>
      </c>
    </row>
    <row r="4995" spans="5:8" ht="15.6">
      <c r="E4995" s="279" t="s">
        <v>5321</v>
      </c>
      <c r="F4995" s="284">
        <f t="shared" ca="1" si="154"/>
        <v>0.13564498242481893</v>
      </c>
      <c r="G4995" s="74">
        <v>37.327337004042953</v>
      </c>
      <c r="H4995" s="74">
        <f t="shared" si="155"/>
        <v>3.1670633392895695</v>
      </c>
    </row>
    <row r="4996" spans="5:8" ht="15.6">
      <c r="E4996" s="279" t="s">
        <v>5322</v>
      </c>
      <c r="F4996" s="284">
        <f t="shared" ca="1" si="154"/>
        <v>3.6192899773599407E-3</v>
      </c>
      <c r="G4996" s="74">
        <v>37.986329973490157</v>
      </c>
      <c r="H4996" s="74">
        <f t="shared" si="155"/>
        <v>2.5080703698423648</v>
      </c>
    </row>
    <row r="4997" spans="5:8" ht="15.6">
      <c r="E4997" s="279" t="s">
        <v>5323</v>
      </c>
      <c r="F4997" s="284">
        <f t="shared" ca="1" si="154"/>
        <v>0.87781072655071335</v>
      </c>
      <c r="G4997" s="74">
        <v>41.904689505391758</v>
      </c>
      <c r="H4997" s="74">
        <f t="shared" si="155"/>
        <v>-1.4102891620592359</v>
      </c>
    </row>
    <row r="4998" spans="5:8" ht="15.6">
      <c r="E4998" s="279" t="s">
        <v>5324</v>
      </c>
      <c r="F4998" s="284">
        <f t="shared" ca="1" si="154"/>
        <v>0.19366653457307825</v>
      </c>
      <c r="G4998" s="74">
        <v>40.595597460021402</v>
      </c>
      <c r="H4998" s="74">
        <f t="shared" si="155"/>
        <v>-0.10119711668887987</v>
      </c>
    </row>
    <row r="4999" spans="5:8" ht="15.6">
      <c r="E4999" s="279" t="s">
        <v>5325</v>
      </c>
      <c r="F4999" s="284">
        <f t="shared" ca="1" si="154"/>
        <v>0.53442550375590703</v>
      </c>
      <c r="G4999" s="74">
        <v>35.877362428101861</v>
      </c>
      <c r="H4999" s="74">
        <f t="shared" si="155"/>
        <v>4.6170379152306609</v>
      </c>
    </row>
    <row r="5000" spans="5:8" ht="15.6">
      <c r="E5000" s="279" t="s">
        <v>5326</v>
      </c>
      <c r="F5000" s="284">
        <f t="shared" ca="1" si="154"/>
        <v>0.28881232062468776</v>
      </c>
      <c r="G5000" s="74">
        <v>37.078601103374332</v>
      </c>
      <c r="H5000" s="74">
        <f t="shared" si="155"/>
        <v>3.41579923995819</v>
      </c>
    </row>
    <row r="5001" spans="5:8" ht="15.6">
      <c r="E5001" s="279" t="s">
        <v>5327</v>
      </c>
      <c r="F5001" s="284">
        <f t="shared" ca="1" si="154"/>
        <v>0.26787873336459633</v>
      </c>
      <c r="G5001" s="74">
        <v>36.735404991888096</v>
      </c>
      <c r="H5001" s="74">
        <f t="shared" si="155"/>
        <v>3.7589953514444261</v>
      </c>
    </row>
    <row r="5002" spans="5:8" ht="15.6">
      <c r="E5002" s="279" t="s">
        <v>5328</v>
      </c>
      <c r="F5002" s="284">
        <f t="shared" ca="1" si="154"/>
        <v>0.22674552463287223</v>
      </c>
      <c r="G5002" s="74">
        <v>37.359100783685811</v>
      </c>
      <c r="H5002" s="74">
        <f t="shared" si="155"/>
        <v>3.135299559646711</v>
      </c>
    </row>
    <row r="5003" spans="5:8" ht="15.6">
      <c r="E5003" s="279" t="s">
        <v>5329</v>
      </c>
      <c r="F5003" s="284">
        <f t="shared" ca="1" si="154"/>
        <v>0.8024072692006653</v>
      </c>
      <c r="G5003" s="74">
        <v>40.048273105259554</v>
      </c>
      <c r="H5003" s="74">
        <f t="shared" si="155"/>
        <v>0.44612723807296817</v>
      </c>
    </row>
    <row r="5004" spans="5:8" ht="15.6">
      <c r="E5004" s="279" t="s">
        <v>5330</v>
      </c>
      <c r="F5004" s="284">
        <f t="shared" ref="F5004:F5067" ca="1" si="156">RAND()</f>
        <v>0.81489298408648925</v>
      </c>
      <c r="G5004" s="74">
        <v>36.239927142409179</v>
      </c>
      <c r="H5004" s="74">
        <f t="shared" ref="H5004:H5067" si="157">$D$2-G5004</f>
        <v>4.2544732009233428</v>
      </c>
    </row>
    <row r="5005" spans="5:8" ht="15.6">
      <c r="E5005" s="279" t="s">
        <v>5331</v>
      </c>
      <c r="F5005" s="284">
        <f t="shared" ca="1" si="156"/>
        <v>9.7241928068722339E-2</v>
      </c>
      <c r="G5005" s="74">
        <v>38.505841822858322</v>
      </c>
      <c r="H5005" s="74">
        <f t="shared" si="157"/>
        <v>1.9885585204742</v>
      </c>
    </row>
    <row r="5006" spans="5:8" ht="15.6">
      <c r="E5006" s="279" t="s">
        <v>5332</v>
      </c>
      <c r="F5006" s="284">
        <f t="shared" ca="1" si="156"/>
        <v>0.70635967464916005</v>
      </c>
      <c r="G5006" s="74">
        <v>45.218572955066413</v>
      </c>
      <c r="H5006" s="74">
        <f t="shared" si="157"/>
        <v>-4.7241726117338914</v>
      </c>
    </row>
    <row r="5007" spans="5:8" ht="15.6">
      <c r="E5007" s="279" t="s">
        <v>5333</v>
      </c>
      <c r="F5007" s="284">
        <f t="shared" ca="1" si="156"/>
        <v>0.82534729643696281</v>
      </c>
      <c r="G5007" s="74">
        <v>39.606601632519727</v>
      </c>
      <c r="H5007" s="74">
        <f t="shared" si="157"/>
        <v>0.88779871081279538</v>
      </c>
    </row>
    <row r="5008" spans="5:8" ht="15.6">
      <c r="E5008" s="279" t="s">
        <v>5334</v>
      </c>
      <c r="F5008" s="284">
        <f t="shared" ca="1" si="156"/>
        <v>0.43564049896988066</v>
      </c>
      <c r="G5008" s="74">
        <v>44.795742688020638</v>
      </c>
      <c r="H5008" s="74">
        <f t="shared" si="157"/>
        <v>-4.3013423446881163</v>
      </c>
    </row>
    <row r="5009" spans="5:8" ht="15.6">
      <c r="E5009" s="279" t="s">
        <v>5335</v>
      </c>
      <c r="F5009" s="284">
        <f t="shared" ca="1" si="156"/>
        <v>0.38222009679868507</v>
      </c>
      <c r="G5009" s="74">
        <v>42.738983753382307</v>
      </c>
      <c r="H5009" s="74">
        <f t="shared" si="157"/>
        <v>-2.2445834100497848</v>
      </c>
    </row>
    <row r="5010" spans="5:8" ht="15.6">
      <c r="E5010" s="279" t="s">
        <v>5336</v>
      </c>
      <c r="F5010" s="284">
        <f t="shared" ca="1" si="156"/>
        <v>0.83743227804773701</v>
      </c>
      <c r="G5010" s="74">
        <v>37.471129210436352</v>
      </c>
      <c r="H5010" s="74">
        <f t="shared" si="157"/>
        <v>3.0232711328961699</v>
      </c>
    </row>
    <row r="5011" spans="5:8" ht="15.6">
      <c r="E5011" s="279" t="s">
        <v>5337</v>
      </c>
      <c r="F5011" s="284">
        <f t="shared" ca="1" si="156"/>
        <v>9.5703606932426077E-2</v>
      </c>
      <c r="G5011" s="74">
        <v>35.675926813373827</v>
      </c>
      <c r="H5011" s="74">
        <f t="shared" si="157"/>
        <v>4.8184735299586947</v>
      </c>
    </row>
    <row r="5012" spans="5:8" ht="15.6">
      <c r="E5012" s="279" t="s">
        <v>5338</v>
      </c>
      <c r="F5012" s="284">
        <f t="shared" ca="1" si="156"/>
        <v>0.58118181322621587</v>
      </c>
      <c r="G5012" s="74">
        <v>45.760669796717572</v>
      </c>
      <c r="H5012" s="74">
        <f t="shared" si="157"/>
        <v>-5.2662694533850498</v>
      </c>
    </row>
    <row r="5013" spans="5:8" ht="15.6">
      <c r="E5013" s="279" t="s">
        <v>5339</v>
      </c>
      <c r="F5013" s="284">
        <f t="shared" ca="1" si="156"/>
        <v>0.60632910384257077</v>
      </c>
      <c r="G5013" s="74">
        <v>36.943588273299675</v>
      </c>
      <c r="H5013" s="74">
        <f t="shared" si="157"/>
        <v>3.5508120700328476</v>
      </c>
    </row>
    <row r="5014" spans="5:8" ht="15.6">
      <c r="E5014" s="279" t="s">
        <v>5340</v>
      </c>
      <c r="F5014" s="284">
        <f t="shared" ca="1" si="156"/>
        <v>0.82602607679765783</v>
      </c>
      <c r="G5014" s="74">
        <v>38.169931095317608</v>
      </c>
      <c r="H5014" s="74">
        <f t="shared" si="157"/>
        <v>2.3244692480149141</v>
      </c>
    </row>
    <row r="5015" spans="5:8" ht="15.6">
      <c r="E5015" s="279" t="s">
        <v>5341</v>
      </c>
      <c r="F5015" s="284">
        <f t="shared" ca="1" si="156"/>
        <v>0.22345269779255661</v>
      </c>
      <c r="G5015" s="74">
        <v>40.713044364359142</v>
      </c>
      <c r="H5015" s="74">
        <f t="shared" si="157"/>
        <v>-0.21864402102661984</v>
      </c>
    </row>
    <row r="5016" spans="5:8" ht="15.6">
      <c r="E5016" s="279" t="s">
        <v>5342</v>
      </c>
      <c r="F5016" s="284">
        <f t="shared" ca="1" si="156"/>
        <v>0.62448871538835082</v>
      </c>
      <c r="G5016" s="74">
        <v>40.604315597742684</v>
      </c>
      <c r="H5016" s="74">
        <f t="shared" si="157"/>
        <v>-0.10991525441016137</v>
      </c>
    </row>
    <row r="5017" spans="5:8" ht="15.6">
      <c r="E5017" s="279" t="s">
        <v>5343</v>
      </c>
      <c r="F5017" s="284">
        <f t="shared" ca="1" si="156"/>
        <v>0.69336257289236047</v>
      </c>
      <c r="G5017" s="74">
        <v>36.337740055568673</v>
      </c>
      <c r="H5017" s="74">
        <f t="shared" si="157"/>
        <v>4.1566602877638488</v>
      </c>
    </row>
    <row r="5018" spans="5:8" ht="15.6">
      <c r="E5018" s="279" t="s">
        <v>5344</v>
      </c>
      <c r="F5018" s="284">
        <f t="shared" ca="1" si="156"/>
        <v>0.87447042924346485</v>
      </c>
      <c r="G5018" s="74">
        <v>41.948906954025887</v>
      </c>
      <c r="H5018" s="74">
        <f t="shared" si="157"/>
        <v>-1.4545066106933646</v>
      </c>
    </row>
    <row r="5019" spans="5:8" ht="15.6">
      <c r="E5019" s="279" t="s">
        <v>5345</v>
      </c>
      <c r="F5019" s="284">
        <f t="shared" ca="1" si="156"/>
        <v>0.62386897777112127</v>
      </c>
      <c r="G5019" s="74">
        <v>39.293257941761667</v>
      </c>
      <c r="H5019" s="74">
        <f t="shared" si="157"/>
        <v>1.2011424015708556</v>
      </c>
    </row>
    <row r="5020" spans="5:8" ht="15.6">
      <c r="E5020" s="279" t="s">
        <v>5346</v>
      </c>
      <c r="F5020" s="284">
        <f t="shared" ca="1" si="156"/>
        <v>0.76089801587544237</v>
      </c>
      <c r="G5020" s="74">
        <v>44.131887849528034</v>
      </c>
      <c r="H5020" s="74">
        <f t="shared" si="157"/>
        <v>-3.6374875061955123</v>
      </c>
    </row>
    <row r="5021" spans="5:8" ht="15.6">
      <c r="E5021" s="279" t="s">
        <v>5347</v>
      </c>
      <c r="F5021" s="284">
        <f t="shared" ca="1" si="156"/>
        <v>0.25392436807902508</v>
      </c>
      <c r="G5021" s="74">
        <v>40.409269922055131</v>
      </c>
      <c r="H5021" s="74">
        <f t="shared" si="157"/>
        <v>8.5130421277391122E-2</v>
      </c>
    </row>
    <row r="5022" spans="5:8" ht="15.6">
      <c r="E5022" s="279" t="s">
        <v>5348</v>
      </c>
      <c r="F5022" s="284">
        <f t="shared" ca="1" si="156"/>
        <v>0.55167175739621521</v>
      </c>
      <c r="G5022" s="74">
        <v>40.031748897480341</v>
      </c>
      <c r="H5022" s="74">
        <f t="shared" si="157"/>
        <v>0.4626514458521811</v>
      </c>
    </row>
    <row r="5023" spans="5:8" ht="15.6">
      <c r="E5023" s="279" t="s">
        <v>5349</v>
      </c>
      <c r="F5023" s="284">
        <f t="shared" ca="1" si="156"/>
        <v>4.8407346043094823E-2</v>
      </c>
      <c r="G5023" s="74">
        <v>39.754092016613221</v>
      </c>
      <c r="H5023" s="74">
        <f t="shared" si="157"/>
        <v>0.74030832671930114</v>
      </c>
    </row>
    <row r="5024" spans="5:8" ht="15.6">
      <c r="E5024" s="279" t="s">
        <v>5350</v>
      </c>
      <c r="F5024" s="284">
        <f t="shared" ca="1" si="156"/>
        <v>5.5007984930781184E-2</v>
      </c>
      <c r="G5024" s="74">
        <v>42.736153241605287</v>
      </c>
      <c r="H5024" s="74">
        <f t="shared" si="157"/>
        <v>-2.2417528982727646</v>
      </c>
    </row>
    <row r="5025" spans="5:8" ht="15.6">
      <c r="E5025" s="279" t="s">
        <v>5351</v>
      </c>
      <c r="F5025" s="284">
        <f t="shared" ca="1" si="156"/>
        <v>0.98279164107796591</v>
      </c>
      <c r="G5025" s="74">
        <v>39.705394770734245</v>
      </c>
      <c r="H5025" s="74">
        <f t="shared" si="157"/>
        <v>0.78900557259827764</v>
      </c>
    </row>
    <row r="5026" spans="5:8" ht="15.6">
      <c r="E5026" s="279" t="s">
        <v>5352</v>
      </c>
      <c r="F5026" s="284">
        <f t="shared" ca="1" si="156"/>
        <v>0.38213464672300879</v>
      </c>
      <c r="G5026" s="74">
        <v>42.041198499991516</v>
      </c>
      <c r="H5026" s="74">
        <f t="shared" si="157"/>
        <v>-1.5467981566589941</v>
      </c>
    </row>
    <row r="5027" spans="5:8" ht="15.6">
      <c r="E5027" s="279" t="s">
        <v>5353</v>
      </c>
      <c r="F5027" s="284">
        <f t="shared" ca="1" si="156"/>
        <v>0.42580442642692884</v>
      </c>
      <c r="G5027" s="74">
        <v>34.581594317485589</v>
      </c>
      <c r="H5027" s="74">
        <f t="shared" si="157"/>
        <v>5.9128060258469333</v>
      </c>
    </row>
    <row r="5028" spans="5:8" ht="15.6">
      <c r="E5028" s="279" t="s">
        <v>5354</v>
      </c>
      <c r="F5028" s="284">
        <f t="shared" ca="1" si="156"/>
        <v>0.33695125008419113</v>
      </c>
      <c r="G5028" s="74">
        <v>40.924235632351063</v>
      </c>
      <c r="H5028" s="74">
        <f t="shared" si="157"/>
        <v>-0.42983528901854129</v>
      </c>
    </row>
    <row r="5029" spans="5:8" ht="15.6">
      <c r="E5029" s="279" t="s">
        <v>5355</v>
      </c>
      <c r="F5029" s="284">
        <f t="shared" ca="1" si="156"/>
        <v>0.11030945647608148</v>
      </c>
      <c r="G5029" s="74">
        <v>38.462090094366964</v>
      </c>
      <c r="H5029" s="74">
        <f t="shared" si="157"/>
        <v>2.0323102489655582</v>
      </c>
    </row>
    <row r="5030" spans="5:8" ht="15.6">
      <c r="E5030" s="279" t="s">
        <v>5356</v>
      </c>
      <c r="F5030" s="284">
        <f t="shared" ca="1" si="156"/>
        <v>0.66642659259374992</v>
      </c>
      <c r="G5030" s="74">
        <v>40.113564382175625</v>
      </c>
      <c r="H5030" s="74">
        <f t="shared" si="157"/>
        <v>0.38083596115689744</v>
      </c>
    </row>
    <row r="5031" spans="5:8" ht="15.6">
      <c r="E5031" s="279" t="s">
        <v>5357</v>
      </c>
      <c r="F5031" s="284">
        <f t="shared" ca="1" si="156"/>
        <v>0.12707982688649311</v>
      </c>
      <c r="G5031" s="74">
        <v>40.588817885022138</v>
      </c>
      <c r="H5031" s="74">
        <f t="shared" si="157"/>
        <v>-9.4417541689615803E-2</v>
      </c>
    </row>
    <row r="5032" spans="5:8" ht="15.6">
      <c r="E5032" s="279" t="s">
        <v>5358</v>
      </c>
      <c r="F5032" s="284">
        <f t="shared" ca="1" si="156"/>
        <v>0.65967387806312039</v>
      </c>
      <c r="G5032" s="74">
        <v>41.589915834411059</v>
      </c>
      <c r="H5032" s="74">
        <f t="shared" si="157"/>
        <v>-1.0955154910785367</v>
      </c>
    </row>
    <row r="5033" spans="5:8" ht="15.6">
      <c r="E5033" s="279" t="s">
        <v>5359</v>
      </c>
      <c r="F5033" s="284">
        <f t="shared" ca="1" si="156"/>
        <v>0.13874175962126634</v>
      </c>
      <c r="G5033" s="74">
        <v>34.141461088792326</v>
      </c>
      <c r="H5033" s="74">
        <f t="shared" si="157"/>
        <v>6.3529392545401961</v>
      </c>
    </row>
    <row r="5034" spans="5:8" ht="15.6">
      <c r="E5034" s="279" t="s">
        <v>5360</v>
      </c>
      <c r="F5034" s="284">
        <f t="shared" ca="1" si="156"/>
        <v>0.49061340019343513</v>
      </c>
      <c r="G5034" s="74">
        <v>36.810274253696257</v>
      </c>
      <c r="H5034" s="74">
        <f t="shared" si="157"/>
        <v>3.6841260896362655</v>
      </c>
    </row>
    <row r="5035" spans="5:8" ht="15.6">
      <c r="E5035" s="279" t="s">
        <v>5361</v>
      </c>
      <c r="F5035" s="284">
        <f t="shared" ca="1" si="156"/>
        <v>9.2627285828060568E-2</v>
      </c>
      <c r="G5035" s="74">
        <v>44.268485970327404</v>
      </c>
      <c r="H5035" s="74">
        <f t="shared" si="157"/>
        <v>-3.7740856269948821</v>
      </c>
    </row>
    <row r="5036" spans="5:8" ht="15.6">
      <c r="E5036" s="279" t="s">
        <v>5362</v>
      </c>
      <c r="F5036" s="284">
        <f t="shared" ca="1" si="156"/>
        <v>3.7904653227010199E-2</v>
      </c>
      <c r="G5036" s="74">
        <v>42.827469988792593</v>
      </c>
      <c r="H5036" s="74">
        <f t="shared" si="157"/>
        <v>-2.3330696454600712</v>
      </c>
    </row>
    <row r="5037" spans="5:8" ht="15.6">
      <c r="E5037" s="279" t="s">
        <v>5363</v>
      </c>
      <c r="F5037" s="284">
        <f t="shared" ca="1" si="156"/>
        <v>0.26199170996655252</v>
      </c>
      <c r="G5037" s="74">
        <v>36.177289402377895</v>
      </c>
      <c r="H5037" s="74">
        <f t="shared" si="157"/>
        <v>4.3171109409546276</v>
      </c>
    </row>
    <row r="5038" spans="5:8" ht="15.6">
      <c r="E5038" s="279" t="s">
        <v>5364</v>
      </c>
      <c r="F5038" s="284">
        <f t="shared" ca="1" si="156"/>
        <v>0.4686281483083814</v>
      </c>
      <c r="G5038" s="74">
        <v>35.199841888333999</v>
      </c>
      <c r="H5038" s="74">
        <f t="shared" si="157"/>
        <v>5.2945584549985227</v>
      </c>
    </row>
    <row r="5039" spans="5:8" ht="15.6">
      <c r="E5039" s="279" t="s">
        <v>5365</v>
      </c>
      <c r="F5039" s="284">
        <f t="shared" ca="1" si="156"/>
        <v>8.8152443813098169E-2</v>
      </c>
      <c r="G5039" s="74">
        <v>40.201882047846851</v>
      </c>
      <c r="H5039" s="74">
        <f t="shared" si="157"/>
        <v>0.29251829548567088</v>
      </c>
    </row>
    <row r="5040" spans="5:8" ht="15.6">
      <c r="E5040" s="279" t="s">
        <v>5366</v>
      </c>
      <c r="F5040" s="284">
        <f t="shared" ca="1" si="156"/>
        <v>0.97561100822462832</v>
      </c>
      <c r="G5040" s="74">
        <v>40.783797052233083</v>
      </c>
      <c r="H5040" s="74">
        <f t="shared" si="157"/>
        <v>-0.28939670890056135</v>
      </c>
    </row>
    <row r="5041" spans="5:8" ht="15.6">
      <c r="E5041" s="279" t="s">
        <v>5367</v>
      </c>
      <c r="F5041" s="284">
        <f t="shared" ca="1" si="156"/>
        <v>0.26809301351417492</v>
      </c>
      <c r="G5041" s="74">
        <v>44.982533822856951</v>
      </c>
      <c r="H5041" s="74">
        <f t="shared" si="157"/>
        <v>-4.4881334795244285</v>
      </c>
    </row>
    <row r="5042" spans="5:8" ht="15.6">
      <c r="E5042" s="279" t="s">
        <v>5368</v>
      </c>
      <c r="F5042" s="284">
        <f t="shared" ca="1" si="156"/>
        <v>0.92084584912757339</v>
      </c>
      <c r="G5042" s="74">
        <v>41.652343235877737</v>
      </c>
      <c r="H5042" s="74">
        <f t="shared" si="157"/>
        <v>-1.1579428925452149</v>
      </c>
    </row>
    <row r="5043" spans="5:8" ht="15.6">
      <c r="E5043" s="279" t="s">
        <v>5369</v>
      </c>
      <c r="F5043" s="284">
        <f t="shared" ca="1" si="156"/>
        <v>0.77499189125221135</v>
      </c>
      <c r="G5043" s="74">
        <v>37.969817849120837</v>
      </c>
      <c r="H5043" s="74">
        <f t="shared" si="157"/>
        <v>2.5245824942116855</v>
      </c>
    </row>
    <row r="5044" spans="5:8" ht="15.6">
      <c r="E5044" s="279" t="s">
        <v>5370</v>
      </c>
      <c r="F5044" s="284">
        <f t="shared" ca="1" si="156"/>
        <v>0.58460148953208269</v>
      </c>
      <c r="G5044" s="74">
        <v>38.71257081173804</v>
      </c>
      <c r="H5044" s="74">
        <f t="shared" si="157"/>
        <v>1.7818295315944823</v>
      </c>
    </row>
    <row r="5045" spans="5:8" ht="15.6">
      <c r="E5045" s="279" t="s">
        <v>5371</v>
      </c>
      <c r="F5045" s="284">
        <f t="shared" ca="1" si="156"/>
        <v>0.79034888393871316</v>
      </c>
      <c r="G5045" s="74">
        <v>38.722472501460409</v>
      </c>
      <c r="H5045" s="74">
        <f t="shared" si="157"/>
        <v>1.7719278418721132</v>
      </c>
    </row>
    <row r="5046" spans="5:8" ht="15.6">
      <c r="E5046" s="279" t="s">
        <v>5372</v>
      </c>
      <c r="F5046" s="284">
        <f t="shared" ca="1" si="156"/>
        <v>0.24561477559004596</v>
      </c>
      <c r="G5046" s="74">
        <v>38.344612655753473</v>
      </c>
      <c r="H5046" s="74">
        <f t="shared" si="157"/>
        <v>2.1497876875790496</v>
      </c>
    </row>
    <row r="5047" spans="5:8" ht="15.6">
      <c r="E5047" s="279" t="s">
        <v>5373</v>
      </c>
      <c r="F5047" s="284">
        <f t="shared" ca="1" si="156"/>
        <v>9.5458579469056892E-2</v>
      </c>
      <c r="G5047" s="74">
        <v>38.314014630532689</v>
      </c>
      <c r="H5047" s="74">
        <f t="shared" si="157"/>
        <v>2.1803857127998327</v>
      </c>
    </row>
    <row r="5048" spans="5:8" ht="15.6">
      <c r="E5048" s="279" t="s">
        <v>5374</v>
      </c>
      <c r="F5048" s="284">
        <f t="shared" ca="1" si="156"/>
        <v>0.94239302218536092</v>
      </c>
      <c r="G5048" s="74">
        <v>39.055035027308875</v>
      </c>
      <c r="H5048" s="74">
        <f t="shared" si="157"/>
        <v>1.4393653160236468</v>
      </c>
    </row>
    <row r="5049" spans="5:8" ht="15.6">
      <c r="E5049" s="279" t="s">
        <v>5375</v>
      </c>
      <c r="F5049" s="284">
        <f t="shared" ca="1" si="156"/>
        <v>0.73173989459523625</v>
      </c>
      <c r="G5049" s="74">
        <v>38.419387407479036</v>
      </c>
      <c r="H5049" s="74">
        <f t="shared" si="157"/>
        <v>2.0750129358534863</v>
      </c>
    </row>
    <row r="5050" spans="5:8" ht="15.6">
      <c r="E5050" s="279" t="s">
        <v>5376</v>
      </c>
      <c r="F5050" s="284">
        <f t="shared" ca="1" si="156"/>
        <v>0.2290660194621621</v>
      </c>
      <c r="G5050" s="74">
        <v>45.753468826322035</v>
      </c>
      <c r="H5050" s="74">
        <f t="shared" si="157"/>
        <v>-5.2590684829895125</v>
      </c>
    </row>
    <row r="5051" spans="5:8" ht="15.6">
      <c r="E5051" s="279" t="s">
        <v>5377</v>
      </c>
      <c r="F5051" s="284">
        <f t="shared" ca="1" si="156"/>
        <v>0.33303244818921318</v>
      </c>
      <c r="G5051" s="74">
        <v>38.799913063803025</v>
      </c>
      <c r="H5051" s="74">
        <f t="shared" si="157"/>
        <v>1.694487279529497</v>
      </c>
    </row>
    <row r="5052" spans="5:8" ht="15.6">
      <c r="E5052" s="279" t="s">
        <v>5378</v>
      </c>
      <c r="F5052" s="284">
        <f t="shared" ca="1" si="156"/>
        <v>0.67429814627253493</v>
      </c>
      <c r="G5052" s="74">
        <v>42.510205166306747</v>
      </c>
      <c r="H5052" s="74">
        <f t="shared" si="157"/>
        <v>-2.0158048229742249</v>
      </c>
    </row>
    <row r="5053" spans="5:8" ht="15.6">
      <c r="E5053" s="279" t="s">
        <v>5379</v>
      </c>
      <c r="F5053" s="284">
        <f t="shared" ca="1" si="156"/>
        <v>0.37606741683308242</v>
      </c>
      <c r="G5053" s="74">
        <v>38.175422513937569</v>
      </c>
      <c r="H5053" s="74">
        <f t="shared" si="157"/>
        <v>2.318977829394953</v>
      </c>
    </row>
    <row r="5054" spans="5:8" ht="15.6">
      <c r="E5054" s="279" t="s">
        <v>5380</v>
      </c>
      <c r="F5054" s="284">
        <f t="shared" ca="1" si="156"/>
        <v>0.18958940536279945</v>
      </c>
      <c r="G5054" s="74">
        <v>42.939316459085319</v>
      </c>
      <c r="H5054" s="74">
        <f t="shared" si="157"/>
        <v>-2.4449161157527968</v>
      </c>
    </row>
    <row r="5055" spans="5:8" ht="15.6">
      <c r="E5055" s="279" t="s">
        <v>5381</v>
      </c>
      <c r="F5055" s="284">
        <f t="shared" ca="1" si="156"/>
        <v>0.66472005831447767</v>
      </c>
      <c r="G5055" s="74">
        <v>43.587392780005366</v>
      </c>
      <c r="H5055" s="74">
        <f t="shared" si="157"/>
        <v>-3.0929924366728443</v>
      </c>
    </row>
    <row r="5056" spans="5:8" ht="15.6">
      <c r="E5056" s="279" t="s">
        <v>5382</v>
      </c>
      <c r="F5056" s="284">
        <f t="shared" ca="1" si="156"/>
        <v>0.65723517170241597</v>
      </c>
      <c r="G5056" s="74">
        <v>38.183610158431769</v>
      </c>
      <c r="H5056" s="74">
        <f t="shared" si="157"/>
        <v>2.3107901849007533</v>
      </c>
    </row>
    <row r="5057" spans="5:8" ht="15.6">
      <c r="E5057" s="279" t="s">
        <v>5383</v>
      </c>
      <c r="F5057" s="284">
        <f t="shared" ca="1" si="156"/>
        <v>0.58942029316914657</v>
      </c>
      <c r="G5057" s="74">
        <v>40.177622049789214</v>
      </c>
      <c r="H5057" s="74">
        <f t="shared" si="157"/>
        <v>0.31677829354330811</v>
      </c>
    </row>
    <row r="5058" spans="5:8" ht="15.6">
      <c r="E5058" s="279" t="s">
        <v>5384</v>
      </c>
      <c r="F5058" s="284">
        <f t="shared" ca="1" si="156"/>
        <v>0.42909176408838567</v>
      </c>
      <c r="G5058" s="74">
        <v>45.216554982709148</v>
      </c>
      <c r="H5058" s="74">
        <f t="shared" si="157"/>
        <v>-4.7221546393766261</v>
      </c>
    </row>
    <row r="5059" spans="5:8" ht="15.6">
      <c r="E5059" s="279" t="s">
        <v>5385</v>
      </c>
      <c r="F5059" s="284">
        <f t="shared" ca="1" si="156"/>
        <v>0.51247707641118623</v>
      </c>
      <c r="G5059" s="74">
        <v>40.897463468386739</v>
      </c>
      <c r="H5059" s="74">
        <f t="shared" si="157"/>
        <v>-0.40306312505421715</v>
      </c>
    </row>
    <row r="5060" spans="5:8" ht="15.6">
      <c r="E5060" s="279" t="s">
        <v>5386</v>
      </c>
      <c r="F5060" s="284">
        <f t="shared" ca="1" si="156"/>
        <v>0.90869850160851262</v>
      </c>
      <c r="G5060" s="74">
        <v>31.920078822764776</v>
      </c>
      <c r="H5060" s="74">
        <f t="shared" si="157"/>
        <v>8.5743215205677465</v>
      </c>
    </row>
    <row r="5061" spans="5:8" ht="15.6">
      <c r="E5061" s="279" t="s">
        <v>5387</v>
      </c>
      <c r="F5061" s="284">
        <f t="shared" ca="1" si="156"/>
        <v>8.079804702314608E-2</v>
      </c>
      <c r="G5061" s="74">
        <v>42.044663285102125</v>
      </c>
      <c r="H5061" s="74">
        <f t="shared" si="157"/>
        <v>-1.5502629417696028</v>
      </c>
    </row>
    <row r="5062" spans="5:8" ht="15.6">
      <c r="E5062" s="279" t="s">
        <v>5388</v>
      </c>
      <c r="F5062" s="284">
        <f t="shared" ca="1" si="156"/>
        <v>0.65184093033851176</v>
      </c>
      <c r="G5062" s="74">
        <v>34.790890243853227</v>
      </c>
      <c r="H5062" s="74">
        <f t="shared" si="157"/>
        <v>5.7035100994792955</v>
      </c>
    </row>
    <row r="5063" spans="5:8" ht="15.6">
      <c r="E5063" s="279" t="s">
        <v>5389</v>
      </c>
      <c r="F5063" s="284">
        <f t="shared" ca="1" si="156"/>
        <v>0.8610954199614903</v>
      </c>
      <c r="G5063" s="74">
        <v>34.94350483559419</v>
      </c>
      <c r="H5063" s="74">
        <f t="shared" si="157"/>
        <v>5.550895507738332</v>
      </c>
    </row>
    <row r="5064" spans="5:8" ht="15.6">
      <c r="E5064" s="279" t="s">
        <v>5390</v>
      </c>
      <c r="F5064" s="284">
        <f t="shared" ca="1" si="156"/>
        <v>0.99973608933684344</v>
      </c>
      <c r="G5064" s="74">
        <v>37.402763369789014</v>
      </c>
      <c r="H5064" s="74">
        <f t="shared" si="157"/>
        <v>3.0916369735435083</v>
      </c>
    </row>
    <row r="5065" spans="5:8" ht="15.6">
      <c r="E5065" s="279" t="s">
        <v>5391</v>
      </c>
      <c r="F5065" s="284">
        <f t="shared" ca="1" si="156"/>
        <v>0.14754868673112909</v>
      </c>
      <c r="G5065" s="74">
        <v>37.595366811549134</v>
      </c>
      <c r="H5065" s="74">
        <f t="shared" si="157"/>
        <v>2.8990335317833882</v>
      </c>
    </row>
    <row r="5066" spans="5:8" ht="15.6">
      <c r="E5066" s="279" t="s">
        <v>5392</v>
      </c>
      <c r="F5066" s="284">
        <f t="shared" ca="1" si="156"/>
        <v>6.2108323452090053E-2</v>
      </c>
      <c r="G5066" s="74">
        <v>40.732881408099125</v>
      </c>
      <c r="H5066" s="74">
        <f t="shared" si="157"/>
        <v>-0.23848106476660291</v>
      </c>
    </row>
    <row r="5067" spans="5:8" ht="15.6">
      <c r="E5067" s="279" t="s">
        <v>5393</v>
      </c>
      <c r="F5067" s="284">
        <f t="shared" ca="1" si="156"/>
        <v>0.54291294287714598</v>
      </c>
      <c r="G5067" s="74">
        <v>37.39536343760826</v>
      </c>
      <c r="H5067" s="74">
        <f t="shared" si="157"/>
        <v>3.0990369057242617</v>
      </c>
    </row>
    <row r="5068" spans="5:8" ht="15.6">
      <c r="E5068" s="279" t="s">
        <v>5394</v>
      </c>
      <c r="F5068" s="284">
        <f t="shared" ref="F5068:F5131" ca="1" si="158">RAND()</f>
        <v>0.92088377547050293</v>
      </c>
      <c r="G5068" s="74">
        <v>40.941754822621931</v>
      </c>
      <c r="H5068" s="74">
        <f t="shared" ref="H5068:H5131" si="159">$D$2-G5068</f>
        <v>-0.44735447928940886</v>
      </c>
    </row>
    <row r="5069" spans="5:8" ht="15.6">
      <c r="E5069" s="279" t="s">
        <v>5395</v>
      </c>
      <c r="F5069" s="284">
        <f t="shared" ca="1" si="158"/>
        <v>5.5229653493664044E-2</v>
      </c>
      <c r="G5069" s="74">
        <v>40.430894324533057</v>
      </c>
      <c r="H5069" s="74">
        <f t="shared" si="159"/>
        <v>6.350601879946538E-2</v>
      </c>
    </row>
    <row r="5070" spans="5:8" ht="15.6">
      <c r="E5070" s="279" t="s">
        <v>5396</v>
      </c>
      <c r="F5070" s="284">
        <f t="shared" ca="1" si="158"/>
        <v>0.23536053424821701</v>
      </c>
      <c r="G5070" s="74">
        <v>40.968279420577055</v>
      </c>
      <c r="H5070" s="74">
        <f t="shared" si="159"/>
        <v>-0.47387907724453271</v>
      </c>
    </row>
    <row r="5071" spans="5:8" ht="15.6">
      <c r="E5071" s="279" t="s">
        <v>5397</v>
      </c>
      <c r="F5071" s="284">
        <f t="shared" ca="1" si="158"/>
        <v>0.78223177991203963</v>
      </c>
      <c r="G5071" s="74">
        <v>39.131004023713551</v>
      </c>
      <c r="H5071" s="74">
        <f t="shared" si="159"/>
        <v>1.3633963196189711</v>
      </c>
    </row>
    <row r="5072" spans="5:8" ht="15.6">
      <c r="E5072" s="279" t="s">
        <v>5398</v>
      </c>
      <c r="F5072" s="284">
        <f t="shared" ca="1" si="158"/>
        <v>0.36983539824977207</v>
      </c>
      <c r="G5072" s="74">
        <v>41.954491327067259</v>
      </c>
      <c r="H5072" s="74">
        <f t="shared" si="159"/>
        <v>-1.4600909837347373</v>
      </c>
    </row>
    <row r="5073" spans="5:8" ht="15.6">
      <c r="E5073" s="279" t="s">
        <v>5399</v>
      </c>
      <c r="F5073" s="284">
        <f t="shared" ca="1" si="158"/>
        <v>0.1980712936527167</v>
      </c>
      <c r="G5073" s="74">
        <v>38.006034709294859</v>
      </c>
      <c r="H5073" s="74">
        <f t="shared" si="159"/>
        <v>2.4883656340376632</v>
      </c>
    </row>
    <row r="5074" spans="5:8" ht="15.6">
      <c r="E5074" s="279" t="s">
        <v>5400</v>
      </c>
      <c r="F5074" s="284">
        <f t="shared" ca="1" si="158"/>
        <v>0.66384113884974083</v>
      </c>
      <c r="G5074" s="74">
        <v>39.091696135480198</v>
      </c>
      <c r="H5074" s="74">
        <f t="shared" si="159"/>
        <v>1.4027042078523237</v>
      </c>
    </row>
    <row r="5075" spans="5:8" ht="15.6">
      <c r="E5075" s="279" t="s">
        <v>5401</v>
      </c>
      <c r="F5075" s="284">
        <f t="shared" ca="1" si="158"/>
        <v>3.2183562439887958E-2</v>
      </c>
      <c r="G5075" s="74">
        <v>39.513768890144775</v>
      </c>
      <c r="H5075" s="74">
        <f t="shared" si="159"/>
        <v>0.98063145318774758</v>
      </c>
    </row>
    <row r="5076" spans="5:8" ht="15.6">
      <c r="E5076" s="279" t="s">
        <v>5402</v>
      </c>
      <c r="F5076" s="284">
        <f t="shared" ca="1" si="158"/>
        <v>0.49061647495581329</v>
      </c>
      <c r="G5076" s="74">
        <v>42.189435054100365</v>
      </c>
      <c r="H5076" s="74">
        <f t="shared" si="159"/>
        <v>-1.6950347107678425</v>
      </c>
    </row>
    <row r="5077" spans="5:8" ht="15.6">
      <c r="E5077" s="279" t="s">
        <v>5403</v>
      </c>
      <c r="F5077" s="284">
        <f t="shared" ca="1" si="158"/>
        <v>0.52406290871655004</v>
      </c>
      <c r="G5077" s="74">
        <v>41.453677492004047</v>
      </c>
      <c r="H5077" s="74">
        <f t="shared" si="159"/>
        <v>-0.95927714867152503</v>
      </c>
    </row>
    <row r="5078" spans="5:8" ht="15.6">
      <c r="E5078" s="279" t="s">
        <v>5404</v>
      </c>
      <c r="F5078" s="284">
        <f t="shared" ca="1" si="158"/>
        <v>0.10664094622730191</v>
      </c>
      <c r="G5078" s="74">
        <v>41.390976735079079</v>
      </c>
      <c r="H5078" s="74">
        <f t="shared" si="159"/>
        <v>-0.89657639174655657</v>
      </c>
    </row>
    <row r="5079" spans="5:8" ht="15.6">
      <c r="E5079" s="279" t="s">
        <v>5405</v>
      </c>
      <c r="F5079" s="284">
        <f t="shared" ca="1" si="158"/>
        <v>0.27941590391210247</v>
      </c>
      <c r="G5079" s="74">
        <v>40.441014507555771</v>
      </c>
      <c r="H5079" s="74">
        <f t="shared" si="159"/>
        <v>5.3385835776751378E-2</v>
      </c>
    </row>
    <row r="5080" spans="5:8" ht="15.6">
      <c r="E5080" s="279" t="s">
        <v>5406</v>
      </c>
      <c r="F5080" s="284">
        <f t="shared" ca="1" si="158"/>
        <v>1.1191557082460668E-2</v>
      </c>
      <c r="G5080" s="74">
        <v>38.854962313887775</v>
      </c>
      <c r="H5080" s="74">
        <f t="shared" si="159"/>
        <v>1.6394380294447473</v>
      </c>
    </row>
    <row r="5081" spans="5:8" ht="15.6">
      <c r="E5081" s="279" t="s">
        <v>5407</v>
      </c>
      <c r="F5081" s="284">
        <f t="shared" ca="1" si="158"/>
        <v>0.81828901741391624</v>
      </c>
      <c r="G5081" s="74">
        <v>39.603254442653096</v>
      </c>
      <c r="H5081" s="74">
        <f t="shared" si="159"/>
        <v>0.89114590067942601</v>
      </c>
    </row>
    <row r="5082" spans="5:8" ht="15.6">
      <c r="E5082" s="279" t="s">
        <v>5408</v>
      </c>
      <c r="F5082" s="284">
        <f t="shared" ca="1" si="158"/>
        <v>0.64363080409081075</v>
      </c>
      <c r="G5082" s="74">
        <v>41.631493188661999</v>
      </c>
      <c r="H5082" s="74">
        <f t="shared" si="159"/>
        <v>-1.1370928453294766</v>
      </c>
    </row>
    <row r="5083" spans="5:8" ht="15.6">
      <c r="E5083" s="279" t="s">
        <v>5409</v>
      </c>
      <c r="F5083" s="284">
        <f t="shared" ca="1" si="158"/>
        <v>0.63533003543990252</v>
      </c>
      <c r="G5083" s="74">
        <v>33.023365698823277</v>
      </c>
      <c r="H5083" s="74">
        <f t="shared" si="159"/>
        <v>7.4710346445092455</v>
      </c>
    </row>
    <row r="5084" spans="5:8" ht="15.6">
      <c r="E5084" s="279" t="s">
        <v>5410</v>
      </c>
      <c r="F5084" s="284">
        <f t="shared" ca="1" si="158"/>
        <v>0.49308691162740936</v>
      </c>
      <c r="G5084" s="74">
        <v>38.994258604012778</v>
      </c>
      <c r="H5084" s="74">
        <f t="shared" si="159"/>
        <v>1.5001417393197443</v>
      </c>
    </row>
    <row r="5085" spans="5:8" ht="15.6">
      <c r="E5085" s="279" t="s">
        <v>5411</v>
      </c>
      <c r="F5085" s="284">
        <f t="shared" ca="1" si="158"/>
        <v>0.95787380903963992</v>
      </c>
      <c r="G5085" s="74">
        <v>39.250021321711522</v>
      </c>
      <c r="H5085" s="74">
        <f t="shared" si="159"/>
        <v>1.2443790216210004</v>
      </c>
    </row>
    <row r="5086" spans="5:8" ht="15.6">
      <c r="E5086" s="279" t="s">
        <v>5412</v>
      </c>
      <c r="F5086" s="284">
        <f t="shared" ca="1" si="158"/>
        <v>0.20432233202946282</v>
      </c>
      <c r="G5086" s="74">
        <v>37.29635730351665</v>
      </c>
      <c r="H5086" s="74">
        <f t="shared" si="159"/>
        <v>3.1980430398158717</v>
      </c>
    </row>
    <row r="5087" spans="5:8" ht="15.6">
      <c r="E5087" s="279" t="s">
        <v>5413</v>
      </c>
      <c r="F5087" s="284">
        <f t="shared" ca="1" si="158"/>
        <v>0.40326063941249402</v>
      </c>
      <c r="G5087" s="74">
        <v>39.752953302075674</v>
      </c>
      <c r="H5087" s="74">
        <f t="shared" si="159"/>
        <v>0.74144704125684768</v>
      </c>
    </row>
    <row r="5088" spans="5:8" ht="15.6">
      <c r="E5088" s="279" t="s">
        <v>5414</v>
      </c>
      <c r="F5088" s="284">
        <f t="shared" ca="1" si="158"/>
        <v>0.46545529190945834</v>
      </c>
      <c r="G5088" s="74">
        <v>38.830822848140379</v>
      </c>
      <c r="H5088" s="74">
        <f t="shared" si="159"/>
        <v>1.6635774951921434</v>
      </c>
    </row>
    <row r="5089" spans="5:8" ht="15.6">
      <c r="E5089" s="279" t="s">
        <v>5415</v>
      </c>
      <c r="F5089" s="284">
        <f t="shared" ca="1" si="158"/>
        <v>0.34856967728792898</v>
      </c>
      <c r="G5089" s="74">
        <v>41.247118078070116</v>
      </c>
      <c r="H5089" s="74">
        <f t="shared" si="159"/>
        <v>-0.75271773473759396</v>
      </c>
    </row>
    <row r="5090" spans="5:8" ht="15.6">
      <c r="E5090" s="279" t="s">
        <v>5416</v>
      </c>
      <c r="F5090" s="284">
        <f t="shared" ca="1" si="158"/>
        <v>0.25508336935590448</v>
      </c>
      <c r="G5090" s="74">
        <v>36.430314445320526</v>
      </c>
      <c r="H5090" s="74">
        <f t="shared" si="159"/>
        <v>4.0640858980119958</v>
      </c>
    </row>
    <row r="5091" spans="5:8" ht="15.6">
      <c r="E5091" s="279" t="s">
        <v>5417</v>
      </c>
      <c r="F5091" s="284">
        <f t="shared" ca="1" si="158"/>
        <v>0.10796260577377004</v>
      </c>
      <c r="G5091" s="74">
        <v>38.566219885286039</v>
      </c>
      <c r="H5091" s="74">
        <f t="shared" si="159"/>
        <v>1.9281804580464836</v>
      </c>
    </row>
    <row r="5092" spans="5:8" ht="15.6">
      <c r="E5092" s="279" t="s">
        <v>5418</v>
      </c>
      <c r="F5092" s="284">
        <f t="shared" ca="1" si="158"/>
        <v>0.17476882377539149</v>
      </c>
      <c r="G5092" s="74">
        <v>41.863936360149999</v>
      </c>
      <c r="H5092" s="74">
        <f t="shared" si="159"/>
        <v>-1.3695360168174773</v>
      </c>
    </row>
    <row r="5093" spans="5:8" ht="15.6">
      <c r="E5093" s="279" t="s">
        <v>5419</v>
      </c>
      <c r="F5093" s="284">
        <f t="shared" ca="1" si="158"/>
        <v>0.45990234769132132</v>
      </c>
      <c r="G5093" s="74">
        <v>42.567205173339211</v>
      </c>
      <c r="H5093" s="74">
        <f t="shared" si="159"/>
        <v>-2.0728048300066888</v>
      </c>
    </row>
    <row r="5094" spans="5:8" ht="15.6">
      <c r="E5094" s="279" t="s">
        <v>5420</v>
      </c>
      <c r="F5094" s="284">
        <f t="shared" ca="1" si="158"/>
        <v>0.96122163557316387</v>
      </c>
      <c r="G5094" s="74">
        <v>39.842250276300895</v>
      </c>
      <c r="H5094" s="74">
        <f t="shared" si="159"/>
        <v>0.65215006703162715</v>
      </c>
    </row>
    <row r="5095" spans="5:8" ht="15.6">
      <c r="E5095" s="279" t="s">
        <v>5421</v>
      </c>
      <c r="F5095" s="284">
        <f t="shared" ca="1" si="158"/>
        <v>1.8863521332922573E-2</v>
      </c>
      <c r="G5095" s="74">
        <v>40.014193318456286</v>
      </c>
      <c r="H5095" s="74">
        <f t="shared" si="159"/>
        <v>0.48020702487623623</v>
      </c>
    </row>
    <row r="5096" spans="5:8" ht="15.6">
      <c r="E5096" s="279" t="s">
        <v>5422</v>
      </c>
      <c r="F5096" s="284">
        <f t="shared" ca="1" si="158"/>
        <v>0.1506588080451623</v>
      </c>
      <c r="G5096" s="74">
        <v>39.000379820298789</v>
      </c>
      <c r="H5096" s="74">
        <f t="shared" si="159"/>
        <v>1.4940205230337327</v>
      </c>
    </row>
    <row r="5097" spans="5:8" ht="15.6">
      <c r="E5097" s="279" t="s">
        <v>5423</v>
      </c>
      <c r="F5097" s="284">
        <f t="shared" ca="1" si="158"/>
        <v>0.80210013262471425</v>
      </c>
      <c r="G5097" s="74">
        <v>37.612143138613469</v>
      </c>
      <c r="H5097" s="74">
        <f t="shared" si="159"/>
        <v>2.8822572047190533</v>
      </c>
    </row>
    <row r="5098" spans="5:8" ht="15.6">
      <c r="E5098" s="279" t="s">
        <v>5424</v>
      </c>
      <c r="F5098" s="284">
        <f t="shared" ca="1" si="158"/>
        <v>0.34240948166898011</v>
      </c>
      <c r="G5098" s="74">
        <v>41.139619003427882</v>
      </c>
      <c r="H5098" s="74">
        <f t="shared" si="159"/>
        <v>-0.64521866009535955</v>
      </c>
    </row>
    <row r="5099" spans="5:8" ht="15.6">
      <c r="E5099" s="279" t="s">
        <v>5425</v>
      </c>
      <c r="F5099" s="284">
        <f t="shared" ca="1" si="158"/>
        <v>0.57302689525164519</v>
      </c>
      <c r="G5099" s="74">
        <v>38.516794448917466</v>
      </c>
      <c r="H5099" s="74">
        <f t="shared" si="159"/>
        <v>1.9776058944150563</v>
      </c>
    </row>
    <row r="5100" spans="5:8" ht="15.6">
      <c r="E5100" s="279" t="s">
        <v>5426</v>
      </c>
      <c r="F5100" s="284">
        <f t="shared" ca="1" si="158"/>
        <v>5.2390751042514005E-2</v>
      </c>
      <c r="G5100" s="74">
        <v>36.831319166023938</v>
      </c>
      <c r="H5100" s="74">
        <f t="shared" si="159"/>
        <v>3.6630811773085838</v>
      </c>
    </row>
    <row r="5101" spans="5:8" ht="15.6">
      <c r="E5101" s="279" t="s">
        <v>5427</v>
      </c>
      <c r="F5101" s="284">
        <f t="shared" ca="1" si="158"/>
        <v>0.27444717547700481</v>
      </c>
      <c r="G5101" s="74">
        <v>36.614433305766255</v>
      </c>
      <c r="H5101" s="74">
        <f t="shared" si="159"/>
        <v>3.8799670375662672</v>
      </c>
    </row>
    <row r="5102" spans="5:8" ht="15.6">
      <c r="E5102" s="279" t="s">
        <v>5428</v>
      </c>
      <c r="F5102" s="284">
        <f t="shared" ca="1" si="158"/>
        <v>2.7098447328135045E-2</v>
      </c>
      <c r="G5102" s="74">
        <v>42.437378389536342</v>
      </c>
      <c r="H5102" s="74">
        <f t="shared" si="159"/>
        <v>-1.9429780462038195</v>
      </c>
    </row>
    <row r="5103" spans="5:8" ht="15.6">
      <c r="E5103" s="279" t="s">
        <v>5429</v>
      </c>
      <c r="F5103" s="284">
        <f t="shared" ca="1" si="158"/>
        <v>7.4605198616925272E-2</v>
      </c>
      <c r="G5103" s="74">
        <v>39.00984053578172</v>
      </c>
      <c r="H5103" s="74">
        <f t="shared" si="159"/>
        <v>1.4845598075508022</v>
      </c>
    </row>
    <row r="5104" spans="5:8" ht="15.6">
      <c r="E5104" s="279" t="s">
        <v>5430</v>
      </c>
      <c r="F5104" s="284">
        <f t="shared" ca="1" si="158"/>
        <v>0.52371271301740163</v>
      </c>
      <c r="G5104" s="74">
        <v>36.753770689116052</v>
      </c>
      <c r="H5104" s="74">
        <f t="shared" si="159"/>
        <v>3.7406296542164696</v>
      </c>
    </row>
    <row r="5105" spans="5:8" ht="15.6">
      <c r="E5105" s="279" t="s">
        <v>5431</v>
      </c>
      <c r="F5105" s="284">
        <f t="shared" ca="1" si="158"/>
        <v>0.82359336282882345</v>
      </c>
      <c r="G5105" s="74">
        <v>39.865267627255733</v>
      </c>
      <c r="H5105" s="74">
        <f t="shared" si="159"/>
        <v>0.62913271607678922</v>
      </c>
    </row>
    <row r="5106" spans="5:8" ht="15.6">
      <c r="E5106" s="279" t="s">
        <v>5432</v>
      </c>
      <c r="F5106" s="284">
        <f t="shared" ca="1" si="158"/>
        <v>0.19210160245740204</v>
      </c>
      <c r="G5106" s="74">
        <v>39.717770236960668</v>
      </c>
      <c r="H5106" s="74">
        <f t="shared" si="159"/>
        <v>0.77663010637185437</v>
      </c>
    </row>
    <row r="5107" spans="5:8" ht="15.6">
      <c r="E5107" s="279" t="s">
        <v>5433</v>
      </c>
      <c r="F5107" s="284">
        <f t="shared" ca="1" si="158"/>
        <v>0.89862248138247725</v>
      </c>
      <c r="G5107" s="74">
        <v>43.647419427260395</v>
      </c>
      <c r="H5107" s="74">
        <f t="shared" si="159"/>
        <v>-3.1530190839278731</v>
      </c>
    </row>
    <row r="5108" spans="5:8" ht="15.6">
      <c r="E5108" s="279" t="s">
        <v>5434</v>
      </c>
      <c r="F5108" s="284">
        <f t="shared" ca="1" si="158"/>
        <v>7.7233473884482651E-2</v>
      </c>
      <c r="G5108" s="74">
        <v>40.773830091882907</v>
      </c>
      <c r="H5108" s="74">
        <f t="shared" si="159"/>
        <v>-0.27942974855038472</v>
      </c>
    </row>
    <row r="5109" spans="5:8" ht="15.6">
      <c r="E5109" s="279" t="s">
        <v>5435</v>
      </c>
      <c r="F5109" s="284">
        <f t="shared" ca="1" si="158"/>
        <v>0.95318925425354217</v>
      </c>
      <c r="G5109" s="74">
        <v>41.41147604113506</v>
      </c>
      <c r="H5109" s="74">
        <f t="shared" si="159"/>
        <v>-0.91707569780253806</v>
      </c>
    </row>
    <row r="5110" spans="5:8" ht="15.6">
      <c r="E5110" s="279" t="s">
        <v>5436</v>
      </c>
      <c r="F5110" s="284">
        <f t="shared" ca="1" si="158"/>
        <v>0.69576552549380744</v>
      </c>
      <c r="G5110" s="74">
        <v>38.187416802281454</v>
      </c>
      <c r="H5110" s="74">
        <f t="shared" si="159"/>
        <v>2.3069835410510677</v>
      </c>
    </row>
    <row r="5111" spans="5:8" ht="15.6">
      <c r="E5111" s="279" t="s">
        <v>5437</v>
      </c>
      <c r="F5111" s="284">
        <f t="shared" ca="1" si="158"/>
        <v>0.16074668777200551</v>
      </c>
      <c r="G5111" s="74">
        <v>41.467255588789591</v>
      </c>
      <c r="H5111" s="74">
        <f t="shared" si="159"/>
        <v>-0.97285524545706892</v>
      </c>
    </row>
    <row r="5112" spans="5:8" ht="15.6">
      <c r="E5112" s="279" t="s">
        <v>5438</v>
      </c>
      <c r="F5112" s="284">
        <f t="shared" ca="1" si="158"/>
        <v>0.3596495216892146</v>
      </c>
      <c r="G5112" s="74">
        <v>40.070579769379087</v>
      </c>
      <c r="H5112" s="74">
        <f t="shared" si="159"/>
        <v>0.42382057395343509</v>
      </c>
    </row>
    <row r="5113" spans="5:8" ht="15.6">
      <c r="E5113" s="279" t="s">
        <v>5439</v>
      </c>
      <c r="F5113" s="284">
        <f t="shared" ca="1" si="158"/>
        <v>3.6772158912907527E-2</v>
      </c>
      <c r="G5113" s="74">
        <v>43.462894943458288</v>
      </c>
      <c r="H5113" s="74">
        <f t="shared" si="159"/>
        <v>-2.9684946001257657</v>
      </c>
    </row>
    <row r="5114" spans="5:8" ht="15.6">
      <c r="E5114" s="279" t="s">
        <v>5440</v>
      </c>
      <c r="F5114" s="284">
        <f t="shared" ca="1" si="158"/>
        <v>0.99108225803271688</v>
      </c>
      <c r="G5114" s="74">
        <v>39.968282153753051</v>
      </c>
      <c r="H5114" s="74">
        <f t="shared" si="159"/>
        <v>0.52611818957947065</v>
      </c>
    </row>
    <row r="5115" spans="5:8" ht="15.6">
      <c r="E5115" s="279" t="s">
        <v>5441</v>
      </c>
      <c r="F5115" s="284">
        <f t="shared" ca="1" si="158"/>
        <v>0.61050114590994509</v>
      </c>
      <c r="G5115" s="74">
        <v>42.043486714473474</v>
      </c>
      <c r="H5115" s="74">
        <f t="shared" si="159"/>
        <v>-1.5490863711409517</v>
      </c>
    </row>
    <row r="5116" spans="5:8" ht="15.6">
      <c r="E5116" s="279" t="s">
        <v>5442</v>
      </c>
      <c r="F5116" s="284">
        <f t="shared" ca="1" si="158"/>
        <v>0.96366523786070479</v>
      </c>
      <c r="G5116" s="74">
        <v>43.591119333439764</v>
      </c>
      <c r="H5116" s="74">
        <f t="shared" si="159"/>
        <v>-3.0967189901072416</v>
      </c>
    </row>
    <row r="5117" spans="5:8" ht="15.6">
      <c r="E5117" s="279" t="s">
        <v>5443</v>
      </c>
      <c r="F5117" s="284">
        <f t="shared" ca="1" si="158"/>
        <v>0.46928867048183343</v>
      </c>
      <c r="G5117" s="74">
        <v>38.625431852468772</v>
      </c>
      <c r="H5117" s="74">
        <f t="shared" si="159"/>
        <v>1.8689684908637503</v>
      </c>
    </row>
    <row r="5118" spans="5:8" ht="15.6">
      <c r="E5118" s="279" t="s">
        <v>5444</v>
      </c>
      <c r="F5118" s="284">
        <f t="shared" ca="1" si="158"/>
        <v>9.4518882814515703E-2</v>
      </c>
      <c r="G5118" s="74">
        <v>36.671055045026797</v>
      </c>
      <c r="H5118" s="74">
        <f t="shared" si="159"/>
        <v>3.8233452983057248</v>
      </c>
    </row>
    <row r="5119" spans="5:8" ht="15.6">
      <c r="E5119" s="279" t="s">
        <v>5445</v>
      </c>
      <c r="F5119" s="284">
        <f t="shared" ca="1" si="158"/>
        <v>0.56896823848921352</v>
      </c>
      <c r="G5119" s="74">
        <v>43.61689666754144</v>
      </c>
      <c r="H5119" s="74">
        <f t="shared" si="159"/>
        <v>-3.1224963242089174</v>
      </c>
    </row>
    <row r="5120" spans="5:8" ht="15.6">
      <c r="E5120" s="279" t="s">
        <v>5446</v>
      </c>
      <c r="F5120" s="284">
        <f t="shared" ca="1" si="158"/>
        <v>0.13551326266959141</v>
      </c>
      <c r="G5120" s="74">
        <v>38.644275410144417</v>
      </c>
      <c r="H5120" s="74">
        <f t="shared" si="159"/>
        <v>1.8501249331881056</v>
      </c>
    </row>
    <row r="5121" spans="5:8" ht="15.6">
      <c r="E5121" s="279" t="s">
        <v>5447</v>
      </c>
      <c r="F5121" s="284">
        <f t="shared" ca="1" si="158"/>
        <v>0.87279216613163924</v>
      </c>
      <c r="G5121" s="74">
        <v>35.697833000894015</v>
      </c>
      <c r="H5121" s="74">
        <f t="shared" si="159"/>
        <v>4.7965673424385074</v>
      </c>
    </row>
    <row r="5122" spans="5:8" ht="15.6">
      <c r="E5122" s="279" t="s">
        <v>5448</v>
      </c>
      <c r="F5122" s="284">
        <f t="shared" ca="1" si="158"/>
        <v>0.22650332980562837</v>
      </c>
      <c r="G5122" s="74">
        <v>39.863872756453361</v>
      </c>
      <c r="H5122" s="74">
        <f t="shared" si="159"/>
        <v>0.63052758687916111</v>
      </c>
    </row>
    <row r="5123" spans="5:8" ht="15.6">
      <c r="E5123" s="279" t="s">
        <v>5449</v>
      </c>
      <c r="F5123" s="284">
        <f t="shared" ca="1" si="158"/>
        <v>0.98456221105557773</v>
      </c>
      <c r="G5123" s="74">
        <v>38.841137465941742</v>
      </c>
      <c r="H5123" s="74">
        <f t="shared" si="159"/>
        <v>1.6532628773907803</v>
      </c>
    </row>
    <row r="5124" spans="5:8" ht="15.6">
      <c r="E5124" s="279" t="s">
        <v>5450</v>
      </c>
      <c r="F5124" s="284">
        <f t="shared" ca="1" si="158"/>
        <v>0.35557471014421649</v>
      </c>
      <c r="G5124" s="74">
        <v>40.667318066403674</v>
      </c>
      <c r="H5124" s="74">
        <f t="shared" si="159"/>
        <v>-0.17291772307115139</v>
      </c>
    </row>
    <row r="5125" spans="5:8" ht="15.6">
      <c r="E5125" s="279" t="s">
        <v>5451</v>
      </c>
      <c r="F5125" s="284">
        <f t="shared" ca="1" si="158"/>
        <v>8.8676917126045973E-3</v>
      </c>
      <c r="G5125" s="74">
        <v>43.072801017867413</v>
      </c>
      <c r="H5125" s="74">
        <f t="shared" si="159"/>
        <v>-2.5784006745348904</v>
      </c>
    </row>
    <row r="5126" spans="5:8" ht="15.6">
      <c r="E5126" s="279" t="s">
        <v>5452</v>
      </c>
      <c r="F5126" s="284">
        <f t="shared" ca="1" si="158"/>
        <v>0.22821248756835522</v>
      </c>
      <c r="G5126" s="74">
        <v>43.270716508063636</v>
      </c>
      <c r="H5126" s="74">
        <f t="shared" si="159"/>
        <v>-2.7763161647311136</v>
      </c>
    </row>
    <row r="5127" spans="5:8" ht="15.6">
      <c r="E5127" s="279" t="s">
        <v>5453</v>
      </c>
      <c r="F5127" s="284">
        <f t="shared" ca="1" si="158"/>
        <v>6.1939019271200602E-2</v>
      </c>
      <c r="G5127" s="74">
        <v>38.978413224524317</v>
      </c>
      <c r="H5127" s="74">
        <f t="shared" si="159"/>
        <v>1.515987118808205</v>
      </c>
    </row>
    <row r="5128" spans="5:8" ht="15.6">
      <c r="E5128" s="279" t="s">
        <v>5454</v>
      </c>
      <c r="F5128" s="284">
        <f t="shared" ca="1" si="158"/>
        <v>0.76531834836665003</v>
      </c>
      <c r="G5128" s="74">
        <v>47.573121736581356</v>
      </c>
      <c r="H5128" s="74">
        <f t="shared" si="159"/>
        <v>-7.0787213932488342</v>
      </c>
    </row>
    <row r="5129" spans="5:8" ht="15.6">
      <c r="E5129" s="279" t="s">
        <v>5455</v>
      </c>
      <c r="F5129" s="284">
        <f t="shared" ca="1" si="158"/>
        <v>0.14334780656390056</v>
      </c>
      <c r="G5129" s="74">
        <v>40.541649512211073</v>
      </c>
      <c r="H5129" s="74">
        <f t="shared" si="159"/>
        <v>-4.7249168878551018E-2</v>
      </c>
    </row>
    <row r="5130" spans="5:8" ht="15.6">
      <c r="E5130" s="279" t="s">
        <v>5456</v>
      </c>
      <c r="F5130" s="284">
        <f t="shared" ca="1" si="158"/>
        <v>5.1199248082833826E-2</v>
      </c>
      <c r="G5130" s="74">
        <v>42.488635890321</v>
      </c>
      <c r="H5130" s="74">
        <f t="shared" si="159"/>
        <v>-1.9942355469884774</v>
      </c>
    </row>
    <row r="5131" spans="5:8" ht="15.6">
      <c r="E5131" s="279" t="s">
        <v>5457</v>
      </c>
      <c r="F5131" s="284">
        <f t="shared" ca="1" si="158"/>
        <v>0.19741025024714143</v>
      </c>
      <c r="G5131" s="74">
        <v>36.368021320389921</v>
      </c>
      <c r="H5131" s="74">
        <f t="shared" si="159"/>
        <v>4.1263790229426007</v>
      </c>
    </row>
    <row r="5132" spans="5:8" ht="15.6">
      <c r="E5132" s="279" t="s">
        <v>5458</v>
      </c>
      <c r="F5132" s="284">
        <f t="shared" ref="F5132:F5195" ca="1" si="160">RAND()</f>
        <v>0.57083415750098421</v>
      </c>
      <c r="G5132" s="74">
        <v>40.548456037215701</v>
      </c>
      <c r="H5132" s="74">
        <f t="shared" ref="H5132:H5195" si="161">$D$2-G5132</f>
        <v>-5.4055693883178435E-2</v>
      </c>
    </row>
    <row r="5133" spans="5:8" ht="15.6">
      <c r="E5133" s="279" t="s">
        <v>5459</v>
      </c>
      <c r="F5133" s="284">
        <f t="shared" ca="1" si="160"/>
        <v>0.43678862696089338</v>
      </c>
      <c r="G5133" s="74">
        <v>36.407189012388905</v>
      </c>
      <c r="H5133" s="74">
        <f t="shared" si="161"/>
        <v>4.0872113309436173</v>
      </c>
    </row>
    <row r="5134" spans="5:8" ht="15.6">
      <c r="E5134" s="279" t="s">
        <v>5460</v>
      </c>
      <c r="F5134" s="284">
        <f t="shared" ca="1" si="160"/>
        <v>0.4134897404974559</v>
      </c>
      <c r="G5134" s="74">
        <v>35.234229791161724</v>
      </c>
      <c r="H5134" s="74">
        <f t="shared" si="161"/>
        <v>5.2601705521707984</v>
      </c>
    </row>
    <row r="5135" spans="5:8" ht="15.6">
      <c r="E5135" s="279" t="s">
        <v>5461</v>
      </c>
      <c r="F5135" s="284">
        <f t="shared" ca="1" si="160"/>
        <v>0.36742349990432022</v>
      </c>
      <c r="G5135" s="74">
        <v>42.8725545918618</v>
      </c>
      <c r="H5135" s="74">
        <f t="shared" si="161"/>
        <v>-2.3781542485292775</v>
      </c>
    </row>
    <row r="5136" spans="5:8" ht="15.6">
      <c r="E5136" s="279" t="s">
        <v>5462</v>
      </c>
      <c r="F5136" s="284">
        <f t="shared" ca="1" si="160"/>
        <v>0.93859423224715854</v>
      </c>
      <c r="G5136" s="74">
        <v>39.115059996021849</v>
      </c>
      <c r="H5136" s="74">
        <f t="shared" si="161"/>
        <v>1.3793403473106736</v>
      </c>
    </row>
    <row r="5137" spans="5:8" ht="15.6">
      <c r="E5137" s="279" t="s">
        <v>5463</v>
      </c>
      <c r="F5137" s="284">
        <f t="shared" ca="1" si="160"/>
        <v>0.8709344936862945</v>
      </c>
      <c r="G5137" s="74">
        <v>40.641424453269494</v>
      </c>
      <c r="H5137" s="74">
        <f t="shared" si="161"/>
        <v>-0.14702410993697157</v>
      </c>
    </row>
    <row r="5138" spans="5:8" ht="15.6">
      <c r="E5138" s="279" t="s">
        <v>5464</v>
      </c>
      <c r="F5138" s="284">
        <f t="shared" ca="1" si="160"/>
        <v>0.42831435082597491</v>
      </c>
      <c r="G5138" s="74">
        <v>38.231785663137046</v>
      </c>
      <c r="H5138" s="74">
        <f t="shared" si="161"/>
        <v>2.2626146801954761</v>
      </c>
    </row>
    <row r="5139" spans="5:8" ht="15.6">
      <c r="E5139" s="279" t="s">
        <v>5465</v>
      </c>
      <c r="F5139" s="284">
        <f t="shared" ca="1" si="160"/>
        <v>0.13098427406110613</v>
      </c>
      <c r="G5139" s="74">
        <v>36.122918723862213</v>
      </c>
      <c r="H5139" s="74">
        <f t="shared" si="161"/>
        <v>4.371481619470309</v>
      </c>
    </row>
    <row r="5140" spans="5:8" ht="15.6">
      <c r="E5140" s="279" t="s">
        <v>5466</v>
      </c>
      <c r="F5140" s="284">
        <f t="shared" ca="1" si="160"/>
        <v>0.54313010709196474</v>
      </c>
      <c r="G5140" s="74">
        <v>41.879840015112443</v>
      </c>
      <c r="H5140" s="74">
        <f t="shared" si="161"/>
        <v>-1.3854396717799204</v>
      </c>
    </row>
    <row r="5141" spans="5:8" ht="15.6">
      <c r="E5141" s="279" t="s">
        <v>5467</v>
      </c>
      <c r="F5141" s="284">
        <f t="shared" ca="1" si="160"/>
        <v>0.65846224984832624</v>
      </c>
      <c r="G5141" s="74">
        <v>35.812425815341946</v>
      </c>
      <c r="H5141" s="74">
        <f t="shared" si="161"/>
        <v>4.681974527990576</v>
      </c>
    </row>
    <row r="5142" spans="5:8" ht="15.6">
      <c r="E5142" s="279" t="s">
        <v>5468</v>
      </c>
      <c r="F5142" s="284">
        <f t="shared" ca="1" si="160"/>
        <v>0.70573102744560912</v>
      </c>
      <c r="G5142" s="74">
        <v>40.787586409075466</v>
      </c>
      <c r="H5142" s="74">
        <f t="shared" si="161"/>
        <v>-0.29318606574294392</v>
      </c>
    </row>
    <row r="5143" spans="5:8" ht="15.6">
      <c r="E5143" s="279" t="s">
        <v>5469</v>
      </c>
      <c r="F5143" s="284">
        <f t="shared" ca="1" si="160"/>
        <v>0.89511625456754629</v>
      </c>
      <c r="G5143" s="74">
        <v>41.185728187344225</v>
      </c>
      <c r="H5143" s="74">
        <f t="shared" si="161"/>
        <v>-0.69132784401170255</v>
      </c>
    </row>
    <row r="5144" spans="5:8" ht="15.6">
      <c r="E5144" s="279" t="s">
        <v>5470</v>
      </c>
      <c r="F5144" s="284">
        <f t="shared" ca="1" si="160"/>
        <v>0.82656016711303493</v>
      </c>
      <c r="G5144" s="74">
        <v>40.477551201322754</v>
      </c>
      <c r="H5144" s="74">
        <f t="shared" si="161"/>
        <v>1.6849142009768059E-2</v>
      </c>
    </row>
    <row r="5145" spans="5:8" ht="15.6">
      <c r="E5145" s="279" t="s">
        <v>5471</v>
      </c>
      <c r="F5145" s="284">
        <f t="shared" ca="1" si="160"/>
        <v>0.59390410323408083</v>
      </c>
      <c r="G5145" s="74">
        <v>38.186740104907123</v>
      </c>
      <c r="H5145" s="74">
        <f t="shared" si="161"/>
        <v>2.3076602384253988</v>
      </c>
    </row>
    <row r="5146" spans="5:8" ht="15.6">
      <c r="E5146" s="279" t="s">
        <v>5472</v>
      </c>
      <c r="F5146" s="284">
        <f t="shared" ca="1" si="160"/>
        <v>0.48898007807710486</v>
      </c>
      <c r="G5146" s="74">
        <v>38.934604353552935</v>
      </c>
      <c r="H5146" s="74">
        <f t="shared" si="161"/>
        <v>1.5597959897795874</v>
      </c>
    </row>
    <row r="5147" spans="5:8" ht="15.6">
      <c r="E5147" s="279" t="s">
        <v>5473</v>
      </c>
      <c r="F5147" s="284">
        <f t="shared" ca="1" si="160"/>
        <v>0.35893128508022076</v>
      </c>
      <c r="G5147" s="74">
        <v>43.184835777062347</v>
      </c>
      <c r="H5147" s="74">
        <f t="shared" si="161"/>
        <v>-2.6904354337298244</v>
      </c>
    </row>
    <row r="5148" spans="5:8" ht="15.6">
      <c r="E5148" s="279" t="s">
        <v>5474</v>
      </c>
      <c r="F5148" s="284">
        <f t="shared" ca="1" si="160"/>
        <v>0.72015295205943575</v>
      </c>
      <c r="G5148" s="74">
        <v>36.449959644734385</v>
      </c>
      <c r="H5148" s="74">
        <f t="shared" si="161"/>
        <v>4.0444406985981374</v>
      </c>
    </row>
    <row r="5149" spans="5:8" ht="15.6">
      <c r="E5149" s="279" t="s">
        <v>5475</v>
      </c>
      <c r="F5149" s="284">
        <f t="shared" ca="1" si="160"/>
        <v>0.36619953426416807</v>
      </c>
      <c r="G5149" s="74">
        <v>36.099909990233186</v>
      </c>
      <c r="H5149" s="74">
        <f t="shared" si="161"/>
        <v>4.3944903530993358</v>
      </c>
    </row>
    <row r="5150" spans="5:8" ht="15.6">
      <c r="E5150" s="279" t="s">
        <v>5476</v>
      </c>
      <c r="F5150" s="284">
        <f t="shared" ca="1" si="160"/>
        <v>0.64397351095960853</v>
      </c>
      <c r="G5150" s="74">
        <v>43.840108129768225</v>
      </c>
      <c r="H5150" s="74">
        <f t="shared" si="161"/>
        <v>-3.3457077864357032</v>
      </c>
    </row>
    <row r="5151" spans="5:8" ht="15.6">
      <c r="E5151" s="279" t="s">
        <v>5477</v>
      </c>
      <c r="F5151" s="284">
        <f t="shared" ca="1" si="160"/>
        <v>8.0104190706417833E-2</v>
      </c>
      <c r="G5151" s="74">
        <v>38.991036532292398</v>
      </c>
      <c r="H5151" s="74">
        <f t="shared" si="161"/>
        <v>1.5033638110401242</v>
      </c>
    </row>
    <row r="5152" spans="5:8" ht="15.6">
      <c r="E5152" s="279" t="s">
        <v>5478</v>
      </c>
      <c r="F5152" s="284">
        <f t="shared" ca="1" si="160"/>
        <v>2.9426997058102811E-2</v>
      </c>
      <c r="G5152" s="74">
        <v>40.539148797339323</v>
      </c>
      <c r="H5152" s="74">
        <f t="shared" si="161"/>
        <v>-4.4748454006800387E-2</v>
      </c>
    </row>
    <row r="5153" spans="5:8" ht="15.6">
      <c r="E5153" s="279" t="s">
        <v>5479</v>
      </c>
      <c r="F5153" s="284">
        <f t="shared" ca="1" si="160"/>
        <v>0.52858091242178828</v>
      </c>
      <c r="G5153" s="74">
        <v>38.07913083538778</v>
      </c>
      <c r="H5153" s="74">
        <f t="shared" si="161"/>
        <v>2.4152695079447426</v>
      </c>
    </row>
    <row r="5154" spans="5:8" ht="15.6">
      <c r="E5154" s="279" t="s">
        <v>5480</v>
      </c>
      <c r="F5154" s="284">
        <f t="shared" ca="1" si="160"/>
        <v>0.55739787633854421</v>
      </c>
      <c r="G5154" s="74">
        <v>39.756353774660688</v>
      </c>
      <c r="H5154" s="74">
        <f t="shared" si="161"/>
        <v>0.73804656867183382</v>
      </c>
    </row>
    <row r="5155" spans="5:8" ht="15.6">
      <c r="E5155" s="279" t="s">
        <v>5481</v>
      </c>
      <c r="F5155" s="284">
        <f t="shared" ca="1" si="160"/>
        <v>0.48137764671234085</v>
      </c>
      <c r="G5155" s="74">
        <v>38.339601936614464</v>
      </c>
      <c r="H5155" s="74">
        <f t="shared" si="161"/>
        <v>2.1547984067180579</v>
      </c>
    </row>
    <row r="5156" spans="5:8" ht="15.6">
      <c r="E5156" s="279" t="s">
        <v>5482</v>
      </c>
      <c r="F5156" s="284">
        <f t="shared" ca="1" si="160"/>
        <v>0.69560759166171449</v>
      </c>
      <c r="G5156" s="74">
        <v>42.21406001966092</v>
      </c>
      <c r="H5156" s="74">
        <f t="shared" si="161"/>
        <v>-1.7196596763283978</v>
      </c>
    </row>
    <row r="5157" spans="5:8" ht="15.6">
      <c r="E5157" s="279" t="s">
        <v>5483</v>
      </c>
      <c r="F5157" s="284">
        <f t="shared" ca="1" si="160"/>
        <v>0.18569865082845749</v>
      </c>
      <c r="G5157" s="74">
        <v>39.683597236440207</v>
      </c>
      <c r="H5157" s="74">
        <f t="shared" si="161"/>
        <v>0.81080310689231538</v>
      </c>
    </row>
    <row r="5158" spans="5:8" ht="15.6">
      <c r="E5158" s="279" t="s">
        <v>5484</v>
      </c>
      <c r="F5158" s="284">
        <f t="shared" ca="1" si="160"/>
        <v>0.14434200700854694</v>
      </c>
      <c r="G5158" s="74">
        <v>36.035993001760239</v>
      </c>
      <c r="H5158" s="74">
        <f t="shared" si="161"/>
        <v>4.4584073415722827</v>
      </c>
    </row>
    <row r="5159" spans="5:8" ht="15.6">
      <c r="E5159" s="279" t="s">
        <v>5485</v>
      </c>
      <c r="F5159" s="284">
        <f t="shared" ca="1" si="160"/>
        <v>0.45269026714574689</v>
      </c>
      <c r="G5159" s="74">
        <v>37.329334617300184</v>
      </c>
      <c r="H5159" s="74">
        <f t="shared" si="161"/>
        <v>3.1650657260323385</v>
      </c>
    </row>
    <row r="5160" spans="5:8" ht="15.6">
      <c r="E5160" s="279" t="s">
        <v>5486</v>
      </c>
      <c r="F5160" s="284">
        <f t="shared" ca="1" si="160"/>
        <v>0.54964958501647032</v>
      </c>
      <c r="G5160" s="74">
        <v>39.512128938638547</v>
      </c>
      <c r="H5160" s="74">
        <f t="shared" si="161"/>
        <v>0.98227140469397511</v>
      </c>
    </row>
    <row r="5161" spans="5:8" ht="15.6">
      <c r="E5161" s="279" t="s">
        <v>5487</v>
      </c>
      <c r="F5161" s="284">
        <f t="shared" ca="1" si="160"/>
        <v>0.87526720116475942</v>
      </c>
      <c r="G5161" s="74">
        <v>38.893920252763877</v>
      </c>
      <c r="H5161" s="74">
        <f t="shared" si="161"/>
        <v>1.6004800905686452</v>
      </c>
    </row>
    <row r="5162" spans="5:8" ht="15.6">
      <c r="E5162" s="279" t="s">
        <v>5488</v>
      </c>
      <c r="F5162" s="284">
        <f t="shared" ca="1" si="160"/>
        <v>0.90420825766201796</v>
      </c>
      <c r="G5162" s="74">
        <v>35.227332938765024</v>
      </c>
      <c r="H5162" s="74">
        <f t="shared" si="161"/>
        <v>5.2670674045674986</v>
      </c>
    </row>
    <row r="5163" spans="5:8" ht="15.6">
      <c r="E5163" s="279" t="s">
        <v>5489</v>
      </c>
      <c r="F5163" s="284">
        <f t="shared" ca="1" si="160"/>
        <v>0.52820126513801857</v>
      </c>
      <c r="G5163" s="74">
        <v>42.196623349934185</v>
      </c>
      <c r="H5163" s="74">
        <f t="shared" si="161"/>
        <v>-1.7022230066016633</v>
      </c>
    </row>
    <row r="5164" spans="5:8" ht="15.6">
      <c r="E5164" s="279" t="s">
        <v>5490</v>
      </c>
      <c r="F5164" s="284">
        <f t="shared" ca="1" si="160"/>
        <v>4.406568367960606E-3</v>
      </c>
      <c r="G5164" s="74">
        <v>41.795609230563748</v>
      </c>
      <c r="H5164" s="74">
        <f t="shared" si="161"/>
        <v>-1.3012088872312262</v>
      </c>
    </row>
    <row r="5165" spans="5:8" ht="15.6">
      <c r="E5165" s="279" t="s">
        <v>5491</v>
      </c>
      <c r="F5165" s="284">
        <f t="shared" ca="1" si="160"/>
        <v>0.7919655213671265</v>
      </c>
      <c r="G5165" s="74">
        <v>37.214353935809605</v>
      </c>
      <c r="H5165" s="74">
        <f t="shared" si="161"/>
        <v>3.2800464075229172</v>
      </c>
    </row>
    <row r="5166" spans="5:8" ht="15.6">
      <c r="E5166" s="279" t="s">
        <v>5492</v>
      </c>
      <c r="F5166" s="284">
        <f t="shared" ca="1" si="160"/>
        <v>0.73001622319803905</v>
      </c>
      <c r="G5166" s="74">
        <v>38.572324773656057</v>
      </c>
      <c r="H5166" s="74">
        <f t="shared" si="161"/>
        <v>1.9220755696764655</v>
      </c>
    </row>
    <row r="5167" spans="5:8" ht="15.6">
      <c r="E5167" s="279" t="s">
        <v>5493</v>
      </c>
      <c r="F5167" s="284">
        <f t="shared" ca="1" si="160"/>
        <v>0.81519177778304552</v>
      </c>
      <c r="G5167" s="74">
        <v>37.802178778361935</v>
      </c>
      <c r="H5167" s="74">
        <f t="shared" si="161"/>
        <v>2.6922215649705876</v>
      </c>
    </row>
    <row r="5168" spans="5:8" ht="15.6">
      <c r="E5168" s="279" t="s">
        <v>5494</v>
      </c>
      <c r="F5168" s="284">
        <f t="shared" ca="1" si="160"/>
        <v>0.55743991993716435</v>
      </c>
      <c r="G5168" s="74">
        <v>37.795289961783674</v>
      </c>
      <c r="H5168" s="74">
        <f t="shared" si="161"/>
        <v>2.6991103815488486</v>
      </c>
    </row>
    <row r="5169" spans="5:8" ht="15.6">
      <c r="E5169" s="279" t="s">
        <v>5495</v>
      </c>
      <c r="F5169" s="284">
        <f t="shared" ca="1" si="160"/>
        <v>0.94446561263789297</v>
      </c>
      <c r="G5169" s="74">
        <v>41.793712385900491</v>
      </c>
      <c r="H5169" s="74">
        <f t="shared" si="161"/>
        <v>-1.2993120425679692</v>
      </c>
    </row>
    <row r="5170" spans="5:8" ht="15.6">
      <c r="E5170" s="279" t="s">
        <v>5496</v>
      </c>
      <c r="F5170" s="284">
        <f t="shared" ca="1" si="160"/>
        <v>0.35239882185576754</v>
      </c>
      <c r="G5170" s="74">
        <v>41.174366744386042</v>
      </c>
      <c r="H5170" s="74">
        <f t="shared" si="161"/>
        <v>-0.67996640105351958</v>
      </c>
    </row>
    <row r="5171" spans="5:8" ht="15.6">
      <c r="E5171" s="279" t="s">
        <v>5497</v>
      </c>
      <c r="F5171" s="284">
        <f t="shared" ca="1" si="160"/>
        <v>0.38886238164651044</v>
      </c>
      <c r="G5171" s="74">
        <v>42.960595392644265</v>
      </c>
      <c r="H5171" s="74">
        <f t="shared" si="161"/>
        <v>-2.466195049311743</v>
      </c>
    </row>
    <row r="5172" spans="5:8" ht="15.6">
      <c r="E5172" s="279" t="s">
        <v>5498</v>
      </c>
      <c r="F5172" s="284">
        <f t="shared" ca="1" si="160"/>
        <v>0.65374655649727886</v>
      </c>
      <c r="G5172" s="74">
        <v>36.578126545206125</v>
      </c>
      <c r="H5172" s="74">
        <f t="shared" si="161"/>
        <v>3.9162737981263973</v>
      </c>
    </row>
    <row r="5173" spans="5:8" ht="15.6">
      <c r="E5173" s="279" t="s">
        <v>5499</v>
      </c>
      <c r="F5173" s="284">
        <f t="shared" ca="1" si="160"/>
        <v>0.15175929489348483</v>
      </c>
      <c r="G5173" s="74">
        <v>42.735427387438584</v>
      </c>
      <c r="H5173" s="74">
        <f t="shared" si="161"/>
        <v>-2.2410270441060618</v>
      </c>
    </row>
    <row r="5174" spans="5:8" ht="15.6">
      <c r="E5174" s="279" t="s">
        <v>5500</v>
      </c>
      <c r="F5174" s="284">
        <f t="shared" ca="1" si="160"/>
        <v>0.45125602012949229</v>
      </c>
      <c r="G5174" s="74">
        <v>41.632440136674361</v>
      </c>
      <c r="H5174" s="74">
        <f t="shared" si="161"/>
        <v>-1.1380397933418394</v>
      </c>
    </row>
    <row r="5175" spans="5:8" ht="15.6">
      <c r="E5175" s="279" t="s">
        <v>5501</v>
      </c>
      <c r="F5175" s="284">
        <f t="shared" ca="1" si="160"/>
        <v>0.18340702876509762</v>
      </c>
      <c r="G5175" s="74">
        <v>33.339932814483959</v>
      </c>
      <c r="H5175" s="74">
        <f t="shared" si="161"/>
        <v>7.1544675288485635</v>
      </c>
    </row>
    <row r="5176" spans="5:8" ht="15.6">
      <c r="E5176" s="279" t="s">
        <v>5502</v>
      </c>
      <c r="F5176" s="284">
        <f t="shared" ca="1" si="160"/>
        <v>0.71635564112741434</v>
      </c>
      <c r="G5176" s="74">
        <v>41.034623381361996</v>
      </c>
      <c r="H5176" s="74">
        <f t="shared" si="161"/>
        <v>-0.54022303802947391</v>
      </c>
    </row>
    <row r="5177" spans="5:8" ht="15.6">
      <c r="E5177" s="279" t="s">
        <v>5503</v>
      </c>
      <c r="F5177" s="284">
        <f t="shared" ca="1" si="160"/>
        <v>0.50696709879208812</v>
      </c>
      <c r="G5177" s="74">
        <v>39.826208487571876</v>
      </c>
      <c r="H5177" s="74">
        <f t="shared" si="161"/>
        <v>0.66819185576064655</v>
      </c>
    </row>
    <row r="5178" spans="5:8" ht="15.6">
      <c r="E5178" s="279" t="s">
        <v>5504</v>
      </c>
      <c r="F5178" s="284">
        <f t="shared" ca="1" si="160"/>
        <v>0.50994365627236848</v>
      </c>
      <c r="G5178" s="74">
        <v>37.084959864948459</v>
      </c>
      <c r="H5178" s="74">
        <f t="shared" si="161"/>
        <v>3.4094404783840631</v>
      </c>
    </row>
    <row r="5179" spans="5:8" ht="15.6">
      <c r="E5179" s="279" t="s">
        <v>5505</v>
      </c>
      <c r="F5179" s="284">
        <f t="shared" ca="1" si="160"/>
        <v>0.14947644153793038</v>
      </c>
      <c r="G5179" s="74">
        <v>38.309193296399066</v>
      </c>
      <c r="H5179" s="74">
        <f t="shared" si="161"/>
        <v>2.1852070469334564</v>
      </c>
    </row>
    <row r="5180" spans="5:8" ht="15.6">
      <c r="E5180" s="279" t="s">
        <v>5506</v>
      </c>
      <c r="F5180" s="284">
        <f t="shared" ca="1" si="160"/>
        <v>0.87442973461341011</v>
      </c>
      <c r="G5180" s="74">
        <v>37.468088919893887</v>
      </c>
      <c r="H5180" s="74">
        <f t="shared" si="161"/>
        <v>3.026311423438635</v>
      </c>
    </row>
    <row r="5181" spans="5:8" ht="15.6">
      <c r="E5181" s="279" t="s">
        <v>5507</v>
      </c>
      <c r="F5181" s="284">
        <f t="shared" ca="1" si="160"/>
        <v>3.1097765314832992E-2</v>
      </c>
      <c r="G5181" s="74">
        <v>35.218727643760708</v>
      </c>
      <c r="H5181" s="74">
        <f t="shared" si="161"/>
        <v>5.275672699571814</v>
      </c>
    </row>
    <row r="5182" spans="5:8" ht="15.6">
      <c r="E5182" s="279" t="s">
        <v>5508</v>
      </c>
      <c r="F5182" s="284">
        <f t="shared" ca="1" si="160"/>
        <v>0.14182175770124528</v>
      </c>
      <c r="G5182" s="74">
        <v>41.499403837432148</v>
      </c>
      <c r="H5182" s="74">
        <f t="shared" si="161"/>
        <v>-1.0050034940996255</v>
      </c>
    </row>
    <row r="5183" spans="5:8" ht="15.6">
      <c r="E5183" s="279" t="s">
        <v>5509</v>
      </c>
      <c r="F5183" s="284">
        <f t="shared" ca="1" si="160"/>
        <v>0.8088198549605512</v>
      </c>
      <c r="G5183" s="74">
        <v>40.970764391510542</v>
      </c>
      <c r="H5183" s="74">
        <f t="shared" si="161"/>
        <v>-0.47636404817802003</v>
      </c>
    </row>
    <row r="5184" spans="5:8" ht="15.6">
      <c r="E5184" s="279" t="s">
        <v>5510</v>
      </c>
      <c r="F5184" s="284">
        <f t="shared" ca="1" si="160"/>
        <v>0.89835282535131722</v>
      </c>
      <c r="G5184" s="74">
        <v>37.515750716905387</v>
      </c>
      <c r="H5184" s="74">
        <f t="shared" si="161"/>
        <v>2.9786496264271349</v>
      </c>
    </row>
    <row r="5185" spans="5:8" ht="15.6">
      <c r="E5185" s="279" t="s">
        <v>5511</v>
      </c>
      <c r="F5185" s="284">
        <f t="shared" ca="1" si="160"/>
        <v>5.4973462653198801E-2</v>
      </c>
      <c r="G5185" s="74">
        <v>38.531606520858709</v>
      </c>
      <c r="H5185" s="74">
        <f t="shared" si="161"/>
        <v>1.9627938224738131</v>
      </c>
    </row>
    <row r="5186" spans="5:8" ht="15.6">
      <c r="E5186" s="279" t="s">
        <v>5512</v>
      </c>
      <c r="F5186" s="284">
        <f t="shared" ca="1" si="160"/>
        <v>0.92019047654477104</v>
      </c>
      <c r="G5186" s="74">
        <v>41.836241934416265</v>
      </c>
      <c r="H5186" s="74">
        <f t="shared" si="161"/>
        <v>-1.3418415910837425</v>
      </c>
    </row>
    <row r="5187" spans="5:8" ht="15.6">
      <c r="E5187" s="279" t="s">
        <v>5513</v>
      </c>
      <c r="F5187" s="284">
        <f t="shared" ca="1" si="160"/>
        <v>0.60239074201063714</v>
      </c>
      <c r="G5187" s="74">
        <v>36.860783310323932</v>
      </c>
      <c r="H5187" s="74">
        <f t="shared" si="161"/>
        <v>3.6336170330085906</v>
      </c>
    </row>
    <row r="5188" spans="5:8" ht="15.6">
      <c r="E5188" s="279" t="s">
        <v>5514</v>
      </c>
      <c r="F5188" s="284">
        <f t="shared" ca="1" si="160"/>
        <v>7.0129735904554291E-2</v>
      </c>
      <c r="G5188" s="74">
        <v>33.74005545348615</v>
      </c>
      <c r="H5188" s="74">
        <f t="shared" si="161"/>
        <v>6.7543448898463723</v>
      </c>
    </row>
    <row r="5189" spans="5:8" ht="15.6">
      <c r="E5189" s="279" t="s">
        <v>5515</v>
      </c>
      <c r="F5189" s="284">
        <f t="shared" ca="1" si="160"/>
        <v>3.1921353007178799E-2</v>
      </c>
      <c r="G5189" s="74">
        <v>37.809073238864798</v>
      </c>
      <c r="H5189" s="74">
        <f t="shared" si="161"/>
        <v>2.6853271044677243</v>
      </c>
    </row>
    <row r="5190" spans="5:8" ht="15.6">
      <c r="E5190" s="279" t="s">
        <v>5516</v>
      </c>
      <c r="F5190" s="284">
        <f t="shared" ca="1" si="160"/>
        <v>0.29755312079409479</v>
      </c>
      <c r="G5190" s="74">
        <v>39.144398795712874</v>
      </c>
      <c r="H5190" s="74">
        <f t="shared" si="161"/>
        <v>1.3500015476196481</v>
      </c>
    </row>
    <row r="5191" spans="5:8" ht="15.6">
      <c r="E5191" s="279" t="s">
        <v>5517</v>
      </c>
      <c r="F5191" s="284">
        <f t="shared" ca="1" si="160"/>
        <v>0.18423808169695965</v>
      </c>
      <c r="G5191" s="74">
        <v>38.338405965780574</v>
      </c>
      <c r="H5191" s="74">
        <f t="shared" si="161"/>
        <v>2.1559943775519486</v>
      </c>
    </row>
    <row r="5192" spans="5:8" ht="15.6">
      <c r="E5192" s="279" t="s">
        <v>5518</v>
      </c>
      <c r="F5192" s="284">
        <f t="shared" ca="1" si="160"/>
        <v>0.63371410421803409</v>
      </c>
      <c r="G5192" s="74">
        <v>43.543563984767935</v>
      </c>
      <c r="H5192" s="74">
        <f t="shared" si="161"/>
        <v>-3.0491636414354133</v>
      </c>
    </row>
    <row r="5193" spans="5:8" ht="15.6">
      <c r="E5193" s="279" t="s">
        <v>5519</v>
      </c>
      <c r="F5193" s="284">
        <f t="shared" ca="1" si="160"/>
        <v>0.79492855520430727</v>
      </c>
      <c r="G5193" s="74">
        <v>40.298804224841291</v>
      </c>
      <c r="H5193" s="74">
        <f t="shared" si="161"/>
        <v>0.19559611849123115</v>
      </c>
    </row>
    <row r="5194" spans="5:8" ht="15.6">
      <c r="E5194" s="279" t="s">
        <v>5520</v>
      </c>
      <c r="F5194" s="284">
        <f t="shared" ca="1" si="160"/>
        <v>0.86463800772783939</v>
      </c>
      <c r="G5194" s="74">
        <v>40.457757238178125</v>
      </c>
      <c r="H5194" s="74">
        <f t="shared" si="161"/>
        <v>3.6643105154396949E-2</v>
      </c>
    </row>
    <row r="5195" spans="5:8" ht="15.6">
      <c r="E5195" s="279" t="s">
        <v>5521</v>
      </c>
      <c r="F5195" s="284">
        <f t="shared" ca="1" si="160"/>
        <v>0.44985758544861887</v>
      </c>
      <c r="G5195" s="74">
        <v>40.776293525594298</v>
      </c>
      <c r="H5195" s="74">
        <f t="shared" si="161"/>
        <v>-0.28189318226177562</v>
      </c>
    </row>
    <row r="5196" spans="5:8" ht="15.6">
      <c r="E5196" s="279" t="s">
        <v>5522</v>
      </c>
      <c r="F5196" s="284">
        <f t="shared" ref="F5196:F5259" ca="1" si="162">RAND()</f>
        <v>0.88762787990200376</v>
      </c>
      <c r="G5196" s="74">
        <v>38.643661758224788</v>
      </c>
      <c r="H5196" s="74">
        <f t="shared" ref="H5196:H5259" si="163">$D$2-G5196</f>
        <v>1.8507385851077345</v>
      </c>
    </row>
    <row r="5197" spans="5:8" ht="15.6">
      <c r="E5197" s="279" t="s">
        <v>5523</v>
      </c>
      <c r="F5197" s="284">
        <f t="shared" ca="1" si="162"/>
        <v>0.55651908889167623</v>
      </c>
      <c r="G5197" s="74">
        <v>36.371896505667095</v>
      </c>
      <c r="H5197" s="74">
        <f t="shared" si="163"/>
        <v>4.1225038376654268</v>
      </c>
    </row>
    <row r="5198" spans="5:8" ht="15.6">
      <c r="E5198" s="279" t="s">
        <v>5524</v>
      </c>
      <c r="F5198" s="284">
        <f t="shared" ca="1" si="162"/>
        <v>0.26661382724069471</v>
      </c>
      <c r="G5198" s="74">
        <v>41.569884590364289</v>
      </c>
      <c r="H5198" s="74">
        <f t="shared" si="163"/>
        <v>-1.0754842470317669</v>
      </c>
    </row>
    <row r="5199" spans="5:8" ht="15.6">
      <c r="E5199" s="279" t="s">
        <v>5525</v>
      </c>
      <c r="F5199" s="284">
        <f t="shared" ca="1" si="162"/>
        <v>0.42131483818435222</v>
      </c>
      <c r="G5199" s="74">
        <v>40.283146780785287</v>
      </c>
      <c r="H5199" s="74">
        <f t="shared" si="163"/>
        <v>0.21125356254723471</v>
      </c>
    </row>
    <row r="5200" spans="5:8" ht="15.6">
      <c r="E5200" s="279" t="s">
        <v>5526</v>
      </c>
      <c r="F5200" s="284">
        <f t="shared" ca="1" si="162"/>
        <v>0.17036997381967744</v>
      </c>
      <c r="G5200" s="74">
        <v>40.257645107310331</v>
      </c>
      <c r="H5200" s="74">
        <f t="shared" si="163"/>
        <v>0.23675523602219073</v>
      </c>
    </row>
    <row r="5201" spans="5:8" ht="15.6">
      <c r="E5201" s="279" t="s">
        <v>5527</v>
      </c>
      <c r="F5201" s="284">
        <f t="shared" ca="1" si="162"/>
        <v>0.39632528800958799</v>
      </c>
      <c r="G5201" s="74">
        <v>34.944447367960407</v>
      </c>
      <c r="H5201" s="74">
        <f t="shared" si="163"/>
        <v>5.5499529753721148</v>
      </c>
    </row>
    <row r="5202" spans="5:8" ht="15.6">
      <c r="E5202" s="279" t="s">
        <v>5528</v>
      </c>
      <c r="F5202" s="284">
        <f t="shared" ca="1" si="162"/>
        <v>0.82349702396707525</v>
      </c>
      <c r="G5202" s="74">
        <v>38.310507247152408</v>
      </c>
      <c r="H5202" s="74">
        <f t="shared" si="163"/>
        <v>2.183893096180114</v>
      </c>
    </row>
    <row r="5203" spans="5:8" ht="15.6">
      <c r="E5203" s="279" t="s">
        <v>5529</v>
      </c>
      <c r="F5203" s="284">
        <f t="shared" ca="1" si="162"/>
        <v>7.5681098284429482E-2</v>
      </c>
      <c r="G5203" s="74">
        <v>41.404587660142866</v>
      </c>
      <c r="H5203" s="74">
        <f t="shared" si="163"/>
        <v>-0.91018731681034382</v>
      </c>
    </row>
    <row r="5204" spans="5:8" ht="15.6">
      <c r="E5204" s="279" t="s">
        <v>5530</v>
      </c>
      <c r="F5204" s="284">
        <f t="shared" ca="1" si="162"/>
        <v>5.1783152984175906E-2</v>
      </c>
      <c r="G5204" s="74">
        <v>35.186682169142301</v>
      </c>
      <c r="H5204" s="74">
        <f t="shared" si="163"/>
        <v>5.3077181741902209</v>
      </c>
    </row>
    <row r="5205" spans="5:8" ht="15.6">
      <c r="E5205" s="279" t="s">
        <v>5531</v>
      </c>
      <c r="F5205" s="284">
        <f t="shared" ca="1" si="162"/>
        <v>5.0951481165884216E-2</v>
      </c>
      <c r="G5205" s="74">
        <v>37.592763867054344</v>
      </c>
      <c r="H5205" s="74">
        <f t="shared" si="163"/>
        <v>2.9016364762781777</v>
      </c>
    </row>
    <row r="5206" spans="5:8" ht="15.6">
      <c r="E5206" s="279" t="s">
        <v>5532</v>
      </c>
      <c r="F5206" s="284">
        <f t="shared" ca="1" si="162"/>
        <v>0.8433234789318359</v>
      </c>
      <c r="G5206" s="74">
        <v>40.213780229148568</v>
      </c>
      <c r="H5206" s="74">
        <f t="shared" si="163"/>
        <v>0.28062011418395372</v>
      </c>
    </row>
    <row r="5207" spans="5:8" ht="15.6">
      <c r="E5207" s="279" t="s">
        <v>5533</v>
      </c>
      <c r="F5207" s="284">
        <f t="shared" ca="1" si="162"/>
        <v>0.16784269205109104</v>
      </c>
      <c r="G5207" s="74">
        <v>44.405703442503849</v>
      </c>
      <c r="H5207" s="74">
        <f t="shared" si="163"/>
        <v>-3.9113030991713273</v>
      </c>
    </row>
    <row r="5208" spans="5:8" ht="15.6">
      <c r="E5208" s="279" t="s">
        <v>5534</v>
      </c>
      <c r="F5208" s="284">
        <f t="shared" ca="1" si="162"/>
        <v>0.13837677376990287</v>
      </c>
      <c r="G5208" s="74">
        <v>37.385418800814882</v>
      </c>
      <c r="H5208" s="74">
        <f t="shared" si="163"/>
        <v>3.1089815425176397</v>
      </c>
    </row>
    <row r="5209" spans="5:8" ht="15.6">
      <c r="E5209" s="279" t="s">
        <v>5535</v>
      </c>
      <c r="F5209" s="284">
        <f t="shared" ca="1" si="162"/>
        <v>0.2520548595146801</v>
      </c>
      <c r="G5209" s="74">
        <v>35.932604814134457</v>
      </c>
      <c r="H5209" s="74">
        <f t="shared" si="163"/>
        <v>4.561795529198065</v>
      </c>
    </row>
    <row r="5210" spans="5:8" ht="15.6">
      <c r="E5210" s="279" t="s">
        <v>5536</v>
      </c>
      <c r="F5210" s="284">
        <f t="shared" ca="1" si="162"/>
        <v>0.6877586181251879</v>
      </c>
      <c r="G5210" s="74">
        <v>39.454813746459465</v>
      </c>
      <c r="H5210" s="74">
        <f t="shared" si="163"/>
        <v>1.0395865968730575</v>
      </c>
    </row>
    <row r="5211" spans="5:8" ht="15.6">
      <c r="E5211" s="279" t="s">
        <v>5537</v>
      </c>
      <c r="F5211" s="284">
        <f t="shared" ca="1" si="162"/>
        <v>0.97743444593290596</v>
      </c>
      <c r="G5211" s="74">
        <v>40.770497590336696</v>
      </c>
      <c r="H5211" s="74">
        <f t="shared" si="163"/>
        <v>-0.2760972470041736</v>
      </c>
    </row>
    <row r="5212" spans="5:8" ht="15.6">
      <c r="E5212" s="279" t="s">
        <v>5538</v>
      </c>
      <c r="F5212" s="284">
        <f t="shared" ca="1" si="162"/>
        <v>0.14529758660145742</v>
      </c>
      <c r="G5212" s="74">
        <v>37.442967967957323</v>
      </c>
      <c r="H5212" s="74">
        <f t="shared" si="163"/>
        <v>3.0514323753751995</v>
      </c>
    </row>
    <row r="5213" spans="5:8" ht="15.6">
      <c r="E5213" s="279" t="s">
        <v>5539</v>
      </c>
      <c r="F5213" s="284">
        <f t="shared" ca="1" si="162"/>
        <v>0.3993665057401008</v>
      </c>
      <c r="G5213" s="74">
        <v>45.338568410877436</v>
      </c>
      <c r="H5213" s="74">
        <f t="shared" si="163"/>
        <v>-4.8441680675449135</v>
      </c>
    </row>
    <row r="5214" spans="5:8" ht="15.6">
      <c r="E5214" s="279" t="s">
        <v>5540</v>
      </c>
      <c r="F5214" s="284">
        <f t="shared" ca="1" si="162"/>
        <v>0.16006701498440079</v>
      </c>
      <c r="G5214" s="74">
        <v>37.41277393945537</v>
      </c>
      <c r="H5214" s="74">
        <f t="shared" si="163"/>
        <v>3.0816264038771521</v>
      </c>
    </row>
    <row r="5215" spans="5:8" ht="15.6">
      <c r="E5215" s="279" t="s">
        <v>5541</v>
      </c>
      <c r="F5215" s="284">
        <f t="shared" ca="1" si="162"/>
        <v>0.84178387960287693</v>
      </c>
      <c r="G5215" s="74">
        <v>40.50884407076277</v>
      </c>
      <c r="H5215" s="74">
        <f t="shared" si="163"/>
        <v>-1.4443727430247577E-2</v>
      </c>
    </row>
    <row r="5216" spans="5:8" ht="15.6">
      <c r="E5216" s="279" t="s">
        <v>5542</v>
      </c>
      <c r="F5216" s="284">
        <f t="shared" ca="1" si="162"/>
        <v>6.7348266645512411E-2</v>
      </c>
      <c r="G5216" s="74">
        <v>36.782395423934979</v>
      </c>
      <c r="H5216" s="74">
        <f t="shared" si="163"/>
        <v>3.7120049193975433</v>
      </c>
    </row>
    <row r="5217" spans="5:8" ht="15.6">
      <c r="E5217" s="279" t="s">
        <v>5543</v>
      </c>
      <c r="F5217" s="284">
        <f t="shared" ca="1" si="162"/>
        <v>4.7144263532405639E-2</v>
      </c>
      <c r="G5217" s="74">
        <v>43.342779022210387</v>
      </c>
      <c r="H5217" s="74">
        <f t="shared" si="163"/>
        <v>-2.8483786788778644</v>
      </c>
    </row>
    <row r="5218" spans="5:8" ht="15.6">
      <c r="E5218" s="279" t="s">
        <v>5544</v>
      </c>
      <c r="F5218" s="284">
        <f t="shared" ca="1" si="162"/>
        <v>0.54990790519761901</v>
      </c>
      <c r="G5218" s="74">
        <v>38.18653901555777</v>
      </c>
      <c r="H5218" s="74">
        <f t="shared" si="163"/>
        <v>2.3078613277747522</v>
      </c>
    </row>
    <row r="5219" spans="5:8" ht="15.6">
      <c r="E5219" s="279" t="s">
        <v>5545</v>
      </c>
      <c r="F5219" s="284">
        <f t="shared" ca="1" si="162"/>
        <v>0.74033501063283513</v>
      </c>
      <c r="G5219" s="74">
        <v>36.82884342561195</v>
      </c>
      <c r="H5219" s="74">
        <f t="shared" si="163"/>
        <v>3.665556917720572</v>
      </c>
    </row>
    <row r="5220" spans="5:8" ht="15.6">
      <c r="E5220" s="279" t="s">
        <v>5546</v>
      </c>
      <c r="F5220" s="284">
        <f t="shared" ca="1" si="162"/>
        <v>0.88922205802997301</v>
      </c>
      <c r="G5220" s="74">
        <v>38.44286387325824</v>
      </c>
      <c r="H5220" s="74">
        <f t="shared" si="163"/>
        <v>2.0515364700742822</v>
      </c>
    </row>
    <row r="5221" spans="5:8" ht="15.6">
      <c r="E5221" s="279" t="s">
        <v>5547</v>
      </c>
      <c r="F5221" s="284">
        <f t="shared" ca="1" si="162"/>
        <v>8.5242853354538739E-2</v>
      </c>
      <c r="G5221" s="74">
        <v>41.733080400264434</v>
      </c>
      <c r="H5221" s="74">
        <f t="shared" si="163"/>
        <v>-1.2386800569319121</v>
      </c>
    </row>
    <row r="5222" spans="5:8" ht="15.6">
      <c r="E5222" s="279" t="s">
        <v>5548</v>
      </c>
      <c r="F5222" s="284">
        <f t="shared" ca="1" si="162"/>
        <v>0.50456841829633881</v>
      </c>
      <c r="G5222" s="74">
        <v>41.859540871716845</v>
      </c>
      <c r="H5222" s="74">
        <f t="shared" si="163"/>
        <v>-1.3651405283843232</v>
      </c>
    </row>
    <row r="5223" spans="5:8" ht="15.6">
      <c r="E5223" s="279" t="s">
        <v>5549</v>
      </c>
      <c r="F5223" s="284">
        <f t="shared" ca="1" si="162"/>
        <v>0.53792069599273851</v>
      </c>
      <c r="G5223" s="74">
        <v>40.918352807175594</v>
      </c>
      <c r="H5223" s="74">
        <f t="shared" si="163"/>
        <v>-0.42395246384307228</v>
      </c>
    </row>
    <row r="5224" spans="5:8" ht="15.6">
      <c r="E5224" s="279" t="s">
        <v>5550</v>
      </c>
      <c r="F5224" s="284">
        <f t="shared" ca="1" si="162"/>
        <v>0.71628744753827345</v>
      </c>
      <c r="G5224" s="74">
        <v>41.226791642452206</v>
      </c>
      <c r="H5224" s="74">
        <f t="shared" si="163"/>
        <v>-0.73239129911968348</v>
      </c>
    </row>
    <row r="5225" spans="5:8" ht="15.6">
      <c r="E5225" s="279" t="s">
        <v>5551</v>
      </c>
      <c r="F5225" s="284">
        <f t="shared" ca="1" si="162"/>
        <v>0.28189488193618939</v>
      </c>
      <c r="G5225" s="74">
        <v>38.355564388484751</v>
      </c>
      <c r="H5225" s="74">
        <f t="shared" si="163"/>
        <v>2.1388359548477709</v>
      </c>
    </row>
    <row r="5226" spans="5:8" ht="15.6">
      <c r="E5226" s="279" t="s">
        <v>5552</v>
      </c>
      <c r="F5226" s="284">
        <f t="shared" ca="1" si="162"/>
        <v>0.65079489326307283</v>
      </c>
      <c r="G5226" s="74">
        <v>36.338577760583732</v>
      </c>
      <c r="H5226" s="74">
        <f t="shared" si="163"/>
        <v>4.1558225827487902</v>
      </c>
    </row>
    <row r="5227" spans="5:8" ht="15.6">
      <c r="E5227" s="279" t="s">
        <v>5553</v>
      </c>
      <c r="F5227" s="284">
        <f t="shared" ca="1" si="162"/>
        <v>0.59389050575309921</v>
      </c>
      <c r="G5227" s="74">
        <v>40.072673055235768</v>
      </c>
      <c r="H5227" s="74">
        <f t="shared" si="163"/>
        <v>0.42172728809675419</v>
      </c>
    </row>
    <row r="5228" spans="5:8" ht="15.6">
      <c r="E5228" s="279" t="s">
        <v>5554</v>
      </c>
      <c r="F5228" s="284">
        <f t="shared" ca="1" si="162"/>
        <v>0.91843098087169739</v>
      </c>
      <c r="G5228" s="74">
        <v>37.726851729946503</v>
      </c>
      <c r="H5228" s="74">
        <f t="shared" si="163"/>
        <v>2.767548613386019</v>
      </c>
    </row>
    <row r="5229" spans="5:8" ht="15.6">
      <c r="E5229" s="279" t="s">
        <v>5555</v>
      </c>
      <c r="F5229" s="284">
        <f t="shared" ca="1" si="162"/>
        <v>0.38990048702264801</v>
      </c>
      <c r="G5229" s="74">
        <v>40.6353926055816</v>
      </c>
      <c r="H5229" s="74">
        <f t="shared" si="163"/>
        <v>-0.14099226224907824</v>
      </c>
    </row>
    <row r="5230" spans="5:8" ht="15.6">
      <c r="E5230" s="279" t="s">
        <v>5556</v>
      </c>
      <c r="F5230" s="284">
        <f t="shared" ca="1" si="162"/>
        <v>0.12659322987855082</v>
      </c>
      <c r="G5230" s="74">
        <v>39.616046864537509</v>
      </c>
      <c r="H5230" s="74">
        <f t="shared" si="163"/>
        <v>0.87835347879501313</v>
      </c>
    </row>
    <row r="5231" spans="5:8" ht="15.6">
      <c r="E5231" s="279" t="s">
        <v>5557</v>
      </c>
      <c r="F5231" s="284">
        <f t="shared" ca="1" si="162"/>
        <v>0.49327681588139327</v>
      </c>
      <c r="G5231" s="74">
        <v>40.44675755455323</v>
      </c>
      <c r="H5231" s="74">
        <f t="shared" si="163"/>
        <v>4.7642788779292289E-2</v>
      </c>
    </row>
    <row r="5232" spans="5:8" ht="15.6">
      <c r="E5232" s="279" t="s">
        <v>5558</v>
      </c>
      <c r="F5232" s="284">
        <f t="shared" ca="1" si="162"/>
        <v>0.75672481631195299</v>
      </c>
      <c r="G5232" s="74">
        <v>38.184656062336011</v>
      </c>
      <c r="H5232" s="74">
        <f t="shared" si="163"/>
        <v>2.3097442809965116</v>
      </c>
    </row>
    <row r="5233" spans="5:8" ht="15.6">
      <c r="E5233" s="279" t="s">
        <v>5559</v>
      </c>
      <c r="F5233" s="284">
        <f t="shared" ca="1" si="162"/>
        <v>0.46497962681887905</v>
      </c>
      <c r="G5233" s="74">
        <v>42.344953358992427</v>
      </c>
      <c r="H5233" s="74">
        <f t="shared" si="163"/>
        <v>-1.850553015659905</v>
      </c>
    </row>
    <row r="5234" spans="5:8" ht="15.6">
      <c r="E5234" s="279" t="s">
        <v>5560</v>
      </c>
      <c r="F5234" s="284">
        <f t="shared" ca="1" si="162"/>
        <v>0.2972584188128472</v>
      </c>
      <c r="G5234" s="74">
        <v>42.692704409805998</v>
      </c>
      <c r="H5234" s="74">
        <f t="shared" si="163"/>
        <v>-2.1983040664734759</v>
      </c>
    </row>
    <row r="5235" spans="5:8" ht="15.6">
      <c r="E5235" s="279" t="s">
        <v>5561</v>
      </c>
      <c r="F5235" s="284">
        <f t="shared" ca="1" si="162"/>
        <v>0.96684751717295514</v>
      </c>
      <c r="G5235" s="74">
        <v>43.914879690733358</v>
      </c>
      <c r="H5235" s="74">
        <f t="shared" si="163"/>
        <v>-3.4204793474008355</v>
      </c>
    </row>
    <row r="5236" spans="5:8" ht="15.6">
      <c r="E5236" s="279" t="s">
        <v>5562</v>
      </c>
      <c r="F5236" s="284">
        <f t="shared" ca="1" si="162"/>
        <v>0.8888430969858685</v>
      </c>
      <c r="G5236" s="74">
        <v>37.3899120786323</v>
      </c>
      <c r="H5236" s="74">
        <f t="shared" si="163"/>
        <v>3.1044882647002225</v>
      </c>
    </row>
    <row r="5237" spans="5:8" ht="15.6">
      <c r="E5237" s="279" t="s">
        <v>5563</v>
      </c>
      <c r="F5237" s="284">
        <f t="shared" ca="1" si="162"/>
        <v>0.65308970542845035</v>
      </c>
      <c r="G5237" s="74">
        <v>37.270527852589765</v>
      </c>
      <c r="H5237" s="74">
        <f t="shared" si="163"/>
        <v>3.2238724907427567</v>
      </c>
    </row>
    <row r="5238" spans="5:8" ht="15.6">
      <c r="E5238" s="279" t="s">
        <v>5564</v>
      </c>
      <c r="F5238" s="284">
        <f t="shared" ca="1" si="162"/>
        <v>0.83486829615184199</v>
      </c>
      <c r="G5238" s="74">
        <v>35.097702483847875</v>
      </c>
      <c r="H5238" s="74">
        <f t="shared" si="163"/>
        <v>5.3966978594846466</v>
      </c>
    </row>
    <row r="5239" spans="5:8" ht="15.6">
      <c r="E5239" s="279" t="s">
        <v>5565</v>
      </c>
      <c r="F5239" s="284">
        <f t="shared" ca="1" si="162"/>
        <v>0.45102407160617664</v>
      </c>
      <c r="G5239" s="74">
        <v>38.977608205860619</v>
      </c>
      <c r="H5239" s="74">
        <f t="shared" si="163"/>
        <v>1.5167921374719029</v>
      </c>
    </row>
    <row r="5240" spans="5:8" ht="15.6">
      <c r="E5240" s="279" t="s">
        <v>5566</v>
      </c>
      <c r="F5240" s="284">
        <f t="shared" ca="1" si="162"/>
        <v>8.090023554254222E-2</v>
      </c>
      <c r="G5240" s="74">
        <v>42.367103101376564</v>
      </c>
      <c r="H5240" s="74">
        <f t="shared" si="163"/>
        <v>-1.8727027580440421</v>
      </c>
    </row>
    <row r="5241" spans="5:8" ht="15.6">
      <c r="E5241" s="279" t="s">
        <v>5567</v>
      </c>
      <c r="F5241" s="284">
        <f t="shared" ca="1" si="162"/>
        <v>0.16779058886482545</v>
      </c>
      <c r="G5241" s="74">
        <v>38.713692697792212</v>
      </c>
      <c r="H5241" s="74">
        <f t="shared" si="163"/>
        <v>1.7807076455403106</v>
      </c>
    </row>
    <row r="5242" spans="5:8" ht="15.6">
      <c r="E5242" s="279" t="s">
        <v>5568</v>
      </c>
      <c r="F5242" s="284">
        <f t="shared" ca="1" si="162"/>
        <v>0.42723362703511802</v>
      </c>
      <c r="G5242" s="74">
        <v>39.046896595339334</v>
      </c>
      <c r="H5242" s="74">
        <f t="shared" si="163"/>
        <v>1.4475037479931885</v>
      </c>
    </row>
    <row r="5243" spans="5:8" ht="15.6">
      <c r="E5243" s="279" t="s">
        <v>5569</v>
      </c>
      <c r="F5243" s="284">
        <f t="shared" ca="1" si="162"/>
        <v>5.9849611949805759E-2</v>
      </c>
      <c r="G5243" s="74">
        <v>42.749251013358908</v>
      </c>
      <c r="H5243" s="74">
        <f t="shared" si="163"/>
        <v>-2.2548506700263857</v>
      </c>
    </row>
    <row r="5244" spans="5:8" ht="15.6">
      <c r="E5244" s="279" t="s">
        <v>5570</v>
      </c>
      <c r="F5244" s="284">
        <f t="shared" ca="1" si="162"/>
        <v>0.94162681518406488</v>
      </c>
      <c r="G5244" s="74">
        <v>37.130831288056669</v>
      </c>
      <c r="H5244" s="74">
        <f t="shared" si="163"/>
        <v>3.3635690552758533</v>
      </c>
    </row>
    <row r="5245" spans="5:8" ht="15.6">
      <c r="E5245" s="279" t="s">
        <v>5571</v>
      </c>
      <c r="F5245" s="284">
        <f t="shared" ca="1" si="162"/>
        <v>0.88353848378566502</v>
      </c>
      <c r="G5245" s="74">
        <v>41.494664648694169</v>
      </c>
      <c r="H5245" s="74">
        <f t="shared" si="163"/>
        <v>-1.0002643053616467</v>
      </c>
    </row>
    <row r="5246" spans="5:8" ht="15.6">
      <c r="E5246" s="279" t="s">
        <v>5572</v>
      </c>
      <c r="F5246" s="284">
        <f t="shared" ca="1" si="162"/>
        <v>0.67486930982440907</v>
      </c>
      <c r="G5246" s="74">
        <v>38.890305914927573</v>
      </c>
      <c r="H5246" s="74">
        <f t="shared" si="163"/>
        <v>1.6040944284049488</v>
      </c>
    </row>
    <row r="5247" spans="5:8" ht="15.6">
      <c r="E5247" s="279" t="s">
        <v>5573</v>
      </c>
      <c r="F5247" s="284">
        <f t="shared" ca="1" si="162"/>
        <v>0.45042362305016415</v>
      </c>
      <c r="G5247" s="74">
        <v>42.038202350753402</v>
      </c>
      <c r="H5247" s="74">
        <f t="shared" si="163"/>
        <v>-1.5438020074208794</v>
      </c>
    </row>
    <row r="5248" spans="5:8" ht="15.6">
      <c r="E5248" s="279" t="s">
        <v>5574</v>
      </c>
      <c r="F5248" s="284">
        <f t="shared" ca="1" si="162"/>
        <v>0.20473322825307294</v>
      </c>
      <c r="G5248" s="74">
        <v>39.875902383433548</v>
      </c>
      <c r="H5248" s="74">
        <f t="shared" si="163"/>
        <v>0.61849795989897416</v>
      </c>
    </row>
    <row r="5249" spans="5:8" ht="15.6">
      <c r="E5249" s="279" t="s">
        <v>5575</v>
      </c>
      <c r="F5249" s="284">
        <f t="shared" ca="1" si="162"/>
        <v>1.5832794036137909E-2</v>
      </c>
      <c r="G5249" s="74">
        <v>40.271962376862689</v>
      </c>
      <c r="H5249" s="74">
        <f t="shared" si="163"/>
        <v>0.22243796646983327</v>
      </c>
    </row>
    <row r="5250" spans="5:8" ht="15.6">
      <c r="E5250" s="279" t="s">
        <v>5576</v>
      </c>
      <c r="F5250" s="284">
        <f t="shared" ca="1" si="162"/>
        <v>0.71648726534240892</v>
      </c>
      <c r="G5250" s="74">
        <v>44.915555225716247</v>
      </c>
      <c r="H5250" s="74">
        <f t="shared" si="163"/>
        <v>-4.4211548823837248</v>
      </c>
    </row>
    <row r="5251" spans="5:8" ht="15.6">
      <c r="E5251" s="279" t="s">
        <v>5577</v>
      </c>
      <c r="F5251" s="284">
        <f t="shared" ca="1" si="162"/>
        <v>0.6804958073342966</v>
      </c>
      <c r="G5251" s="74">
        <v>42.840353281201267</v>
      </c>
      <c r="H5251" s="74">
        <f t="shared" si="163"/>
        <v>-2.3459529378687449</v>
      </c>
    </row>
    <row r="5252" spans="5:8" ht="15.6">
      <c r="E5252" s="279" t="s">
        <v>5578</v>
      </c>
      <c r="F5252" s="284">
        <f t="shared" ca="1" si="162"/>
        <v>0.58366638574201002</v>
      </c>
      <c r="G5252" s="74">
        <v>36.200957717525306</v>
      </c>
      <c r="H5252" s="74">
        <f t="shared" si="163"/>
        <v>4.2934426258072165</v>
      </c>
    </row>
    <row r="5253" spans="5:8" ht="15.6">
      <c r="E5253" s="279" t="s">
        <v>5579</v>
      </c>
      <c r="F5253" s="284">
        <f t="shared" ca="1" si="162"/>
        <v>0.48131792151667563</v>
      </c>
      <c r="G5253" s="74">
        <v>40.780499673884101</v>
      </c>
      <c r="H5253" s="74">
        <f t="shared" si="163"/>
        <v>-0.2860993305515791</v>
      </c>
    </row>
    <row r="5254" spans="5:8" ht="15.6">
      <c r="E5254" s="279" t="s">
        <v>5580</v>
      </c>
      <c r="F5254" s="284">
        <f t="shared" ca="1" si="162"/>
        <v>5.9209408736461078E-2</v>
      </c>
      <c r="G5254" s="74">
        <v>38.335743317238332</v>
      </c>
      <c r="H5254" s="74">
        <f t="shared" si="163"/>
        <v>2.1586570260941897</v>
      </c>
    </row>
    <row r="5255" spans="5:8" ht="15.6">
      <c r="E5255" s="279" t="s">
        <v>5581</v>
      </c>
      <c r="F5255" s="284">
        <f t="shared" ca="1" si="162"/>
        <v>0.85077775841727954</v>
      </c>
      <c r="G5255" s="74">
        <v>43.14706305157182</v>
      </c>
      <c r="H5255" s="74">
        <f t="shared" si="163"/>
        <v>-2.6526627082392977</v>
      </c>
    </row>
    <row r="5256" spans="5:8" ht="15.6">
      <c r="E5256" s="279" t="s">
        <v>5582</v>
      </c>
      <c r="F5256" s="284">
        <f t="shared" ca="1" si="162"/>
        <v>0.83945556739486915</v>
      </c>
      <c r="G5256" s="74">
        <v>38.431150473930529</v>
      </c>
      <c r="H5256" s="74">
        <f t="shared" si="163"/>
        <v>2.063249869401993</v>
      </c>
    </row>
    <row r="5257" spans="5:8" ht="15.6">
      <c r="E5257" s="279" t="s">
        <v>5583</v>
      </c>
      <c r="F5257" s="284">
        <f t="shared" ca="1" si="162"/>
        <v>9.7482408048929159E-2</v>
      </c>
      <c r="G5257" s="74">
        <v>39.103529359331432</v>
      </c>
      <c r="H5257" s="74">
        <f t="shared" si="163"/>
        <v>1.39087098400109</v>
      </c>
    </row>
    <row r="5258" spans="5:8" ht="15.6">
      <c r="E5258" s="279" t="s">
        <v>5584</v>
      </c>
      <c r="F5258" s="284">
        <f t="shared" ca="1" si="162"/>
        <v>0.39009983311345242</v>
      </c>
      <c r="G5258" s="74">
        <v>42.073932045370391</v>
      </c>
      <c r="H5258" s="74">
        <f t="shared" si="163"/>
        <v>-1.579531702037869</v>
      </c>
    </row>
    <row r="5259" spans="5:8" ht="15.6">
      <c r="E5259" s="279" t="s">
        <v>5585</v>
      </c>
      <c r="F5259" s="284">
        <f t="shared" ca="1" si="162"/>
        <v>0.15850237989563398</v>
      </c>
      <c r="G5259" s="74">
        <v>40.103722530682987</v>
      </c>
      <c r="H5259" s="74">
        <f t="shared" si="163"/>
        <v>0.39067781264953538</v>
      </c>
    </row>
    <row r="5260" spans="5:8" ht="15.6">
      <c r="E5260" s="279" t="s">
        <v>5586</v>
      </c>
      <c r="F5260" s="284">
        <f t="shared" ref="F5260:F5323" ca="1" si="164">RAND()</f>
        <v>3.5635074462650129E-2</v>
      </c>
      <c r="G5260" s="74">
        <v>40.307897155771542</v>
      </c>
      <c r="H5260" s="74">
        <f t="shared" ref="H5260:H5323" si="165">$D$2-G5260</f>
        <v>0.18650318756098017</v>
      </c>
    </row>
    <row r="5261" spans="5:8" ht="15.6">
      <c r="E5261" s="279" t="s">
        <v>5587</v>
      </c>
      <c r="F5261" s="284">
        <f t="shared" ca="1" si="164"/>
        <v>0.21459098257815157</v>
      </c>
      <c r="G5261" s="74">
        <v>38.293287256714358</v>
      </c>
      <c r="H5261" s="74">
        <f t="shared" si="165"/>
        <v>2.2011130866181645</v>
      </c>
    </row>
    <row r="5262" spans="5:8" ht="15.6">
      <c r="E5262" s="279" t="s">
        <v>5588</v>
      </c>
      <c r="F5262" s="284">
        <f t="shared" ca="1" si="164"/>
        <v>0.73760144521112858</v>
      </c>
      <c r="G5262" s="74">
        <v>37.328338968362573</v>
      </c>
      <c r="H5262" s="74">
        <f t="shared" si="165"/>
        <v>3.1660613749699493</v>
      </c>
    </row>
    <row r="5263" spans="5:8" ht="15.6">
      <c r="E5263" s="279" t="s">
        <v>5589</v>
      </c>
      <c r="F5263" s="284">
        <f t="shared" ca="1" si="164"/>
        <v>0.33183601226627712</v>
      </c>
      <c r="G5263" s="74">
        <v>39.245105844371857</v>
      </c>
      <c r="H5263" s="74">
        <f t="shared" si="165"/>
        <v>1.2492944989606656</v>
      </c>
    </row>
    <row r="5264" spans="5:8" ht="15.6">
      <c r="E5264" s="279" t="s">
        <v>5590</v>
      </c>
      <c r="F5264" s="284">
        <f t="shared" ca="1" si="164"/>
        <v>0.95163876049696461</v>
      </c>
      <c r="G5264" s="74">
        <v>37.525598882337036</v>
      </c>
      <c r="H5264" s="74">
        <f t="shared" si="165"/>
        <v>2.9688014609954863</v>
      </c>
    </row>
    <row r="5265" spans="5:8" ht="15.6">
      <c r="E5265" s="279" t="s">
        <v>5591</v>
      </c>
      <c r="F5265" s="284">
        <f t="shared" ca="1" si="164"/>
        <v>0.69309592882821192</v>
      </c>
      <c r="G5265" s="74">
        <v>38.231362610590161</v>
      </c>
      <c r="H5265" s="74">
        <f t="shared" si="165"/>
        <v>2.2630377327423616</v>
      </c>
    </row>
    <row r="5266" spans="5:8" ht="15.6">
      <c r="E5266" s="279" t="s">
        <v>5592</v>
      </c>
      <c r="F5266" s="284">
        <f t="shared" ca="1" si="164"/>
        <v>0.91524042437923003</v>
      </c>
      <c r="G5266" s="74">
        <v>39.500501725389782</v>
      </c>
      <c r="H5266" s="74">
        <f t="shared" si="165"/>
        <v>0.99389861794274026</v>
      </c>
    </row>
    <row r="5267" spans="5:8" ht="15.6">
      <c r="E5267" s="279" t="s">
        <v>5593</v>
      </c>
      <c r="F5267" s="284">
        <f t="shared" ca="1" si="164"/>
        <v>0.34897055730692306</v>
      </c>
      <c r="G5267" s="74">
        <v>37.581017363422198</v>
      </c>
      <c r="H5267" s="74">
        <f t="shared" si="165"/>
        <v>2.9133829799103239</v>
      </c>
    </row>
    <row r="5268" spans="5:8" ht="15.6">
      <c r="E5268" s="279" t="s">
        <v>5594</v>
      </c>
      <c r="F5268" s="284">
        <f t="shared" ca="1" si="164"/>
        <v>0.6998363649039796</v>
      </c>
      <c r="G5268" s="74">
        <v>37.706608850367488</v>
      </c>
      <c r="H5268" s="74">
        <f t="shared" si="165"/>
        <v>2.7877914929650345</v>
      </c>
    </row>
    <row r="5269" spans="5:8" ht="15.6">
      <c r="E5269" s="279" t="s">
        <v>5595</v>
      </c>
      <c r="F5269" s="284">
        <f t="shared" ca="1" si="164"/>
        <v>0.77124426960891579</v>
      </c>
      <c r="G5269" s="74">
        <v>39.105552750027698</v>
      </c>
      <c r="H5269" s="74">
        <f t="shared" si="165"/>
        <v>1.3888475933048241</v>
      </c>
    </row>
    <row r="5270" spans="5:8" ht="15.6">
      <c r="E5270" s="279" t="s">
        <v>5596</v>
      </c>
      <c r="F5270" s="284">
        <f t="shared" ca="1" si="164"/>
        <v>0.12912850910989659</v>
      </c>
      <c r="G5270" s="74">
        <v>39.028266903319114</v>
      </c>
      <c r="H5270" s="74">
        <f t="shared" si="165"/>
        <v>1.4661334400134081</v>
      </c>
    </row>
    <row r="5271" spans="5:8" ht="15.6">
      <c r="E5271" s="279" t="s">
        <v>5597</v>
      </c>
      <c r="F5271" s="284">
        <f t="shared" ca="1" si="164"/>
        <v>0.77116957856058832</v>
      </c>
      <c r="G5271" s="74">
        <v>39.353174559271324</v>
      </c>
      <c r="H5271" s="74">
        <f t="shared" si="165"/>
        <v>1.1412257840611986</v>
      </c>
    </row>
    <row r="5272" spans="5:8" ht="15.6">
      <c r="E5272" s="279" t="s">
        <v>5598</v>
      </c>
      <c r="F5272" s="284">
        <f t="shared" ca="1" si="164"/>
        <v>0.20662182423498709</v>
      </c>
      <c r="G5272" s="74">
        <v>39.887275520520411</v>
      </c>
      <c r="H5272" s="74">
        <f t="shared" si="165"/>
        <v>0.60712482281211066</v>
      </c>
    </row>
    <row r="5273" spans="5:8" ht="15.6">
      <c r="E5273" s="279" t="s">
        <v>5599</v>
      </c>
      <c r="F5273" s="284">
        <f t="shared" ca="1" si="164"/>
        <v>0.14283568331375207</v>
      </c>
      <c r="G5273" s="74">
        <v>40.446292363917223</v>
      </c>
      <c r="H5273" s="74">
        <f t="shared" si="165"/>
        <v>4.8107979415298985E-2</v>
      </c>
    </row>
    <row r="5274" spans="5:8" ht="15.6">
      <c r="E5274" s="279" t="s">
        <v>5600</v>
      </c>
      <c r="F5274" s="284">
        <f t="shared" ca="1" si="164"/>
        <v>0.72608088568425255</v>
      </c>
      <c r="G5274" s="74">
        <v>35.434238309102511</v>
      </c>
      <c r="H5274" s="74">
        <f t="shared" si="165"/>
        <v>5.0601620342300109</v>
      </c>
    </row>
    <row r="5275" spans="5:8" ht="15.6">
      <c r="E5275" s="279" t="s">
        <v>5601</v>
      </c>
      <c r="F5275" s="284">
        <f t="shared" ca="1" si="164"/>
        <v>0.10738672721092957</v>
      </c>
      <c r="G5275" s="74">
        <v>39.340024555175198</v>
      </c>
      <c r="H5275" s="74">
        <f t="shared" si="165"/>
        <v>1.1543757881573242</v>
      </c>
    </row>
    <row r="5276" spans="5:8" ht="15.6">
      <c r="E5276" s="279" t="s">
        <v>5602</v>
      </c>
      <c r="F5276" s="284">
        <f t="shared" ca="1" si="164"/>
        <v>0.78438203414396546</v>
      </c>
      <c r="G5276" s="74">
        <v>39.560847535065939</v>
      </c>
      <c r="H5276" s="74">
        <f t="shared" si="165"/>
        <v>0.93355280826658316</v>
      </c>
    </row>
    <row r="5277" spans="5:8" ht="15.6">
      <c r="E5277" s="279" t="s">
        <v>5603</v>
      </c>
      <c r="F5277" s="284">
        <f t="shared" ca="1" si="164"/>
        <v>0.14879996240340165</v>
      </c>
      <c r="G5277" s="74">
        <v>35.75696468709144</v>
      </c>
      <c r="H5277" s="74">
        <f t="shared" si="165"/>
        <v>4.7374356562410824</v>
      </c>
    </row>
    <row r="5278" spans="5:8" ht="15.6">
      <c r="E5278" s="279" t="s">
        <v>5604</v>
      </c>
      <c r="F5278" s="284">
        <f t="shared" ca="1" si="164"/>
        <v>1.8660345802437028E-3</v>
      </c>
      <c r="G5278" s="74">
        <v>40.864665974031887</v>
      </c>
      <c r="H5278" s="74">
        <f t="shared" si="165"/>
        <v>-0.37026563069936458</v>
      </c>
    </row>
    <row r="5279" spans="5:8" ht="15.6">
      <c r="E5279" s="279" t="s">
        <v>5605</v>
      </c>
      <c r="F5279" s="284">
        <f t="shared" ca="1" si="164"/>
        <v>0.23807513683861814</v>
      </c>
      <c r="G5279" s="74">
        <v>40.844453356410519</v>
      </c>
      <c r="H5279" s="74">
        <f t="shared" si="165"/>
        <v>-0.35005301307799641</v>
      </c>
    </row>
    <row r="5280" spans="5:8" ht="15.6">
      <c r="E5280" s="279" t="s">
        <v>5606</v>
      </c>
      <c r="F5280" s="284">
        <f t="shared" ca="1" si="164"/>
        <v>0.99709460592644339</v>
      </c>
      <c r="G5280" s="74">
        <v>34.015754926144595</v>
      </c>
      <c r="H5280" s="74">
        <f t="shared" si="165"/>
        <v>6.4786454171879271</v>
      </c>
    </row>
    <row r="5281" spans="5:8" ht="15.6">
      <c r="E5281" s="279" t="s">
        <v>5607</v>
      </c>
      <c r="F5281" s="284">
        <f t="shared" ca="1" si="164"/>
        <v>0.45846627318589694</v>
      </c>
      <c r="G5281" s="74">
        <v>40.794495164546262</v>
      </c>
      <c r="H5281" s="74">
        <f t="shared" si="165"/>
        <v>-0.3000948212137402</v>
      </c>
    </row>
    <row r="5282" spans="5:8" ht="15.6">
      <c r="E5282" s="279" t="s">
        <v>5608</v>
      </c>
      <c r="F5282" s="284">
        <f t="shared" ca="1" si="164"/>
        <v>0.77531899396536386</v>
      </c>
      <c r="G5282" s="74">
        <v>36.275835023706911</v>
      </c>
      <c r="H5282" s="74">
        <f t="shared" si="165"/>
        <v>4.2185653196256112</v>
      </c>
    </row>
    <row r="5283" spans="5:8" ht="15.6">
      <c r="E5283" s="279" t="s">
        <v>5609</v>
      </c>
      <c r="F5283" s="284">
        <f t="shared" ca="1" si="164"/>
        <v>0.25684996797767767</v>
      </c>
      <c r="G5283" s="74">
        <v>36.089892488839482</v>
      </c>
      <c r="H5283" s="74">
        <f t="shared" si="165"/>
        <v>4.4045078544930405</v>
      </c>
    </row>
    <row r="5284" spans="5:8" ht="15.6">
      <c r="E5284" s="279" t="s">
        <v>5610</v>
      </c>
      <c r="F5284" s="284">
        <f t="shared" ca="1" si="164"/>
        <v>0.87450407484534576</v>
      </c>
      <c r="G5284" s="74">
        <v>35.162749537778957</v>
      </c>
      <c r="H5284" s="74">
        <f t="shared" si="165"/>
        <v>5.331650805553565</v>
      </c>
    </row>
    <row r="5285" spans="5:8" ht="15.6">
      <c r="E5285" s="279" t="s">
        <v>5611</v>
      </c>
      <c r="F5285" s="284">
        <f t="shared" ca="1" si="164"/>
        <v>5.5767338415866896E-2</v>
      </c>
      <c r="G5285" s="74">
        <v>35.599663945540513</v>
      </c>
      <c r="H5285" s="74">
        <f t="shared" si="165"/>
        <v>4.8947363977920091</v>
      </c>
    </row>
    <row r="5286" spans="5:8" ht="15.6">
      <c r="E5286" s="279" t="s">
        <v>5612</v>
      </c>
      <c r="F5286" s="284">
        <f t="shared" ca="1" si="164"/>
        <v>0.39861052956562393</v>
      </c>
      <c r="G5286" s="74">
        <v>41.864894187804715</v>
      </c>
      <c r="H5286" s="74">
        <f t="shared" si="165"/>
        <v>-1.3704938444721932</v>
      </c>
    </row>
    <row r="5287" spans="5:8" ht="15.6">
      <c r="E5287" s="279" t="s">
        <v>5613</v>
      </c>
      <c r="F5287" s="284">
        <f t="shared" ca="1" si="164"/>
        <v>0.90748366626911769</v>
      </c>
      <c r="G5287" s="74">
        <v>38.366579724909379</v>
      </c>
      <c r="H5287" s="74">
        <f t="shared" si="165"/>
        <v>2.1278206184231436</v>
      </c>
    </row>
    <row r="5288" spans="5:8" ht="15.6">
      <c r="E5288" s="279" t="s">
        <v>5614</v>
      </c>
      <c r="F5288" s="284">
        <f t="shared" ca="1" si="164"/>
        <v>0.70192416831122062</v>
      </c>
      <c r="G5288" s="74">
        <v>36.936151579312551</v>
      </c>
      <c r="H5288" s="74">
        <f t="shared" si="165"/>
        <v>3.5582487640199716</v>
      </c>
    </row>
    <row r="5289" spans="5:8" ht="15.6">
      <c r="E5289" s="279" t="s">
        <v>5615</v>
      </c>
      <c r="F5289" s="284">
        <f t="shared" ca="1" si="164"/>
        <v>0.86066994600071389</v>
      </c>
      <c r="G5289" s="74">
        <v>40.792478892772003</v>
      </c>
      <c r="H5289" s="74">
        <f t="shared" si="165"/>
        <v>-0.29807854943948087</v>
      </c>
    </row>
    <row r="5290" spans="5:8" ht="15.6">
      <c r="E5290" s="279" t="s">
        <v>5616</v>
      </c>
      <c r="F5290" s="284">
        <f t="shared" ca="1" si="164"/>
        <v>0.71746444770119333</v>
      </c>
      <c r="G5290" s="74">
        <v>40.126404283187483</v>
      </c>
      <c r="H5290" s="74">
        <f t="shared" si="165"/>
        <v>0.36799606014503894</v>
      </c>
    </row>
    <row r="5291" spans="5:8" ht="15.6">
      <c r="E5291" s="279" t="s">
        <v>5617</v>
      </c>
      <c r="F5291" s="284">
        <f t="shared" ca="1" si="164"/>
        <v>0.93604433411031762</v>
      </c>
      <c r="G5291" s="74">
        <v>36.385114080794757</v>
      </c>
      <c r="H5291" s="74">
        <f t="shared" si="165"/>
        <v>4.1092862625377649</v>
      </c>
    </row>
    <row r="5292" spans="5:8" ht="15.6">
      <c r="E5292" s="279" t="s">
        <v>5618</v>
      </c>
      <c r="F5292" s="284">
        <f t="shared" ca="1" si="164"/>
        <v>7.6870519243664615E-2</v>
      </c>
      <c r="G5292" s="74">
        <v>40.584587046491656</v>
      </c>
      <c r="H5292" s="74">
        <f t="shared" si="165"/>
        <v>-9.0186703159133685E-2</v>
      </c>
    </row>
    <row r="5293" spans="5:8" ht="15.6">
      <c r="E5293" s="279" t="s">
        <v>5619</v>
      </c>
      <c r="F5293" s="284">
        <f t="shared" ca="1" si="164"/>
        <v>0.75836792598993696</v>
      </c>
      <c r="G5293" s="74">
        <v>37.205840514673433</v>
      </c>
      <c r="H5293" s="74">
        <f t="shared" si="165"/>
        <v>3.2885598286590891</v>
      </c>
    </row>
    <row r="5294" spans="5:8" ht="15.6">
      <c r="E5294" s="279" t="s">
        <v>5620</v>
      </c>
      <c r="F5294" s="284">
        <f t="shared" ca="1" si="164"/>
        <v>0.50827545479451663</v>
      </c>
      <c r="G5294" s="74">
        <v>37.620184279423469</v>
      </c>
      <c r="H5294" s="74">
        <f t="shared" si="165"/>
        <v>2.8742160639090528</v>
      </c>
    </row>
    <row r="5295" spans="5:8" ht="15.6">
      <c r="E5295" s="279" t="s">
        <v>5621</v>
      </c>
      <c r="F5295" s="284">
        <f t="shared" ca="1" si="164"/>
        <v>0.41274324087613423</v>
      </c>
      <c r="G5295" s="74">
        <v>42.954914040208557</v>
      </c>
      <c r="H5295" s="74">
        <f t="shared" si="165"/>
        <v>-2.4605136968760348</v>
      </c>
    </row>
    <row r="5296" spans="5:8" ht="15.6">
      <c r="E5296" s="279" t="s">
        <v>5622</v>
      </c>
      <c r="F5296" s="284">
        <f t="shared" ca="1" si="164"/>
        <v>0.7848766195006518</v>
      </c>
      <c r="G5296" s="74">
        <v>35.04743313810669</v>
      </c>
      <c r="H5296" s="74">
        <f t="shared" si="165"/>
        <v>5.4469672052258318</v>
      </c>
    </row>
    <row r="5297" spans="5:8" ht="15.6">
      <c r="E5297" s="279" t="s">
        <v>5623</v>
      </c>
      <c r="F5297" s="284">
        <f t="shared" ca="1" si="164"/>
        <v>0.41317890854471895</v>
      </c>
      <c r="G5297" s="74">
        <v>36.364643323570398</v>
      </c>
      <c r="H5297" s="74">
        <f t="shared" si="165"/>
        <v>4.1297570197621241</v>
      </c>
    </row>
    <row r="5298" spans="5:8" ht="15.6">
      <c r="E5298" s="279" t="s">
        <v>5624</v>
      </c>
      <c r="F5298" s="284">
        <f t="shared" ca="1" si="164"/>
        <v>6.0767973219705396E-2</v>
      </c>
      <c r="G5298" s="74">
        <v>36.694162641021578</v>
      </c>
      <c r="H5298" s="74">
        <f t="shared" si="165"/>
        <v>3.8002377023109446</v>
      </c>
    </row>
    <row r="5299" spans="5:8" ht="15.6">
      <c r="E5299" s="279" t="s">
        <v>5625</v>
      </c>
      <c r="F5299" s="284">
        <f t="shared" ca="1" si="164"/>
        <v>6.6656682660694799E-2</v>
      </c>
      <c r="G5299" s="74">
        <v>36.19913771362819</v>
      </c>
      <c r="H5299" s="74">
        <f t="shared" si="165"/>
        <v>4.2952626297043324</v>
      </c>
    </row>
    <row r="5300" spans="5:8" ht="15.6">
      <c r="E5300" s="279" t="s">
        <v>5626</v>
      </c>
      <c r="F5300" s="284">
        <f t="shared" ca="1" si="164"/>
        <v>0.66989501833706833</v>
      </c>
      <c r="G5300" s="74">
        <v>37.070167068338812</v>
      </c>
      <c r="H5300" s="74">
        <f t="shared" si="165"/>
        <v>3.4242332749937106</v>
      </c>
    </row>
    <row r="5301" spans="5:8" ht="15.6">
      <c r="E5301" s="279" t="s">
        <v>5627</v>
      </c>
      <c r="F5301" s="284">
        <f t="shared" ca="1" si="164"/>
        <v>0.57819956828860064</v>
      </c>
      <c r="G5301" s="74">
        <v>35.921037281511012</v>
      </c>
      <c r="H5301" s="74">
        <f t="shared" si="165"/>
        <v>4.5733630618215102</v>
      </c>
    </row>
    <row r="5302" spans="5:8" ht="15.6">
      <c r="E5302" s="279" t="s">
        <v>5628</v>
      </c>
      <c r="F5302" s="284">
        <f t="shared" ca="1" si="164"/>
        <v>0.79996947549368114</v>
      </c>
      <c r="G5302" s="74">
        <v>36.644254258659814</v>
      </c>
      <c r="H5302" s="74">
        <f t="shared" si="165"/>
        <v>3.8501460846727085</v>
      </c>
    </row>
    <row r="5303" spans="5:8" ht="15.6">
      <c r="E5303" s="279" t="s">
        <v>5629</v>
      </c>
      <c r="F5303" s="284">
        <f t="shared" ca="1" si="164"/>
        <v>0.32424436499697895</v>
      </c>
      <c r="G5303" s="74">
        <v>42.462689830012742</v>
      </c>
      <c r="H5303" s="74">
        <f t="shared" si="165"/>
        <v>-1.9682894866802201</v>
      </c>
    </row>
    <row r="5304" spans="5:8" ht="15.6">
      <c r="E5304" s="279" t="s">
        <v>5630</v>
      </c>
      <c r="F5304" s="284">
        <f t="shared" ca="1" si="164"/>
        <v>0.43267385854598961</v>
      </c>
      <c r="G5304" s="74">
        <v>43.406302835035106</v>
      </c>
      <c r="H5304" s="74">
        <f t="shared" si="165"/>
        <v>-2.911902491702584</v>
      </c>
    </row>
    <row r="5305" spans="5:8" ht="15.6">
      <c r="E5305" s="279" t="s">
        <v>5631</v>
      </c>
      <c r="F5305" s="284">
        <f t="shared" ca="1" si="164"/>
        <v>0.20535425838891819</v>
      </c>
      <c r="G5305" s="74">
        <v>36.278332456708348</v>
      </c>
      <c r="H5305" s="74">
        <f t="shared" si="165"/>
        <v>4.2160678866241739</v>
      </c>
    </row>
    <row r="5306" spans="5:8" ht="15.6">
      <c r="E5306" s="279" t="s">
        <v>5632</v>
      </c>
      <c r="F5306" s="284">
        <f t="shared" ca="1" si="164"/>
        <v>0.54262629628018677</v>
      </c>
      <c r="G5306" s="74">
        <v>38.710468569867651</v>
      </c>
      <c r="H5306" s="74">
        <f t="shared" si="165"/>
        <v>1.7839317734648716</v>
      </c>
    </row>
    <row r="5307" spans="5:8" ht="15.6">
      <c r="E5307" s="279" t="s">
        <v>5633</v>
      </c>
      <c r="F5307" s="284">
        <f t="shared" ca="1" si="164"/>
        <v>0.15354859985551617</v>
      </c>
      <c r="G5307" s="74">
        <v>38.675289376532113</v>
      </c>
      <c r="H5307" s="74">
        <f t="shared" si="165"/>
        <v>1.8191109668004088</v>
      </c>
    </row>
    <row r="5308" spans="5:8" ht="15.6">
      <c r="E5308" s="279" t="s">
        <v>5634</v>
      </c>
      <c r="F5308" s="284">
        <f t="shared" ca="1" si="164"/>
        <v>0.62537171119751767</v>
      </c>
      <c r="G5308" s="74">
        <v>41.287457182240274</v>
      </c>
      <c r="H5308" s="74">
        <f t="shared" si="165"/>
        <v>-0.79305683890775214</v>
      </c>
    </row>
    <row r="5309" spans="5:8" ht="15.6">
      <c r="E5309" s="279" t="s">
        <v>5635</v>
      </c>
      <c r="F5309" s="284">
        <f t="shared" ca="1" si="164"/>
        <v>0.77856945014784096</v>
      </c>
      <c r="G5309" s="74">
        <v>43.029299291825289</v>
      </c>
      <c r="H5309" s="74">
        <f t="shared" si="165"/>
        <v>-2.5348989484927671</v>
      </c>
    </row>
    <row r="5310" spans="5:8" ht="15.6">
      <c r="E5310" s="279" t="s">
        <v>5636</v>
      </c>
      <c r="F5310" s="284">
        <f t="shared" ca="1" si="164"/>
        <v>0.36985001831347941</v>
      </c>
      <c r="G5310" s="74">
        <v>36.842025040732679</v>
      </c>
      <c r="H5310" s="74">
        <f t="shared" si="165"/>
        <v>3.6523753025998431</v>
      </c>
    </row>
    <row r="5311" spans="5:8" ht="15.6">
      <c r="E5311" s="279" t="s">
        <v>5637</v>
      </c>
      <c r="F5311" s="284">
        <f t="shared" ca="1" si="164"/>
        <v>0.5353923658573112</v>
      </c>
      <c r="G5311" s="74">
        <v>39.489947779646357</v>
      </c>
      <c r="H5311" s="74">
        <f t="shared" si="165"/>
        <v>1.004452563686165</v>
      </c>
    </row>
    <row r="5312" spans="5:8" ht="15.6">
      <c r="E5312" s="279" t="s">
        <v>5638</v>
      </c>
      <c r="F5312" s="284">
        <f t="shared" ca="1" si="164"/>
        <v>0.41771256578876692</v>
      </c>
      <c r="G5312" s="74">
        <v>39.026417450470539</v>
      </c>
      <c r="H5312" s="74">
        <f t="shared" si="165"/>
        <v>1.4679828928619827</v>
      </c>
    </row>
    <row r="5313" spans="5:8" ht="15.6">
      <c r="E5313" s="279" t="s">
        <v>5639</v>
      </c>
      <c r="F5313" s="284">
        <f t="shared" ca="1" si="164"/>
        <v>0.89517588419629568</v>
      </c>
      <c r="G5313" s="74">
        <v>40.652194004343166</v>
      </c>
      <c r="H5313" s="74">
        <f t="shared" si="165"/>
        <v>-0.1577936610106434</v>
      </c>
    </row>
    <row r="5314" spans="5:8" ht="15.6">
      <c r="E5314" s="279" t="s">
        <v>5640</v>
      </c>
      <c r="F5314" s="284">
        <f t="shared" ca="1" si="164"/>
        <v>0.22247087219484496</v>
      </c>
      <c r="G5314" s="74">
        <v>39.146189215663412</v>
      </c>
      <c r="H5314" s="74">
        <f t="shared" si="165"/>
        <v>1.34821112766911</v>
      </c>
    </row>
    <row r="5315" spans="5:8" ht="15.6">
      <c r="E5315" s="279" t="s">
        <v>5641</v>
      </c>
      <c r="F5315" s="284">
        <f t="shared" ca="1" si="164"/>
        <v>9.5918790187360936E-2</v>
      </c>
      <c r="G5315" s="74">
        <v>41.476314505042559</v>
      </c>
      <c r="H5315" s="74">
        <f t="shared" si="165"/>
        <v>-0.98191416171003709</v>
      </c>
    </row>
    <row r="5316" spans="5:8" ht="15.6">
      <c r="E5316" s="279" t="s">
        <v>5642</v>
      </c>
      <c r="F5316" s="284">
        <f t="shared" ca="1" si="164"/>
        <v>0.42927410718351922</v>
      </c>
      <c r="G5316" s="74">
        <v>40.508235246870882</v>
      </c>
      <c r="H5316" s="74">
        <f t="shared" si="165"/>
        <v>-1.3834903538359811E-2</v>
      </c>
    </row>
    <row r="5317" spans="5:8" ht="15.6">
      <c r="E5317" s="279" t="s">
        <v>5643</v>
      </c>
      <c r="F5317" s="284">
        <f t="shared" ca="1" si="164"/>
        <v>0.65084118357692333</v>
      </c>
      <c r="G5317" s="74">
        <v>35.510654307107949</v>
      </c>
      <c r="H5317" s="74">
        <f t="shared" si="165"/>
        <v>4.9837460362245736</v>
      </c>
    </row>
    <row r="5318" spans="5:8" ht="15.6">
      <c r="E5318" s="279" t="s">
        <v>5644</v>
      </c>
      <c r="F5318" s="284">
        <f t="shared" ca="1" si="164"/>
        <v>0.15866616488974183</v>
      </c>
      <c r="G5318" s="74">
        <v>39.602608991644523</v>
      </c>
      <c r="H5318" s="74">
        <f t="shared" si="165"/>
        <v>0.89179135168799917</v>
      </c>
    </row>
    <row r="5319" spans="5:8" ht="15.6">
      <c r="E5319" s="279" t="s">
        <v>5645</v>
      </c>
      <c r="F5319" s="284">
        <f t="shared" ca="1" si="164"/>
        <v>0.94764340363451005</v>
      </c>
      <c r="G5319" s="74">
        <v>45.815491968149871</v>
      </c>
      <c r="H5319" s="74">
        <f t="shared" si="165"/>
        <v>-5.321091624817349</v>
      </c>
    </row>
    <row r="5320" spans="5:8" ht="15.6">
      <c r="E5320" s="279" t="s">
        <v>5646</v>
      </c>
      <c r="F5320" s="284">
        <f t="shared" ca="1" si="164"/>
        <v>0.37054346413949257</v>
      </c>
      <c r="G5320" s="74">
        <v>38.305636631401825</v>
      </c>
      <c r="H5320" s="74">
        <f t="shared" si="165"/>
        <v>2.1887637119306973</v>
      </c>
    </row>
    <row r="5321" spans="5:8" ht="15.6">
      <c r="E5321" s="279" t="s">
        <v>5647</v>
      </c>
      <c r="F5321" s="284">
        <f t="shared" ca="1" si="164"/>
        <v>0.73449900820215575</v>
      </c>
      <c r="G5321" s="74">
        <v>36.210949908029036</v>
      </c>
      <c r="H5321" s="74">
        <f t="shared" si="165"/>
        <v>4.2834504353034859</v>
      </c>
    </row>
    <row r="5322" spans="5:8" ht="15.6">
      <c r="E5322" s="279" t="s">
        <v>5648</v>
      </c>
      <c r="F5322" s="284">
        <f t="shared" ca="1" si="164"/>
        <v>0.53509899003102679</v>
      </c>
      <c r="G5322" s="74">
        <v>40.393019224749466</v>
      </c>
      <c r="H5322" s="74">
        <f t="shared" si="165"/>
        <v>0.10138111858305621</v>
      </c>
    </row>
    <row r="5323" spans="5:8" ht="15.6">
      <c r="E5323" s="279" t="s">
        <v>5649</v>
      </c>
      <c r="F5323" s="284">
        <f t="shared" ca="1" si="164"/>
        <v>0.61365816701053266</v>
      </c>
      <c r="G5323" s="74">
        <v>36.630404739567922</v>
      </c>
      <c r="H5323" s="74">
        <f t="shared" si="165"/>
        <v>3.8639956037646002</v>
      </c>
    </row>
    <row r="5324" spans="5:8" ht="15.6">
      <c r="E5324" s="279" t="s">
        <v>5650</v>
      </c>
      <c r="F5324" s="284">
        <f t="shared" ref="F5324:F5387" ca="1" si="166">RAND()</f>
        <v>0.11095933181529871</v>
      </c>
      <c r="G5324" s="74">
        <v>42.525976742582657</v>
      </c>
      <c r="H5324" s="74">
        <f t="shared" ref="H5324:H5387" si="167">$D$2-G5324</f>
        <v>-2.0315763992501346</v>
      </c>
    </row>
    <row r="5325" spans="5:8" ht="15.6">
      <c r="E5325" s="279" t="s">
        <v>5651</v>
      </c>
      <c r="F5325" s="284">
        <f t="shared" ca="1" si="166"/>
        <v>0.45683572326320643</v>
      </c>
      <c r="G5325" s="74">
        <v>40.107606480462358</v>
      </c>
      <c r="H5325" s="74">
        <f t="shared" si="167"/>
        <v>0.38679386287016371</v>
      </c>
    </row>
    <row r="5326" spans="5:8" ht="15.6">
      <c r="E5326" s="279" t="s">
        <v>5652</v>
      </c>
      <c r="F5326" s="284">
        <f t="shared" ca="1" si="166"/>
        <v>7.2115229391730429E-3</v>
      </c>
      <c r="G5326" s="74">
        <v>40.677820295531852</v>
      </c>
      <c r="H5326" s="74">
        <f t="shared" si="167"/>
        <v>-0.18341995219932983</v>
      </c>
    </row>
    <row r="5327" spans="5:8" ht="15.6">
      <c r="E5327" s="279" t="s">
        <v>5653</v>
      </c>
      <c r="F5327" s="284">
        <f t="shared" ca="1" si="166"/>
        <v>0.33091150744411824</v>
      </c>
      <c r="G5327" s="74">
        <v>33.906655047647853</v>
      </c>
      <c r="H5327" s="74">
        <f t="shared" si="167"/>
        <v>6.5877452956846696</v>
      </c>
    </row>
    <row r="5328" spans="5:8" ht="15.6">
      <c r="E5328" s="279" t="s">
        <v>5654</v>
      </c>
      <c r="F5328" s="284">
        <f t="shared" ca="1" si="166"/>
        <v>0.26064009321994031</v>
      </c>
      <c r="G5328" s="74">
        <v>41.089176717513745</v>
      </c>
      <c r="H5328" s="74">
        <f t="shared" si="167"/>
        <v>-0.59477637418122242</v>
      </c>
    </row>
    <row r="5329" spans="5:8" ht="15.6">
      <c r="E5329" s="279" t="s">
        <v>5655</v>
      </c>
      <c r="F5329" s="284">
        <f t="shared" ca="1" si="166"/>
        <v>0.14384844330189073</v>
      </c>
      <c r="G5329" s="74">
        <v>41.042019772923702</v>
      </c>
      <c r="H5329" s="74">
        <f t="shared" si="167"/>
        <v>-0.5476194295911796</v>
      </c>
    </row>
    <row r="5330" spans="5:8" ht="15.6">
      <c r="E5330" s="279" t="s">
        <v>5656</v>
      </c>
      <c r="F5330" s="284">
        <f t="shared" ca="1" si="166"/>
        <v>0.65236454435238911</v>
      </c>
      <c r="G5330" s="74">
        <v>41.217448404216313</v>
      </c>
      <c r="H5330" s="74">
        <f t="shared" si="167"/>
        <v>-0.72304806088379081</v>
      </c>
    </row>
    <row r="5331" spans="5:8" ht="15.6">
      <c r="E5331" s="279" t="s">
        <v>5657</v>
      </c>
      <c r="F5331" s="284">
        <f t="shared" ca="1" si="166"/>
        <v>0.17166654534325743</v>
      </c>
      <c r="G5331" s="74">
        <v>35.596833285023465</v>
      </c>
      <c r="H5331" s="74">
        <f t="shared" si="167"/>
        <v>4.8975670583090576</v>
      </c>
    </row>
    <row r="5332" spans="5:8" ht="15.6">
      <c r="E5332" s="279" t="s">
        <v>5658</v>
      </c>
      <c r="F5332" s="284">
        <f t="shared" ca="1" si="166"/>
        <v>0.86465064808141034</v>
      </c>
      <c r="G5332" s="74">
        <v>45.756853465024697</v>
      </c>
      <c r="H5332" s="74">
        <f t="shared" si="167"/>
        <v>-5.2624531216921753</v>
      </c>
    </row>
    <row r="5333" spans="5:8" ht="15.6">
      <c r="E5333" s="279" t="s">
        <v>5659</v>
      </c>
      <c r="F5333" s="284">
        <f t="shared" ca="1" si="166"/>
        <v>0.31344814518666997</v>
      </c>
      <c r="G5333" s="74">
        <v>43.920274015153232</v>
      </c>
      <c r="H5333" s="74">
        <f t="shared" si="167"/>
        <v>-3.4258736718207103</v>
      </c>
    </row>
    <row r="5334" spans="5:8" ht="15.6">
      <c r="E5334" s="279" t="s">
        <v>5660</v>
      </c>
      <c r="F5334" s="284">
        <f t="shared" ca="1" si="166"/>
        <v>0.90687720051166543</v>
      </c>
      <c r="G5334" s="74">
        <v>38.76122938011418</v>
      </c>
      <c r="H5334" s="74">
        <f t="shared" si="167"/>
        <v>1.7331709632183419</v>
      </c>
    </row>
    <row r="5335" spans="5:8" ht="15.6">
      <c r="E5335" s="279" t="s">
        <v>5661</v>
      </c>
      <c r="F5335" s="284">
        <f t="shared" ca="1" si="166"/>
        <v>0.60698974976196463</v>
      </c>
      <c r="G5335" s="74">
        <v>39.204951348209924</v>
      </c>
      <c r="H5335" s="74">
        <f t="shared" si="167"/>
        <v>1.2894489951225978</v>
      </c>
    </row>
    <row r="5336" spans="5:8" ht="15.6">
      <c r="E5336" s="279" t="s">
        <v>5662</v>
      </c>
      <c r="F5336" s="284">
        <f t="shared" ca="1" si="166"/>
        <v>0.18359015810446278</v>
      </c>
      <c r="G5336" s="74">
        <v>42.854473111589648</v>
      </c>
      <c r="H5336" s="74">
        <f t="shared" si="167"/>
        <v>-2.3600727682571261</v>
      </c>
    </row>
    <row r="5337" spans="5:8" ht="15.6">
      <c r="E5337" s="279" t="s">
        <v>5663</v>
      </c>
      <c r="F5337" s="284">
        <f t="shared" ca="1" si="166"/>
        <v>0.28605932691248148</v>
      </c>
      <c r="G5337" s="74">
        <v>35.448507008250729</v>
      </c>
      <c r="H5337" s="74">
        <f t="shared" si="167"/>
        <v>5.0458933350817929</v>
      </c>
    </row>
    <row r="5338" spans="5:8" ht="15.6">
      <c r="E5338" s="279" t="s">
        <v>5664</v>
      </c>
      <c r="F5338" s="284">
        <f t="shared" ca="1" si="166"/>
        <v>0.79189126704519297</v>
      </c>
      <c r="G5338" s="74">
        <v>39.852211665494394</v>
      </c>
      <c r="H5338" s="74">
        <f t="shared" si="167"/>
        <v>0.64218867783812783</v>
      </c>
    </row>
    <row r="5339" spans="5:8" ht="15.6">
      <c r="E5339" s="279" t="s">
        <v>5665</v>
      </c>
      <c r="F5339" s="284">
        <f t="shared" ca="1" si="166"/>
        <v>0.21794775808420241</v>
      </c>
      <c r="G5339" s="74">
        <v>42.6645963107527</v>
      </c>
      <c r="H5339" s="74">
        <f t="shared" si="167"/>
        <v>-2.1701959674201774</v>
      </c>
    </row>
    <row r="5340" spans="5:8" ht="15.6">
      <c r="E5340" s="279" t="s">
        <v>5666</v>
      </c>
      <c r="F5340" s="284">
        <f t="shared" ca="1" si="166"/>
        <v>0.5783236882383388</v>
      </c>
      <c r="G5340" s="74">
        <v>35.916752734191192</v>
      </c>
      <c r="H5340" s="74">
        <f t="shared" si="167"/>
        <v>4.5776476091413301</v>
      </c>
    </row>
    <row r="5341" spans="5:8" ht="15.6">
      <c r="E5341" s="279" t="s">
        <v>5667</v>
      </c>
      <c r="F5341" s="284">
        <f t="shared" ca="1" si="166"/>
        <v>0.20570611383517934</v>
      </c>
      <c r="G5341" s="74">
        <v>34.832683409243273</v>
      </c>
      <c r="H5341" s="74">
        <f t="shared" si="167"/>
        <v>5.6617169340892488</v>
      </c>
    </row>
    <row r="5342" spans="5:8" ht="15.6">
      <c r="E5342" s="279" t="s">
        <v>5668</v>
      </c>
      <c r="F5342" s="284">
        <f t="shared" ca="1" si="166"/>
        <v>0.1804211505665998</v>
      </c>
      <c r="G5342" s="74">
        <v>37.931680605856968</v>
      </c>
      <c r="H5342" s="74">
        <f t="shared" si="167"/>
        <v>2.5627197374755539</v>
      </c>
    </row>
    <row r="5343" spans="5:8" ht="15.6">
      <c r="E5343" s="279" t="s">
        <v>5669</v>
      </c>
      <c r="F5343" s="284">
        <f t="shared" ca="1" si="166"/>
        <v>0.86216248004164975</v>
      </c>
      <c r="G5343" s="74">
        <v>43.381266954352945</v>
      </c>
      <c r="H5343" s="74">
        <f t="shared" si="167"/>
        <v>-2.8868666110204231</v>
      </c>
    </row>
    <row r="5344" spans="5:8" ht="15.6">
      <c r="E5344" s="279" t="s">
        <v>5670</v>
      </c>
      <c r="F5344" s="284">
        <f t="shared" ca="1" si="166"/>
        <v>0.14225715531349559</v>
      </c>
      <c r="G5344" s="74">
        <v>38.085228332044345</v>
      </c>
      <c r="H5344" s="74">
        <f t="shared" si="167"/>
        <v>2.4091720112881774</v>
      </c>
    </row>
    <row r="5345" spans="5:8" ht="15.6">
      <c r="E5345" s="279" t="s">
        <v>5671</v>
      </c>
      <c r="F5345" s="284">
        <f t="shared" ca="1" si="166"/>
        <v>0.13047339067699792</v>
      </c>
      <c r="G5345" s="74">
        <v>34.377559751835356</v>
      </c>
      <c r="H5345" s="74">
        <f t="shared" si="167"/>
        <v>6.1168405914971657</v>
      </c>
    </row>
    <row r="5346" spans="5:8" ht="15.6">
      <c r="E5346" s="279" t="s">
        <v>5672</v>
      </c>
      <c r="F5346" s="284">
        <f t="shared" ca="1" si="166"/>
        <v>0.86581555387181774</v>
      </c>
      <c r="G5346" s="74">
        <v>37.422110128793754</v>
      </c>
      <c r="H5346" s="74">
        <f t="shared" si="167"/>
        <v>3.0722902145387678</v>
      </c>
    </row>
    <row r="5347" spans="5:8" ht="15.6">
      <c r="E5347" s="279" t="s">
        <v>5673</v>
      </c>
      <c r="F5347" s="284">
        <f t="shared" ca="1" si="166"/>
        <v>0.26445777009183091</v>
      </c>
      <c r="G5347" s="74">
        <v>36.545552375736349</v>
      </c>
      <c r="H5347" s="74">
        <f t="shared" si="167"/>
        <v>3.9488479675961727</v>
      </c>
    </row>
    <row r="5348" spans="5:8" ht="15.6">
      <c r="E5348" s="279" t="s">
        <v>5674</v>
      </c>
      <c r="F5348" s="284">
        <f t="shared" ca="1" si="166"/>
        <v>0.17609512914131553</v>
      </c>
      <c r="G5348" s="74">
        <v>38.561060850330001</v>
      </c>
      <c r="H5348" s="74">
        <f t="shared" si="167"/>
        <v>1.9333394930025207</v>
      </c>
    </row>
    <row r="5349" spans="5:8" ht="15.6">
      <c r="E5349" s="279" t="s">
        <v>5675</v>
      </c>
      <c r="F5349" s="284">
        <f t="shared" ca="1" si="166"/>
        <v>0.49755263240583625</v>
      </c>
      <c r="G5349" s="74">
        <v>37.02766686988803</v>
      </c>
      <c r="H5349" s="74">
        <f t="shared" si="167"/>
        <v>3.4667334734444921</v>
      </c>
    </row>
    <row r="5350" spans="5:8" ht="15.6">
      <c r="E5350" s="279" t="s">
        <v>5676</v>
      </c>
      <c r="F5350" s="284">
        <f t="shared" ca="1" si="166"/>
        <v>0.10071045218381525</v>
      </c>
      <c r="G5350" s="74">
        <v>42.06986057348437</v>
      </c>
      <c r="H5350" s="74">
        <f t="shared" si="167"/>
        <v>-1.5754602301518474</v>
      </c>
    </row>
    <row r="5351" spans="5:8" ht="15.6">
      <c r="E5351" s="279" t="s">
        <v>5677</v>
      </c>
      <c r="F5351" s="284">
        <f t="shared" ca="1" si="166"/>
        <v>0.36231266974918563</v>
      </c>
      <c r="G5351" s="74">
        <v>34.756704393189345</v>
      </c>
      <c r="H5351" s="74">
        <f t="shared" si="167"/>
        <v>5.737695950143177</v>
      </c>
    </row>
    <row r="5352" spans="5:8" ht="15.6">
      <c r="E5352" s="279" t="s">
        <v>5678</v>
      </c>
      <c r="F5352" s="284">
        <f t="shared" ca="1" si="166"/>
        <v>0.63266759313737675</v>
      </c>
      <c r="G5352" s="74">
        <v>41.793919077772145</v>
      </c>
      <c r="H5352" s="74">
        <f t="shared" si="167"/>
        <v>-1.2995187344396228</v>
      </c>
    </row>
    <row r="5353" spans="5:8" ht="15.6">
      <c r="E5353" s="279" t="s">
        <v>5679</v>
      </c>
      <c r="F5353" s="284">
        <f t="shared" ca="1" si="166"/>
        <v>0.30257275813161666</v>
      </c>
      <c r="G5353" s="74">
        <v>37.960886830201453</v>
      </c>
      <c r="H5353" s="74">
        <f t="shared" si="167"/>
        <v>2.5335135131310693</v>
      </c>
    </row>
    <row r="5354" spans="5:8" ht="15.6">
      <c r="E5354" s="279" t="s">
        <v>5680</v>
      </c>
      <c r="F5354" s="284">
        <f t="shared" ca="1" si="166"/>
        <v>0.26488126331700346</v>
      </c>
      <c r="G5354" s="74">
        <v>44.740002375480856</v>
      </c>
      <c r="H5354" s="74">
        <f t="shared" si="167"/>
        <v>-4.2456020321483336</v>
      </c>
    </row>
    <row r="5355" spans="5:8" ht="15.6">
      <c r="E5355" s="279" t="s">
        <v>5681</v>
      </c>
      <c r="F5355" s="284">
        <f t="shared" ca="1" si="166"/>
        <v>0.63968836208869684</v>
      </c>
      <c r="G5355" s="74">
        <v>38.505995253350889</v>
      </c>
      <c r="H5355" s="74">
        <f t="shared" si="167"/>
        <v>1.988405089981633</v>
      </c>
    </row>
    <row r="5356" spans="5:8" ht="15.6">
      <c r="E5356" s="279" t="s">
        <v>5682</v>
      </c>
      <c r="F5356" s="284">
        <f t="shared" ca="1" si="166"/>
        <v>0.39323577341709792</v>
      </c>
      <c r="G5356" s="74">
        <v>36.895736141607642</v>
      </c>
      <c r="H5356" s="74">
        <f t="shared" si="167"/>
        <v>3.5986642017248798</v>
      </c>
    </row>
    <row r="5357" spans="5:8" ht="15.6">
      <c r="E5357" s="279" t="s">
        <v>5683</v>
      </c>
      <c r="F5357" s="284">
        <f t="shared" ca="1" si="166"/>
        <v>0.44930141858251282</v>
      </c>
      <c r="G5357" s="74">
        <v>36.615123023709963</v>
      </c>
      <c r="H5357" s="74">
        <f t="shared" si="167"/>
        <v>3.8792773196225596</v>
      </c>
    </row>
    <row r="5358" spans="5:8" ht="15.6">
      <c r="E5358" s="279" t="s">
        <v>5684</v>
      </c>
      <c r="F5358" s="284">
        <f t="shared" ca="1" si="166"/>
        <v>0.90945633467718923</v>
      </c>
      <c r="G5358" s="74">
        <v>43.664849133849536</v>
      </c>
      <c r="H5358" s="74">
        <f t="shared" si="167"/>
        <v>-3.170448790517014</v>
      </c>
    </row>
    <row r="5359" spans="5:8" ht="15.6">
      <c r="E5359" s="279" t="s">
        <v>5685</v>
      </c>
      <c r="F5359" s="284">
        <f t="shared" ca="1" si="166"/>
        <v>0.74842962206620978</v>
      </c>
      <c r="G5359" s="74">
        <v>41.693327091452971</v>
      </c>
      <c r="H5359" s="74">
        <f t="shared" si="167"/>
        <v>-1.1989267481204493</v>
      </c>
    </row>
    <row r="5360" spans="5:8" ht="15.6">
      <c r="E5360" s="279" t="s">
        <v>5686</v>
      </c>
      <c r="F5360" s="284">
        <f t="shared" ca="1" si="166"/>
        <v>0.52239839608893857</v>
      </c>
      <c r="G5360" s="74">
        <v>42.140663161892356</v>
      </c>
      <c r="H5360" s="74">
        <f t="shared" si="167"/>
        <v>-1.6462628185598334</v>
      </c>
    </row>
    <row r="5361" spans="5:8" ht="15.6">
      <c r="E5361" s="279" t="s">
        <v>5687</v>
      </c>
      <c r="F5361" s="284">
        <f t="shared" ca="1" si="166"/>
        <v>1.8007260562939553E-2</v>
      </c>
      <c r="G5361" s="74">
        <v>35.659816479938421</v>
      </c>
      <c r="H5361" s="74">
        <f t="shared" si="167"/>
        <v>4.8345838633941014</v>
      </c>
    </row>
    <row r="5362" spans="5:8" ht="15.6">
      <c r="E5362" s="279" t="s">
        <v>5688</v>
      </c>
      <c r="F5362" s="284">
        <f t="shared" ca="1" si="166"/>
        <v>0.12804424549237314</v>
      </c>
      <c r="G5362" s="74">
        <v>38.996280939210052</v>
      </c>
      <c r="H5362" s="74">
        <f t="shared" si="167"/>
        <v>1.4981194041224697</v>
      </c>
    </row>
    <row r="5363" spans="5:8" ht="15.6">
      <c r="E5363" s="279" t="s">
        <v>5689</v>
      </c>
      <c r="F5363" s="284">
        <f t="shared" ca="1" si="166"/>
        <v>0.67241901642280655</v>
      </c>
      <c r="G5363" s="74">
        <v>41.834052370874701</v>
      </c>
      <c r="H5363" s="74">
        <f t="shared" si="167"/>
        <v>-1.3396520275421793</v>
      </c>
    </row>
    <row r="5364" spans="5:8" ht="15.6">
      <c r="E5364" s="279" t="s">
        <v>5690</v>
      </c>
      <c r="F5364" s="284">
        <f t="shared" ca="1" si="166"/>
        <v>0.23617418673386581</v>
      </c>
      <c r="G5364" s="74">
        <v>37.680263622438716</v>
      </c>
      <c r="H5364" s="74">
        <f t="shared" si="167"/>
        <v>2.8141367208938064</v>
      </c>
    </row>
    <row r="5365" spans="5:8" ht="15.6">
      <c r="E5365" s="279" t="s">
        <v>5691</v>
      </c>
      <c r="F5365" s="284">
        <f t="shared" ca="1" si="166"/>
        <v>0.45976521756233246</v>
      </c>
      <c r="G5365" s="74">
        <v>38.172585290540283</v>
      </c>
      <c r="H5365" s="74">
        <f t="shared" si="167"/>
        <v>2.321815052792239</v>
      </c>
    </row>
    <row r="5366" spans="5:8" ht="15.6">
      <c r="E5366" s="279" t="s">
        <v>5692</v>
      </c>
      <c r="F5366" s="284">
        <f t="shared" ca="1" si="166"/>
        <v>0.34048398280394621</v>
      </c>
      <c r="G5366" s="74">
        <v>38.044562505583748</v>
      </c>
      <c r="H5366" s="74">
        <f t="shared" si="167"/>
        <v>2.4498378377487739</v>
      </c>
    </row>
    <row r="5367" spans="5:8" ht="15.6">
      <c r="E5367" s="279" t="s">
        <v>5693</v>
      </c>
      <c r="F5367" s="284">
        <f t="shared" ca="1" si="166"/>
        <v>0.53039713180025294</v>
      </c>
      <c r="G5367" s="74">
        <v>44.928751221719082</v>
      </c>
      <c r="H5367" s="74">
        <f t="shared" si="167"/>
        <v>-4.4343508783865602</v>
      </c>
    </row>
    <row r="5368" spans="5:8" ht="15.6">
      <c r="E5368" s="279" t="s">
        <v>5694</v>
      </c>
      <c r="F5368" s="284">
        <f t="shared" ca="1" si="166"/>
        <v>0.61062164122285978</v>
      </c>
      <c r="G5368" s="74">
        <v>41.133078982807803</v>
      </c>
      <c r="H5368" s="74">
        <f t="shared" si="167"/>
        <v>-0.63867863947528036</v>
      </c>
    </row>
    <row r="5369" spans="5:8" ht="15.6">
      <c r="E5369" s="279" t="s">
        <v>5695</v>
      </c>
      <c r="F5369" s="284">
        <f t="shared" ca="1" si="166"/>
        <v>0.49282950355882182</v>
      </c>
      <c r="G5369" s="74">
        <v>41.650930788147946</v>
      </c>
      <c r="H5369" s="74">
        <f t="shared" si="167"/>
        <v>-1.1565304448154237</v>
      </c>
    </row>
    <row r="5370" spans="5:8" ht="15.6">
      <c r="E5370" s="279" t="s">
        <v>5696</v>
      </c>
      <c r="F5370" s="284">
        <f t="shared" ca="1" si="166"/>
        <v>0.96324894393662286</v>
      </c>
      <c r="G5370" s="74">
        <v>42.851422794245117</v>
      </c>
      <c r="H5370" s="74">
        <f t="shared" si="167"/>
        <v>-2.357022450912595</v>
      </c>
    </row>
    <row r="5371" spans="5:8" ht="15.6">
      <c r="E5371" s="279" t="s">
        <v>5697</v>
      </c>
      <c r="F5371" s="284">
        <f t="shared" ca="1" si="166"/>
        <v>0.51341840542043904</v>
      </c>
      <c r="G5371" s="74">
        <v>35.986079320551056</v>
      </c>
      <c r="H5371" s="74">
        <f t="shared" si="167"/>
        <v>4.5083210227814661</v>
      </c>
    </row>
    <row r="5372" spans="5:8" ht="15.6">
      <c r="E5372" s="279" t="s">
        <v>5698</v>
      </c>
      <c r="F5372" s="284">
        <f t="shared" ca="1" si="166"/>
        <v>0.23667820624111946</v>
      </c>
      <c r="G5372" s="74">
        <v>38.559164042094061</v>
      </c>
      <c r="H5372" s="74">
        <f t="shared" si="167"/>
        <v>1.9352363012384615</v>
      </c>
    </row>
    <row r="5373" spans="5:8" ht="15.6">
      <c r="E5373" s="279" t="s">
        <v>5699</v>
      </c>
      <c r="F5373" s="284">
        <f t="shared" ca="1" si="166"/>
        <v>0.9074874346284123</v>
      </c>
      <c r="G5373" s="74">
        <v>37.281087833368133</v>
      </c>
      <c r="H5373" s="74">
        <f t="shared" si="167"/>
        <v>3.2133125099643891</v>
      </c>
    </row>
    <row r="5374" spans="5:8" ht="15.6">
      <c r="E5374" s="279" t="s">
        <v>5700</v>
      </c>
      <c r="F5374" s="284">
        <f t="shared" ca="1" si="166"/>
        <v>0.83829092852952025</v>
      </c>
      <c r="G5374" s="74">
        <v>34.742891573599358</v>
      </c>
      <c r="H5374" s="74">
        <f t="shared" si="167"/>
        <v>5.7515087697331637</v>
      </c>
    </row>
    <row r="5375" spans="5:8" ht="15.6">
      <c r="E5375" s="279" t="s">
        <v>5701</v>
      </c>
      <c r="F5375" s="284">
        <f t="shared" ca="1" si="166"/>
        <v>0.3417386460134173</v>
      </c>
      <c r="G5375" s="74">
        <v>44.372708795546501</v>
      </c>
      <c r="H5375" s="74">
        <f t="shared" si="167"/>
        <v>-3.8783084522139788</v>
      </c>
    </row>
    <row r="5376" spans="5:8" ht="15.6">
      <c r="E5376" s="279" t="s">
        <v>5702</v>
      </c>
      <c r="F5376" s="284">
        <f t="shared" ca="1" si="166"/>
        <v>0.80486385843469632</v>
      </c>
      <c r="G5376" s="74">
        <v>35.874370095793765</v>
      </c>
      <c r="H5376" s="74">
        <f t="shared" si="167"/>
        <v>4.6200302475387574</v>
      </c>
    </row>
    <row r="5377" spans="5:8" ht="15.6">
      <c r="E5377" s="279" t="s">
        <v>5703</v>
      </c>
      <c r="F5377" s="284">
        <f t="shared" ca="1" si="166"/>
        <v>0.32220649641806609</v>
      </c>
      <c r="G5377" s="74">
        <v>36.281352335521582</v>
      </c>
      <c r="H5377" s="74">
        <f t="shared" si="167"/>
        <v>4.21304800781094</v>
      </c>
    </row>
    <row r="5378" spans="5:8" ht="15.6">
      <c r="E5378" s="279" t="s">
        <v>5704</v>
      </c>
      <c r="F5378" s="284">
        <f t="shared" ca="1" si="166"/>
        <v>0.48387686238752481</v>
      </c>
      <c r="G5378" s="74">
        <v>40.420487446440497</v>
      </c>
      <c r="H5378" s="74">
        <f t="shared" si="167"/>
        <v>7.3912896892025515E-2</v>
      </c>
    </row>
    <row r="5379" spans="5:8" ht="15.6">
      <c r="E5379" s="279" t="s">
        <v>5705</v>
      </c>
      <c r="F5379" s="284">
        <f t="shared" ca="1" si="166"/>
        <v>8.9484613376785593E-2</v>
      </c>
      <c r="G5379" s="74">
        <v>38.443480567001281</v>
      </c>
      <c r="H5379" s="74">
        <f t="shared" si="167"/>
        <v>2.0509197763312415</v>
      </c>
    </row>
    <row r="5380" spans="5:8" ht="15.6">
      <c r="E5380" s="279" t="s">
        <v>5706</v>
      </c>
      <c r="F5380" s="284">
        <f t="shared" ca="1" si="166"/>
        <v>0.95022106310533716</v>
      </c>
      <c r="G5380" s="74">
        <v>35.57850819121839</v>
      </c>
      <c r="H5380" s="74">
        <f t="shared" si="167"/>
        <v>4.9158921521141323</v>
      </c>
    </row>
    <row r="5381" spans="5:8" ht="15.6">
      <c r="E5381" s="279" t="s">
        <v>5707</v>
      </c>
      <c r="F5381" s="284">
        <f t="shared" ca="1" si="166"/>
        <v>0.46054526194615686</v>
      </c>
      <c r="G5381" s="74">
        <v>42.137688376035001</v>
      </c>
      <c r="H5381" s="74">
        <f t="shared" si="167"/>
        <v>-1.643288032702479</v>
      </c>
    </row>
    <row r="5382" spans="5:8" ht="15.6">
      <c r="E5382" s="279" t="s">
        <v>5708</v>
      </c>
      <c r="F5382" s="284">
        <f t="shared" ca="1" si="166"/>
        <v>0.6403563959966051</v>
      </c>
      <c r="G5382" s="74">
        <v>41.935955578484567</v>
      </c>
      <c r="H5382" s="74">
        <f t="shared" si="167"/>
        <v>-1.4415552351520446</v>
      </c>
    </row>
    <row r="5383" spans="5:8" ht="15.6">
      <c r="E5383" s="279" t="s">
        <v>5709</v>
      </c>
      <c r="F5383" s="284">
        <f t="shared" ca="1" si="166"/>
        <v>0.86083935542026968</v>
      </c>
      <c r="G5383" s="74">
        <v>31.135930258740498</v>
      </c>
      <c r="H5383" s="74">
        <f t="shared" si="167"/>
        <v>9.3584700845920246</v>
      </c>
    </row>
    <row r="5384" spans="5:8" ht="15.6">
      <c r="E5384" s="279" t="s">
        <v>5710</v>
      </c>
      <c r="F5384" s="284">
        <f t="shared" ca="1" si="166"/>
        <v>0.60751086905020157</v>
      </c>
      <c r="G5384" s="74">
        <v>39.241841337169909</v>
      </c>
      <c r="H5384" s="74">
        <f t="shared" si="167"/>
        <v>1.2525590061626133</v>
      </c>
    </row>
    <row r="5385" spans="5:8" ht="15.6">
      <c r="E5385" s="279" t="s">
        <v>5711</v>
      </c>
      <c r="F5385" s="284">
        <f t="shared" ca="1" si="166"/>
        <v>7.8500478608371727E-2</v>
      </c>
      <c r="G5385" s="74">
        <v>47.048229132177887</v>
      </c>
      <c r="H5385" s="74">
        <f t="shared" si="167"/>
        <v>-6.5538287888453652</v>
      </c>
    </row>
    <row r="5386" spans="5:8" ht="15.6">
      <c r="E5386" s="279" t="s">
        <v>5712</v>
      </c>
      <c r="F5386" s="284">
        <f t="shared" ca="1" si="166"/>
        <v>0.30148806300555653</v>
      </c>
      <c r="G5386" s="74">
        <v>37.866176639956784</v>
      </c>
      <c r="H5386" s="74">
        <f t="shared" si="167"/>
        <v>2.6282237033757383</v>
      </c>
    </row>
    <row r="5387" spans="5:8" ht="15.6">
      <c r="E5387" s="279" t="s">
        <v>5713</v>
      </c>
      <c r="F5387" s="284">
        <f t="shared" ca="1" si="166"/>
        <v>0.54723437353383808</v>
      </c>
      <c r="G5387" s="74">
        <v>40.517962956365679</v>
      </c>
      <c r="H5387" s="74">
        <f t="shared" si="167"/>
        <v>-2.3562613033156765E-2</v>
      </c>
    </row>
    <row r="5388" spans="5:8" ht="15.6">
      <c r="E5388" s="279" t="s">
        <v>5714</v>
      </c>
      <c r="F5388" s="284">
        <f t="shared" ref="F5388:F5451" ca="1" si="168">RAND()</f>
        <v>0.39785580644346352</v>
      </c>
      <c r="G5388" s="74">
        <v>36.761915210749571</v>
      </c>
      <c r="H5388" s="74">
        <f t="shared" ref="H5388:H5451" si="169">$D$2-G5388</f>
        <v>3.7324851325829513</v>
      </c>
    </row>
    <row r="5389" spans="5:8" ht="15.6">
      <c r="E5389" s="279" t="s">
        <v>5715</v>
      </c>
      <c r="F5389" s="284">
        <f t="shared" ca="1" si="168"/>
        <v>0.1399726168111578</v>
      </c>
      <c r="G5389" s="74">
        <v>40.465331402708863</v>
      </c>
      <c r="H5389" s="74">
        <f t="shared" si="169"/>
        <v>2.90689406236595E-2</v>
      </c>
    </row>
    <row r="5390" spans="5:8" ht="15.6">
      <c r="E5390" s="279" t="s">
        <v>5716</v>
      </c>
      <c r="F5390" s="284">
        <f t="shared" ca="1" si="168"/>
        <v>0.29281787897920442</v>
      </c>
      <c r="G5390" s="74">
        <v>40.138479874469915</v>
      </c>
      <c r="H5390" s="74">
        <f t="shared" si="169"/>
        <v>0.35592046886260675</v>
      </c>
    </row>
    <row r="5391" spans="5:8" ht="15.6">
      <c r="E5391" s="279" t="s">
        <v>5717</v>
      </c>
      <c r="F5391" s="284">
        <f t="shared" ca="1" si="168"/>
        <v>0.16300563562376402</v>
      </c>
      <c r="G5391" s="74">
        <v>37.626515751194113</v>
      </c>
      <c r="H5391" s="74">
        <f t="shared" si="169"/>
        <v>2.8678845921384095</v>
      </c>
    </row>
    <row r="5392" spans="5:8" ht="15.6">
      <c r="E5392" s="279" t="s">
        <v>5718</v>
      </c>
      <c r="F5392" s="284">
        <f t="shared" ca="1" si="168"/>
        <v>0.3331906171893475</v>
      </c>
      <c r="G5392" s="74">
        <v>46.778143023572213</v>
      </c>
      <c r="H5392" s="74">
        <f t="shared" si="169"/>
        <v>-6.2837426802396905</v>
      </c>
    </row>
    <row r="5393" spans="5:8" ht="15.6">
      <c r="E5393" s="279" t="s">
        <v>5719</v>
      </c>
      <c r="F5393" s="284">
        <f t="shared" ca="1" si="168"/>
        <v>0.88898052627458313</v>
      </c>
      <c r="G5393" s="74">
        <v>39.933640377938772</v>
      </c>
      <c r="H5393" s="74">
        <f t="shared" si="169"/>
        <v>0.56075996539374984</v>
      </c>
    </row>
    <row r="5394" spans="5:8" ht="15.6">
      <c r="E5394" s="279" t="s">
        <v>5720</v>
      </c>
      <c r="F5394" s="284">
        <f t="shared" ca="1" si="168"/>
        <v>0.54441107889544138</v>
      </c>
      <c r="G5394" s="74">
        <v>37.112154082673342</v>
      </c>
      <c r="H5394" s="74">
        <f t="shared" si="169"/>
        <v>3.3822462606591799</v>
      </c>
    </row>
    <row r="5395" spans="5:8" ht="15.6">
      <c r="E5395" s="279" t="s">
        <v>5721</v>
      </c>
      <c r="F5395" s="284">
        <f t="shared" ca="1" si="168"/>
        <v>0.52242028935648011</v>
      </c>
      <c r="G5395" s="74">
        <v>37.628293310939817</v>
      </c>
      <c r="H5395" s="74">
        <f t="shared" si="169"/>
        <v>2.8661070323927049</v>
      </c>
    </row>
    <row r="5396" spans="5:8" ht="15.6">
      <c r="E5396" s="279" t="s">
        <v>5722</v>
      </c>
      <c r="F5396" s="284">
        <f t="shared" ca="1" si="168"/>
        <v>0.62709769436060825</v>
      </c>
      <c r="G5396" s="74">
        <v>40.850654403906844</v>
      </c>
      <c r="H5396" s="74">
        <f t="shared" si="169"/>
        <v>-0.3562540605743223</v>
      </c>
    </row>
    <row r="5397" spans="5:8" ht="15.6">
      <c r="E5397" s="279" t="s">
        <v>5723</v>
      </c>
      <c r="F5397" s="284">
        <f t="shared" ca="1" si="168"/>
        <v>0.53943157934418118</v>
      </c>
      <c r="G5397" s="74">
        <v>37.244534291486744</v>
      </c>
      <c r="H5397" s="74">
        <f t="shared" si="169"/>
        <v>3.2498660518457783</v>
      </c>
    </row>
    <row r="5398" spans="5:8" ht="15.6">
      <c r="E5398" s="279" t="s">
        <v>5724</v>
      </c>
      <c r="F5398" s="284">
        <f t="shared" ca="1" si="168"/>
        <v>0.84181354617625781</v>
      </c>
      <c r="G5398" s="74">
        <v>45.863107757830001</v>
      </c>
      <c r="H5398" s="74">
        <f t="shared" si="169"/>
        <v>-5.3687074144974787</v>
      </c>
    </row>
    <row r="5399" spans="5:8" ht="15.6">
      <c r="E5399" s="279" t="s">
        <v>5725</v>
      </c>
      <c r="F5399" s="284">
        <f t="shared" ca="1" si="168"/>
        <v>0.18935021707141508</v>
      </c>
      <c r="G5399" s="74">
        <v>37.966103312810347</v>
      </c>
      <c r="H5399" s="74">
        <f t="shared" si="169"/>
        <v>2.5282970305221752</v>
      </c>
    </row>
    <row r="5400" spans="5:8" ht="15.6">
      <c r="E5400" s="279" t="s">
        <v>5726</v>
      </c>
      <c r="F5400" s="284">
        <f t="shared" ca="1" si="168"/>
        <v>5.5431627423813135E-2</v>
      </c>
      <c r="G5400" s="74">
        <v>38.229213728241525</v>
      </c>
      <c r="H5400" s="74">
        <f t="shared" si="169"/>
        <v>2.2651866150909967</v>
      </c>
    </row>
    <row r="5401" spans="5:8" ht="15.6">
      <c r="E5401" s="279" t="s">
        <v>5727</v>
      </c>
      <c r="F5401" s="284">
        <f t="shared" ca="1" si="168"/>
        <v>0.21819870974878774</v>
      </c>
      <c r="G5401" s="74">
        <v>35.148840792105091</v>
      </c>
      <c r="H5401" s="74">
        <f t="shared" si="169"/>
        <v>5.3455595512274314</v>
      </c>
    </row>
    <row r="5402" spans="5:8" ht="15.6">
      <c r="E5402" s="279" t="s">
        <v>5728</v>
      </c>
      <c r="F5402" s="284">
        <f t="shared" ca="1" si="168"/>
        <v>0.94751680457257859</v>
      </c>
      <c r="G5402" s="74">
        <v>38.971573162927506</v>
      </c>
      <c r="H5402" s="74">
        <f t="shared" si="169"/>
        <v>1.5228271804050166</v>
      </c>
    </row>
    <row r="5403" spans="5:8" ht="15.6">
      <c r="E5403" s="279" t="s">
        <v>5729</v>
      </c>
      <c r="F5403" s="284">
        <f t="shared" ca="1" si="168"/>
        <v>0.30575470780452407</v>
      </c>
      <c r="G5403" s="74">
        <v>41.196010017422822</v>
      </c>
      <c r="H5403" s="74">
        <f t="shared" si="169"/>
        <v>-0.70160967409029951</v>
      </c>
    </row>
    <row r="5404" spans="5:8" ht="15.6">
      <c r="E5404" s="279" t="s">
        <v>5730</v>
      </c>
      <c r="F5404" s="284">
        <f t="shared" ca="1" si="168"/>
        <v>0.71424131165182569</v>
      </c>
      <c r="G5404" s="74">
        <v>42.107869219291707</v>
      </c>
      <c r="H5404" s="74">
        <f t="shared" si="169"/>
        <v>-1.6134688759591853</v>
      </c>
    </row>
    <row r="5405" spans="5:8" ht="15.6">
      <c r="E5405" s="279" t="s">
        <v>5731</v>
      </c>
      <c r="F5405" s="284">
        <f t="shared" ca="1" si="168"/>
        <v>0.78160168169858768</v>
      </c>
      <c r="G5405" s="74">
        <v>38.660173296847752</v>
      </c>
      <c r="H5405" s="74">
        <f t="shared" si="169"/>
        <v>1.8342270464847701</v>
      </c>
    </row>
    <row r="5406" spans="5:8" ht="15.6">
      <c r="E5406" s="279" t="s">
        <v>5732</v>
      </c>
      <c r="F5406" s="284">
        <f t="shared" ca="1" si="168"/>
        <v>0.84584626303809463</v>
      </c>
      <c r="G5406" s="74">
        <v>39.651475498708685</v>
      </c>
      <c r="H5406" s="74">
        <f t="shared" si="169"/>
        <v>0.84292484462383754</v>
      </c>
    </row>
    <row r="5407" spans="5:8" ht="15.6">
      <c r="E5407" s="279" t="s">
        <v>5733</v>
      </c>
      <c r="F5407" s="284">
        <f t="shared" ca="1" si="168"/>
        <v>0.43584223452613668</v>
      </c>
      <c r="G5407" s="74">
        <v>37.201433174879817</v>
      </c>
      <c r="H5407" s="74">
        <f t="shared" si="169"/>
        <v>3.2929671684527051</v>
      </c>
    </row>
    <row r="5408" spans="5:8" ht="15.6">
      <c r="E5408" s="279" t="s">
        <v>5734</v>
      </c>
      <c r="F5408" s="284">
        <f t="shared" ca="1" si="168"/>
        <v>0.15830942533027859</v>
      </c>
      <c r="G5408" s="74">
        <v>38.429294139236418</v>
      </c>
      <c r="H5408" s="74">
        <f t="shared" si="169"/>
        <v>2.0651062040961037</v>
      </c>
    </row>
    <row r="5409" spans="5:8" ht="15.6">
      <c r="E5409" s="279" t="s">
        <v>5735</v>
      </c>
      <c r="F5409" s="284">
        <f t="shared" ca="1" si="168"/>
        <v>0.89768534401721678</v>
      </c>
      <c r="G5409" s="74">
        <v>39.346557686865424</v>
      </c>
      <c r="H5409" s="74">
        <f t="shared" si="169"/>
        <v>1.1478426564670983</v>
      </c>
    </row>
    <row r="5410" spans="5:8" ht="15.6">
      <c r="E5410" s="279" t="s">
        <v>5736</v>
      </c>
      <c r="F5410" s="284">
        <f t="shared" ca="1" si="168"/>
        <v>0.39317322047300673</v>
      </c>
      <c r="G5410" s="74">
        <v>36.217781179280266</v>
      </c>
      <c r="H5410" s="74">
        <f t="shared" si="169"/>
        <v>4.2766191640522564</v>
      </c>
    </row>
    <row r="5411" spans="5:8" ht="15.6">
      <c r="E5411" s="279" t="s">
        <v>5737</v>
      </c>
      <c r="F5411" s="284">
        <f t="shared" ca="1" si="168"/>
        <v>0.55378945574718175</v>
      </c>
      <c r="G5411" s="74">
        <v>37.755668179288449</v>
      </c>
      <c r="H5411" s="74">
        <f t="shared" si="169"/>
        <v>2.7387321640440732</v>
      </c>
    </row>
    <row r="5412" spans="5:8" ht="15.6">
      <c r="E5412" s="279" t="s">
        <v>5738</v>
      </c>
      <c r="F5412" s="284">
        <f t="shared" ca="1" si="168"/>
        <v>0.35233542224294856</v>
      </c>
      <c r="G5412" s="74">
        <v>38.62189370431431</v>
      </c>
      <c r="H5412" s="74">
        <f t="shared" si="169"/>
        <v>1.8725066390182121</v>
      </c>
    </row>
    <row r="5413" spans="5:8" ht="15.6">
      <c r="E5413" s="279" t="s">
        <v>5739</v>
      </c>
      <c r="F5413" s="284">
        <f t="shared" ca="1" si="168"/>
        <v>0.7114513076065806</v>
      </c>
      <c r="G5413" s="74">
        <v>38.748269573416543</v>
      </c>
      <c r="H5413" s="74">
        <f t="shared" si="169"/>
        <v>1.7461307699159789</v>
      </c>
    </row>
    <row r="5414" spans="5:8" ht="15.6">
      <c r="E5414" s="279" t="s">
        <v>5740</v>
      </c>
      <c r="F5414" s="284">
        <f t="shared" ca="1" si="168"/>
        <v>0.70385478760492493</v>
      </c>
      <c r="G5414" s="74">
        <v>41.003695540160265</v>
      </c>
      <c r="H5414" s="74">
        <f t="shared" si="169"/>
        <v>-0.50929519682774327</v>
      </c>
    </row>
    <row r="5415" spans="5:8" ht="15.6">
      <c r="E5415" s="279" t="s">
        <v>5741</v>
      </c>
      <c r="F5415" s="284">
        <f t="shared" ca="1" si="168"/>
        <v>0.96750001003045782</v>
      </c>
      <c r="G5415" s="74">
        <v>42.260563066214395</v>
      </c>
      <c r="H5415" s="74">
        <f t="shared" si="169"/>
        <v>-1.766162722881873</v>
      </c>
    </row>
    <row r="5416" spans="5:8" ht="15.6">
      <c r="E5416" s="279" t="s">
        <v>5742</v>
      </c>
      <c r="F5416" s="284">
        <f t="shared" ca="1" si="168"/>
        <v>0.2256891516945122</v>
      </c>
      <c r="G5416" s="74">
        <v>39.205432295535495</v>
      </c>
      <c r="H5416" s="74">
        <f t="shared" si="169"/>
        <v>1.2889680477970273</v>
      </c>
    </row>
    <row r="5417" spans="5:8" ht="15.6">
      <c r="E5417" s="279" t="s">
        <v>5743</v>
      </c>
      <c r="F5417" s="284">
        <f t="shared" ca="1" si="168"/>
        <v>0.30298344643890063</v>
      </c>
      <c r="G5417" s="74">
        <v>39.509697585654202</v>
      </c>
      <c r="H5417" s="74">
        <f t="shared" si="169"/>
        <v>0.98470275767832049</v>
      </c>
    </row>
    <row r="5418" spans="5:8" ht="15.6">
      <c r="E5418" s="279" t="s">
        <v>5744</v>
      </c>
      <c r="F5418" s="284">
        <f t="shared" ca="1" si="168"/>
        <v>0.18627843361916829</v>
      </c>
      <c r="G5418" s="74">
        <v>36.166237743290409</v>
      </c>
      <c r="H5418" s="74">
        <f t="shared" si="169"/>
        <v>4.3281626000421127</v>
      </c>
    </row>
    <row r="5419" spans="5:8" ht="15.6">
      <c r="E5419" s="279" t="s">
        <v>5745</v>
      </c>
      <c r="F5419" s="284">
        <f t="shared" ca="1" si="168"/>
        <v>0.83942022658509219</v>
      </c>
      <c r="G5419" s="74">
        <v>43.282890776424473</v>
      </c>
      <c r="H5419" s="74">
        <f t="shared" si="169"/>
        <v>-2.7884904330919511</v>
      </c>
    </row>
    <row r="5420" spans="5:8" ht="15.6">
      <c r="E5420" s="279" t="s">
        <v>5746</v>
      </c>
      <c r="F5420" s="284">
        <f t="shared" ca="1" si="168"/>
        <v>0.38061311891020833</v>
      </c>
      <c r="G5420" s="74">
        <v>41.752365511887803</v>
      </c>
      <c r="H5420" s="74">
        <f t="shared" si="169"/>
        <v>-1.2579651685552804</v>
      </c>
    </row>
    <row r="5421" spans="5:8" ht="15.6">
      <c r="E5421" s="279" t="s">
        <v>5747</v>
      </c>
      <c r="F5421" s="284">
        <f t="shared" ca="1" si="168"/>
        <v>0.80652947214642012</v>
      </c>
      <c r="G5421" s="74">
        <v>35.600336032891249</v>
      </c>
      <c r="H5421" s="74">
        <f t="shared" si="169"/>
        <v>4.8940643104412729</v>
      </c>
    </row>
    <row r="5422" spans="5:8" ht="15.6">
      <c r="E5422" s="279" t="s">
        <v>5748</v>
      </c>
      <c r="F5422" s="284">
        <f t="shared" ca="1" si="168"/>
        <v>0.26035732378433063</v>
      </c>
      <c r="G5422" s="74">
        <v>43.975122346500136</v>
      </c>
      <c r="H5422" s="74">
        <f t="shared" si="169"/>
        <v>-3.4807220031676138</v>
      </c>
    </row>
    <row r="5423" spans="5:8" ht="15.6">
      <c r="E5423" s="279" t="s">
        <v>5749</v>
      </c>
      <c r="F5423" s="284">
        <f t="shared" ca="1" si="168"/>
        <v>0.88076610123074939</v>
      </c>
      <c r="G5423" s="74">
        <v>40.357975300243652</v>
      </c>
      <c r="H5423" s="74">
        <f t="shared" si="169"/>
        <v>0.13642504308887027</v>
      </c>
    </row>
    <row r="5424" spans="5:8" ht="15.6">
      <c r="E5424" s="279" t="s">
        <v>5750</v>
      </c>
      <c r="F5424" s="284">
        <f t="shared" ca="1" si="168"/>
        <v>0.87889427071100368</v>
      </c>
      <c r="G5424" s="74">
        <v>40.823628594650742</v>
      </c>
      <c r="H5424" s="74">
        <f t="shared" si="169"/>
        <v>-0.32922825131822009</v>
      </c>
    </row>
    <row r="5425" spans="5:8" ht="15.6">
      <c r="E5425" s="279" t="s">
        <v>5751</v>
      </c>
      <c r="F5425" s="284">
        <f t="shared" ca="1" si="168"/>
        <v>0.77808269551631493</v>
      </c>
      <c r="G5425" s="74">
        <v>42.689968166057454</v>
      </c>
      <c r="H5425" s="74">
        <f t="shared" si="169"/>
        <v>-2.1955678227249322</v>
      </c>
    </row>
    <row r="5426" spans="5:8" ht="15.6">
      <c r="E5426" s="279" t="s">
        <v>5752</v>
      </c>
      <c r="F5426" s="284">
        <f t="shared" ca="1" si="168"/>
        <v>0.60063479842488132</v>
      </c>
      <c r="G5426" s="74">
        <v>36.671338677477927</v>
      </c>
      <c r="H5426" s="74">
        <f t="shared" si="169"/>
        <v>3.8230616658545955</v>
      </c>
    </row>
    <row r="5427" spans="5:8" ht="15.6">
      <c r="E5427" s="279" t="s">
        <v>5753</v>
      </c>
      <c r="F5427" s="284">
        <f t="shared" ca="1" si="168"/>
        <v>0.73818012610035755</v>
      </c>
      <c r="G5427" s="74">
        <v>37.250596285226116</v>
      </c>
      <c r="H5427" s="74">
        <f t="shared" si="169"/>
        <v>3.2438040581064058</v>
      </c>
    </row>
    <row r="5428" spans="5:8" ht="15.6">
      <c r="E5428" s="279" t="s">
        <v>5754</v>
      </c>
      <c r="F5428" s="284">
        <f t="shared" ca="1" si="168"/>
        <v>0.38584604879127005</v>
      </c>
      <c r="G5428" s="74">
        <v>34.215519851183281</v>
      </c>
      <c r="H5428" s="74">
        <f t="shared" si="169"/>
        <v>6.2788804921492414</v>
      </c>
    </row>
    <row r="5429" spans="5:8" ht="15.6">
      <c r="E5429" s="279" t="s">
        <v>5755</v>
      </c>
      <c r="F5429" s="284">
        <f t="shared" ca="1" si="168"/>
        <v>0.83850598730161585</v>
      </c>
      <c r="G5429" s="74">
        <v>37.832940904388948</v>
      </c>
      <c r="H5429" s="74">
        <f t="shared" si="169"/>
        <v>2.6614594389435737</v>
      </c>
    </row>
    <row r="5430" spans="5:8" ht="15.6">
      <c r="E5430" s="279" t="s">
        <v>5756</v>
      </c>
      <c r="F5430" s="284">
        <f t="shared" ca="1" si="168"/>
        <v>0.97557554756146747</v>
      </c>
      <c r="G5430" s="74">
        <v>39.416492374065072</v>
      </c>
      <c r="H5430" s="74">
        <f t="shared" si="169"/>
        <v>1.07790796926745</v>
      </c>
    </row>
    <row r="5431" spans="5:8" ht="15.6">
      <c r="E5431" s="279" t="s">
        <v>5757</v>
      </c>
      <c r="F5431" s="284">
        <f t="shared" ca="1" si="168"/>
        <v>0.60212705426681778</v>
      </c>
      <c r="G5431" s="74">
        <v>37.118478405015942</v>
      </c>
      <c r="H5431" s="74">
        <f t="shared" si="169"/>
        <v>3.3759219383165799</v>
      </c>
    </row>
    <row r="5432" spans="5:8" ht="15.6">
      <c r="E5432" s="279" t="s">
        <v>5758</v>
      </c>
      <c r="F5432" s="284">
        <f t="shared" ca="1" si="168"/>
        <v>0.92034160457797931</v>
      </c>
      <c r="G5432" s="74">
        <v>43.127966227599678</v>
      </c>
      <c r="H5432" s="74">
        <f t="shared" si="169"/>
        <v>-2.6335658842671563</v>
      </c>
    </row>
    <row r="5433" spans="5:8" ht="15.6">
      <c r="E5433" s="279" t="s">
        <v>5759</v>
      </c>
      <c r="F5433" s="284">
        <f t="shared" ca="1" si="168"/>
        <v>0.74422868365139527</v>
      </c>
      <c r="G5433" s="74">
        <v>41.241883112528875</v>
      </c>
      <c r="H5433" s="74">
        <f t="shared" si="169"/>
        <v>-0.74748276919635259</v>
      </c>
    </row>
    <row r="5434" spans="5:8" ht="15.6">
      <c r="E5434" s="279" t="s">
        <v>5760</v>
      </c>
      <c r="F5434" s="284">
        <f t="shared" ca="1" si="168"/>
        <v>0.29781943605069605</v>
      </c>
      <c r="G5434" s="74">
        <v>40.952020073670816</v>
      </c>
      <c r="H5434" s="74">
        <f t="shared" si="169"/>
        <v>-0.45761973033829406</v>
      </c>
    </row>
    <row r="5435" spans="5:8" ht="15.6">
      <c r="E5435" s="279" t="s">
        <v>5761</v>
      </c>
      <c r="F5435" s="284">
        <f t="shared" ca="1" si="168"/>
        <v>0.62491941529358419</v>
      </c>
      <c r="G5435" s="74">
        <v>41.155567361536868</v>
      </c>
      <c r="H5435" s="74">
        <f t="shared" si="169"/>
        <v>-0.66116701820434542</v>
      </c>
    </row>
    <row r="5436" spans="5:8" ht="15.6">
      <c r="E5436" s="279" t="s">
        <v>5762</v>
      </c>
      <c r="F5436" s="284">
        <f t="shared" ca="1" si="168"/>
        <v>0.79934061545489898</v>
      </c>
      <c r="G5436" s="74">
        <v>39.873308276768839</v>
      </c>
      <c r="H5436" s="74">
        <f t="shared" si="169"/>
        <v>0.62109206656368343</v>
      </c>
    </row>
    <row r="5437" spans="5:8" ht="15.6">
      <c r="E5437" s="279" t="s">
        <v>5763</v>
      </c>
      <c r="F5437" s="284">
        <f t="shared" ca="1" si="168"/>
        <v>0.77336851830717812</v>
      </c>
      <c r="G5437" s="74">
        <v>38.065659075280422</v>
      </c>
      <c r="H5437" s="74">
        <f t="shared" si="169"/>
        <v>2.4287412680521001</v>
      </c>
    </row>
    <row r="5438" spans="5:8" ht="15.6">
      <c r="E5438" s="279" t="s">
        <v>5764</v>
      </c>
      <c r="F5438" s="284">
        <f t="shared" ca="1" si="168"/>
        <v>0.92269182720964049</v>
      </c>
      <c r="G5438" s="74">
        <v>37.762574248452651</v>
      </c>
      <c r="H5438" s="74">
        <f t="shared" si="169"/>
        <v>2.7318260948798709</v>
      </c>
    </row>
    <row r="5439" spans="5:8" ht="15.6">
      <c r="E5439" s="279" t="s">
        <v>5765</v>
      </c>
      <c r="F5439" s="284">
        <f t="shared" ca="1" si="168"/>
        <v>0.95315104280791607</v>
      </c>
      <c r="G5439" s="74">
        <v>40.067974177192113</v>
      </c>
      <c r="H5439" s="74">
        <f t="shared" si="169"/>
        <v>0.42642616614040918</v>
      </c>
    </row>
    <row r="5440" spans="5:8" ht="15.6">
      <c r="E5440" s="279" t="s">
        <v>5766</v>
      </c>
      <c r="F5440" s="284">
        <f t="shared" ca="1" si="168"/>
        <v>0.51454355832865106</v>
      </c>
      <c r="G5440" s="74">
        <v>39.125765192495955</v>
      </c>
      <c r="H5440" s="74">
        <f t="shared" si="169"/>
        <v>1.3686351508365675</v>
      </c>
    </row>
    <row r="5441" spans="5:8" ht="15.6">
      <c r="E5441" s="279" t="s">
        <v>5767</v>
      </c>
      <c r="F5441" s="284">
        <f t="shared" ca="1" si="168"/>
        <v>6.2533388845366966E-2</v>
      </c>
      <c r="G5441" s="74">
        <v>39.55729069649805</v>
      </c>
      <c r="H5441" s="74">
        <f t="shared" si="169"/>
        <v>0.93710964683447173</v>
      </c>
    </row>
    <row r="5442" spans="5:8" ht="15.6">
      <c r="E5442" s="279" t="s">
        <v>5768</v>
      </c>
      <c r="F5442" s="284">
        <f t="shared" ca="1" si="168"/>
        <v>0.85868815088429362</v>
      </c>
      <c r="G5442" s="74">
        <v>38.000873290603373</v>
      </c>
      <c r="H5442" s="74">
        <f t="shared" si="169"/>
        <v>2.4935270527291493</v>
      </c>
    </row>
    <row r="5443" spans="5:8" ht="15.6">
      <c r="E5443" s="279" t="s">
        <v>5769</v>
      </c>
      <c r="F5443" s="284">
        <f t="shared" ca="1" si="168"/>
        <v>0.53268651180329807</v>
      </c>
      <c r="G5443" s="74">
        <v>40.169843745470182</v>
      </c>
      <c r="H5443" s="74">
        <f t="shared" si="169"/>
        <v>0.32455659786234037</v>
      </c>
    </row>
    <row r="5444" spans="5:8" ht="15.6">
      <c r="E5444" s="279" t="s">
        <v>5770</v>
      </c>
      <c r="F5444" s="284">
        <f t="shared" ca="1" si="168"/>
        <v>0.10229367179610049</v>
      </c>
      <c r="G5444" s="74">
        <v>45.574701476487952</v>
      </c>
      <c r="H5444" s="74">
        <f t="shared" si="169"/>
        <v>-5.0803011331554302</v>
      </c>
    </row>
    <row r="5445" spans="5:8" ht="15.6">
      <c r="E5445" s="279" t="s">
        <v>5771</v>
      </c>
      <c r="F5445" s="284">
        <f t="shared" ca="1" si="168"/>
        <v>0.52523339866400454</v>
      </c>
      <c r="G5445" s="74">
        <v>35.623660366513882</v>
      </c>
      <c r="H5445" s="74">
        <f t="shared" si="169"/>
        <v>4.8707399768186406</v>
      </c>
    </row>
    <row r="5446" spans="5:8" ht="15.6">
      <c r="E5446" s="279" t="s">
        <v>5772</v>
      </c>
      <c r="F5446" s="284">
        <f t="shared" ca="1" si="168"/>
        <v>0.70810550656147653</v>
      </c>
      <c r="G5446" s="74">
        <v>37.50044093805348</v>
      </c>
      <c r="H5446" s="74">
        <f t="shared" si="169"/>
        <v>2.9939594052790426</v>
      </c>
    </row>
    <row r="5447" spans="5:8" ht="15.6">
      <c r="E5447" s="279" t="s">
        <v>5773</v>
      </c>
      <c r="F5447" s="284">
        <f t="shared" ca="1" si="168"/>
        <v>0.13735159242864681</v>
      </c>
      <c r="G5447" s="74">
        <v>43.114131010575214</v>
      </c>
      <c r="H5447" s="74">
        <f t="shared" si="169"/>
        <v>-2.6197306672426919</v>
      </c>
    </row>
    <row r="5448" spans="5:8" ht="15.6">
      <c r="E5448" s="279" t="s">
        <v>5774</v>
      </c>
      <c r="F5448" s="284">
        <f t="shared" ca="1" si="168"/>
        <v>3.867552880451719E-2</v>
      </c>
      <c r="G5448" s="74">
        <v>38.174179448034501</v>
      </c>
      <c r="H5448" s="74">
        <f t="shared" si="169"/>
        <v>2.3202208952980214</v>
      </c>
    </row>
    <row r="5449" spans="5:8" ht="15.6">
      <c r="E5449" s="279" t="s">
        <v>5775</v>
      </c>
      <c r="F5449" s="284">
        <f t="shared" ca="1" si="168"/>
        <v>0.29719179834706011</v>
      </c>
      <c r="G5449" s="74">
        <v>36.792415255624739</v>
      </c>
      <c r="H5449" s="74">
        <f t="shared" si="169"/>
        <v>3.7019850877077829</v>
      </c>
    </row>
    <row r="5450" spans="5:8" ht="15.6">
      <c r="E5450" s="279" t="s">
        <v>5776</v>
      </c>
      <c r="F5450" s="284">
        <f t="shared" ca="1" si="168"/>
        <v>0.18228890998146929</v>
      </c>
      <c r="G5450" s="74">
        <v>43.641853030291678</v>
      </c>
      <c r="H5450" s="74">
        <f t="shared" si="169"/>
        <v>-3.1474526869591557</v>
      </c>
    </row>
    <row r="5451" spans="5:8" ht="15.6">
      <c r="E5451" s="279" t="s">
        <v>5777</v>
      </c>
      <c r="F5451" s="284">
        <f t="shared" ca="1" si="168"/>
        <v>0.66137376603512166</v>
      </c>
      <c r="G5451" s="74">
        <v>38.130300873249666</v>
      </c>
      <c r="H5451" s="74">
        <f t="shared" si="169"/>
        <v>2.3640994700828557</v>
      </c>
    </row>
    <row r="5452" spans="5:8" ht="15.6">
      <c r="E5452" s="279" t="s">
        <v>5778</v>
      </c>
      <c r="F5452" s="284">
        <f t="shared" ref="F5452:F5515" ca="1" si="170">RAND()</f>
        <v>0.92678797773488508</v>
      </c>
      <c r="G5452" s="74">
        <v>40.95376072341638</v>
      </c>
      <c r="H5452" s="74">
        <f t="shared" ref="H5452:H5515" si="171">$D$2-G5452</f>
        <v>-0.45936038008385793</v>
      </c>
    </row>
    <row r="5453" spans="5:8" ht="15.6">
      <c r="E5453" s="279" t="s">
        <v>5779</v>
      </c>
      <c r="F5453" s="284">
        <f t="shared" ca="1" si="170"/>
        <v>0.4105120222356361</v>
      </c>
      <c r="G5453" s="74">
        <v>39.550285237447966</v>
      </c>
      <c r="H5453" s="74">
        <f t="shared" si="171"/>
        <v>0.94411510588455627</v>
      </c>
    </row>
    <row r="5454" spans="5:8" ht="15.6">
      <c r="E5454" s="279" t="s">
        <v>5780</v>
      </c>
      <c r="F5454" s="284">
        <f t="shared" ca="1" si="170"/>
        <v>0.54918281168768979</v>
      </c>
      <c r="G5454" s="74">
        <v>39.050304497145554</v>
      </c>
      <c r="H5454" s="74">
        <f t="shared" si="171"/>
        <v>1.4440958461869684</v>
      </c>
    </row>
    <row r="5455" spans="5:8" ht="15.6">
      <c r="E5455" s="279" t="s">
        <v>5781</v>
      </c>
      <c r="F5455" s="284">
        <f t="shared" ca="1" si="170"/>
        <v>9.5574542543787278E-2</v>
      </c>
      <c r="G5455" s="74">
        <v>37.708985379424448</v>
      </c>
      <c r="H5455" s="74">
        <f t="shared" si="171"/>
        <v>2.7854149639080745</v>
      </c>
    </row>
    <row r="5456" spans="5:8" ht="15.6">
      <c r="E5456" s="279" t="s">
        <v>5782</v>
      </c>
      <c r="F5456" s="284">
        <f t="shared" ca="1" si="170"/>
        <v>0.72910424225343218</v>
      </c>
      <c r="G5456" s="74">
        <v>40.672570279972625</v>
      </c>
      <c r="H5456" s="74">
        <f t="shared" si="171"/>
        <v>-0.17816993664010283</v>
      </c>
    </row>
    <row r="5457" spans="5:8" ht="15.6">
      <c r="E5457" s="279" t="s">
        <v>5783</v>
      </c>
      <c r="F5457" s="284">
        <f t="shared" ca="1" si="170"/>
        <v>0.54546128163546459</v>
      </c>
      <c r="G5457" s="74">
        <v>39.920777706754016</v>
      </c>
      <c r="H5457" s="74">
        <f t="shared" si="171"/>
        <v>0.57362263657850576</v>
      </c>
    </row>
    <row r="5458" spans="5:8" ht="15.6">
      <c r="E5458" s="279" t="s">
        <v>5784</v>
      </c>
      <c r="F5458" s="284">
        <f t="shared" ca="1" si="170"/>
        <v>0.84788909189838768</v>
      </c>
      <c r="G5458" s="74">
        <v>42.285424297264051</v>
      </c>
      <c r="H5458" s="74">
        <f t="shared" si="171"/>
        <v>-1.7910239539315285</v>
      </c>
    </row>
    <row r="5459" spans="5:8" ht="15.6">
      <c r="E5459" s="279" t="s">
        <v>5785</v>
      </c>
      <c r="F5459" s="284">
        <f t="shared" ca="1" si="170"/>
        <v>0.23020550332498557</v>
      </c>
      <c r="G5459" s="74">
        <v>33.963232108903135</v>
      </c>
      <c r="H5459" s="74">
        <f t="shared" si="171"/>
        <v>6.5311682344293871</v>
      </c>
    </row>
    <row r="5460" spans="5:8" ht="15.6">
      <c r="E5460" s="279" t="s">
        <v>5786</v>
      </c>
      <c r="F5460" s="284">
        <f t="shared" ca="1" si="170"/>
        <v>0.78619220604210616</v>
      </c>
      <c r="G5460" s="74">
        <v>38.816442368984852</v>
      </c>
      <c r="H5460" s="74">
        <f t="shared" si="171"/>
        <v>1.6779579743476702</v>
      </c>
    </row>
    <row r="5461" spans="5:8" ht="15.6">
      <c r="E5461" s="279" t="s">
        <v>5787</v>
      </c>
      <c r="F5461" s="284">
        <f t="shared" ca="1" si="170"/>
        <v>0.11044396621479025</v>
      </c>
      <c r="G5461" s="74">
        <v>30.86787252375639</v>
      </c>
      <c r="H5461" s="74">
        <f t="shared" si="171"/>
        <v>9.6265278195761326</v>
      </c>
    </row>
    <row r="5462" spans="5:8" ht="15.6">
      <c r="E5462" s="279" t="s">
        <v>5788</v>
      </c>
      <c r="F5462" s="284">
        <f t="shared" ca="1" si="170"/>
        <v>0.11128492126406819</v>
      </c>
      <c r="G5462" s="74">
        <v>37.771944219009072</v>
      </c>
      <c r="H5462" s="74">
        <f t="shared" si="171"/>
        <v>2.7224561243234504</v>
      </c>
    </row>
    <row r="5463" spans="5:8" ht="15.6">
      <c r="E5463" s="279" t="s">
        <v>5789</v>
      </c>
      <c r="F5463" s="284">
        <f t="shared" ca="1" si="170"/>
        <v>0.31016601489844364</v>
      </c>
      <c r="G5463" s="74">
        <v>43.395399371307612</v>
      </c>
      <c r="H5463" s="74">
        <f t="shared" si="171"/>
        <v>-2.9009990279750895</v>
      </c>
    </row>
    <row r="5464" spans="5:8" ht="15.6">
      <c r="E5464" s="279" t="s">
        <v>5790</v>
      </c>
      <c r="F5464" s="284">
        <f t="shared" ca="1" si="170"/>
        <v>0.7563549036982794</v>
      </c>
      <c r="G5464" s="74">
        <v>36.906759295975789</v>
      </c>
      <c r="H5464" s="74">
        <f t="shared" si="171"/>
        <v>3.5876410473567333</v>
      </c>
    </row>
    <row r="5465" spans="5:8" ht="15.6">
      <c r="E5465" s="279" t="s">
        <v>5791</v>
      </c>
      <c r="F5465" s="284">
        <f t="shared" ca="1" si="170"/>
        <v>0.30970767643107799</v>
      </c>
      <c r="G5465" s="74">
        <v>39.33262474183563</v>
      </c>
      <c r="H5465" s="74">
        <f t="shared" si="171"/>
        <v>1.1617756014968919</v>
      </c>
    </row>
    <row r="5466" spans="5:8" ht="15.6">
      <c r="E5466" s="279" t="s">
        <v>5792</v>
      </c>
      <c r="F5466" s="284">
        <f t="shared" ca="1" si="170"/>
        <v>0.31795810121933132</v>
      </c>
      <c r="G5466" s="74">
        <v>37.549024174523296</v>
      </c>
      <c r="H5466" s="74">
        <f t="shared" si="171"/>
        <v>2.9453761688092257</v>
      </c>
    </row>
    <row r="5467" spans="5:8" ht="15.6">
      <c r="E5467" s="279" t="s">
        <v>5793</v>
      </c>
      <c r="F5467" s="284">
        <f t="shared" ca="1" si="170"/>
        <v>0.98249102997684112</v>
      </c>
      <c r="G5467" s="74">
        <v>39.016531743746768</v>
      </c>
      <c r="H5467" s="74">
        <f t="shared" si="171"/>
        <v>1.4778685995857543</v>
      </c>
    </row>
    <row r="5468" spans="5:8" ht="15.6">
      <c r="E5468" s="279" t="s">
        <v>5794</v>
      </c>
      <c r="F5468" s="284">
        <f t="shared" ca="1" si="170"/>
        <v>0.65002492924869415</v>
      </c>
      <c r="G5468" s="74">
        <v>35.246508161248336</v>
      </c>
      <c r="H5468" s="74">
        <f t="shared" si="171"/>
        <v>5.2478921820841862</v>
      </c>
    </row>
    <row r="5469" spans="5:8" ht="15.6">
      <c r="E5469" s="279" t="s">
        <v>5795</v>
      </c>
      <c r="F5469" s="284">
        <f t="shared" ca="1" si="170"/>
        <v>0.8571625192695741</v>
      </c>
      <c r="G5469" s="74">
        <v>40.816213457935291</v>
      </c>
      <c r="H5469" s="74">
        <f t="shared" si="171"/>
        <v>-0.32181311460276874</v>
      </c>
    </row>
    <row r="5470" spans="5:8" ht="15.6">
      <c r="E5470" s="279" t="s">
        <v>5796</v>
      </c>
      <c r="F5470" s="284">
        <f t="shared" ca="1" si="170"/>
        <v>0.95794845039807375</v>
      </c>
      <c r="G5470" s="74">
        <v>38.451961319708275</v>
      </c>
      <c r="H5470" s="74">
        <f t="shared" si="171"/>
        <v>2.0424390236242473</v>
      </c>
    </row>
    <row r="5471" spans="5:8" ht="15.6">
      <c r="E5471" s="279" t="s">
        <v>5797</v>
      </c>
      <c r="F5471" s="284">
        <f t="shared" ca="1" si="170"/>
        <v>0.59901177753207413</v>
      </c>
      <c r="G5471" s="74">
        <v>36.967853052672396</v>
      </c>
      <c r="H5471" s="74">
        <f t="shared" si="171"/>
        <v>3.5265472906601261</v>
      </c>
    </row>
    <row r="5472" spans="5:8" ht="15.6">
      <c r="E5472" s="279" t="s">
        <v>5798</v>
      </c>
      <c r="F5472" s="284">
        <f t="shared" ca="1" si="170"/>
        <v>0.51211933365480367</v>
      </c>
      <c r="G5472" s="74">
        <v>36.443409947377468</v>
      </c>
      <c r="H5472" s="74">
        <f t="shared" si="171"/>
        <v>4.0509903959550542</v>
      </c>
    </row>
    <row r="5473" spans="5:8" ht="15.6">
      <c r="E5473" s="279" t="s">
        <v>5799</v>
      </c>
      <c r="F5473" s="284">
        <f t="shared" ca="1" si="170"/>
        <v>0.62986278369647286</v>
      </c>
      <c r="G5473" s="74">
        <v>41.109396495524649</v>
      </c>
      <c r="H5473" s="74">
        <f t="shared" si="171"/>
        <v>-0.614996152192127</v>
      </c>
    </row>
    <row r="5474" spans="5:8" ht="15.6">
      <c r="E5474" s="279" t="s">
        <v>5800</v>
      </c>
      <c r="F5474" s="284">
        <f t="shared" ca="1" si="170"/>
        <v>0.7835556559120006</v>
      </c>
      <c r="G5474" s="74">
        <v>39.298375075352659</v>
      </c>
      <c r="H5474" s="74">
        <f t="shared" si="171"/>
        <v>1.1960252679798629</v>
      </c>
    </row>
    <row r="5475" spans="5:8" ht="15.6">
      <c r="E5475" s="279" t="s">
        <v>5801</v>
      </c>
      <c r="F5475" s="284">
        <f t="shared" ca="1" si="170"/>
        <v>0.9766389452547044</v>
      </c>
      <c r="G5475" s="74">
        <v>35.614120978145763</v>
      </c>
      <c r="H5475" s="74">
        <f t="shared" si="171"/>
        <v>4.8802793651867589</v>
      </c>
    </row>
    <row r="5476" spans="5:8" ht="15.6">
      <c r="E5476" s="279" t="s">
        <v>5802</v>
      </c>
      <c r="F5476" s="284">
        <f t="shared" ca="1" si="170"/>
        <v>2.4976350430074401E-2</v>
      </c>
      <c r="G5476" s="74">
        <v>39.172692134298451</v>
      </c>
      <c r="H5476" s="74">
        <f t="shared" si="171"/>
        <v>1.321708209034071</v>
      </c>
    </row>
    <row r="5477" spans="5:8" ht="15.6">
      <c r="E5477" s="279" t="s">
        <v>5803</v>
      </c>
      <c r="F5477" s="284">
        <f t="shared" ca="1" si="170"/>
        <v>0.5295072591844191</v>
      </c>
      <c r="G5477" s="74">
        <v>36.553636261378081</v>
      </c>
      <c r="H5477" s="74">
        <f t="shared" si="171"/>
        <v>3.9407640819544412</v>
      </c>
    </row>
    <row r="5478" spans="5:8" ht="15.6">
      <c r="E5478" s="279" t="s">
        <v>5804</v>
      </c>
      <c r="F5478" s="284">
        <f t="shared" ca="1" si="170"/>
        <v>0.43391354293039797</v>
      </c>
      <c r="G5478" s="74">
        <v>42.131195315939003</v>
      </c>
      <c r="H5478" s="74">
        <f t="shared" si="171"/>
        <v>-1.6367949726064808</v>
      </c>
    </row>
    <row r="5479" spans="5:8" ht="15.6">
      <c r="E5479" s="279" t="s">
        <v>5805</v>
      </c>
      <c r="F5479" s="284">
        <f t="shared" ca="1" si="170"/>
        <v>0.63625302062286149</v>
      </c>
      <c r="G5479" s="74">
        <v>39.742847232020615</v>
      </c>
      <c r="H5479" s="74">
        <f t="shared" si="171"/>
        <v>0.75155311131190672</v>
      </c>
    </row>
    <row r="5480" spans="5:8" ht="15.6">
      <c r="E5480" s="279" t="s">
        <v>5806</v>
      </c>
      <c r="F5480" s="284">
        <f t="shared" ca="1" si="170"/>
        <v>0.21841867906664592</v>
      </c>
      <c r="G5480" s="74">
        <v>40.1349605253546</v>
      </c>
      <c r="H5480" s="74">
        <f t="shared" si="171"/>
        <v>0.3594398179779219</v>
      </c>
    </row>
    <row r="5481" spans="5:8" ht="15.6">
      <c r="E5481" s="279" t="s">
        <v>5807</v>
      </c>
      <c r="F5481" s="284">
        <f t="shared" ca="1" si="170"/>
        <v>0.90724582824250688</v>
      </c>
      <c r="G5481" s="74">
        <v>40.039167937037718</v>
      </c>
      <c r="H5481" s="74">
        <f t="shared" si="171"/>
        <v>0.45523240629480455</v>
      </c>
    </row>
    <row r="5482" spans="5:8" ht="15.6">
      <c r="E5482" s="279" t="s">
        <v>5808</v>
      </c>
      <c r="F5482" s="284">
        <f t="shared" ca="1" si="170"/>
        <v>0.35664024657188753</v>
      </c>
      <c r="G5482" s="74">
        <v>41.506839818442437</v>
      </c>
      <c r="H5482" s="74">
        <f t="shared" si="171"/>
        <v>-1.0124394751099146</v>
      </c>
    </row>
    <row r="5483" spans="5:8" ht="15.6">
      <c r="E5483" s="279" t="s">
        <v>5809</v>
      </c>
      <c r="F5483" s="284">
        <f t="shared" ca="1" si="170"/>
        <v>0.27184950189184176</v>
      </c>
      <c r="G5483" s="74">
        <v>43.510372074734036</v>
      </c>
      <c r="H5483" s="74">
        <f t="shared" si="171"/>
        <v>-3.015971731401514</v>
      </c>
    </row>
    <row r="5484" spans="5:8" ht="15.6">
      <c r="E5484" s="279" t="s">
        <v>5810</v>
      </c>
      <c r="F5484" s="284">
        <f t="shared" ca="1" si="170"/>
        <v>0.70552664692906175</v>
      </c>
      <c r="G5484" s="74">
        <v>43.43094133013048</v>
      </c>
      <c r="H5484" s="74">
        <f t="shared" si="171"/>
        <v>-2.9365409867979579</v>
      </c>
    </row>
    <row r="5485" spans="5:8" ht="15.6">
      <c r="E5485" s="279" t="s">
        <v>5811</v>
      </c>
      <c r="F5485" s="284">
        <f t="shared" ca="1" si="170"/>
        <v>7.2644662909426061E-2</v>
      </c>
      <c r="G5485" s="74">
        <v>38.499311850671376</v>
      </c>
      <c r="H5485" s="74">
        <f t="shared" si="171"/>
        <v>1.9950884926611465</v>
      </c>
    </row>
    <row r="5486" spans="5:8" ht="15.6">
      <c r="E5486" s="279" t="s">
        <v>5812</v>
      </c>
      <c r="F5486" s="284">
        <f t="shared" ca="1" si="170"/>
        <v>0.76923072610004661</v>
      </c>
      <c r="G5486" s="74">
        <v>40.444525328487067</v>
      </c>
      <c r="H5486" s="74">
        <f t="shared" si="171"/>
        <v>4.9875014845454757E-2</v>
      </c>
    </row>
    <row r="5487" spans="5:8" ht="15.6">
      <c r="E5487" s="279" t="s">
        <v>5813</v>
      </c>
      <c r="F5487" s="284">
        <f t="shared" ca="1" si="170"/>
        <v>0.59257928713664443</v>
      </c>
      <c r="G5487" s="74">
        <v>36.223602088025551</v>
      </c>
      <c r="H5487" s="74">
        <f t="shared" si="171"/>
        <v>4.2707982553069712</v>
      </c>
    </row>
    <row r="5488" spans="5:8" ht="15.6">
      <c r="E5488" s="279" t="s">
        <v>5814</v>
      </c>
      <c r="F5488" s="284">
        <f t="shared" ca="1" si="170"/>
        <v>0.38661924640981238</v>
      </c>
      <c r="G5488" s="74">
        <v>43.522661137479311</v>
      </c>
      <c r="H5488" s="74">
        <f t="shared" si="171"/>
        <v>-3.0282607941467887</v>
      </c>
    </row>
    <row r="5489" spans="5:8" ht="15.6">
      <c r="E5489" s="279" t="s">
        <v>5815</v>
      </c>
      <c r="F5489" s="284">
        <f t="shared" ca="1" si="170"/>
        <v>0.43373695943555934</v>
      </c>
      <c r="G5489" s="74">
        <v>37.430739745341903</v>
      </c>
      <c r="H5489" s="74">
        <f t="shared" si="171"/>
        <v>3.0636605979906193</v>
      </c>
    </row>
    <row r="5490" spans="5:8" ht="15.6">
      <c r="E5490" s="279" t="s">
        <v>5816</v>
      </c>
      <c r="F5490" s="284">
        <f t="shared" ca="1" si="170"/>
        <v>0.32070840180056348</v>
      </c>
      <c r="G5490" s="74">
        <v>35.022857145967066</v>
      </c>
      <c r="H5490" s="74">
        <f t="shared" si="171"/>
        <v>5.471543197365456</v>
      </c>
    </row>
    <row r="5491" spans="5:8" ht="15.6">
      <c r="E5491" s="279" t="s">
        <v>5817</v>
      </c>
      <c r="F5491" s="284">
        <f t="shared" ca="1" si="170"/>
        <v>0.1610464136594203</v>
      </c>
      <c r="G5491" s="74">
        <v>40.838549207379423</v>
      </c>
      <c r="H5491" s="74">
        <f t="shared" si="171"/>
        <v>-0.34414886404690037</v>
      </c>
    </row>
    <row r="5492" spans="5:8" ht="15.6">
      <c r="E5492" s="279" t="s">
        <v>5818</v>
      </c>
      <c r="F5492" s="284">
        <f t="shared" ca="1" si="170"/>
        <v>0.53475377940048396</v>
      </c>
      <c r="G5492" s="74">
        <v>39.610405909024372</v>
      </c>
      <c r="H5492" s="74">
        <f t="shared" si="171"/>
        <v>0.88399443430814983</v>
      </c>
    </row>
    <row r="5493" spans="5:8" ht="15.6">
      <c r="E5493" s="279" t="s">
        <v>5819</v>
      </c>
      <c r="F5493" s="284">
        <f t="shared" ca="1" si="170"/>
        <v>0.28673112471927675</v>
      </c>
      <c r="G5493" s="74">
        <v>40.912790768527437</v>
      </c>
      <c r="H5493" s="74">
        <f t="shared" si="171"/>
        <v>-0.41839042519491443</v>
      </c>
    </row>
    <row r="5494" spans="5:8" ht="15.6">
      <c r="E5494" s="279" t="s">
        <v>5820</v>
      </c>
      <c r="F5494" s="284">
        <f t="shared" ca="1" si="170"/>
        <v>0.96372149090140702</v>
      </c>
      <c r="G5494" s="74">
        <v>37.719414090236583</v>
      </c>
      <c r="H5494" s="74">
        <f t="shared" si="171"/>
        <v>2.774986253095939</v>
      </c>
    </row>
    <row r="5495" spans="5:8" ht="15.6">
      <c r="E5495" s="279" t="s">
        <v>5821</v>
      </c>
      <c r="F5495" s="284">
        <f t="shared" ca="1" si="170"/>
        <v>0.54739692179329724</v>
      </c>
      <c r="G5495" s="74">
        <v>38.318530263546272</v>
      </c>
      <c r="H5495" s="74">
        <f t="shared" si="171"/>
        <v>2.1758700797862502</v>
      </c>
    </row>
    <row r="5496" spans="5:8" ht="15.6">
      <c r="E5496" s="279" t="s">
        <v>5822</v>
      </c>
      <c r="F5496" s="284">
        <f t="shared" ca="1" si="170"/>
        <v>0.98921541873896701</v>
      </c>
      <c r="G5496" s="74">
        <v>42.932876897375934</v>
      </c>
      <c r="H5496" s="74">
        <f t="shared" si="171"/>
        <v>-2.4384765540434117</v>
      </c>
    </row>
    <row r="5497" spans="5:8" ht="15.6">
      <c r="E5497" s="279" t="s">
        <v>5823</v>
      </c>
      <c r="F5497" s="284">
        <f t="shared" ca="1" si="170"/>
        <v>0.24193906285109523</v>
      </c>
      <c r="G5497" s="74">
        <v>35.15443325459232</v>
      </c>
      <c r="H5497" s="74">
        <f t="shared" si="171"/>
        <v>5.3399670887402024</v>
      </c>
    </row>
    <row r="5498" spans="5:8" ht="15.6">
      <c r="E5498" s="279" t="s">
        <v>5824</v>
      </c>
      <c r="F5498" s="284">
        <f t="shared" ca="1" si="170"/>
        <v>0.57700028677283344</v>
      </c>
      <c r="G5498" s="74">
        <v>40.740557145535583</v>
      </c>
      <c r="H5498" s="74">
        <f t="shared" si="171"/>
        <v>-0.24615680220306047</v>
      </c>
    </row>
    <row r="5499" spans="5:8" ht="15.6">
      <c r="E5499" s="279" t="s">
        <v>5825</v>
      </c>
      <c r="F5499" s="284">
        <f t="shared" ca="1" si="170"/>
        <v>0.97988917383534324</v>
      </c>
      <c r="G5499" s="74">
        <v>40.830554331179044</v>
      </c>
      <c r="H5499" s="74">
        <f t="shared" si="171"/>
        <v>-0.33615398784652228</v>
      </c>
    </row>
    <row r="5500" spans="5:8" ht="15.6">
      <c r="E5500" s="279" t="s">
        <v>5826</v>
      </c>
      <c r="F5500" s="284">
        <f t="shared" ca="1" si="170"/>
        <v>0.83700325124295138</v>
      </c>
      <c r="G5500" s="74">
        <v>38.18940599385499</v>
      </c>
      <c r="H5500" s="74">
        <f t="shared" si="171"/>
        <v>2.304994349477532</v>
      </c>
    </row>
    <row r="5501" spans="5:8" ht="15.6">
      <c r="E5501" s="279" t="s">
        <v>5827</v>
      </c>
      <c r="F5501" s="284">
        <f t="shared" ca="1" si="170"/>
        <v>0.68368813264670614</v>
      </c>
      <c r="G5501" s="74">
        <v>39.93063176997105</v>
      </c>
      <c r="H5501" s="74">
        <f t="shared" si="171"/>
        <v>0.56376857336147168</v>
      </c>
    </row>
    <row r="5502" spans="5:8" ht="15.6">
      <c r="E5502" s="279" t="s">
        <v>5828</v>
      </c>
      <c r="F5502" s="284">
        <f t="shared" ca="1" si="170"/>
        <v>0.3825416768171187</v>
      </c>
      <c r="G5502" s="74">
        <v>41.575925120394317</v>
      </c>
      <c r="H5502" s="74">
        <f t="shared" si="171"/>
        <v>-1.0815247770617944</v>
      </c>
    </row>
    <row r="5503" spans="5:8" ht="15.6">
      <c r="E5503" s="279" t="s">
        <v>5829</v>
      </c>
      <c r="F5503" s="284">
        <f t="shared" ca="1" si="170"/>
        <v>0.71675503971896082</v>
      </c>
      <c r="G5503" s="74">
        <v>45.14634440451524</v>
      </c>
      <c r="H5503" s="74">
        <f t="shared" si="171"/>
        <v>-4.6519440611827179</v>
      </c>
    </row>
    <row r="5504" spans="5:8" ht="15.6">
      <c r="E5504" s="279" t="s">
        <v>5830</v>
      </c>
      <c r="F5504" s="284">
        <f t="shared" ca="1" si="170"/>
        <v>2.310991003605678E-2</v>
      </c>
      <c r="G5504" s="74">
        <v>41.735148464909948</v>
      </c>
      <c r="H5504" s="74">
        <f t="shared" si="171"/>
        <v>-1.2407481215774254</v>
      </c>
    </row>
    <row r="5505" spans="5:8" ht="15.6">
      <c r="E5505" s="279" t="s">
        <v>5831</v>
      </c>
      <c r="F5505" s="284">
        <f t="shared" ca="1" si="170"/>
        <v>0.27373292612671474</v>
      </c>
      <c r="G5505" s="74">
        <v>41.359909540886576</v>
      </c>
      <c r="H5505" s="74">
        <f t="shared" si="171"/>
        <v>-0.86550919755405431</v>
      </c>
    </row>
    <row r="5506" spans="5:8" ht="15.6">
      <c r="E5506" s="279" t="s">
        <v>5832</v>
      </c>
      <c r="F5506" s="284">
        <f t="shared" ca="1" si="170"/>
        <v>0.26995154282449352</v>
      </c>
      <c r="G5506" s="74">
        <v>49.083425077457385</v>
      </c>
      <c r="H5506" s="74">
        <f t="shared" si="171"/>
        <v>-8.5890247341248624</v>
      </c>
    </row>
    <row r="5507" spans="5:8" ht="15.6">
      <c r="E5507" s="279" t="s">
        <v>5833</v>
      </c>
      <c r="F5507" s="284">
        <f t="shared" ca="1" si="170"/>
        <v>0.61768600295299148</v>
      </c>
      <c r="G5507" s="74">
        <v>37.352114232853602</v>
      </c>
      <c r="H5507" s="74">
        <f t="shared" si="171"/>
        <v>3.1422861104789206</v>
      </c>
    </row>
    <row r="5508" spans="5:8" ht="15.6">
      <c r="E5508" s="279" t="s">
        <v>5834</v>
      </c>
      <c r="F5508" s="284">
        <f t="shared" ca="1" si="170"/>
        <v>0.15246249645579468</v>
      </c>
      <c r="G5508" s="74">
        <v>38.040136033902662</v>
      </c>
      <c r="H5508" s="74">
        <f t="shared" si="171"/>
        <v>2.4542643094298597</v>
      </c>
    </row>
    <row r="5509" spans="5:8" ht="15.6">
      <c r="E5509" s="279" t="s">
        <v>5835</v>
      </c>
      <c r="F5509" s="284">
        <f t="shared" ca="1" si="170"/>
        <v>0.34720584343200844</v>
      </c>
      <c r="G5509" s="74">
        <v>40.067375493192678</v>
      </c>
      <c r="H5509" s="74">
        <f t="shared" si="171"/>
        <v>0.42702485013984415</v>
      </c>
    </row>
    <row r="5510" spans="5:8" ht="15.6">
      <c r="E5510" s="279" t="s">
        <v>5836</v>
      </c>
      <c r="F5510" s="284">
        <f t="shared" ca="1" si="170"/>
        <v>0.45467889989980181</v>
      </c>
      <c r="G5510" s="74">
        <v>38.662696656235461</v>
      </c>
      <c r="H5510" s="74">
        <f t="shared" si="171"/>
        <v>1.8317036870970611</v>
      </c>
    </row>
    <row r="5511" spans="5:8" ht="15.6">
      <c r="E5511" s="279" t="s">
        <v>5837</v>
      </c>
      <c r="F5511" s="284">
        <f t="shared" ca="1" si="170"/>
        <v>0.51836339317857005</v>
      </c>
      <c r="G5511" s="74">
        <v>39.028378107987685</v>
      </c>
      <c r="H5511" s="74">
        <f t="shared" si="171"/>
        <v>1.4660222353448376</v>
      </c>
    </row>
    <row r="5512" spans="5:8" ht="15.6">
      <c r="E5512" s="279" t="s">
        <v>5838</v>
      </c>
      <c r="F5512" s="284">
        <f t="shared" ca="1" si="170"/>
        <v>0.19082854858756992</v>
      </c>
      <c r="G5512" s="74">
        <v>42.921384004749513</v>
      </c>
      <c r="H5512" s="74">
        <f t="shared" si="171"/>
        <v>-2.4269836614169904</v>
      </c>
    </row>
    <row r="5513" spans="5:8" ht="15.6">
      <c r="E5513" s="279" t="s">
        <v>5839</v>
      </c>
      <c r="F5513" s="284">
        <f t="shared" ca="1" si="170"/>
        <v>0.31717998576047646</v>
      </c>
      <c r="G5513" s="74">
        <v>36.648437240253408</v>
      </c>
      <c r="H5513" s="74">
        <f t="shared" si="171"/>
        <v>3.8459631030791144</v>
      </c>
    </row>
    <row r="5514" spans="5:8" ht="15.6">
      <c r="E5514" s="279" t="s">
        <v>5840</v>
      </c>
      <c r="F5514" s="284">
        <f t="shared" ca="1" si="170"/>
        <v>0.83354707174052778</v>
      </c>
      <c r="G5514" s="74">
        <v>42.155240847617605</v>
      </c>
      <c r="H5514" s="74">
        <f t="shared" si="171"/>
        <v>-1.6608405042850833</v>
      </c>
    </row>
    <row r="5515" spans="5:8" ht="15.6">
      <c r="E5515" s="279" t="s">
        <v>5841</v>
      </c>
      <c r="F5515" s="284">
        <f t="shared" ca="1" si="170"/>
        <v>0.78513105467274369</v>
      </c>
      <c r="G5515" s="74">
        <v>40.291873105688204</v>
      </c>
      <c r="H5515" s="74">
        <f t="shared" si="171"/>
        <v>0.20252723764431835</v>
      </c>
    </row>
    <row r="5516" spans="5:8" ht="15.6">
      <c r="E5516" s="279" t="s">
        <v>5842</v>
      </c>
      <c r="F5516" s="284">
        <f t="shared" ref="F5516:F5579" ca="1" si="172">RAND()</f>
        <v>0.30004581335642133</v>
      </c>
      <c r="G5516" s="74">
        <v>39.473560438624645</v>
      </c>
      <c r="H5516" s="74">
        <f t="shared" ref="H5516:H5579" si="173">$D$2-G5516</f>
        <v>1.0208399047078771</v>
      </c>
    </row>
    <row r="5517" spans="5:8" ht="15.6">
      <c r="E5517" s="279" t="s">
        <v>5843</v>
      </c>
      <c r="F5517" s="284">
        <f t="shared" ca="1" si="172"/>
        <v>0.70673861263597082</v>
      </c>
      <c r="G5517" s="74">
        <v>39.870079279351074</v>
      </c>
      <c r="H5517" s="74">
        <f t="shared" si="173"/>
        <v>0.62432106398144782</v>
      </c>
    </row>
    <row r="5518" spans="5:8" ht="15.6">
      <c r="E5518" s="279" t="s">
        <v>5844</v>
      </c>
      <c r="F5518" s="284">
        <f t="shared" ca="1" si="172"/>
        <v>0.74391159041602339</v>
      </c>
      <c r="G5518" s="74">
        <v>38.825641017391895</v>
      </c>
      <c r="H5518" s="74">
        <f t="shared" si="173"/>
        <v>1.668759325940627</v>
      </c>
    </row>
    <row r="5519" spans="5:8" ht="15.6">
      <c r="E5519" s="279" t="s">
        <v>5845</v>
      </c>
      <c r="F5519" s="284">
        <f t="shared" ca="1" si="172"/>
        <v>0.42015712164989472</v>
      </c>
      <c r="G5519" s="74">
        <v>39.368857950979717</v>
      </c>
      <c r="H5519" s="74">
        <f t="shared" si="173"/>
        <v>1.1255423923528056</v>
      </c>
    </row>
    <row r="5520" spans="5:8" ht="15.6">
      <c r="E5520" s="279" t="s">
        <v>5846</v>
      </c>
      <c r="F5520" s="284">
        <f t="shared" ca="1" si="172"/>
        <v>0.28427007198828325</v>
      </c>
      <c r="G5520" s="74">
        <v>44.35829944514753</v>
      </c>
      <c r="H5520" s="74">
        <f t="shared" si="173"/>
        <v>-3.863899101815008</v>
      </c>
    </row>
    <row r="5521" spans="5:8" ht="15.6">
      <c r="E5521" s="279" t="s">
        <v>5847</v>
      </c>
      <c r="F5521" s="284">
        <f t="shared" ca="1" si="172"/>
        <v>0.8910562159843185</v>
      </c>
      <c r="G5521" s="74">
        <v>39.07294518327673</v>
      </c>
      <c r="H5521" s="74">
        <f t="shared" si="173"/>
        <v>1.4214551600557925</v>
      </c>
    </row>
    <row r="5522" spans="5:8" ht="15.6">
      <c r="E5522" s="279" t="s">
        <v>5848</v>
      </c>
      <c r="F5522" s="284">
        <f t="shared" ca="1" si="172"/>
        <v>0.26290741296514697</v>
      </c>
      <c r="G5522" s="74">
        <v>38.812742445571907</v>
      </c>
      <c r="H5522" s="74">
        <f t="shared" si="173"/>
        <v>1.6816578977606156</v>
      </c>
    </row>
    <row r="5523" spans="5:8" ht="15.6">
      <c r="E5523" s="279" t="s">
        <v>5849</v>
      </c>
      <c r="F5523" s="284">
        <f t="shared" ca="1" si="172"/>
        <v>0.98432435429156651</v>
      </c>
      <c r="G5523" s="74">
        <v>38.541980205035514</v>
      </c>
      <c r="H5523" s="74">
        <f t="shared" si="173"/>
        <v>1.9524201382970077</v>
      </c>
    </row>
    <row r="5524" spans="5:8" ht="15.6">
      <c r="E5524" s="279" t="s">
        <v>5850</v>
      </c>
      <c r="F5524" s="284">
        <f t="shared" ca="1" si="172"/>
        <v>0.71989489454422984</v>
      </c>
      <c r="G5524" s="74">
        <v>38.142046638877972</v>
      </c>
      <c r="H5524" s="74">
        <f t="shared" si="173"/>
        <v>2.3523537044545506</v>
      </c>
    </row>
    <row r="5525" spans="5:8" ht="15.6">
      <c r="E5525" s="279" t="s">
        <v>5851</v>
      </c>
      <c r="F5525" s="284">
        <f t="shared" ca="1" si="172"/>
        <v>0.97791121341036746</v>
      </c>
      <c r="G5525" s="74">
        <v>37.146354231339117</v>
      </c>
      <c r="H5525" s="74">
        <f t="shared" si="173"/>
        <v>3.3480461119934048</v>
      </c>
    </row>
    <row r="5526" spans="5:8" ht="15.6">
      <c r="E5526" s="279" t="s">
        <v>5852</v>
      </c>
      <c r="F5526" s="284">
        <f t="shared" ca="1" si="172"/>
        <v>0.24089741734199566</v>
      </c>
      <c r="G5526" s="74">
        <v>40.338038600376926</v>
      </c>
      <c r="H5526" s="74">
        <f t="shared" si="173"/>
        <v>0.15636174295559613</v>
      </c>
    </row>
    <row r="5527" spans="5:8" ht="15.6">
      <c r="E5527" s="279" t="s">
        <v>5853</v>
      </c>
      <c r="F5527" s="284">
        <f t="shared" ca="1" si="172"/>
        <v>0.8245200734271515</v>
      </c>
      <c r="G5527" s="74">
        <v>35.519404421142163</v>
      </c>
      <c r="H5527" s="74">
        <f t="shared" si="173"/>
        <v>4.9749959221903595</v>
      </c>
    </row>
    <row r="5528" spans="5:8" ht="15.6">
      <c r="E5528" s="279" t="s">
        <v>5854</v>
      </c>
      <c r="F5528" s="284">
        <f t="shared" ca="1" si="172"/>
        <v>0.11820519529941897</v>
      </c>
      <c r="G5528" s="74">
        <v>38.205144247342055</v>
      </c>
      <c r="H5528" s="74">
        <f t="shared" si="173"/>
        <v>2.2892560959904671</v>
      </c>
    </row>
    <row r="5529" spans="5:8" ht="15.6">
      <c r="E5529" s="279" t="s">
        <v>5855</v>
      </c>
      <c r="F5529" s="284">
        <f t="shared" ca="1" si="172"/>
        <v>4.8354290534850963E-2</v>
      </c>
      <c r="G5529" s="74">
        <v>47.599676775804461</v>
      </c>
      <c r="H5529" s="74">
        <f t="shared" si="173"/>
        <v>-7.1052764324719391</v>
      </c>
    </row>
    <row r="5530" spans="5:8" ht="15.6">
      <c r="E5530" s="279" t="s">
        <v>5856</v>
      </c>
      <c r="F5530" s="284">
        <f t="shared" ca="1" si="172"/>
        <v>0.12683077921049679</v>
      </c>
      <c r="G5530" s="74">
        <v>37.666777911215377</v>
      </c>
      <c r="H5530" s="74">
        <f t="shared" si="173"/>
        <v>2.8276224321171455</v>
      </c>
    </row>
    <row r="5531" spans="5:8" ht="15.6">
      <c r="E5531" s="279" t="s">
        <v>5857</v>
      </c>
      <c r="F5531" s="284">
        <f t="shared" ca="1" si="172"/>
        <v>0.83174411470598875</v>
      </c>
      <c r="G5531" s="74">
        <v>37.734832103258491</v>
      </c>
      <c r="H5531" s="74">
        <f t="shared" si="173"/>
        <v>2.7595682400740316</v>
      </c>
    </row>
    <row r="5532" spans="5:8" ht="15.6">
      <c r="E5532" s="279" t="s">
        <v>5858</v>
      </c>
      <c r="F5532" s="284">
        <f t="shared" ca="1" si="172"/>
        <v>0.45318882170190333</v>
      </c>
      <c r="G5532" s="74">
        <v>38.21712293811958</v>
      </c>
      <c r="H5532" s="74">
        <f t="shared" si="173"/>
        <v>2.2772774052129421</v>
      </c>
    </row>
    <row r="5533" spans="5:8" ht="15.6">
      <c r="E5533" s="279" t="s">
        <v>5859</v>
      </c>
      <c r="F5533" s="284">
        <f t="shared" ca="1" si="172"/>
        <v>0.41131302720827156</v>
      </c>
      <c r="G5533" s="74">
        <v>38.659360299721186</v>
      </c>
      <c r="H5533" s="74">
        <f t="shared" si="173"/>
        <v>1.8350400436113361</v>
      </c>
    </row>
    <row r="5534" spans="5:8" ht="15.6">
      <c r="E5534" s="279" t="s">
        <v>5860</v>
      </c>
      <c r="F5534" s="284">
        <f t="shared" ca="1" si="172"/>
        <v>0.54617107589702896</v>
      </c>
      <c r="G5534" s="74">
        <v>39.058041129867142</v>
      </c>
      <c r="H5534" s="74">
        <f t="shared" si="173"/>
        <v>1.43635921346538</v>
      </c>
    </row>
    <row r="5535" spans="5:8" ht="15.6">
      <c r="E5535" s="279" t="s">
        <v>5861</v>
      </c>
      <c r="F5535" s="284">
        <f t="shared" ca="1" si="172"/>
        <v>0.94376756209535895</v>
      </c>
      <c r="G5535" s="74">
        <v>35.768281714736702</v>
      </c>
      <c r="H5535" s="74">
        <f t="shared" si="173"/>
        <v>4.7261186285958203</v>
      </c>
    </row>
    <row r="5536" spans="5:8" ht="15.6">
      <c r="E5536" s="279" t="s">
        <v>5862</v>
      </c>
      <c r="F5536" s="284">
        <f t="shared" ca="1" si="172"/>
        <v>0.5519427105579725</v>
      </c>
      <c r="G5536" s="74">
        <v>37.265954110884081</v>
      </c>
      <c r="H5536" s="74">
        <f t="shared" si="173"/>
        <v>3.2284462324484409</v>
      </c>
    </row>
    <row r="5537" spans="5:8" ht="15.6">
      <c r="E5537" s="279" t="s">
        <v>5863</v>
      </c>
      <c r="F5537" s="284">
        <f t="shared" ca="1" si="172"/>
        <v>0.56461528006554385</v>
      </c>
      <c r="G5537" s="74">
        <v>39.366950853598063</v>
      </c>
      <c r="H5537" s="74">
        <f t="shared" si="173"/>
        <v>1.1274494897344596</v>
      </c>
    </row>
    <row r="5538" spans="5:8" ht="15.6">
      <c r="E5538" s="279" t="s">
        <v>5864</v>
      </c>
      <c r="F5538" s="284">
        <f t="shared" ca="1" si="172"/>
        <v>0.67386968672480152</v>
      </c>
      <c r="G5538" s="74">
        <v>42.452848039683964</v>
      </c>
      <c r="H5538" s="74">
        <f t="shared" si="173"/>
        <v>-1.9584476963514419</v>
      </c>
    </row>
    <row r="5539" spans="5:8" ht="15.6">
      <c r="E5539" s="279" t="s">
        <v>5865</v>
      </c>
      <c r="F5539" s="284">
        <f t="shared" ca="1" si="172"/>
        <v>0.77779272498174312</v>
      </c>
      <c r="G5539" s="74">
        <v>42.830508390302271</v>
      </c>
      <c r="H5539" s="74">
        <f t="shared" si="173"/>
        <v>-2.3361080469697484</v>
      </c>
    </row>
    <row r="5540" spans="5:8" ht="15.6">
      <c r="E5540" s="279" t="s">
        <v>5866</v>
      </c>
      <c r="F5540" s="284">
        <f t="shared" ca="1" si="172"/>
        <v>0.57735364753413143</v>
      </c>
      <c r="G5540" s="74">
        <v>39.197263161007832</v>
      </c>
      <c r="H5540" s="74">
        <f t="shared" si="173"/>
        <v>1.2971371823246898</v>
      </c>
    </row>
    <row r="5541" spans="5:8" ht="15.6">
      <c r="E5541" s="279" t="s">
        <v>5867</v>
      </c>
      <c r="F5541" s="284">
        <f t="shared" ca="1" si="172"/>
        <v>0.74343991882566163</v>
      </c>
      <c r="G5541" s="74">
        <v>40.158029182798131</v>
      </c>
      <c r="H5541" s="74">
        <f t="shared" si="173"/>
        <v>0.33637116053439087</v>
      </c>
    </row>
    <row r="5542" spans="5:8" ht="15.6">
      <c r="E5542" s="279" t="s">
        <v>5868</v>
      </c>
      <c r="F5542" s="284">
        <f t="shared" ca="1" si="172"/>
        <v>0.91579199026646996</v>
      </c>
      <c r="G5542" s="74">
        <v>38.090791367195138</v>
      </c>
      <c r="H5542" s="74">
        <f t="shared" si="173"/>
        <v>2.4036089761373844</v>
      </c>
    </row>
    <row r="5543" spans="5:8" ht="15.6">
      <c r="E5543" s="279" t="s">
        <v>5869</v>
      </c>
      <c r="F5543" s="284">
        <f t="shared" ca="1" si="172"/>
        <v>0.30375838499331143</v>
      </c>
      <c r="G5543" s="74">
        <v>36.941889336261902</v>
      </c>
      <c r="H5543" s="74">
        <f t="shared" si="173"/>
        <v>3.5525110070706205</v>
      </c>
    </row>
    <row r="5544" spans="5:8" ht="15.6">
      <c r="E5544" s="279" t="s">
        <v>5870</v>
      </c>
      <c r="F5544" s="284">
        <f t="shared" ca="1" si="172"/>
        <v>0.54348655165575621</v>
      </c>
      <c r="G5544" s="74">
        <v>34.418225130760504</v>
      </c>
      <c r="H5544" s="74">
        <f t="shared" si="173"/>
        <v>6.0761752125720179</v>
      </c>
    </row>
    <row r="5545" spans="5:8" ht="15.6">
      <c r="E5545" s="279" t="s">
        <v>5871</v>
      </c>
      <c r="F5545" s="284">
        <f t="shared" ca="1" si="172"/>
        <v>0.23081973289416047</v>
      </c>
      <c r="G5545" s="74">
        <v>37.590936421193319</v>
      </c>
      <c r="H5545" s="74">
        <f t="shared" si="173"/>
        <v>2.9034639221392027</v>
      </c>
    </row>
    <row r="5546" spans="5:8" ht="15.6">
      <c r="E5546" s="279" t="s">
        <v>5872</v>
      </c>
      <c r="F5546" s="284">
        <f t="shared" ca="1" si="172"/>
        <v>0.61387286976021038</v>
      </c>
      <c r="G5546" s="74">
        <v>41.912684051625618</v>
      </c>
      <c r="H5546" s="74">
        <f t="shared" si="173"/>
        <v>-1.4182837082930959</v>
      </c>
    </row>
    <row r="5547" spans="5:8" ht="15.6">
      <c r="E5547" s="279" t="s">
        <v>5873</v>
      </c>
      <c r="F5547" s="284">
        <f t="shared" ca="1" si="172"/>
        <v>0.84784168732796661</v>
      </c>
      <c r="G5547" s="74">
        <v>37.857246267338681</v>
      </c>
      <c r="H5547" s="74">
        <f t="shared" si="173"/>
        <v>2.6371540759938412</v>
      </c>
    </row>
    <row r="5548" spans="5:8" ht="15.6">
      <c r="E5548" s="279" t="s">
        <v>5874</v>
      </c>
      <c r="F5548" s="284">
        <f t="shared" ca="1" si="172"/>
        <v>0.22626947127687447</v>
      </c>
      <c r="G5548" s="74">
        <v>41.588722213269151</v>
      </c>
      <c r="H5548" s="74">
        <f t="shared" si="173"/>
        <v>-1.0943218699366284</v>
      </c>
    </row>
    <row r="5549" spans="5:8" ht="15.6">
      <c r="E5549" s="279" t="s">
        <v>5875</v>
      </c>
      <c r="F5549" s="284">
        <f t="shared" ca="1" si="172"/>
        <v>8.2555618195286673E-2</v>
      </c>
      <c r="G5549" s="74">
        <v>36.818937504468607</v>
      </c>
      <c r="H5549" s="74">
        <f t="shared" si="173"/>
        <v>3.6754628388639148</v>
      </c>
    </row>
    <row r="5550" spans="5:8" ht="15.6">
      <c r="E5550" s="279" t="s">
        <v>5876</v>
      </c>
      <c r="F5550" s="284">
        <f t="shared" ca="1" si="172"/>
        <v>0.99313965988861064</v>
      </c>
      <c r="G5550" s="74">
        <v>41.860920404784736</v>
      </c>
      <c r="H5550" s="74">
        <f t="shared" si="173"/>
        <v>-1.3665200614522135</v>
      </c>
    </row>
    <row r="5551" spans="5:8" ht="15.6">
      <c r="E5551" s="279" t="s">
        <v>5877</v>
      </c>
      <c r="F5551" s="284">
        <f t="shared" ca="1" si="172"/>
        <v>0.9698224209683487</v>
      </c>
      <c r="G5551" s="74">
        <v>35.658703335956496</v>
      </c>
      <c r="H5551" s="74">
        <f t="shared" si="173"/>
        <v>4.8356970073760266</v>
      </c>
    </row>
    <row r="5552" spans="5:8" ht="15.6">
      <c r="E5552" s="279" t="s">
        <v>5878</v>
      </c>
      <c r="F5552" s="284">
        <f t="shared" ca="1" si="172"/>
        <v>0.21778870869406086</v>
      </c>
      <c r="G5552" s="74">
        <v>41.356372284525527</v>
      </c>
      <c r="H5552" s="74">
        <f t="shared" si="173"/>
        <v>-0.86197194119300491</v>
      </c>
    </row>
    <row r="5553" spans="5:8" ht="15.6">
      <c r="E5553" s="279" t="s">
        <v>5879</v>
      </c>
      <c r="F5553" s="284">
        <f t="shared" ca="1" si="172"/>
        <v>0.63060578278207902</v>
      </c>
      <c r="G5553" s="74">
        <v>36.157167086914505</v>
      </c>
      <c r="H5553" s="74">
        <f t="shared" si="173"/>
        <v>4.3372332564180169</v>
      </c>
    </row>
    <row r="5554" spans="5:8" ht="15.6">
      <c r="E5554" s="279" t="s">
        <v>5880</v>
      </c>
      <c r="F5554" s="284">
        <f t="shared" ca="1" si="172"/>
        <v>0.44566318472884281</v>
      </c>
      <c r="G5554" s="74">
        <v>40.052615705822106</v>
      </c>
      <c r="H5554" s="74">
        <f t="shared" si="173"/>
        <v>0.44178463751041619</v>
      </c>
    </row>
    <row r="5555" spans="5:8" ht="15.6">
      <c r="E5555" s="279" t="s">
        <v>5881</v>
      </c>
      <c r="F5555" s="284">
        <f t="shared" ca="1" si="172"/>
        <v>0.67151129226046091</v>
      </c>
      <c r="G5555" s="74">
        <v>39.175844182454242</v>
      </c>
      <c r="H5555" s="74">
        <f t="shared" si="173"/>
        <v>1.3185561608782805</v>
      </c>
    </row>
    <row r="5556" spans="5:8" ht="15.6">
      <c r="E5556" s="279" t="s">
        <v>5882</v>
      </c>
      <c r="F5556" s="284">
        <f t="shared" ca="1" si="172"/>
        <v>0.58705463256333235</v>
      </c>
      <c r="G5556" s="74">
        <v>39.986254910024712</v>
      </c>
      <c r="H5556" s="74">
        <f t="shared" si="173"/>
        <v>0.50814543330780992</v>
      </c>
    </row>
    <row r="5557" spans="5:8" ht="15.6">
      <c r="E5557" s="279" t="s">
        <v>5883</v>
      </c>
      <c r="F5557" s="284">
        <f t="shared" ca="1" si="172"/>
        <v>0.36672541598969399</v>
      </c>
      <c r="G5557" s="74">
        <v>38.242587620750541</v>
      </c>
      <c r="H5557" s="74">
        <f t="shared" si="173"/>
        <v>2.2518127225819811</v>
      </c>
    </row>
    <row r="5558" spans="5:8" ht="15.6">
      <c r="E5558" s="279" t="s">
        <v>5884</v>
      </c>
      <c r="F5558" s="284">
        <f t="shared" ca="1" si="172"/>
        <v>0.2167994455988107</v>
      </c>
      <c r="G5558" s="74">
        <v>40.891518976167887</v>
      </c>
      <c r="H5558" s="74">
        <f t="shared" si="173"/>
        <v>-0.3971186328353653</v>
      </c>
    </row>
    <row r="5559" spans="5:8" ht="15.6">
      <c r="E5559" s="279" t="s">
        <v>5885</v>
      </c>
      <c r="F5559" s="284">
        <f t="shared" ca="1" si="172"/>
        <v>0.90864873944462876</v>
      </c>
      <c r="G5559" s="74">
        <v>39.04552775136321</v>
      </c>
      <c r="H5559" s="74">
        <f t="shared" si="173"/>
        <v>1.4488725919693124</v>
      </c>
    </row>
    <row r="5560" spans="5:8" ht="15.6">
      <c r="E5560" s="279" t="s">
        <v>5886</v>
      </c>
      <c r="F5560" s="284">
        <f t="shared" ca="1" si="172"/>
        <v>0.98833383844408629</v>
      </c>
      <c r="G5560" s="74">
        <v>44.318507951674498</v>
      </c>
      <c r="H5560" s="74">
        <f t="shared" si="173"/>
        <v>-3.8241076083419756</v>
      </c>
    </row>
    <row r="5561" spans="5:8" ht="15.6">
      <c r="E5561" s="279" t="s">
        <v>5887</v>
      </c>
      <c r="F5561" s="284">
        <f t="shared" ca="1" si="172"/>
        <v>0.1305241638107677</v>
      </c>
      <c r="G5561" s="74">
        <v>43.473724757755207</v>
      </c>
      <c r="H5561" s="74">
        <f t="shared" si="173"/>
        <v>-2.9793244144226847</v>
      </c>
    </row>
    <row r="5562" spans="5:8" ht="15.6">
      <c r="E5562" s="279" t="s">
        <v>5888</v>
      </c>
      <c r="F5562" s="284">
        <f t="shared" ca="1" si="172"/>
        <v>0.90819958602236917</v>
      </c>
      <c r="G5562" s="74">
        <v>39.899469645658463</v>
      </c>
      <c r="H5562" s="74">
        <f t="shared" si="173"/>
        <v>0.59493069767405871</v>
      </c>
    </row>
    <row r="5563" spans="5:8" ht="15.6">
      <c r="E5563" s="279" t="s">
        <v>5889</v>
      </c>
      <c r="F5563" s="284">
        <f t="shared" ca="1" si="172"/>
        <v>0.1056999583371091</v>
      </c>
      <c r="G5563" s="74">
        <v>38.530796928844602</v>
      </c>
      <c r="H5563" s="74">
        <f t="shared" si="173"/>
        <v>1.9636034144879204</v>
      </c>
    </row>
    <row r="5564" spans="5:8" ht="15.6">
      <c r="E5564" s="279" t="s">
        <v>5890</v>
      </c>
      <c r="F5564" s="284">
        <f t="shared" ca="1" si="172"/>
        <v>0.12692898380370388</v>
      </c>
      <c r="G5564" s="74">
        <v>32.131254434201871</v>
      </c>
      <c r="H5564" s="74">
        <f t="shared" si="173"/>
        <v>8.363145909130651</v>
      </c>
    </row>
    <row r="5565" spans="5:8" ht="15.6">
      <c r="E5565" s="279" t="s">
        <v>5891</v>
      </c>
      <c r="F5565" s="284">
        <f t="shared" ca="1" si="172"/>
        <v>2.9125808964286626E-2</v>
      </c>
      <c r="G5565" s="74">
        <v>43.406584456960957</v>
      </c>
      <c r="H5565" s="74">
        <f t="shared" si="173"/>
        <v>-2.9121841136284345</v>
      </c>
    </row>
    <row r="5566" spans="5:8" ht="15.6">
      <c r="E5566" s="279" t="s">
        <v>5892</v>
      </c>
      <c r="F5566" s="284">
        <f t="shared" ca="1" si="172"/>
        <v>0.11306266750042282</v>
      </c>
      <c r="G5566" s="74">
        <v>37.149497667520905</v>
      </c>
      <c r="H5566" s="74">
        <f t="shared" si="173"/>
        <v>3.3449026758116176</v>
      </c>
    </row>
    <row r="5567" spans="5:8" ht="15.6">
      <c r="E5567" s="279" t="s">
        <v>5893</v>
      </c>
      <c r="F5567" s="284">
        <f t="shared" ca="1" si="172"/>
        <v>0.58398975784017593</v>
      </c>
      <c r="G5567" s="74">
        <v>36.458314236988905</v>
      </c>
      <c r="H5567" s="74">
        <f t="shared" si="173"/>
        <v>4.0360861063436175</v>
      </c>
    </row>
    <row r="5568" spans="5:8" ht="15.6">
      <c r="E5568" s="279" t="s">
        <v>5894</v>
      </c>
      <c r="F5568" s="284">
        <f t="shared" ca="1" si="172"/>
        <v>0.16154466431050696</v>
      </c>
      <c r="G5568" s="74">
        <v>41.172713368509449</v>
      </c>
      <c r="H5568" s="74">
        <f t="shared" si="173"/>
        <v>-0.67831302517692649</v>
      </c>
    </row>
    <row r="5569" spans="5:8" ht="15.6">
      <c r="E5569" s="279" t="s">
        <v>5895</v>
      </c>
      <c r="F5569" s="284">
        <f t="shared" ca="1" si="172"/>
        <v>0.22936682533430564</v>
      </c>
      <c r="G5569" s="74">
        <v>40.542623747091589</v>
      </c>
      <c r="H5569" s="74">
        <f t="shared" si="173"/>
        <v>-4.8223403759067196E-2</v>
      </c>
    </row>
    <row r="5570" spans="5:8" ht="15.6">
      <c r="E5570" s="279" t="s">
        <v>5896</v>
      </c>
      <c r="F5570" s="284">
        <f t="shared" ca="1" si="172"/>
        <v>0.581852921862136</v>
      </c>
      <c r="G5570" s="74">
        <v>39.185517740117781</v>
      </c>
      <c r="H5570" s="74">
        <f t="shared" si="173"/>
        <v>1.3088826032147409</v>
      </c>
    </row>
    <row r="5571" spans="5:8" ht="15.6">
      <c r="E5571" s="279" t="s">
        <v>5897</v>
      </c>
      <c r="F5571" s="284">
        <f t="shared" ca="1" si="172"/>
        <v>0.50521515466666012</v>
      </c>
      <c r="G5571" s="74">
        <v>41.430768384077624</v>
      </c>
      <c r="H5571" s="74">
        <f t="shared" si="173"/>
        <v>-0.93636804074510138</v>
      </c>
    </row>
    <row r="5572" spans="5:8" ht="15.6">
      <c r="E5572" s="279" t="s">
        <v>5898</v>
      </c>
      <c r="F5572" s="284">
        <f t="shared" ca="1" si="172"/>
        <v>0.13296844716276757</v>
      </c>
      <c r="G5572" s="74">
        <v>40.210678263530987</v>
      </c>
      <c r="H5572" s="74">
        <f t="shared" si="173"/>
        <v>0.28372207980153519</v>
      </c>
    </row>
    <row r="5573" spans="5:8" ht="15.6">
      <c r="E5573" s="279" t="s">
        <v>5899</v>
      </c>
      <c r="F5573" s="284">
        <f t="shared" ca="1" si="172"/>
        <v>0.49751249509977236</v>
      </c>
      <c r="G5573" s="74">
        <v>37.230348146937423</v>
      </c>
      <c r="H5573" s="74">
        <f t="shared" si="173"/>
        <v>3.2640521963950988</v>
      </c>
    </row>
    <row r="5574" spans="5:8" ht="15.6">
      <c r="E5574" s="279" t="s">
        <v>5900</v>
      </c>
      <c r="F5574" s="284">
        <f t="shared" ca="1" si="172"/>
        <v>0.240170178991714</v>
      </c>
      <c r="G5574" s="74">
        <v>38.58905835847829</v>
      </c>
      <c r="H5574" s="74">
        <f t="shared" si="173"/>
        <v>1.9053419848542319</v>
      </c>
    </row>
    <row r="5575" spans="5:8" ht="15.6">
      <c r="E5575" s="279" t="s">
        <v>5901</v>
      </c>
      <c r="F5575" s="284">
        <f t="shared" ca="1" si="172"/>
        <v>0.12040053277785978</v>
      </c>
      <c r="G5575" s="74">
        <v>38.99561239625227</v>
      </c>
      <c r="H5575" s="74">
        <f t="shared" si="173"/>
        <v>1.4987879470802525</v>
      </c>
    </row>
    <row r="5576" spans="5:8" ht="15.6">
      <c r="E5576" s="279" t="s">
        <v>5902</v>
      </c>
      <c r="F5576" s="284">
        <f t="shared" ca="1" si="172"/>
        <v>0.1234907468079498</v>
      </c>
      <c r="G5576" s="74">
        <v>42.118667044330302</v>
      </c>
      <c r="H5576" s="74">
        <f t="shared" si="173"/>
        <v>-1.6242667009977794</v>
      </c>
    </row>
    <row r="5577" spans="5:8" ht="15.6">
      <c r="E5577" s="279" t="s">
        <v>5903</v>
      </c>
      <c r="F5577" s="284">
        <f t="shared" ca="1" si="172"/>
        <v>0.50806311589115372</v>
      </c>
      <c r="G5577" s="74">
        <v>40.454010901931973</v>
      </c>
      <c r="H5577" s="74">
        <f t="shared" si="173"/>
        <v>4.0389441400549231E-2</v>
      </c>
    </row>
    <row r="5578" spans="5:8" ht="15.6">
      <c r="E5578" s="279" t="s">
        <v>5904</v>
      </c>
      <c r="F5578" s="284">
        <f t="shared" ca="1" si="172"/>
        <v>0.78329715205282657</v>
      </c>
      <c r="G5578" s="74">
        <v>41.896885462814879</v>
      </c>
      <c r="H5578" s="74">
        <f t="shared" si="173"/>
        <v>-1.4024851194823569</v>
      </c>
    </row>
    <row r="5579" spans="5:8" ht="15.6">
      <c r="E5579" s="279" t="s">
        <v>5905</v>
      </c>
      <c r="F5579" s="284">
        <f t="shared" ca="1" si="172"/>
        <v>0.54213919052673143</v>
      </c>
      <c r="G5579" s="74">
        <v>38.06743534678683</v>
      </c>
      <c r="H5579" s="74">
        <f t="shared" si="173"/>
        <v>2.4269649965456921</v>
      </c>
    </row>
    <row r="5580" spans="5:8" ht="15.6">
      <c r="E5580" s="279" t="s">
        <v>5906</v>
      </c>
      <c r="F5580" s="284">
        <f t="shared" ref="F5580:F5643" ca="1" si="174">RAND()</f>
        <v>0.15586375559922738</v>
      </c>
      <c r="G5580" s="74">
        <v>39.313538982085007</v>
      </c>
      <c r="H5580" s="74">
        <f t="shared" ref="H5580:H5643" si="175">$D$2-G5580</f>
        <v>1.1808613612475156</v>
      </c>
    </row>
    <row r="5581" spans="5:8" ht="15.6">
      <c r="E5581" s="279" t="s">
        <v>5907</v>
      </c>
      <c r="F5581" s="284">
        <f t="shared" ca="1" si="174"/>
        <v>0.83392933064735464</v>
      </c>
      <c r="G5581" s="74">
        <v>41.901098049030423</v>
      </c>
      <c r="H5581" s="74">
        <f t="shared" si="175"/>
        <v>-1.4066977056979013</v>
      </c>
    </row>
    <row r="5582" spans="5:8" ht="15.6">
      <c r="E5582" s="279" t="s">
        <v>5908</v>
      </c>
      <c r="F5582" s="284">
        <f t="shared" ca="1" si="174"/>
        <v>0.39335575328352057</v>
      </c>
      <c r="G5582" s="74">
        <v>35.990318998952283</v>
      </c>
      <c r="H5582" s="74">
        <f t="shared" si="175"/>
        <v>4.5040813443802392</v>
      </c>
    </row>
    <row r="5583" spans="5:8" ht="15.6">
      <c r="E5583" s="279" t="s">
        <v>5909</v>
      </c>
      <c r="F5583" s="284">
        <f t="shared" ca="1" si="174"/>
        <v>8.6342993031272797E-2</v>
      </c>
      <c r="G5583" s="74">
        <v>39.077737861648245</v>
      </c>
      <c r="H5583" s="74">
        <f t="shared" si="175"/>
        <v>1.416662481684277</v>
      </c>
    </row>
    <row r="5584" spans="5:8" ht="15.6">
      <c r="E5584" s="279" t="s">
        <v>5910</v>
      </c>
      <c r="F5584" s="284">
        <f t="shared" ca="1" si="174"/>
        <v>0.23760244487668802</v>
      </c>
      <c r="G5584" s="74">
        <v>43.316775119891361</v>
      </c>
      <c r="H5584" s="74">
        <f t="shared" si="175"/>
        <v>-2.8223747765588385</v>
      </c>
    </row>
    <row r="5585" spans="5:8" ht="15.6">
      <c r="E5585" s="279" t="s">
        <v>5911</v>
      </c>
      <c r="F5585" s="284">
        <f t="shared" ca="1" si="174"/>
        <v>0.58775295809692885</v>
      </c>
      <c r="G5585" s="74">
        <v>43.635865310899312</v>
      </c>
      <c r="H5585" s="74">
        <f t="shared" si="175"/>
        <v>-3.1414649675667903</v>
      </c>
    </row>
    <row r="5586" spans="5:8" ht="15.6">
      <c r="E5586" s="279" t="s">
        <v>5912</v>
      </c>
      <c r="F5586" s="284">
        <f t="shared" ca="1" si="174"/>
        <v>0.27807619113196103</v>
      </c>
      <c r="G5586" s="74">
        <v>36.877671773295681</v>
      </c>
      <c r="H5586" s="74">
        <f t="shared" si="175"/>
        <v>3.616728570036841</v>
      </c>
    </row>
    <row r="5587" spans="5:8" ht="15.6">
      <c r="E5587" s="279" t="s">
        <v>5913</v>
      </c>
      <c r="F5587" s="284">
        <f t="shared" ca="1" si="174"/>
        <v>0.18803440823283302</v>
      </c>
      <c r="G5587" s="74">
        <v>39.995940225357842</v>
      </c>
      <c r="H5587" s="74">
        <f t="shared" si="175"/>
        <v>0.49846011797468037</v>
      </c>
    </row>
    <row r="5588" spans="5:8" ht="15.6">
      <c r="E5588" s="279" t="s">
        <v>5914</v>
      </c>
      <c r="F5588" s="284">
        <f t="shared" ca="1" si="174"/>
        <v>0.45003151580460232</v>
      </c>
      <c r="G5588" s="74">
        <v>37.514141314525347</v>
      </c>
      <c r="H5588" s="74">
        <f t="shared" si="175"/>
        <v>2.9802590288071755</v>
      </c>
    </row>
    <row r="5589" spans="5:8" ht="15.6">
      <c r="E5589" s="279" t="s">
        <v>5915</v>
      </c>
      <c r="F5589" s="284">
        <f t="shared" ca="1" si="174"/>
        <v>0.93033286621184685</v>
      </c>
      <c r="G5589" s="74">
        <v>41.250074520660149</v>
      </c>
      <c r="H5589" s="74">
        <f t="shared" si="175"/>
        <v>-0.75567417732762721</v>
      </c>
    </row>
    <row r="5590" spans="5:8" ht="15.6">
      <c r="E5590" s="279" t="s">
        <v>5916</v>
      </c>
      <c r="F5590" s="284">
        <f t="shared" ca="1" si="174"/>
        <v>0.41862068598606694</v>
      </c>
      <c r="G5590" s="74">
        <v>41.011079131298565</v>
      </c>
      <c r="H5590" s="74">
        <f t="shared" si="175"/>
        <v>-0.51667878796604327</v>
      </c>
    </row>
    <row r="5591" spans="5:8" ht="15.6">
      <c r="E5591" s="279" t="s">
        <v>5917</v>
      </c>
      <c r="F5591" s="284">
        <f t="shared" ca="1" si="174"/>
        <v>0.53715515780804457</v>
      </c>
      <c r="G5591" s="74">
        <v>42.274191500934712</v>
      </c>
      <c r="H5591" s="74">
        <f t="shared" si="175"/>
        <v>-1.7797911576021903</v>
      </c>
    </row>
    <row r="5592" spans="5:8" ht="15.6">
      <c r="E5592" s="279" t="s">
        <v>5918</v>
      </c>
      <c r="F5592" s="284">
        <f t="shared" ca="1" si="174"/>
        <v>0.65057153327397488</v>
      </c>
      <c r="G5592" s="74">
        <v>35.956722910982897</v>
      </c>
      <c r="H5592" s="74">
        <f t="shared" si="175"/>
        <v>4.537677432349625</v>
      </c>
    </row>
    <row r="5593" spans="5:8" ht="15.6">
      <c r="E5593" s="279" t="s">
        <v>5919</v>
      </c>
      <c r="F5593" s="284">
        <f t="shared" ca="1" si="174"/>
        <v>0.46968379725572185</v>
      </c>
      <c r="G5593" s="74">
        <v>41.276272364107029</v>
      </c>
      <c r="H5593" s="74">
        <f t="shared" si="175"/>
        <v>-0.78187202077450735</v>
      </c>
    </row>
    <row r="5594" spans="5:8" ht="15.6">
      <c r="E5594" s="279" t="s">
        <v>5920</v>
      </c>
      <c r="F5594" s="284">
        <f t="shared" ca="1" si="174"/>
        <v>0.58563213779863765</v>
      </c>
      <c r="G5594" s="74">
        <v>42.42403121829723</v>
      </c>
      <c r="H5594" s="74">
        <f t="shared" si="175"/>
        <v>-1.9296308749647082</v>
      </c>
    </row>
    <row r="5595" spans="5:8" ht="15.6">
      <c r="E5595" s="279" t="s">
        <v>5921</v>
      </c>
      <c r="F5595" s="284">
        <f t="shared" ca="1" si="174"/>
        <v>9.2096975739388576E-3</v>
      </c>
      <c r="G5595" s="74">
        <v>37.730339903929405</v>
      </c>
      <c r="H5595" s="74">
        <f t="shared" si="175"/>
        <v>2.7640604394031172</v>
      </c>
    </row>
    <row r="5596" spans="5:8" ht="15.6">
      <c r="E5596" s="279" t="s">
        <v>5922</v>
      </c>
      <c r="F5596" s="284">
        <f t="shared" ca="1" si="174"/>
        <v>0.46785485919786318</v>
      </c>
      <c r="G5596" s="74">
        <v>37.857882918463652</v>
      </c>
      <c r="H5596" s="74">
        <f t="shared" si="175"/>
        <v>2.6365174248688703</v>
      </c>
    </row>
    <row r="5597" spans="5:8" ht="15.6">
      <c r="E5597" s="279" t="s">
        <v>5923</v>
      </c>
      <c r="F5597" s="284">
        <f t="shared" ca="1" si="174"/>
        <v>0.77007102465889399</v>
      </c>
      <c r="G5597" s="74">
        <v>39.201581102369616</v>
      </c>
      <c r="H5597" s="74">
        <f t="shared" si="175"/>
        <v>1.2928192409629062</v>
      </c>
    </row>
    <row r="5598" spans="5:8" ht="15.6">
      <c r="E5598" s="279" t="s">
        <v>5924</v>
      </c>
      <c r="F5598" s="284">
        <f t="shared" ca="1" si="174"/>
        <v>0.82626320196695058</v>
      </c>
      <c r="G5598" s="74">
        <v>36.90636918487666</v>
      </c>
      <c r="H5598" s="74">
        <f t="shared" si="175"/>
        <v>3.5880311584558626</v>
      </c>
    </row>
    <row r="5599" spans="5:8" ht="15.6">
      <c r="E5599" s="279" t="s">
        <v>5925</v>
      </c>
      <c r="F5599" s="284">
        <f t="shared" ca="1" si="174"/>
        <v>0.81476211592446601</v>
      </c>
      <c r="G5599" s="74">
        <v>39.881244194105555</v>
      </c>
      <c r="H5599" s="74">
        <f t="shared" si="175"/>
        <v>0.61315614922696682</v>
      </c>
    </row>
    <row r="5600" spans="5:8" ht="15.6">
      <c r="E5600" s="279" t="s">
        <v>5926</v>
      </c>
      <c r="F5600" s="284">
        <f t="shared" ca="1" si="174"/>
        <v>8.4808837144604299E-3</v>
      </c>
      <c r="G5600" s="74">
        <v>38.894412029867084</v>
      </c>
      <c r="H5600" s="74">
        <f t="shared" si="175"/>
        <v>1.5999883134654382</v>
      </c>
    </row>
    <row r="5601" spans="5:8" ht="15.6">
      <c r="E5601" s="279" t="s">
        <v>5927</v>
      </c>
      <c r="F5601" s="284">
        <f t="shared" ca="1" si="174"/>
        <v>0.4946440987115438</v>
      </c>
      <c r="G5601" s="74">
        <v>37.757207737304455</v>
      </c>
      <c r="H5601" s="74">
        <f t="shared" si="175"/>
        <v>2.7371926060280671</v>
      </c>
    </row>
    <row r="5602" spans="5:8" ht="15.6">
      <c r="E5602" s="279" t="s">
        <v>5928</v>
      </c>
      <c r="F5602" s="284">
        <f t="shared" ca="1" si="174"/>
        <v>0.2546345563762703</v>
      </c>
      <c r="G5602" s="74">
        <v>37.870015176727286</v>
      </c>
      <c r="H5602" s="74">
        <f t="shared" si="175"/>
        <v>2.6243851666052365</v>
      </c>
    </row>
    <row r="5603" spans="5:8" ht="15.6">
      <c r="E5603" s="279" t="s">
        <v>5929</v>
      </c>
      <c r="F5603" s="284">
        <f t="shared" ca="1" si="174"/>
        <v>0.20006748819849984</v>
      </c>
      <c r="G5603" s="74">
        <v>38.287622742152834</v>
      </c>
      <c r="H5603" s="74">
        <f t="shared" si="175"/>
        <v>2.206777601179688</v>
      </c>
    </row>
    <row r="5604" spans="5:8" ht="15.6">
      <c r="E5604" s="279" t="s">
        <v>5930</v>
      </c>
      <c r="F5604" s="284">
        <f t="shared" ca="1" si="174"/>
        <v>0.61554514223760837</v>
      </c>
      <c r="G5604" s="74">
        <v>34.94172098040039</v>
      </c>
      <c r="H5604" s="74">
        <f t="shared" si="175"/>
        <v>5.5526793629321318</v>
      </c>
    </row>
    <row r="5605" spans="5:8" ht="15.6">
      <c r="E5605" s="279" t="s">
        <v>5931</v>
      </c>
      <c r="F5605" s="284">
        <f t="shared" ca="1" si="174"/>
        <v>0.72335542669274211</v>
      </c>
      <c r="G5605" s="74">
        <v>39.468407805050909</v>
      </c>
      <c r="H5605" s="74">
        <f t="shared" si="175"/>
        <v>1.0259925382816135</v>
      </c>
    </row>
    <row r="5606" spans="5:8" ht="15.6">
      <c r="E5606" s="279" t="s">
        <v>5932</v>
      </c>
      <c r="F5606" s="284">
        <f t="shared" ca="1" si="174"/>
        <v>0.39752441280122064</v>
      </c>
      <c r="G5606" s="74">
        <v>38.758027073104081</v>
      </c>
      <c r="H5606" s="74">
        <f t="shared" si="175"/>
        <v>1.7363732702284409</v>
      </c>
    </row>
    <row r="5607" spans="5:8" ht="15.6">
      <c r="E5607" s="279" t="s">
        <v>5933</v>
      </c>
      <c r="F5607" s="284">
        <f t="shared" ca="1" si="174"/>
        <v>0.14585207959819424</v>
      </c>
      <c r="G5607" s="74">
        <v>36.829617587527771</v>
      </c>
      <c r="H5607" s="74">
        <f t="shared" si="175"/>
        <v>3.664782755804751</v>
      </c>
    </row>
    <row r="5608" spans="5:8" ht="15.6">
      <c r="E5608" s="279" t="s">
        <v>5934</v>
      </c>
      <c r="F5608" s="284">
        <f t="shared" ca="1" si="174"/>
        <v>0.44626463668493677</v>
      </c>
      <c r="G5608" s="74">
        <v>36.907056977276483</v>
      </c>
      <c r="H5608" s="74">
        <f t="shared" si="175"/>
        <v>3.5873433660560394</v>
      </c>
    </row>
    <row r="5609" spans="5:8" ht="15.6">
      <c r="E5609" s="279" t="s">
        <v>5935</v>
      </c>
      <c r="F5609" s="284">
        <f t="shared" ca="1" si="174"/>
        <v>6.9838655767028635E-2</v>
      </c>
      <c r="G5609" s="74">
        <v>38.295337972440457</v>
      </c>
      <c r="H5609" s="74">
        <f t="shared" si="175"/>
        <v>2.1990623708920651</v>
      </c>
    </row>
    <row r="5610" spans="5:8" ht="15.6">
      <c r="E5610" s="279" t="s">
        <v>5936</v>
      </c>
      <c r="F5610" s="284">
        <f t="shared" ca="1" si="174"/>
        <v>0.67438874680080652</v>
      </c>
      <c r="G5610" s="74">
        <v>35.332027422423181</v>
      </c>
      <c r="H5610" s="74">
        <f t="shared" si="175"/>
        <v>5.1623729209093412</v>
      </c>
    </row>
    <row r="5611" spans="5:8" ht="15.6">
      <c r="E5611" s="279" t="s">
        <v>5937</v>
      </c>
      <c r="F5611" s="284">
        <f t="shared" ca="1" si="174"/>
        <v>0.99907202109192383</v>
      </c>
      <c r="G5611" s="74">
        <v>37.273228370399792</v>
      </c>
      <c r="H5611" s="74">
        <f t="shared" si="175"/>
        <v>3.2211719729327299</v>
      </c>
    </row>
    <row r="5612" spans="5:8" ht="15.6">
      <c r="E5612" s="279" t="s">
        <v>5938</v>
      </c>
      <c r="F5612" s="284">
        <f t="shared" ca="1" si="174"/>
        <v>0.74404392864589464</v>
      </c>
      <c r="G5612" s="74">
        <v>40.480107596116866</v>
      </c>
      <c r="H5612" s="74">
        <f t="shared" si="175"/>
        <v>1.4292747215655766E-2</v>
      </c>
    </row>
    <row r="5613" spans="5:8" ht="15.6">
      <c r="E5613" s="279" t="s">
        <v>5939</v>
      </c>
      <c r="F5613" s="284">
        <f t="shared" ca="1" si="174"/>
        <v>0.23324956474333425</v>
      </c>
      <c r="G5613" s="74">
        <v>44.193405979715209</v>
      </c>
      <c r="H5613" s="74">
        <f t="shared" si="175"/>
        <v>-3.6990056363826866</v>
      </c>
    </row>
    <row r="5614" spans="5:8" ht="15.6">
      <c r="E5614" s="279" t="s">
        <v>5940</v>
      </c>
      <c r="F5614" s="284">
        <f t="shared" ca="1" si="174"/>
        <v>0.36226950005384306</v>
      </c>
      <c r="G5614" s="74">
        <v>38.692253797586254</v>
      </c>
      <c r="H5614" s="74">
        <f t="shared" si="175"/>
        <v>1.8021465457462682</v>
      </c>
    </row>
    <row r="5615" spans="5:8" ht="15.6">
      <c r="E5615" s="279" t="s">
        <v>5941</v>
      </c>
      <c r="F5615" s="284">
        <f t="shared" ca="1" si="174"/>
        <v>5.5065853111161966E-2</v>
      </c>
      <c r="G5615" s="74">
        <v>38.98269724398012</v>
      </c>
      <c r="H5615" s="74">
        <f t="shared" si="175"/>
        <v>1.5117030993524025</v>
      </c>
    </row>
    <row r="5616" spans="5:8" ht="15.6">
      <c r="E5616" s="279" t="s">
        <v>5942</v>
      </c>
      <c r="F5616" s="284">
        <f t="shared" ca="1" si="174"/>
        <v>0.71429487009791004</v>
      </c>
      <c r="G5616" s="74">
        <v>43.374500175031905</v>
      </c>
      <c r="H5616" s="74">
        <f t="shared" si="175"/>
        <v>-2.8800998316993827</v>
      </c>
    </row>
    <row r="5617" spans="5:8" ht="15.6">
      <c r="E5617" s="279" t="s">
        <v>5943</v>
      </c>
      <c r="F5617" s="284">
        <f t="shared" ca="1" si="174"/>
        <v>0.27767783170234939</v>
      </c>
      <c r="G5617" s="74">
        <v>37.932067233379321</v>
      </c>
      <c r="H5617" s="74">
        <f t="shared" si="175"/>
        <v>2.562333109953201</v>
      </c>
    </row>
    <row r="5618" spans="5:8" ht="15.6">
      <c r="E5618" s="279" t="s">
        <v>5944</v>
      </c>
      <c r="F5618" s="284">
        <f t="shared" ca="1" si="174"/>
        <v>0.16884805300343808</v>
      </c>
      <c r="G5618" s="74">
        <v>39.726472354587131</v>
      </c>
      <c r="H5618" s="74">
        <f t="shared" si="175"/>
        <v>0.76792798874539159</v>
      </c>
    </row>
    <row r="5619" spans="5:8" ht="15.6">
      <c r="E5619" s="279" t="s">
        <v>5945</v>
      </c>
      <c r="F5619" s="284">
        <f t="shared" ca="1" si="174"/>
        <v>0.2876452011762034</v>
      </c>
      <c r="G5619" s="74">
        <v>38.04597611267797</v>
      </c>
      <c r="H5619" s="74">
        <f t="shared" si="175"/>
        <v>2.4484242306545525</v>
      </c>
    </row>
    <row r="5620" spans="5:8" ht="15.6">
      <c r="E5620" s="279" t="s">
        <v>5946</v>
      </c>
      <c r="F5620" s="284">
        <f t="shared" ca="1" si="174"/>
        <v>0.45663747513661024</v>
      </c>
      <c r="G5620" s="74">
        <v>38.615666640348039</v>
      </c>
      <c r="H5620" s="74">
        <f t="shared" si="175"/>
        <v>1.8787337029844835</v>
      </c>
    </row>
    <row r="5621" spans="5:8" ht="15.6">
      <c r="E5621" s="279" t="s">
        <v>5947</v>
      </c>
      <c r="F5621" s="284">
        <f t="shared" ca="1" si="174"/>
        <v>0.40034858078980373</v>
      </c>
      <c r="G5621" s="74">
        <v>45.660611198596278</v>
      </c>
      <c r="H5621" s="74">
        <f t="shared" si="175"/>
        <v>-5.1662108552637562</v>
      </c>
    </row>
    <row r="5622" spans="5:8" ht="15.6">
      <c r="E5622" s="279" t="s">
        <v>5948</v>
      </c>
      <c r="F5622" s="284">
        <f t="shared" ca="1" si="174"/>
        <v>0.839085832699349</v>
      </c>
      <c r="G5622" s="74">
        <v>35.150996095859838</v>
      </c>
      <c r="H5622" s="74">
        <f t="shared" si="175"/>
        <v>5.3434042474726837</v>
      </c>
    </row>
    <row r="5623" spans="5:8" ht="15.6">
      <c r="E5623" s="279" t="s">
        <v>5949</v>
      </c>
      <c r="F5623" s="284">
        <f t="shared" ca="1" si="174"/>
        <v>0.61229912285481114</v>
      </c>
      <c r="G5623" s="74">
        <v>40.133094415382423</v>
      </c>
      <c r="H5623" s="74">
        <f t="shared" si="175"/>
        <v>0.36130592795009875</v>
      </c>
    </row>
    <row r="5624" spans="5:8" ht="15.6">
      <c r="E5624" s="279" t="s">
        <v>5950</v>
      </c>
      <c r="F5624" s="284">
        <f t="shared" ca="1" si="174"/>
        <v>0.31538724507532345</v>
      </c>
      <c r="G5624" s="74">
        <v>39.386030037654713</v>
      </c>
      <c r="H5624" s="74">
        <f t="shared" si="175"/>
        <v>1.1083703056778091</v>
      </c>
    </row>
    <row r="5625" spans="5:8" ht="15.6">
      <c r="E5625" s="279" t="s">
        <v>5951</v>
      </c>
      <c r="F5625" s="284">
        <f t="shared" ca="1" si="174"/>
        <v>0.67442239217692501</v>
      </c>
      <c r="G5625" s="74">
        <v>38.825975650727898</v>
      </c>
      <c r="H5625" s="74">
        <f t="shared" si="175"/>
        <v>1.6684246926046242</v>
      </c>
    </row>
    <row r="5626" spans="5:8" ht="15.6">
      <c r="E5626" s="279" t="s">
        <v>5952</v>
      </c>
      <c r="F5626" s="284">
        <f t="shared" ca="1" si="174"/>
        <v>0.99361523215784309</v>
      </c>
      <c r="G5626" s="74">
        <v>36.356487780583649</v>
      </c>
      <c r="H5626" s="74">
        <f t="shared" si="175"/>
        <v>4.1379125627488733</v>
      </c>
    </row>
    <row r="5627" spans="5:8" ht="15.6">
      <c r="E5627" s="279" t="s">
        <v>5953</v>
      </c>
      <c r="F5627" s="284">
        <f t="shared" ca="1" si="174"/>
        <v>0.49359088915977689</v>
      </c>
      <c r="G5627" s="74">
        <v>43.334869995146846</v>
      </c>
      <c r="H5627" s="74">
        <f t="shared" si="175"/>
        <v>-2.840469651814324</v>
      </c>
    </row>
    <row r="5628" spans="5:8" ht="15.6">
      <c r="E5628" s="279" t="s">
        <v>5954</v>
      </c>
      <c r="F5628" s="284">
        <f t="shared" ca="1" si="174"/>
        <v>0.67753944309125325</v>
      </c>
      <c r="G5628" s="74">
        <v>38.098672601847873</v>
      </c>
      <c r="H5628" s="74">
        <f t="shared" si="175"/>
        <v>2.3957277414846487</v>
      </c>
    </row>
    <row r="5629" spans="5:8" ht="15.6">
      <c r="E5629" s="279" t="s">
        <v>5955</v>
      </c>
      <c r="F5629" s="284">
        <f t="shared" ca="1" si="174"/>
        <v>0.58296895684470651</v>
      </c>
      <c r="G5629" s="74">
        <v>39.555915007678891</v>
      </c>
      <c r="H5629" s="74">
        <f t="shared" si="175"/>
        <v>0.93848533565363113</v>
      </c>
    </row>
    <row r="5630" spans="5:8" ht="15.6">
      <c r="E5630" s="279" t="s">
        <v>5956</v>
      </c>
      <c r="F5630" s="284">
        <f t="shared" ca="1" si="174"/>
        <v>0.65951787861652411</v>
      </c>
      <c r="G5630" s="74">
        <v>39.680204226224625</v>
      </c>
      <c r="H5630" s="74">
        <f t="shared" si="175"/>
        <v>0.81419611710789752</v>
      </c>
    </row>
    <row r="5631" spans="5:8" ht="15.6">
      <c r="E5631" s="279" t="s">
        <v>5957</v>
      </c>
      <c r="F5631" s="284">
        <f t="shared" ca="1" si="174"/>
        <v>5.1852353549196151E-2</v>
      </c>
      <c r="G5631" s="74">
        <v>39.197303666256339</v>
      </c>
      <c r="H5631" s="74">
        <f t="shared" si="175"/>
        <v>1.2970966770761834</v>
      </c>
    </row>
    <row r="5632" spans="5:8" ht="15.6">
      <c r="E5632" s="279" t="s">
        <v>5958</v>
      </c>
      <c r="F5632" s="284">
        <f t="shared" ca="1" si="174"/>
        <v>5.7876916821734126E-3</v>
      </c>
      <c r="G5632" s="74">
        <v>40.595575451531204</v>
      </c>
      <c r="H5632" s="74">
        <f t="shared" si="175"/>
        <v>-0.10117510819868158</v>
      </c>
    </row>
    <row r="5633" spans="5:8" ht="15.6">
      <c r="E5633" s="279" t="s">
        <v>5959</v>
      </c>
      <c r="F5633" s="284">
        <f t="shared" ca="1" si="174"/>
        <v>0.56223194169092894</v>
      </c>
      <c r="G5633" s="74">
        <v>39.545841683613567</v>
      </c>
      <c r="H5633" s="74">
        <f t="shared" si="175"/>
        <v>0.94855865971895525</v>
      </c>
    </row>
    <row r="5634" spans="5:8" ht="15.6">
      <c r="E5634" s="279" t="s">
        <v>5960</v>
      </c>
      <c r="F5634" s="284">
        <f t="shared" ca="1" si="174"/>
        <v>7.3440672098019411E-2</v>
      </c>
      <c r="G5634" s="74">
        <v>43.496635542054044</v>
      </c>
      <c r="H5634" s="74">
        <f t="shared" si="175"/>
        <v>-3.0022351987215217</v>
      </c>
    </row>
    <row r="5635" spans="5:8" ht="15.6">
      <c r="E5635" s="279" t="s">
        <v>5961</v>
      </c>
      <c r="F5635" s="284">
        <f t="shared" ca="1" si="174"/>
        <v>0.40087018293982479</v>
      </c>
      <c r="G5635" s="74">
        <v>34.733202987723999</v>
      </c>
      <c r="H5635" s="74">
        <f t="shared" si="175"/>
        <v>5.7611973556085232</v>
      </c>
    </row>
    <row r="5636" spans="5:8" ht="15.6">
      <c r="E5636" s="279" t="s">
        <v>5962</v>
      </c>
      <c r="F5636" s="284">
        <f t="shared" ca="1" si="174"/>
        <v>0.58751160052113716</v>
      </c>
      <c r="G5636" s="74">
        <v>37.722887947271012</v>
      </c>
      <c r="H5636" s="74">
        <f t="shared" si="175"/>
        <v>2.7715123960615102</v>
      </c>
    </row>
    <row r="5637" spans="5:8" ht="15.6">
      <c r="E5637" s="279" t="s">
        <v>5963</v>
      </c>
      <c r="F5637" s="284">
        <f t="shared" ca="1" si="174"/>
        <v>0.88960426275047033</v>
      </c>
      <c r="G5637" s="74">
        <v>35.691413489840237</v>
      </c>
      <c r="H5637" s="74">
        <f t="shared" si="175"/>
        <v>4.8029868534922855</v>
      </c>
    </row>
    <row r="5638" spans="5:8" ht="15.6">
      <c r="E5638" s="279" t="s">
        <v>5964</v>
      </c>
      <c r="F5638" s="284">
        <f t="shared" ca="1" si="174"/>
        <v>2.519976420136949E-2</v>
      </c>
      <c r="G5638" s="74">
        <v>41.426534183842634</v>
      </c>
      <c r="H5638" s="74">
        <f t="shared" si="175"/>
        <v>-0.93213384051011161</v>
      </c>
    </row>
    <row r="5639" spans="5:8" ht="15.6">
      <c r="E5639" s="279" t="s">
        <v>5965</v>
      </c>
      <c r="F5639" s="284">
        <f t="shared" ca="1" si="174"/>
        <v>0.667585752724282</v>
      </c>
      <c r="G5639" s="74">
        <v>42.529717972887632</v>
      </c>
      <c r="H5639" s="74">
        <f t="shared" si="175"/>
        <v>-2.0353176295551094</v>
      </c>
    </row>
    <row r="5640" spans="5:8" ht="15.6">
      <c r="E5640" s="279" t="s">
        <v>5966</v>
      </c>
      <c r="F5640" s="284">
        <f t="shared" ca="1" si="174"/>
        <v>0.63682200120141086</v>
      </c>
      <c r="G5640" s="74">
        <v>36.219179829392829</v>
      </c>
      <c r="H5640" s="74">
        <f t="shared" si="175"/>
        <v>4.2752205139396935</v>
      </c>
    </row>
    <row r="5641" spans="5:8" ht="15.6">
      <c r="E5641" s="279" t="s">
        <v>5967</v>
      </c>
      <c r="F5641" s="284">
        <f t="shared" ca="1" si="174"/>
        <v>0.94589891341620558</v>
      </c>
      <c r="G5641" s="74">
        <v>37.178269742636438</v>
      </c>
      <c r="H5641" s="74">
        <f t="shared" si="175"/>
        <v>3.3161306006960842</v>
      </c>
    </row>
    <row r="5642" spans="5:8" ht="15.6">
      <c r="E5642" s="279" t="s">
        <v>5968</v>
      </c>
      <c r="F5642" s="284">
        <f t="shared" ca="1" si="174"/>
        <v>0.19161474710798077</v>
      </c>
      <c r="G5642" s="74">
        <v>38.614685765146945</v>
      </c>
      <c r="H5642" s="74">
        <f t="shared" si="175"/>
        <v>1.8797145781855775</v>
      </c>
    </row>
    <row r="5643" spans="5:8" ht="15.6">
      <c r="E5643" s="279" t="s">
        <v>5969</v>
      </c>
      <c r="F5643" s="284">
        <f t="shared" ca="1" si="174"/>
        <v>0.33605719976471349</v>
      </c>
      <c r="G5643" s="74">
        <v>40.696330456216337</v>
      </c>
      <c r="H5643" s="74">
        <f t="shared" si="175"/>
        <v>-0.20193011288381513</v>
      </c>
    </row>
    <row r="5644" spans="5:8" ht="15.6">
      <c r="E5644" s="279" t="s">
        <v>5970</v>
      </c>
      <c r="F5644" s="284">
        <f t="shared" ref="F5644:F5707" ca="1" si="176">RAND()</f>
        <v>0.74873224906849756</v>
      </c>
      <c r="G5644" s="74">
        <v>41.114235798300335</v>
      </c>
      <c r="H5644" s="74">
        <f t="shared" ref="H5644:H5707" si="177">$D$2-G5644</f>
        <v>-0.61983545496781289</v>
      </c>
    </row>
    <row r="5645" spans="5:8" ht="15.6">
      <c r="E5645" s="279" t="s">
        <v>5971</v>
      </c>
      <c r="F5645" s="284">
        <f t="shared" ca="1" si="176"/>
        <v>0.82740376058115539</v>
      </c>
      <c r="G5645" s="74">
        <v>35.881460606032853</v>
      </c>
      <c r="H5645" s="74">
        <f t="shared" si="177"/>
        <v>4.6129397372996692</v>
      </c>
    </row>
    <row r="5646" spans="5:8" ht="15.6">
      <c r="E5646" s="279" t="s">
        <v>5972</v>
      </c>
      <c r="F5646" s="284">
        <f t="shared" ca="1" si="176"/>
        <v>0.85659634556116415</v>
      </c>
      <c r="G5646" s="74">
        <v>40.291948028461341</v>
      </c>
      <c r="H5646" s="74">
        <f t="shared" si="177"/>
        <v>0.20245231487118076</v>
      </c>
    </row>
    <row r="5647" spans="5:8" ht="15.6">
      <c r="E5647" s="279" t="s">
        <v>5973</v>
      </c>
      <c r="F5647" s="284">
        <f t="shared" ca="1" si="176"/>
        <v>0.83328961833968307</v>
      </c>
      <c r="G5647" s="74">
        <v>36.354412146881621</v>
      </c>
      <c r="H5647" s="74">
        <f t="shared" si="177"/>
        <v>4.1399881964509007</v>
      </c>
    </row>
    <row r="5648" spans="5:8" ht="15.6">
      <c r="E5648" s="279" t="s">
        <v>5974</v>
      </c>
      <c r="F5648" s="284">
        <f t="shared" ca="1" si="176"/>
        <v>0.97902409581446681</v>
      </c>
      <c r="G5648" s="74">
        <v>41.094587755805897</v>
      </c>
      <c r="H5648" s="74">
        <f t="shared" si="177"/>
        <v>-0.60018741247337459</v>
      </c>
    </row>
    <row r="5649" spans="5:8" ht="15.6">
      <c r="E5649" s="279" t="s">
        <v>5975</v>
      </c>
      <c r="F5649" s="284">
        <f t="shared" ca="1" si="176"/>
        <v>0.3707837321634454</v>
      </c>
      <c r="G5649" s="74">
        <v>36.457106998526179</v>
      </c>
      <c r="H5649" s="74">
        <f t="shared" si="177"/>
        <v>4.0372933448063435</v>
      </c>
    </row>
    <row r="5650" spans="5:8" ht="15.6">
      <c r="E5650" s="279" t="s">
        <v>5976</v>
      </c>
      <c r="F5650" s="284">
        <f t="shared" ca="1" si="176"/>
        <v>0.52014781740060057</v>
      </c>
      <c r="G5650" s="74">
        <v>35.500739380282823</v>
      </c>
      <c r="H5650" s="74">
        <f t="shared" si="177"/>
        <v>4.9936609630496989</v>
      </c>
    </row>
    <row r="5651" spans="5:8" ht="15.6">
      <c r="E5651" s="279" t="s">
        <v>5977</v>
      </c>
      <c r="F5651" s="284">
        <f t="shared" ca="1" si="176"/>
        <v>0.70131094679417016</v>
      </c>
      <c r="G5651" s="74">
        <v>36.093393480966689</v>
      </c>
      <c r="H5651" s="74">
        <f t="shared" si="177"/>
        <v>4.4010068623658327</v>
      </c>
    </row>
    <row r="5652" spans="5:8" ht="15.6">
      <c r="E5652" s="279" t="s">
        <v>5978</v>
      </c>
      <c r="F5652" s="284">
        <f t="shared" ca="1" si="176"/>
        <v>0.85930930800750338</v>
      </c>
      <c r="G5652" s="74">
        <v>37.128824561495605</v>
      </c>
      <c r="H5652" s="74">
        <f t="shared" si="177"/>
        <v>3.3655757818369167</v>
      </c>
    </row>
    <row r="5653" spans="5:8" ht="15.6">
      <c r="E5653" s="279" t="s">
        <v>5979</v>
      </c>
      <c r="F5653" s="284">
        <f t="shared" ca="1" si="176"/>
        <v>0.87634672620890419</v>
      </c>
      <c r="G5653" s="74">
        <v>36.99479090081217</v>
      </c>
      <c r="H5653" s="74">
        <f t="shared" si="177"/>
        <v>3.4996094425203523</v>
      </c>
    </row>
    <row r="5654" spans="5:8" ht="15.6">
      <c r="E5654" s="279" t="s">
        <v>5980</v>
      </c>
      <c r="F5654" s="284">
        <f t="shared" ca="1" si="176"/>
        <v>0.28841111039138445</v>
      </c>
      <c r="G5654" s="74">
        <v>36.994774314147563</v>
      </c>
      <c r="H5654" s="74">
        <f t="shared" si="177"/>
        <v>3.4996260291849595</v>
      </c>
    </row>
    <row r="5655" spans="5:8" ht="15.6">
      <c r="E5655" s="279" t="s">
        <v>5981</v>
      </c>
      <c r="F5655" s="284">
        <f t="shared" ca="1" si="176"/>
        <v>0.69613309526515232</v>
      </c>
      <c r="G5655" s="74">
        <v>39.708014241789229</v>
      </c>
      <c r="H5655" s="74">
        <f t="shared" si="177"/>
        <v>0.78638610154329314</v>
      </c>
    </row>
    <row r="5656" spans="5:8" ht="15.6">
      <c r="E5656" s="279" t="s">
        <v>5982</v>
      </c>
      <c r="F5656" s="284">
        <f t="shared" ca="1" si="176"/>
        <v>0.17443639133887878</v>
      </c>
      <c r="G5656" s="74">
        <v>40.635853338637979</v>
      </c>
      <c r="H5656" s="74">
        <f t="shared" si="177"/>
        <v>-0.14145299530545685</v>
      </c>
    </row>
    <row r="5657" spans="5:8" ht="15.6">
      <c r="E5657" s="279" t="s">
        <v>5983</v>
      </c>
      <c r="F5657" s="284">
        <f t="shared" ca="1" si="176"/>
        <v>0.46417763526421751</v>
      </c>
      <c r="G5657" s="74">
        <v>37.537608792880611</v>
      </c>
      <c r="H5657" s="74">
        <f t="shared" si="177"/>
        <v>2.9567915504519107</v>
      </c>
    </row>
    <row r="5658" spans="5:8" ht="15.6">
      <c r="E5658" s="279" t="s">
        <v>5984</v>
      </c>
      <c r="F5658" s="284">
        <f t="shared" ca="1" si="176"/>
        <v>0.32581604055935731</v>
      </c>
      <c r="G5658" s="74">
        <v>45.265796353243658</v>
      </c>
      <c r="H5658" s="74">
        <f t="shared" si="177"/>
        <v>-4.7713960099111361</v>
      </c>
    </row>
    <row r="5659" spans="5:8" ht="15.6">
      <c r="E5659" s="279" t="s">
        <v>5985</v>
      </c>
      <c r="F5659" s="284">
        <f t="shared" ca="1" si="176"/>
        <v>0.97168166434414838</v>
      </c>
      <c r="G5659" s="74">
        <v>38.719725228950118</v>
      </c>
      <c r="H5659" s="74">
        <f t="shared" si="177"/>
        <v>1.7746751143824042</v>
      </c>
    </row>
    <row r="5660" spans="5:8" ht="15.6">
      <c r="E5660" s="279" t="s">
        <v>5986</v>
      </c>
      <c r="F5660" s="284">
        <f t="shared" ca="1" si="176"/>
        <v>0.82673514196024012</v>
      </c>
      <c r="G5660" s="74">
        <v>36.242861686253754</v>
      </c>
      <c r="H5660" s="74">
        <f t="shared" si="177"/>
        <v>4.2515386570787683</v>
      </c>
    </row>
    <row r="5661" spans="5:8" ht="15.6">
      <c r="E5661" s="279" t="s">
        <v>5987</v>
      </c>
      <c r="F5661" s="284">
        <f t="shared" ca="1" si="176"/>
        <v>0.67122619355470814</v>
      </c>
      <c r="G5661" s="74">
        <v>35.190984314829791</v>
      </c>
      <c r="H5661" s="74">
        <f t="shared" si="177"/>
        <v>5.3034160285027312</v>
      </c>
    </row>
    <row r="5662" spans="5:8" ht="15.6">
      <c r="E5662" s="279" t="s">
        <v>5988</v>
      </c>
      <c r="F5662" s="284">
        <f t="shared" ca="1" si="176"/>
        <v>0.16451871604093149</v>
      </c>
      <c r="G5662" s="74">
        <v>40.728686833513159</v>
      </c>
      <c r="H5662" s="74">
        <f t="shared" si="177"/>
        <v>-0.23428649018063652</v>
      </c>
    </row>
    <row r="5663" spans="5:8" ht="15.6">
      <c r="E5663" s="279" t="s">
        <v>5989</v>
      </c>
      <c r="F5663" s="284">
        <f t="shared" ca="1" si="176"/>
        <v>0.91923506993909254</v>
      </c>
      <c r="G5663" s="74">
        <v>40.858722150226491</v>
      </c>
      <c r="H5663" s="74">
        <f t="shared" si="177"/>
        <v>-0.36432180689396887</v>
      </c>
    </row>
    <row r="5664" spans="5:8" ht="15.6">
      <c r="E5664" s="279" t="s">
        <v>5990</v>
      </c>
      <c r="F5664" s="284">
        <f t="shared" ca="1" si="176"/>
        <v>0.49146989871093549</v>
      </c>
      <c r="G5664" s="74">
        <v>36.855994617319212</v>
      </c>
      <c r="H5664" s="74">
        <f t="shared" si="177"/>
        <v>3.6384057260133105</v>
      </c>
    </row>
    <row r="5665" spans="5:8" ht="15.6">
      <c r="E5665" s="279" t="s">
        <v>5991</v>
      </c>
      <c r="F5665" s="284">
        <f t="shared" ca="1" si="176"/>
        <v>0.53210698685218238</v>
      </c>
      <c r="G5665" s="74">
        <v>41.095637475449969</v>
      </c>
      <c r="H5665" s="74">
        <f t="shared" si="177"/>
        <v>-0.601237132117447</v>
      </c>
    </row>
    <row r="5666" spans="5:8" ht="15.6">
      <c r="E5666" s="279" t="s">
        <v>5992</v>
      </c>
      <c r="F5666" s="284">
        <f t="shared" ca="1" si="176"/>
        <v>0.41173409159962837</v>
      </c>
      <c r="G5666" s="74">
        <v>37.138343389271888</v>
      </c>
      <c r="H5666" s="74">
        <f t="shared" si="177"/>
        <v>3.3560569540606338</v>
      </c>
    </row>
    <row r="5667" spans="5:8" ht="15.6">
      <c r="E5667" s="279" t="s">
        <v>5993</v>
      </c>
      <c r="F5667" s="284">
        <f t="shared" ca="1" si="176"/>
        <v>0.75724090215964501</v>
      </c>
      <c r="G5667" s="74">
        <v>35.911115540770055</v>
      </c>
      <c r="H5667" s="74">
        <f t="shared" si="177"/>
        <v>4.5832848025624671</v>
      </c>
    </row>
    <row r="5668" spans="5:8" ht="15.6">
      <c r="E5668" s="279" t="s">
        <v>5994</v>
      </c>
      <c r="F5668" s="284">
        <f t="shared" ca="1" si="176"/>
        <v>1.7918601812469515E-2</v>
      </c>
      <c r="G5668" s="74">
        <v>38.377232887118417</v>
      </c>
      <c r="H5668" s="74">
        <f t="shared" si="177"/>
        <v>2.117167456214105</v>
      </c>
    </row>
    <row r="5669" spans="5:8" ht="15.6">
      <c r="E5669" s="279" t="s">
        <v>5995</v>
      </c>
      <c r="F5669" s="284">
        <f t="shared" ca="1" si="176"/>
        <v>0.15263072249187859</v>
      </c>
      <c r="G5669" s="74">
        <v>39.480722684645713</v>
      </c>
      <c r="H5669" s="74">
        <f t="shared" si="177"/>
        <v>1.0136776586868095</v>
      </c>
    </row>
    <row r="5670" spans="5:8" ht="15.6">
      <c r="E5670" s="279" t="s">
        <v>5996</v>
      </c>
      <c r="F5670" s="284">
        <f t="shared" ca="1" si="176"/>
        <v>0.71964107182268644</v>
      </c>
      <c r="G5670" s="74">
        <v>37.673953613723654</v>
      </c>
      <c r="H5670" s="74">
        <f t="shared" si="177"/>
        <v>2.820446729608868</v>
      </c>
    </row>
    <row r="5671" spans="5:8" ht="15.6">
      <c r="E5671" s="279" t="s">
        <v>5997</v>
      </c>
      <c r="F5671" s="284">
        <f t="shared" ca="1" si="176"/>
        <v>0.38589300694932649</v>
      </c>
      <c r="G5671" s="74">
        <v>39.973256570505235</v>
      </c>
      <c r="H5671" s="74">
        <f t="shared" si="177"/>
        <v>0.52114377282728697</v>
      </c>
    </row>
    <row r="5672" spans="5:8" ht="15.6">
      <c r="E5672" s="279" t="s">
        <v>5998</v>
      </c>
      <c r="F5672" s="284">
        <f t="shared" ca="1" si="176"/>
        <v>0.93554006330832629</v>
      </c>
      <c r="G5672" s="74">
        <v>38.190631509295898</v>
      </c>
      <c r="H5672" s="74">
        <f t="shared" si="177"/>
        <v>2.3037688340366245</v>
      </c>
    </row>
    <row r="5673" spans="5:8" ht="15.6">
      <c r="E5673" s="279" t="s">
        <v>5999</v>
      </c>
      <c r="F5673" s="284">
        <f t="shared" ca="1" si="176"/>
        <v>2.1554485990930017E-3</v>
      </c>
      <c r="G5673" s="74">
        <v>37.749515062477911</v>
      </c>
      <c r="H5673" s="74">
        <f t="shared" si="177"/>
        <v>2.7448852808546107</v>
      </c>
    </row>
    <row r="5674" spans="5:8" ht="15.6">
      <c r="E5674" s="279" t="s">
        <v>6000</v>
      </c>
      <c r="F5674" s="284">
        <f t="shared" ca="1" si="176"/>
        <v>0.74671111215172858</v>
      </c>
      <c r="G5674" s="74">
        <v>42.710163358428723</v>
      </c>
      <c r="H5674" s="74">
        <f t="shared" si="177"/>
        <v>-2.2157630150962007</v>
      </c>
    </row>
    <row r="5675" spans="5:8" ht="15.6">
      <c r="E5675" s="279" t="s">
        <v>6001</v>
      </c>
      <c r="F5675" s="284">
        <f t="shared" ca="1" si="176"/>
        <v>7.1515861012004467E-2</v>
      </c>
      <c r="G5675" s="74">
        <v>44.624261581281026</v>
      </c>
      <c r="H5675" s="74">
        <f t="shared" si="177"/>
        <v>-4.1298612379485036</v>
      </c>
    </row>
    <row r="5676" spans="5:8" ht="15.6">
      <c r="E5676" s="279" t="s">
        <v>6002</v>
      </c>
      <c r="F5676" s="284">
        <f t="shared" ca="1" si="176"/>
        <v>0.33401253403619313</v>
      </c>
      <c r="G5676" s="74">
        <v>38.291672311016178</v>
      </c>
      <c r="H5676" s="74">
        <f t="shared" si="177"/>
        <v>2.2027280323163438</v>
      </c>
    </row>
    <row r="5677" spans="5:8" ht="15.6">
      <c r="E5677" s="279" t="s">
        <v>6003</v>
      </c>
      <c r="F5677" s="284">
        <f t="shared" ca="1" si="176"/>
        <v>0.80066564361233228</v>
      </c>
      <c r="G5677" s="74">
        <v>41.723601815302814</v>
      </c>
      <c r="H5677" s="74">
        <f t="shared" si="177"/>
        <v>-1.2292014719702919</v>
      </c>
    </row>
    <row r="5678" spans="5:8" ht="15.6">
      <c r="E5678" s="279" t="s">
        <v>6004</v>
      </c>
      <c r="F5678" s="284">
        <f t="shared" ca="1" si="176"/>
        <v>0.54372581528829811</v>
      </c>
      <c r="G5678" s="74">
        <v>39.393866442708308</v>
      </c>
      <c r="H5678" s="74">
        <f t="shared" si="177"/>
        <v>1.1005339006242139</v>
      </c>
    </row>
    <row r="5679" spans="5:8" ht="15.6">
      <c r="E5679" s="279" t="s">
        <v>6005</v>
      </c>
      <c r="F5679" s="284">
        <f t="shared" ca="1" si="176"/>
        <v>0.62293085717652918</v>
      </c>
      <c r="G5679" s="74">
        <v>41.374031231706056</v>
      </c>
      <c r="H5679" s="74">
        <f t="shared" si="177"/>
        <v>-0.87963088837353354</v>
      </c>
    </row>
    <row r="5680" spans="5:8" ht="15.6">
      <c r="E5680" s="279" t="s">
        <v>6006</v>
      </c>
      <c r="F5680" s="284">
        <f t="shared" ca="1" si="176"/>
        <v>6.3192637962357634E-2</v>
      </c>
      <c r="G5680" s="74">
        <v>35.025324937883724</v>
      </c>
      <c r="H5680" s="74">
        <f t="shared" si="177"/>
        <v>5.4690754054487982</v>
      </c>
    </row>
    <row r="5681" spans="5:8" ht="15.6">
      <c r="E5681" s="279" t="s">
        <v>6007</v>
      </c>
      <c r="F5681" s="284">
        <f t="shared" ca="1" si="176"/>
        <v>0.68325922270795314</v>
      </c>
      <c r="G5681" s="74">
        <v>39.725855095603976</v>
      </c>
      <c r="H5681" s="74">
        <f t="shared" si="177"/>
        <v>0.7685452477285466</v>
      </c>
    </row>
    <row r="5682" spans="5:8" ht="15.6">
      <c r="E5682" s="279" t="s">
        <v>6008</v>
      </c>
      <c r="F5682" s="284">
        <f t="shared" ca="1" si="176"/>
        <v>0.10233764354799701</v>
      </c>
      <c r="G5682" s="74">
        <v>39.59022528627451</v>
      </c>
      <c r="H5682" s="74">
        <f t="shared" si="177"/>
        <v>0.90417505705801204</v>
      </c>
    </row>
    <row r="5683" spans="5:8" ht="15.6">
      <c r="E5683" s="279" t="s">
        <v>6009</v>
      </c>
      <c r="F5683" s="284">
        <f t="shared" ca="1" si="176"/>
        <v>0.51499137788685856</v>
      </c>
      <c r="G5683" s="74">
        <v>40.113669780157423</v>
      </c>
      <c r="H5683" s="74">
        <f t="shared" si="177"/>
        <v>0.38073056317509923</v>
      </c>
    </row>
    <row r="5684" spans="5:8" ht="15.6">
      <c r="E5684" s="279" t="s">
        <v>6010</v>
      </c>
      <c r="F5684" s="284">
        <f t="shared" ca="1" si="176"/>
        <v>0.83020738117576132</v>
      </c>
      <c r="G5684" s="74">
        <v>38.060652257382813</v>
      </c>
      <c r="H5684" s="74">
        <f t="shared" si="177"/>
        <v>2.4337480859497092</v>
      </c>
    </row>
    <row r="5685" spans="5:8" ht="15.6">
      <c r="E5685" s="279" t="s">
        <v>6011</v>
      </c>
      <c r="F5685" s="284">
        <f t="shared" ca="1" si="176"/>
        <v>0.6890469729890899</v>
      </c>
      <c r="G5685" s="74">
        <v>35.661245805784795</v>
      </c>
      <c r="H5685" s="74">
        <f t="shared" si="177"/>
        <v>4.8331545375477276</v>
      </c>
    </row>
    <row r="5686" spans="5:8" ht="15.6">
      <c r="E5686" s="279" t="s">
        <v>6012</v>
      </c>
      <c r="F5686" s="284">
        <f t="shared" ca="1" si="176"/>
        <v>0.76552806673966156</v>
      </c>
      <c r="G5686" s="74">
        <v>40.790904747571268</v>
      </c>
      <c r="H5686" s="74">
        <f t="shared" si="177"/>
        <v>-0.29650440423874613</v>
      </c>
    </row>
    <row r="5687" spans="5:8" ht="15.6">
      <c r="E5687" s="279" t="s">
        <v>6013</v>
      </c>
      <c r="F5687" s="284">
        <f t="shared" ca="1" si="176"/>
        <v>0.51883385498232437</v>
      </c>
      <c r="G5687" s="74">
        <v>45.635098596196016</v>
      </c>
      <c r="H5687" s="74">
        <f t="shared" si="177"/>
        <v>-5.1406982528634941</v>
      </c>
    </row>
    <row r="5688" spans="5:8" ht="15.6">
      <c r="E5688" s="279" t="s">
        <v>6014</v>
      </c>
      <c r="F5688" s="284">
        <f t="shared" ca="1" si="176"/>
        <v>0.14317194357839169</v>
      </c>
      <c r="G5688" s="74">
        <v>36.286943173003699</v>
      </c>
      <c r="H5688" s="74">
        <f t="shared" si="177"/>
        <v>4.2074571703288228</v>
      </c>
    </row>
    <row r="5689" spans="5:8" ht="15.6">
      <c r="E5689" s="279" t="s">
        <v>6015</v>
      </c>
      <c r="F5689" s="284">
        <f t="shared" ca="1" si="176"/>
        <v>0.69324588131377929</v>
      </c>
      <c r="G5689" s="74">
        <v>41.174423032450441</v>
      </c>
      <c r="H5689" s="74">
        <f t="shared" si="177"/>
        <v>-0.6800226891179193</v>
      </c>
    </row>
    <row r="5690" spans="5:8" ht="15.6">
      <c r="E5690" s="279" t="s">
        <v>6016</v>
      </c>
      <c r="F5690" s="284">
        <f t="shared" ca="1" si="176"/>
        <v>0.6088997870888353</v>
      </c>
      <c r="G5690" s="74">
        <v>36.197173198592168</v>
      </c>
      <c r="H5690" s="74">
        <f t="shared" si="177"/>
        <v>4.2972271447403543</v>
      </c>
    </row>
    <row r="5691" spans="5:8" ht="15.6">
      <c r="E5691" s="279" t="s">
        <v>6017</v>
      </c>
      <c r="F5691" s="284">
        <f t="shared" ca="1" si="176"/>
        <v>0.74450899988287855</v>
      </c>
      <c r="G5691" s="74">
        <v>34.505649709843361</v>
      </c>
      <c r="H5691" s="74">
        <f t="shared" si="177"/>
        <v>5.9887506334891611</v>
      </c>
    </row>
    <row r="5692" spans="5:8" ht="15.6">
      <c r="E5692" s="279" t="s">
        <v>6018</v>
      </c>
      <c r="F5692" s="284">
        <f t="shared" ca="1" si="176"/>
        <v>0.17931060000154908</v>
      </c>
      <c r="G5692" s="74">
        <v>39.467858188343016</v>
      </c>
      <c r="H5692" s="74">
        <f t="shared" si="177"/>
        <v>1.0265421549895066</v>
      </c>
    </row>
    <row r="5693" spans="5:8" ht="15.6">
      <c r="E5693" s="279" t="s">
        <v>6019</v>
      </c>
      <c r="F5693" s="284">
        <f t="shared" ca="1" si="176"/>
        <v>0.23101494790253896</v>
      </c>
      <c r="G5693" s="74">
        <v>37.888837364958199</v>
      </c>
      <c r="H5693" s="74">
        <f t="shared" si="177"/>
        <v>2.6055629783743228</v>
      </c>
    </row>
    <row r="5694" spans="5:8" ht="15.6">
      <c r="E5694" s="279" t="s">
        <v>6020</v>
      </c>
      <c r="F5694" s="284">
        <f t="shared" ca="1" si="176"/>
        <v>4.7112714795225163E-2</v>
      </c>
      <c r="G5694" s="74">
        <v>35.879871479686564</v>
      </c>
      <c r="H5694" s="74">
        <f t="shared" si="177"/>
        <v>4.6145288636459583</v>
      </c>
    </row>
    <row r="5695" spans="5:8" ht="15.6">
      <c r="E5695" s="279" t="s">
        <v>6021</v>
      </c>
      <c r="F5695" s="284">
        <f t="shared" ca="1" si="176"/>
        <v>0.37953567062109694</v>
      </c>
      <c r="G5695" s="74">
        <v>34.662477054636028</v>
      </c>
      <c r="H5695" s="74">
        <f t="shared" si="177"/>
        <v>5.831923288696494</v>
      </c>
    </row>
    <row r="5696" spans="5:8" ht="15.6">
      <c r="E5696" s="279" t="s">
        <v>6022</v>
      </c>
      <c r="F5696" s="284">
        <f t="shared" ca="1" si="176"/>
        <v>0.12856068721673675</v>
      </c>
      <c r="G5696" s="74">
        <v>41.136959282037388</v>
      </c>
      <c r="H5696" s="74">
        <f t="shared" si="177"/>
        <v>-0.64255893870486602</v>
      </c>
    </row>
    <row r="5697" spans="5:8" ht="15.6">
      <c r="E5697" s="279" t="s">
        <v>6023</v>
      </c>
      <c r="F5697" s="284">
        <f t="shared" ca="1" si="176"/>
        <v>0.82860266452248466</v>
      </c>
      <c r="G5697" s="74">
        <v>39.877466683518357</v>
      </c>
      <c r="H5697" s="74">
        <f t="shared" si="177"/>
        <v>0.61693365981416548</v>
      </c>
    </row>
    <row r="5698" spans="5:8" ht="15.6">
      <c r="E5698" s="279" t="s">
        <v>6024</v>
      </c>
      <c r="F5698" s="284">
        <f t="shared" ca="1" si="176"/>
        <v>0.25500851354270382</v>
      </c>
      <c r="G5698" s="74">
        <v>35.638799158773466</v>
      </c>
      <c r="H5698" s="74">
        <f t="shared" si="177"/>
        <v>4.8556011845590561</v>
      </c>
    </row>
    <row r="5699" spans="5:8" ht="15.6">
      <c r="E5699" s="279" t="s">
        <v>6025</v>
      </c>
      <c r="F5699" s="284">
        <f t="shared" ca="1" si="176"/>
        <v>0.15440556088294932</v>
      </c>
      <c r="G5699" s="74">
        <v>44.447719319753539</v>
      </c>
      <c r="H5699" s="74">
        <f t="shared" si="177"/>
        <v>-3.9533189764210164</v>
      </c>
    </row>
    <row r="5700" spans="5:8" ht="15.6">
      <c r="E5700" s="279" t="s">
        <v>6026</v>
      </c>
      <c r="F5700" s="284">
        <f t="shared" ca="1" si="176"/>
        <v>0.69024797841458674</v>
      </c>
      <c r="G5700" s="74">
        <v>35.703225097644264</v>
      </c>
      <c r="H5700" s="74">
        <f t="shared" si="177"/>
        <v>4.7911752456882581</v>
      </c>
    </row>
    <row r="5701" spans="5:8" ht="15.6">
      <c r="E5701" s="279" t="s">
        <v>6027</v>
      </c>
      <c r="F5701" s="284">
        <f t="shared" ca="1" si="176"/>
        <v>0.46744403209825525</v>
      </c>
      <c r="G5701" s="74">
        <v>40.52565026283672</v>
      </c>
      <c r="H5701" s="74">
        <f t="shared" si="177"/>
        <v>-3.1249919504197976E-2</v>
      </c>
    </row>
    <row r="5702" spans="5:8" ht="15.6">
      <c r="E5702" s="279" t="s">
        <v>6028</v>
      </c>
      <c r="F5702" s="284">
        <f t="shared" ca="1" si="176"/>
        <v>0.93302271191752595</v>
      </c>
      <c r="G5702" s="74">
        <v>35.925941025221086</v>
      </c>
      <c r="H5702" s="74">
        <f t="shared" si="177"/>
        <v>4.5684593181114366</v>
      </c>
    </row>
    <row r="5703" spans="5:8" ht="15.6">
      <c r="E5703" s="279" t="s">
        <v>6029</v>
      </c>
      <c r="F5703" s="284">
        <f t="shared" ca="1" si="176"/>
        <v>0.18449756040139698</v>
      </c>
      <c r="G5703" s="74">
        <v>40.435561553165101</v>
      </c>
      <c r="H5703" s="74">
        <f t="shared" si="177"/>
        <v>5.8838790167420996E-2</v>
      </c>
    </row>
    <row r="5704" spans="5:8" ht="15.6">
      <c r="E5704" s="279" t="s">
        <v>6030</v>
      </c>
      <c r="F5704" s="284">
        <f t="shared" ca="1" si="176"/>
        <v>0.30128619561707026</v>
      </c>
      <c r="G5704" s="74">
        <v>38.284608539905747</v>
      </c>
      <c r="H5704" s="74">
        <f t="shared" si="177"/>
        <v>2.2097918034267749</v>
      </c>
    </row>
    <row r="5705" spans="5:8" ht="15.6">
      <c r="E5705" s="279" t="s">
        <v>6031</v>
      </c>
      <c r="F5705" s="284">
        <f t="shared" ca="1" si="176"/>
        <v>0.49401756869468649</v>
      </c>
      <c r="G5705" s="74">
        <v>41.35035499794855</v>
      </c>
      <c r="H5705" s="74">
        <f t="shared" si="177"/>
        <v>-0.85595465461602771</v>
      </c>
    </row>
    <row r="5706" spans="5:8" ht="15.6">
      <c r="E5706" s="279" t="s">
        <v>6032</v>
      </c>
      <c r="F5706" s="284">
        <f t="shared" ca="1" si="176"/>
        <v>0.33668047752991737</v>
      </c>
      <c r="G5706" s="74">
        <v>42.884489972604527</v>
      </c>
      <c r="H5706" s="74">
        <f t="shared" si="177"/>
        <v>-2.3900896292720049</v>
      </c>
    </row>
    <row r="5707" spans="5:8" ht="15.6">
      <c r="E5707" s="279" t="s">
        <v>6033</v>
      </c>
      <c r="F5707" s="284">
        <f t="shared" ca="1" si="176"/>
        <v>5.3212552877782815E-2</v>
      </c>
      <c r="G5707" s="74">
        <v>41.622989598246072</v>
      </c>
      <c r="H5707" s="74">
        <f t="shared" si="177"/>
        <v>-1.1285892549135497</v>
      </c>
    </row>
    <row r="5708" spans="5:8" ht="15.6">
      <c r="E5708" s="279" t="s">
        <v>6034</v>
      </c>
      <c r="F5708" s="284">
        <f t="shared" ref="F5708:F5771" ca="1" si="178">RAND()</f>
        <v>0.73941146829660698</v>
      </c>
      <c r="G5708" s="74">
        <v>40.365975139812477</v>
      </c>
      <c r="H5708" s="74">
        <f t="shared" ref="H5708:H5771" si="179">$D$2-G5708</f>
        <v>0.12842520352004527</v>
      </c>
    </row>
    <row r="5709" spans="5:8" ht="15.6">
      <c r="E5709" s="279" t="s">
        <v>6035</v>
      </c>
      <c r="F5709" s="284">
        <f t="shared" ca="1" si="178"/>
        <v>2.6831334783088412E-2</v>
      </c>
      <c r="G5709" s="74">
        <v>41.965348708603507</v>
      </c>
      <c r="H5709" s="74">
        <f t="shared" si="179"/>
        <v>-1.4709483652709849</v>
      </c>
    </row>
    <row r="5710" spans="5:8" ht="15.6">
      <c r="E5710" s="279" t="s">
        <v>6036</v>
      </c>
      <c r="F5710" s="284">
        <f t="shared" ca="1" si="178"/>
        <v>0.32572843348753155</v>
      </c>
      <c r="G5710" s="74">
        <v>38.981471537801106</v>
      </c>
      <c r="H5710" s="74">
        <f t="shared" si="179"/>
        <v>1.5129288055314163</v>
      </c>
    </row>
    <row r="5711" spans="5:8" ht="15.6">
      <c r="E5711" s="279" t="s">
        <v>6037</v>
      </c>
      <c r="F5711" s="284">
        <f t="shared" ca="1" si="178"/>
        <v>0.28154857682456214</v>
      </c>
      <c r="G5711" s="74">
        <v>41.162785963757706</v>
      </c>
      <c r="H5711" s="74">
        <f t="shared" si="179"/>
        <v>-0.6683856204251839</v>
      </c>
    </row>
    <row r="5712" spans="5:8" ht="15.6">
      <c r="E5712" s="279" t="s">
        <v>6038</v>
      </c>
      <c r="F5712" s="284">
        <f t="shared" ca="1" si="178"/>
        <v>0.39747540539810333</v>
      </c>
      <c r="G5712" s="74">
        <v>39.181577326604163</v>
      </c>
      <c r="H5712" s="74">
        <f t="shared" si="179"/>
        <v>1.312823016728359</v>
      </c>
    </row>
    <row r="5713" spans="5:8" ht="15.6">
      <c r="E5713" s="279" t="s">
        <v>6039</v>
      </c>
      <c r="F5713" s="284">
        <f t="shared" ca="1" si="178"/>
        <v>0.4497473351273239</v>
      </c>
      <c r="G5713" s="74">
        <v>38.522035516488799</v>
      </c>
      <c r="H5713" s="74">
        <f t="shared" si="179"/>
        <v>1.9723648268437231</v>
      </c>
    </row>
    <row r="5714" spans="5:8" ht="15.6">
      <c r="E5714" s="279" t="s">
        <v>6040</v>
      </c>
      <c r="F5714" s="284">
        <f t="shared" ca="1" si="178"/>
        <v>0.9407462408244065</v>
      </c>
      <c r="G5714" s="74">
        <v>36.500077590122167</v>
      </c>
      <c r="H5714" s="74">
        <f t="shared" si="179"/>
        <v>3.9943227532103549</v>
      </c>
    </row>
    <row r="5715" spans="5:8" ht="15.6">
      <c r="E5715" s="279" t="s">
        <v>6041</v>
      </c>
      <c r="F5715" s="284">
        <f t="shared" ca="1" si="178"/>
        <v>8.674372535524344E-2</v>
      </c>
      <c r="G5715" s="74">
        <v>39.720544539148101</v>
      </c>
      <c r="H5715" s="74">
        <f t="shared" si="179"/>
        <v>0.77385580418442146</v>
      </c>
    </row>
    <row r="5716" spans="5:8" ht="15.6">
      <c r="E5716" s="279" t="s">
        <v>6042</v>
      </c>
      <c r="F5716" s="284">
        <f t="shared" ca="1" si="178"/>
        <v>0.92597914499595191</v>
      </c>
      <c r="G5716" s="74">
        <v>38.54505759027608</v>
      </c>
      <c r="H5716" s="74">
        <f t="shared" si="179"/>
        <v>1.9493427530564418</v>
      </c>
    </row>
    <row r="5717" spans="5:8" ht="15.6">
      <c r="E5717" s="279" t="s">
        <v>6043</v>
      </c>
      <c r="F5717" s="284">
        <f t="shared" ca="1" si="178"/>
        <v>0.4002995070761165</v>
      </c>
      <c r="G5717" s="74">
        <v>37.241648048281995</v>
      </c>
      <c r="H5717" s="74">
        <f t="shared" si="179"/>
        <v>3.2527522950505272</v>
      </c>
    </row>
    <row r="5718" spans="5:8" ht="15.6">
      <c r="E5718" s="279" t="s">
        <v>6044</v>
      </c>
      <c r="F5718" s="284">
        <f t="shared" ca="1" si="178"/>
        <v>0.46795892530154992</v>
      </c>
      <c r="G5718" s="74">
        <v>43.221459309067768</v>
      </c>
      <c r="H5718" s="74">
        <f t="shared" si="179"/>
        <v>-2.727058965735246</v>
      </c>
    </row>
    <row r="5719" spans="5:8" ht="15.6">
      <c r="E5719" s="279" t="s">
        <v>6045</v>
      </c>
      <c r="F5719" s="284">
        <f t="shared" ca="1" si="178"/>
        <v>0.36123335727157435</v>
      </c>
      <c r="G5719" s="74">
        <v>41.138633073073677</v>
      </c>
      <c r="H5719" s="74">
        <f t="shared" si="179"/>
        <v>-0.6442327297411552</v>
      </c>
    </row>
    <row r="5720" spans="5:8" ht="15.6">
      <c r="E5720" s="279" t="s">
        <v>6046</v>
      </c>
      <c r="F5720" s="284">
        <f t="shared" ca="1" si="178"/>
        <v>0.51499003289120737</v>
      </c>
      <c r="G5720" s="74">
        <v>41.064589731787173</v>
      </c>
      <c r="H5720" s="74">
        <f t="shared" si="179"/>
        <v>-0.57018938845465073</v>
      </c>
    </row>
    <row r="5721" spans="5:8" ht="15.6">
      <c r="E5721" s="279" t="s">
        <v>6047</v>
      </c>
      <c r="F5721" s="284">
        <f t="shared" ca="1" si="178"/>
        <v>0.59809382462986793</v>
      </c>
      <c r="G5721" s="74">
        <v>40.891859274334159</v>
      </c>
      <c r="H5721" s="74">
        <f t="shared" si="179"/>
        <v>-0.39745893100163698</v>
      </c>
    </row>
    <row r="5722" spans="5:8" ht="15.6">
      <c r="E5722" s="279" t="s">
        <v>6048</v>
      </c>
      <c r="F5722" s="284">
        <f t="shared" ca="1" si="178"/>
        <v>0.63575762571137551</v>
      </c>
      <c r="G5722" s="74">
        <v>35.972307181018785</v>
      </c>
      <c r="H5722" s="74">
        <f t="shared" si="179"/>
        <v>4.5220931623137375</v>
      </c>
    </row>
    <row r="5723" spans="5:8" ht="15.6">
      <c r="E5723" s="279" t="s">
        <v>6049</v>
      </c>
      <c r="F5723" s="284">
        <f t="shared" ca="1" si="178"/>
        <v>0.32077504112549848</v>
      </c>
      <c r="G5723" s="74">
        <v>38.906023460776382</v>
      </c>
      <c r="H5723" s="74">
        <f t="shared" si="179"/>
        <v>1.5883768825561404</v>
      </c>
    </row>
    <row r="5724" spans="5:8" ht="15.6">
      <c r="E5724" s="279" t="s">
        <v>6050</v>
      </c>
      <c r="F5724" s="284">
        <f t="shared" ca="1" si="178"/>
        <v>0.43364058288232277</v>
      </c>
      <c r="G5724" s="74">
        <v>38.233746676911423</v>
      </c>
      <c r="H5724" s="74">
        <f t="shared" si="179"/>
        <v>2.2606536664210992</v>
      </c>
    </row>
    <row r="5725" spans="5:8" ht="15.6">
      <c r="E5725" s="279" t="s">
        <v>6051</v>
      </c>
      <c r="F5725" s="284">
        <f t="shared" ca="1" si="178"/>
        <v>0.59839488292374277</v>
      </c>
      <c r="G5725" s="74">
        <v>39.124876749814284</v>
      </c>
      <c r="H5725" s="74">
        <f t="shared" si="179"/>
        <v>1.3695235935182382</v>
      </c>
    </row>
    <row r="5726" spans="5:8" ht="15.6">
      <c r="E5726" s="279" t="s">
        <v>6052</v>
      </c>
      <c r="F5726" s="284">
        <f t="shared" ca="1" si="178"/>
        <v>0.78508254689726642</v>
      </c>
      <c r="G5726" s="74">
        <v>41.521130518341828</v>
      </c>
      <c r="H5726" s="74">
        <f t="shared" si="179"/>
        <v>-1.0267301750093054</v>
      </c>
    </row>
    <row r="5727" spans="5:8" ht="15.6">
      <c r="E5727" s="279" t="s">
        <v>6053</v>
      </c>
      <c r="F5727" s="284">
        <f t="shared" ca="1" si="178"/>
        <v>0.42620743789012427</v>
      </c>
      <c r="G5727" s="74">
        <v>36.927146018690387</v>
      </c>
      <c r="H5727" s="74">
        <f t="shared" si="179"/>
        <v>3.5672543246421355</v>
      </c>
    </row>
    <row r="5728" spans="5:8" ht="15.6">
      <c r="E5728" s="279" t="s">
        <v>6054</v>
      </c>
      <c r="F5728" s="284">
        <f t="shared" ca="1" si="178"/>
        <v>0.85904584632805714</v>
      </c>
      <c r="G5728" s="74">
        <v>34.1602505319768</v>
      </c>
      <c r="H5728" s="74">
        <f t="shared" si="179"/>
        <v>6.3341498113557222</v>
      </c>
    </row>
    <row r="5729" spans="5:8" ht="15.6">
      <c r="E5729" s="279" t="s">
        <v>6055</v>
      </c>
      <c r="F5729" s="284">
        <f t="shared" ca="1" si="178"/>
        <v>4.5654285474165945E-2</v>
      </c>
      <c r="G5729" s="74">
        <v>41.753397327054685</v>
      </c>
      <c r="H5729" s="74">
        <f t="shared" si="179"/>
        <v>-1.2589969837221631</v>
      </c>
    </row>
    <row r="5730" spans="5:8" ht="15.6">
      <c r="E5730" s="279" t="s">
        <v>6056</v>
      </c>
      <c r="F5730" s="284">
        <f t="shared" ca="1" si="178"/>
        <v>0.71315177062992319</v>
      </c>
      <c r="G5730" s="74">
        <v>42.80361707448138</v>
      </c>
      <c r="H5730" s="74">
        <f t="shared" si="179"/>
        <v>-2.3092167311488581</v>
      </c>
    </row>
    <row r="5731" spans="5:8" ht="15.6">
      <c r="E5731" s="279" t="s">
        <v>6057</v>
      </c>
      <c r="F5731" s="284">
        <f t="shared" ca="1" si="178"/>
        <v>0.54458939780686733</v>
      </c>
      <c r="G5731" s="74">
        <v>37.209720512796039</v>
      </c>
      <c r="H5731" s="74">
        <f t="shared" si="179"/>
        <v>3.2846798305364828</v>
      </c>
    </row>
    <row r="5732" spans="5:8" ht="15.6">
      <c r="E5732" s="279" t="s">
        <v>6058</v>
      </c>
      <c r="F5732" s="284">
        <f t="shared" ca="1" si="178"/>
        <v>0.62890928453419148</v>
      </c>
      <c r="G5732" s="74">
        <v>42.115337424986635</v>
      </c>
      <c r="H5732" s="74">
        <f t="shared" si="179"/>
        <v>-1.6209370816541124</v>
      </c>
    </row>
    <row r="5733" spans="5:8" ht="15.6">
      <c r="E5733" s="279" t="s">
        <v>6059</v>
      </c>
      <c r="F5733" s="284">
        <f t="shared" ca="1" si="178"/>
        <v>0.69219635731294893</v>
      </c>
      <c r="G5733" s="74">
        <v>42.606212603333425</v>
      </c>
      <c r="H5733" s="74">
        <f t="shared" si="179"/>
        <v>-2.1118122600009031</v>
      </c>
    </row>
    <row r="5734" spans="5:8" ht="15.6">
      <c r="E5734" s="279" t="s">
        <v>6060</v>
      </c>
      <c r="F5734" s="284">
        <f t="shared" ca="1" si="178"/>
        <v>0.40411026154374108</v>
      </c>
      <c r="G5734" s="74">
        <v>38.724551968724128</v>
      </c>
      <c r="H5734" s="74">
        <f t="shared" si="179"/>
        <v>1.7698483746083937</v>
      </c>
    </row>
    <row r="5735" spans="5:8" ht="15.6">
      <c r="E5735" s="279" t="s">
        <v>6061</v>
      </c>
      <c r="F5735" s="284">
        <f t="shared" ca="1" si="178"/>
        <v>0.27653935676492258</v>
      </c>
      <c r="G5735" s="74">
        <v>37.979731186496927</v>
      </c>
      <c r="H5735" s="74">
        <f t="shared" si="179"/>
        <v>2.5146691568355948</v>
      </c>
    </row>
    <row r="5736" spans="5:8" ht="15.6">
      <c r="E5736" s="279" t="s">
        <v>6062</v>
      </c>
      <c r="F5736" s="284">
        <f t="shared" ca="1" si="178"/>
        <v>0.50851853540361047</v>
      </c>
      <c r="G5736" s="74">
        <v>40.320636179448854</v>
      </c>
      <c r="H5736" s="74">
        <f t="shared" si="179"/>
        <v>0.17376416388366778</v>
      </c>
    </row>
    <row r="5737" spans="5:8" ht="15.6">
      <c r="E5737" s="279" t="s">
        <v>6063</v>
      </c>
      <c r="F5737" s="284">
        <f t="shared" ca="1" si="178"/>
        <v>0.93580446583763477</v>
      </c>
      <c r="G5737" s="74">
        <v>44.677475251670309</v>
      </c>
      <c r="H5737" s="74">
        <f t="shared" si="179"/>
        <v>-4.1830749083377867</v>
      </c>
    </row>
    <row r="5738" spans="5:8" ht="15.6">
      <c r="E5738" s="279" t="s">
        <v>6064</v>
      </c>
      <c r="F5738" s="284">
        <f t="shared" ca="1" si="178"/>
        <v>7.3524431069215024E-2</v>
      </c>
      <c r="G5738" s="74">
        <v>35.749172373734687</v>
      </c>
      <c r="H5738" s="74">
        <f t="shared" si="179"/>
        <v>4.7452279695978348</v>
      </c>
    </row>
    <row r="5739" spans="5:8" ht="15.6">
      <c r="E5739" s="279" t="s">
        <v>6065</v>
      </c>
      <c r="F5739" s="284">
        <f t="shared" ca="1" si="178"/>
        <v>0.64259235029204875</v>
      </c>
      <c r="G5739" s="74">
        <v>38.405854532951558</v>
      </c>
      <c r="H5739" s="74">
        <f t="shared" si="179"/>
        <v>2.088545810380964</v>
      </c>
    </row>
    <row r="5740" spans="5:8" ht="15.6">
      <c r="E5740" s="279" t="s">
        <v>6066</v>
      </c>
      <c r="F5740" s="284">
        <f t="shared" ca="1" si="178"/>
        <v>0.90106487881681785</v>
      </c>
      <c r="G5740" s="74">
        <v>37.587817866835657</v>
      </c>
      <c r="H5740" s="74">
        <f t="shared" si="179"/>
        <v>2.9065824764968653</v>
      </c>
    </row>
    <row r="5741" spans="5:8" ht="15.6">
      <c r="E5741" s="279" t="s">
        <v>6067</v>
      </c>
      <c r="F5741" s="284">
        <f t="shared" ca="1" si="178"/>
        <v>0.24249993307604978</v>
      </c>
      <c r="G5741" s="74">
        <v>41.742529517913404</v>
      </c>
      <c r="H5741" s="74">
        <f t="shared" si="179"/>
        <v>-1.2481291745808818</v>
      </c>
    </row>
    <row r="5742" spans="5:8" ht="15.6">
      <c r="E5742" s="279" t="s">
        <v>6068</v>
      </c>
      <c r="F5742" s="284">
        <f t="shared" ca="1" si="178"/>
        <v>0.69385274047736967</v>
      </c>
      <c r="G5742" s="74">
        <v>42.433377960631873</v>
      </c>
      <c r="H5742" s="74">
        <f t="shared" si="179"/>
        <v>-1.9389776172993507</v>
      </c>
    </row>
    <row r="5743" spans="5:8" ht="15.6">
      <c r="E5743" s="279" t="s">
        <v>6069</v>
      </c>
      <c r="F5743" s="284">
        <f t="shared" ca="1" si="178"/>
        <v>0.17463824358470836</v>
      </c>
      <c r="G5743" s="74">
        <v>38.940908501804685</v>
      </c>
      <c r="H5743" s="74">
        <f t="shared" si="179"/>
        <v>1.5534918415278369</v>
      </c>
    </row>
    <row r="5744" spans="5:8" ht="15.6">
      <c r="E5744" s="279" t="s">
        <v>6070</v>
      </c>
      <c r="F5744" s="284">
        <f t="shared" ca="1" si="178"/>
        <v>0.16584887830414252</v>
      </c>
      <c r="G5744" s="74">
        <v>41.989662536361713</v>
      </c>
      <c r="H5744" s="74">
        <f t="shared" si="179"/>
        <v>-1.4952621930291912</v>
      </c>
    </row>
    <row r="5745" spans="5:8" ht="15.6">
      <c r="E5745" s="279" t="s">
        <v>6071</v>
      </c>
      <c r="F5745" s="284">
        <f t="shared" ca="1" si="178"/>
        <v>0.1064739696431396</v>
      </c>
      <c r="G5745" s="74">
        <v>42.072173358394167</v>
      </c>
      <c r="H5745" s="74">
        <f t="shared" si="179"/>
        <v>-1.5777730150616449</v>
      </c>
    </row>
    <row r="5746" spans="5:8" ht="15.6">
      <c r="E5746" s="279" t="s">
        <v>6072</v>
      </c>
      <c r="F5746" s="284">
        <f t="shared" ca="1" si="178"/>
        <v>0.76402352351220515</v>
      </c>
      <c r="G5746" s="74">
        <v>37.091927338217424</v>
      </c>
      <c r="H5746" s="74">
        <f t="shared" si="179"/>
        <v>3.4024730051150982</v>
      </c>
    </row>
    <row r="5747" spans="5:8" ht="15.6">
      <c r="E5747" s="279" t="s">
        <v>6073</v>
      </c>
      <c r="F5747" s="284">
        <f t="shared" ca="1" si="178"/>
        <v>0.81391273289193578</v>
      </c>
      <c r="G5747" s="74">
        <v>40.161916192752955</v>
      </c>
      <c r="H5747" s="74">
        <f t="shared" si="179"/>
        <v>0.33248415057956748</v>
      </c>
    </row>
    <row r="5748" spans="5:8" ht="15.6">
      <c r="E5748" s="279" t="s">
        <v>6074</v>
      </c>
      <c r="F5748" s="284">
        <f t="shared" ca="1" si="178"/>
        <v>0.44951659351352646</v>
      </c>
      <c r="G5748" s="74">
        <v>35.855779466241763</v>
      </c>
      <c r="H5748" s="74">
        <f t="shared" si="179"/>
        <v>4.6386208770907587</v>
      </c>
    </row>
    <row r="5749" spans="5:8" ht="15.6">
      <c r="E5749" s="279" t="s">
        <v>6075</v>
      </c>
      <c r="F5749" s="284">
        <f t="shared" ca="1" si="178"/>
        <v>0.20475856044829888</v>
      </c>
      <c r="G5749" s="74">
        <v>36.997970558742566</v>
      </c>
      <c r="H5749" s="74">
        <f t="shared" si="179"/>
        <v>3.4964297845899566</v>
      </c>
    </row>
    <row r="5750" spans="5:8" ht="15.6">
      <c r="E5750" s="279" t="s">
        <v>6076</v>
      </c>
      <c r="F5750" s="284">
        <f t="shared" ca="1" si="178"/>
        <v>0.84761396099413233</v>
      </c>
      <c r="G5750" s="74">
        <v>37.273245906955502</v>
      </c>
      <c r="H5750" s="74">
        <f t="shared" si="179"/>
        <v>3.2211544363770201</v>
      </c>
    </row>
    <row r="5751" spans="5:8" ht="15.6">
      <c r="E5751" s="279" t="s">
        <v>6077</v>
      </c>
      <c r="F5751" s="284">
        <f t="shared" ca="1" si="178"/>
        <v>0.31921470720377743</v>
      </c>
      <c r="G5751" s="74">
        <v>34.777128722929504</v>
      </c>
      <c r="H5751" s="74">
        <f t="shared" si="179"/>
        <v>5.7172716204030181</v>
      </c>
    </row>
    <row r="5752" spans="5:8" ht="15.6">
      <c r="E5752" s="279" t="s">
        <v>6078</v>
      </c>
      <c r="F5752" s="284">
        <f t="shared" ca="1" si="178"/>
        <v>6.9804624481072719E-2</v>
      </c>
      <c r="G5752" s="74">
        <v>37.311881968423251</v>
      </c>
      <c r="H5752" s="74">
        <f t="shared" si="179"/>
        <v>3.1825183749092716</v>
      </c>
    </row>
    <row r="5753" spans="5:8" ht="15.6">
      <c r="E5753" s="279" t="s">
        <v>6079</v>
      </c>
      <c r="F5753" s="284">
        <f t="shared" ca="1" si="178"/>
        <v>0.65693204511180447</v>
      </c>
      <c r="G5753" s="74">
        <v>42.237797750537894</v>
      </c>
      <c r="H5753" s="74">
        <f t="shared" si="179"/>
        <v>-1.7433974072053715</v>
      </c>
    </row>
    <row r="5754" spans="5:8" ht="15.6">
      <c r="E5754" s="279" t="s">
        <v>6080</v>
      </c>
      <c r="F5754" s="284">
        <f t="shared" ca="1" si="178"/>
        <v>0.50702712374370573</v>
      </c>
      <c r="G5754" s="74">
        <v>41.17275398232902</v>
      </c>
      <c r="H5754" s="74">
        <f t="shared" si="179"/>
        <v>-0.67835363899649792</v>
      </c>
    </row>
    <row r="5755" spans="5:8" ht="15.6">
      <c r="E5755" s="279" t="s">
        <v>6081</v>
      </c>
      <c r="F5755" s="284">
        <f t="shared" ca="1" si="178"/>
        <v>0.84929761319762009</v>
      </c>
      <c r="G5755" s="74">
        <v>39.446462989052115</v>
      </c>
      <c r="H5755" s="74">
        <f t="shared" si="179"/>
        <v>1.0479373542804069</v>
      </c>
    </row>
    <row r="5756" spans="5:8" ht="15.6">
      <c r="E5756" s="279" t="s">
        <v>6082</v>
      </c>
      <c r="F5756" s="284">
        <f t="shared" ca="1" si="178"/>
        <v>0.48872000560012652</v>
      </c>
      <c r="G5756" s="74">
        <v>38.713564409400547</v>
      </c>
      <c r="H5756" s="74">
        <f t="shared" si="179"/>
        <v>1.780835933931975</v>
      </c>
    </row>
    <row r="5757" spans="5:8" ht="15.6">
      <c r="E5757" s="279" t="s">
        <v>6083</v>
      </c>
      <c r="F5757" s="284">
        <f t="shared" ca="1" si="178"/>
        <v>0.12970342690036663</v>
      </c>
      <c r="G5757" s="74">
        <v>40.193166015908126</v>
      </c>
      <c r="H5757" s="74">
        <f t="shared" si="179"/>
        <v>0.30123432742439604</v>
      </c>
    </row>
    <row r="5758" spans="5:8" ht="15.6">
      <c r="E5758" s="279" t="s">
        <v>6084</v>
      </c>
      <c r="F5758" s="284">
        <f t="shared" ca="1" si="178"/>
        <v>0.95444324635954814</v>
      </c>
      <c r="G5758" s="74">
        <v>41.120963028551714</v>
      </c>
      <c r="H5758" s="74">
        <f t="shared" si="179"/>
        <v>-0.62656268521919145</v>
      </c>
    </row>
    <row r="5759" spans="5:8" ht="15.6">
      <c r="E5759" s="279" t="s">
        <v>6085</v>
      </c>
      <c r="F5759" s="284">
        <f t="shared" ca="1" si="178"/>
        <v>0.40959362853350545</v>
      </c>
      <c r="G5759" s="74">
        <v>38.663645971174837</v>
      </c>
      <c r="H5759" s="74">
        <f t="shared" si="179"/>
        <v>1.8307543721576849</v>
      </c>
    </row>
    <row r="5760" spans="5:8" ht="15.6">
      <c r="E5760" s="279" t="s">
        <v>6086</v>
      </c>
      <c r="F5760" s="284">
        <f t="shared" ca="1" si="178"/>
        <v>0.78078200198756964</v>
      </c>
      <c r="G5760" s="74">
        <v>41.408097884197772</v>
      </c>
      <c r="H5760" s="74">
        <f t="shared" si="179"/>
        <v>-0.91369754086525035</v>
      </c>
    </row>
    <row r="5761" spans="5:8" ht="15.6">
      <c r="E5761" s="279" t="s">
        <v>6087</v>
      </c>
      <c r="F5761" s="284">
        <f t="shared" ca="1" si="178"/>
        <v>0.92181353865849802</v>
      </c>
      <c r="G5761" s="74">
        <v>41.725852994942514</v>
      </c>
      <c r="H5761" s="74">
        <f t="shared" si="179"/>
        <v>-1.2314526516099917</v>
      </c>
    </row>
    <row r="5762" spans="5:8" ht="15.6">
      <c r="E5762" s="279" t="s">
        <v>6088</v>
      </c>
      <c r="F5762" s="284">
        <f t="shared" ca="1" si="178"/>
        <v>0.87989800019833464</v>
      </c>
      <c r="G5762" s="74">
        <v>35.552381816658269</v>
      </c>
      <c r="H5762" s="74">
        <f t="shared" si="179"/>
        <v>4.9420185266742536</v>
      </c>
    </row>
    <row r="5763" spans="5:8" ht="15.6">
      <c r="E5763" s="279" t="s">
        <v>6089</v>
      </c>
      <c r="F5763" s="284">
        <f t="shared" ca="1" si="178"/>
        <v>0.53553185472475751</v>
      </c>
      <c r="G5763" s="74">
        <v>38.201305475948757</v>
      </c>
      <c r="H5763" s="74">
        <f t="shared" si="179"/>
        <v>2.2930948673837648</v>
      </c>
    </row>
    <row r="5764" spans="5:8" ht="15.6">
      <c r="E5764" s="279" t="s">
        <v>6090</v>
      </c>
      <c r="F5764" s="284">
        <f t="shared" ca="1" si="178"/>
        <v>0.88466869010246763</v>
      </c>
      <c r="G5764" s="74">
        <v>36.710061324752907</v>
      </c>
      <c r="H5764" s="74">
        <f t="shared" si="179"/>
        <v>3.7843390185796153</v>
      </c>
    </row>
    <row r="5765" spans="5:8" ht="15.6">
      <c r="E5765" s="279" t="s">
        <v>6091</v>
      </c>
      <c r="F5765" s="284">
        <f t="shared" ca="1" si="178"/>
        <v>0.85360381568814625</v>
      </c>
      <c r="G5765" s="74">
        <v>41.455979055441276</v>
      </c>
      <c r="H5765" s="74">
        <f t="shared" si="179"/>
        <v>-0.96157871210875356</v>
      </c>
    </row>
    <row r="5766" spans="5:8" ht="15.6">
      <c r="E5766" s="279" t="s">
        <v>6092</v>
      </c>
      <c r="F5766" s="284">
        <f t="shared" ca="1" si="178"/>
        <v>0.25018781179144822</v>
      </c>
      <c r="G5766" s="74">
        <v>41.879814606486356</v>
      </c>
      <c r="H5766" s="74">
        <f t="shared" si="179"/>
        <v>-1.3854142631538338</v>
      </c>
    </row>
    <row r="5767" spans="5:8" ht="15.6">
      <c r="E5767" s="279" t="s">
        <v>6093</v>
      </c>
      <c r="F5767" s="284">
        <f t="shared" ca="1" si="178"/>
        <v>0.35738445906571181</v>
      </c>
      <c r="G5767" s="74">
        <v>43.165725578530719</v>
      </c>
      <c r="H5767" s="74">
        <f t="shared" si="179"/>
        <v>-2.6713252351981964</v>
      </c>
    </row>
    <row r="5768" spans="5:8" ht="15.6">
      <c r="E5768" s="279" t="s">
        <v>6094</v>
      </c>
      <c r="F5768" s="284">
        <f t="shared" ca="1" si="178"/>
        <v>0.43094325558344171</v>
      </c>
      <c r="G5768" s="74">
        <v>37.271621845469625</v>
      </c>
      <c r="H5768" s="74">
        <f t="shared" si="179"/>
        <v>3.2227784978628975</v>
      </c>
    </row>
    <row r="5769" spans="5:8" ht="15.6">
      <c r="E5769" s="279" t="s">
        <v>6095</v>
      </c>
      <c r="F5769" s="284">
        <f t="shared" ca="1" si="178"/>
        <v>0.86037526222416272</v>
      </c>
      <c r="G5769" s="74">
        <v>39.832984044263668</v>
      </c>
      <c r="H5769" s="74">
        <f t="shared" si="179"/>
        <v>0.66141629906885413</v>
      </c>
    </row>
    <row r="5770" spans="5:8" ht="15.6">
      <c r="E5770" s="279" t="s">
        <v>6096</v>
      </c>
      <c r="F5770" s="284">
        <f t="shared" ca="1" si="178"/>
        <v>0.10467053040181074</v>
      </c>
      <c r="G5770" s="74">
        <v>40.307530054910252</v>
      </c>
      <c r="H5770" s="74">
        <f t="shared" si="179"/>
        <v>0.18687028842226994</v>
      </c>
    </row>
    <row r="5771" spans="5:8" ht="15.6">
      <c r="E5771" s="279" t="s">
        <v>6097</v>
      </c>
      <c r="F5771" s="284">
        <f t="shared" ca="1" si="178"/>
        <v>0.75535145446376029</v>
      </c>
      <c r="G5771" s="74">
        <v>38.184392972366958</v>
      </c>
      <c r="H5771" s="74">
        <f t="shared" si="179"/>
        <v>2.3100073709655646</v>
      </c>
    </row>
    <row r="5772" spans="5:8" ht="15.6">
      <c r="E5772" s="279" t="s">
        <v>6098</v>
      </c>
      <c r="F5772" s="284">
        <f t="shared" ref="F5772:F5835" ca="1" si="180">RAND()</f>
        <v>0.20513242181260916</v>
      </c>
      <c r="G5772" s="74">
        <v>36.463790064949912</v>
      </c>
      <c r="H5772" s="74">
        <f t="shared" ref="H5772:H5835" si="181">$D$2-G5772</f>
        <v>4.0306102783826105</v>
      </c>
    </row>
    <row r="5773" spans="5:8" ht="15.6">
      <c r="E5773" s="279" t="s">
        <v>6099</v>
      </c>
      <c r="F5773" s="284">
        <f t="shared" ca="1" si="180"/>
        <v>0.15383892283368739</v>
      </c>
      <c r="G5773" s="74">
        <v>42.847740693524798</v>
      </c>
      <c r="H5773" s="74">
        <f t="shared" si="181"/>
        <v>-2.3533403501922763</v>
      </c>
    </row>
    <row r="5774" spans="5:8" ht="15.6">
      <c r="E5774" s="279" t="s">
        <v>6100</v>
      </c>
      <c r="F5774" s="284">
        <f t="shared" ca="1" si="180"/>
        <v>0.3349643253558896</v>
      </c>
      <c r="G5774" s="74">
        <v>37.706102772305343</v>
      </c>
      <c r="H5774" s="74">
        <f t="shared" si="181"/>
        <v>2.7882975710271793</v>
      </c>
    </row>
    <row r="5775" spans="5:8" ht="15.6">
      <c r="E5775" s="279" t="s">
        <v>6101</v>
      </c>
      <c r="F5775" s="284">
        <f t="shared" ca="1" si="180"/>
        <v>1.9801290005799221E-2</v>
      </c>
      <c r="G5775" s="74">
        <v>42.041463231969693</v>
      </c>
      <c r="H5775" s="74">
        <f t="shared" si="181"/>
        <v>-1.5470628886371713</v>
      </c>
    </row>
    <row r="5776" spans="5:8" ht="15.6">
      <c r="E5776" s="279" t="s">
        <v>6102</v>
      </c>
      <c r="F5776" s="284">
        <f t="shared" ca="1" si="180"/>
        <v>0.62129185373184437</v>
      </c>
      <c r="G5776" s="74">
        <v>38.98664348874324</v>
      </c>
      <c r="H5776" s="74">
        <f t="shared" si="181"/>
        <v>1.5077568545892817</v>
      </c>
    </row>
    <row r="5777" spans="5:8" ht="15.6">
      <c r="E5777" s="279" t="s">
        <v>6103</v>
      </c>
      <c r="F5777" s="284">
        <f t="shared" ca="1" si="180"/>
        <v>0.2245249372015623</v>
      </c>
      <c r="G5777" s="74">
        <v>40.757444980046785</v>
      </c>
      <c r="H5777" s="74">
        <f t="shared" si="181"/>
        <v>-0.26304463671426248</v>
      </c>
    </row>
    <row r="5778" spans="5:8" ht="15.6">
      <c r="E5778" s="279" t="s">
        <v>6104</v>
      </c>
      <c r="F5778" s="284">
        <f t="shared" ca="1" si="180"/>
        <v>0.72159503530653324</v>
      </c>
      <c r="G5778" s="74">
        <v>41.494115641140958</v>
      </c>
      <c r="H5778" s="74">
        <f t="shared" si="181"/>
        <v>-0.99971529780843582</v>
      </c>
    </row>
    <row r="5779" spans="5:8" ht="15.6">
      <c r="E5779" s="279" t="s">
        <v>6105</v>
      </c>
      <c r="F5779" s="284">
        <f t="shared" ca="1" si="180"/>
        <v>0.28289949003642256</v>
      </c>
      <c r="G5779" s="74">
        <v>40.541220952132406</v>
      </c>
      <c r="H5779" s="74">
        <f t="shared" si="181"/>
        <v>-4.6820608799883701E-2</v>
      </c>
    </row>
    <row r="5780" spans="5:8" ht="15.6">
      <c r="E5780" s="279" t="s">
        <v>6106</v>
      </c>
      <c r="F5780" s="284">
        <f t="shared" ca="1" si="180"/>
        <v>0.72610450752769085</v>
      </c>
      <c r="G5780" s="74">
        <v>41.663944786057286</v>
      </c>
      <c r="H5780" s="74">
        <f t="shared" si="181"/>
        <v>-1.1695444427247637</v>
      </c>
    </row>
    <row r="5781" spans="5:8" ht="15.6">
      <c r="E5781" s="279" t="s">
        <v>6107</v>
      </c>
      <c r="F5781" s="284">
        <f t="shared" ca="1" si="180"/>
        <v>0.55865796820488201</v>
      </c>
      <c r="G5781" s="74">
        <v>40.480678713248921</v>
      </c>
      <c r="H5781" s="74">
        <f t="shared" si="181"/>
        <v>1.372163008360161E-2</v>
      </c>
    </row>
    <row r="5782" spans="5:8" ht="15.6">
      <c r="E5782" s="279" t="s">
        <v>6108</v>
      </c>
      <c r="F5782" s="284">
        <f t="shared" ca="1" si="180"/>
        <v>8.2609102213043739E-2</v>
      </c>
      <c r="G5782" s="74">
        <v>38.16116403879996</v>
      </c>
      <c r="H5782" s="74">
        <f t="shared" si="181"/>
        <v>2.3332363045325621</v>
      </c>
    </row>
    <row r="5783" spans="5:8" ht="15.6">
      <c r="E5783" s="279" t="s">
        <v>6109</v>
      </c>
      <c r="F5783" s="284">
        <f t="shared" ca="1" si="180"/>
        <v>0.69023325618291731</v>
      </c>
      <c r="G5783" s="74">
        <v>36.074437122184378</v>
      </c>
      <c r="H5783" s="74">
        <f t="shared" si="181"/>
        <v>4.4199632211481443</v>
      </c>
    </row>
    <row r="5784" spans="5:8" ht="15.6">
      <c r="E5784" s="279" t="s">
        <v>6110</v>
      </c>
      <c r="F5784" s="284">
        <f t="shared" ca="1" si="180"/>
        <v>0.91515380015530701</v>
      </c>
      <c r="G5784" s="74">
        <v>41.346731881585526</v>
      </c>
      <c r="H5784" s="74">
        <f t="shared" si="181"/>
        <v>-0.85233153825300434</v>
      </c>
    </row>
    <row r="5785" spans="5:8" ht="15.6">
      <c r="E5785" s="279" t="s">
        <v>6111</v>
      </c>
      <c r="F5785" s="284">
        <f t="shared" ca="1" si="180"/>
        <v>0.53837954052759618</v>
      </c>
      <c r="G5785" s="74">
        <v>39.731076101939401</v>
      </c>
      <c r="H5785" s="74">
        <f t="shared" si="181"/>
        <v>0.76332424139312138</v>
      </c>
    </row>
    <row r="5786" spans="5:8" ht="15.6">
      <c r="E5786" s="279" t="s">
        <v>6112</v>
      </c>
      <c r="F5786" s="284">
        <f t="shared" ca="1" si="180"/>
        <v>0.83237793294175966</v>
      </c>
      <c r="G5786" s="74">
        <v>42.113640414902029</v>
      </c>
      <c r="H5786" s="74">
        <f t="shared" si="181"/>
        <v>-1.6192400715695072</v>
      </c>
    </row>
    <row r="5787" spans="5:8" ht="15.6">
      <c r="E5787" s="279" t="s">
        <v>6113</v>
      </c>
      <c r="F5787" s="284">
        <f t="shared" ca="1" si="180"/>
        <v>0.75781681056999683</v>
      </c>
      <c r="G5787" s="74">
        <v>39.583315971545396</v>
      </c>
      <c r="H5787" s="74">
        <f t="shared" si="181"/>
        <v>0.9110843717871262</v>
      </c>
    </row>
    <row r="5788" spans="5:8" ht="15.6">
      <c r="E5788" s="279" t="s">
        <v>6114</v>
      </c>
      <c r="F5788" s="284">
        <f t="shared" ca="1" si="180"/>
        <v>0.14839671120379305</v>
      </c>
      <c r="G5788" s="74">
        <v>40.003838989261851</v>
      </c>
      <c r="H5788" s="74">
        <f t="shared" si="181"/>
        <v>0.49056135407067103</v>
      </c>
    </row>
    <row r="5789" spans="5:8" ht="15.6">
      <c r="E5789" s="279" t="s">
        <v>6115</v>
      </c>
      <c r="F5789" s="284">
        <f t="shared" ca="1" si="180"/>
        <v>0.90888607740123106</v>
      </c>
      <c r="G5789" s="74">
        <v>37.873450152433954</v>
      </c>
      <c r="H5789" s="74">
        <f t="shared" si="181"/>
        <v>2.6209501908985686</v>
      </c>
    </row>
    <row r="5790" spans="5:8" ht="15.6">
      <c r="E5790" s="279" t="s">
        <v>6116</v>
      </c>
      <c r="F5790" s="284">
        <f t="shared" ca="1" si="180"/>
        <v>0.22959471863813607</v>
      </c>
      <c r="G5790" s="74">
        <v>38.370787235400499</v>
      </c>
      <c r="H5790" s="74">
        <f t="shared" si="181"/>
        <v>2.1236131079320231</v>
      </c>
    </row>
    <row r="5791" spans="5:8" ht="15.6">
      <c r="E5791" s="279" t="s">
        <v>6117</v>
      </c>
      <c r="F5791" s="284">
        <f t="shared" ca="1" si="180"/>
        <v>0.314958744575075</v>
      </c>
      <c r="G5791" s="74">
        <v>38.951429039600164</v>
      </c>
      <c r="H5791" s="74">
        <f t="shared" si="181"/>
        <v>1.542971303732358</v>
      </c>
    </row>
    <row r="5792" spans="5:8" ht="15.6">
      <c r="E5792" s="279" t="s">
        <v>6118</v>
      </c>
      <c r="F5792" s="284">
        <f t="shared" ca="1" si="180"/>
        <v>0.53118029391994992</v>
      </c>
      <c r="G5792" s="74">
        <v>41.811580338806628</v>
      </c>
      <c r="H5792" s="74">
        <f t="shared" si="181"/>
        <v>-1.3171799954741061</v>
      </c>
    </row>
    <row r="5793" spans="5:8" ht="15.6">
      <c r="E5793" s="279" t="s">
        <v>6119</v>
      </c>
      <c r="F5793" s="284">
        <f t="shared" ca="1" si="180"/>
        <v>0.25912843708094901</v>
      </c>
      <c r="G5793" s="74">
        <v>34.719722640790877</v>
      </c>
      <c r="H5793" s="74">
        <f t="shared" si="181"/>
        <v>5.7746777025416449</v>
      </c>
    </row>
    <row r="5794" spans="5:8" ht="15.6">
      <c r="E5794" s="279" t="s">
        <v>6120</v>
      </c>
      <c r="F5794" s="284">
        <f t="shared" ca="1" si="180"/>
        <v>0.14640015913054261</v>
      </c>
      <c r="G5794" s="74">
        <v>40.805488140710409</v>
      </c>
      <c r="H5794" s="74">
        <f t="shared" si="181"/>
        <v>-0.31108779737788694</v>
      </c>
    </row>
    <row r="5795" spans="5:8" ht="15.6">
      <c r="E5795" s="279" t="s">
        <v>6121</v>
      </c>
      <c r="F5795" s="284">
        <f t="shared" ca="1" si="180"/>
        <v>0.93441154100592483</v>
      </c>
      <c r="G5795" s="74">
        <v>41.830617007488279</v>
      </c>
      <c r="H5795" s="74">
        <f t="shared" si="181"/>
        <v>-1.3362166641557565</v>
      </c>
    </row>
    <row r="5796" spans="5:8" ht="15.6">
      <c r="E5796" s="279" t="s">
        <v>6122</v>
      </c>
      <c r="F5796" s="284">
        <f t="shared" ca="1" si="180"/>
        <v>0.53026916614508224</v>
      </c>
      <c r="G5796" s="74">
        <v>40.256069988962011</v>
      </c>
      <c r="H5796" s="74">
        <f t="shared" si="181"/>
        <v>0.23833035437051109</v>
      </c>
    </row>
    <row r="5797" spans="5:8" ht="15.6">
      <c r="E5797" s="279" t="s">
        <v>6123</v>
      </c>
      <c r="F5797" s="284">
        <f t="shared" ca="1" si="180"/>
        <v>0.3148494851264948</v>
      </c>
      <c r="G5797" s="74">
        <v>37.970439420646223</v>
      </c>
      <c r="H5797" s="74">
        <f t="shared" si="181"/>
        <v>2.5239609226862996</v>
      </c>
    </row>
    <row r="5798" spans="5:8" ht="15.6">
      <c r="E5798" s="279" t="s">
        <v>6124</v>
      </c>
      <c r="F5798" s="284">
        <f t="shared" ca="1" si="180"/>
        <v>0.87582210724290865</v>
      </c>
      <c r="G5798" s="74">
        <v>39.617070444486359</v>
      </c>
      <c r="H5798" s="74">
        <f t="shared" si="181"/>
        <v>0.8773298988461633</v>
      </c>
    </row>
    <row r="5799" spans="5:8" ht="15.6">
      <c r="E5799" s="279" t="s">
        <v>6125</v>
      </c>
      <c r="F5799" s="284">
        <f t="shared" ca="1" si="180"/>
        <v>0.15632040029514915</v>
      </c>
      <c r="G5799" s="74">
        <v>34.699423421605275</v>
      </c>
      <c r="H5799" s="74">
        <f t="shared" si="181"/>
        <v>5.7949769217272475</v>
      </c>
    </row>
    <row r="5800" spans="5:8" ht="15.6">
      <c r="E5800" s="279" t="s">
        <v>6126</v>
      </c>
      <c r="F5800" s="284">
        <f t="shared" ca="1" si="180"/>
        <v>0.69291258741188499</v>
      </c>
      <c r="G5800" s="74">
        <v>36.725222108264333</v>
      </c>
      <c r="H5800" s="74">
        <f t="shared" si="181"/>
        <v>3.7691782350681891</v>
      </c>
    </row>
    <row r="5801" spans="5:8" ht="15.6">
      <c r="E5801" s="279" t="s">
        <v>6127</v>
      </c>
      <c r="F5801" s="284">
        <f t="shared" ca="1" si="180"/>
        <v>0.12742439893910829</v>
      </c>
      <c r="G5801" s="74">
        <v>41.543753583592114</v>
      </c>
      <c r="H5801" s="74">
        <f t="shared" si="181"/>
        <v>-1.0493532402595918</v>
      </c>
    </row>
    <row r="5802" spans="5:8" ht="15.6">
      <c r="E5802" s="279" t="s">
        <v>6128</v>
      </c>
      <c r="F5802" s="284">
        <f t="shared" ca="1" si="180"/>
        <v>0.46288448791250192</v>
      </c>
      <c r="G5802" s="74">
        <v>39.786542790199299</v>
      </c>
      <c r="H5802" s="74">
        <f t="shared" si="181"/>
        <v>0.7078575531332234</v>
      </c>
    </row>
    <row r="5803" spans="5:8" ht="15.6">
      <c r="E5803" s="279" t="s">
        <v>6129</v>
      </c>
      <c r="F5803" s="284">
        <f t="shared" ca="1" si="180"/>
        <v>0.10393476395758994</v>
      </c>
      <c r="G5803" s="74">
        <v>42.86799813771087</v>
      </c>
      <c r="H5803" s="74">
        <f t="shared" si="181"/>
        <v>-2.3735977943783482</v>
      </c>
    </row>
    <row r="5804" spans="5:8" ht="15.6">
      <c r="E5804" s="279" t="s">
        <v>6130</v>
      </c>
      <c r="F5804" s="284">
        <f t="shared" ca="1" si="180"/>
        <v>0.11453310136785022</v>
      </c>
      <c r="G5804" s="74">
        <v>37.517492561020312</v>
      </c>
      <c r="H5804" s="74">
        <f t="shared" si="181"/>
        <v>2.9769077823122103</v>
      </c>
    </row>
    <row r="5805" spans="5:8" ht="15.6">
      <c r="E5805" s="279" t="s">
        <v>6131</v>
      </c>
      <c r="F5805" s="284">
        <f t="shared" ca="1" si="180"/>
        <v>0.31486944281387486</v>
      </c>
      <c r="G5805" s="74">
        <v>40.17785072041589</v>
      </c>
      <c r="H5805" s="74">
        <f t="shared" si="181"/>
        <v>0.31654962291663225</v>
      </c>
    </row>
    <row r="5806" spans="5:8" ht="15.6">
      <c r="E5806" s="279" t="s">
        <v>6132</v>
      </c>
      <c r="F5806" s="284">
        <f t="shared" ca="1" si="180"/>
        <v>0.96169181041306395</v>
      </c>
      <c r="G5806" s="74">
        <v>42.794178717382103</v>
      </c>
      <c r="H5806" s="74">
        <f t="shared" si="181"/>
        <v>-2.2997783740495805</v>
      </c>
    </row>
    <row r="5807" spans="5:8" ht="15.6">
      <c r="E5807" s="279" t="s">
        <v>6133</v>
      </c>
      <c r="F5807" s="284">
        <f t="shared" ca="1" si="180"/>
        <v>6.5101747409286648E-2</v>
      </c>
      <c r="G5807" s="74">
        <v>38.821678134345241</v>
      </c>
      <c r="H5807" s="74">
        <f t="shared" si="181"/>
        <v>1.6727222089872811</v>
      </c>
    </row>
    <row r="5808" spans="5:8" ht="15.6">
      <c r="E5808" s="279" t="s">
        <v>6134</v>
      </c>
      <c r="F5808" s="284">
        <f t="shared" ca="1" si="180"/>
        <v>8.4184377221762641E-2</v>
      </c>
      <c r="G5808" s="74">
        <v>42.227467261805806</v>
      </c>
      <c r="H5808" s="74">
        <f t="shared" si="181"/>
        <v>-1.7330669184732841</v>
      </c>
    </row>
    <row r="5809" spans="5:8" ht="15.6">
      <c r="E5809" s="279" t="s">
        <v>6135</v>
      </c>
      <c r="F5809" s="284">
        <f t="shared" ca="1" si="180"/>
        <v>0.77582148509437354</v>
      </c>
      <c r="G5809" s="74">
        <v>42.027398280316433</v>
      </c>
      <c r="H5809" s="74">
        <f t="shared" si="181"/>
        <v>-1.5329979369839108</v>
      </c>
    </row>
    <row r="5810" spans="5:8" ht="15.6">
      <c r="E5810" s="279" t="s">
        <v>6136</v>
      </c>
      <c r="F5810" s="284">
        <f t="shared" ca="1" si="180"/>
        <v>0.62599327228571011</v>
      </c>
      <c r="G5810" s="74">
        <v>44.718200221535952</v>
      </c>
      <c r="H5810" s="74">
        <f t="shared" si="181"/>
        <v>-4.2237998782034296</v>
      </c>
    </row>
    <row r="5811" spans="5:8" ht="15.6">
      <c r="E5811" s="279" t="s">
        <v>6137</v>
      </c>
      <c r="F5811" s="284">
        <f t="shared" ca="1" si="180"/>
        <v>0.88290034608521728</v>
      </c>
      <c r="G5811" s="74">
        <v>36.987009672958948</v>
      </c>
      <c r="H5811" s="74">
        <f t="shared" si="181"/>
        <v>3.5073906703735744</v>
      </c>
    </row>
    <row r="5812" spans="5:8" ht="15.6">
      <c r="E5812" s="279" t="s">
        <v>6138</v>
      </c>
      <c r="F5812" s="284">
        <f t="shared" ca="1" si="180"/>
        <v>0.13031574721777917</v>
      </c>
      <c r="G5812" s="74">
        <v>39.024476943160721</v>
      </c>
      <c r="H5812" s="74">
        <f t="shared" si="181"/>
        <v>1.4699234001718011</v>
      </c>
    </row>
    <row r="5813" spans="5:8" ht="15.6">
      <c r="E5813" s="279" t="s">
        <v>6139</v>
      </c>
      <c r="F5813" s="284">
        <f t="shared" ca="1" si="180"/>
        <v>0.47375943341233906</v>
      </c>
      <c r="G5813" s="74">
        <v>40.309108036452571</v>
      </c>
      <c r="H5813" s="74">
        <f t="shared" si="181"/>
        <v>0.18529230687995124</v>
      </c>
    </row>
    <row r="5814" spans="5:8" ht="15.6">
      <c r="E5814" s="279" t="s">
        <v>6140</v>
      </c>
      <c r="F5814" s="284">
        <f t="shared" ca="1" si="180"/>
        <v>8.0873817993526331E-2</v>
      </c>
      <c r="G5814" s="74">
        <v>40.476056149175797</v>
      </c>
      <c r="H5814" s="74">
        <f t="shared" si="181"/>
        <v>1.834419415672528E-2</v>
      </c>
    </row>
    <row r="5815" spans="5:8" ht="15.6">
      <c r="E5815" s="279" t="s">
        <v>6141</v>
      </c>
      <c r="F5815" s="284">
        <f t="shared" ca="1" si="180"/>
        <v>0.64779961862409308</v>
      </c>
      <c r="G5815" s="74">
        <v>37.924071892348735</v>
      </c>
      <c r="H5815" s="74">
        <f t="shared" si="181"/>
        <v>2.5703284509837871</v>
      </c>
    </row>
    <row r="5816" spans="5:8" ht="15.6">
      <c r="E5816" s="279" t="s">
        <v>6142</v>
      </c>
      <c r="F5816" s="284">
        <f t="shared" ca="1" si="180"/>
        <v>0.43330696893018184</v>
      </c>
      <c r="G5816" s="74">
        <v>37.798618195980914</v>
      </c>
      <c r="H5816" s="74">
        <f t="shared" si="181"/>
        <v>2.6957821473516077</v>
      </c>
    </row>
    <row r="5817" spans="5:8" ht="15.6">
      <c r="E5817" s="279" t="s">
        <v>6143</v>
      </c>
      <c r="F5817" s="284">
        <f t="shared" ca="1" si="180"/>
        <v>0.84587882425777683</v>
      </c>
      <c r="G5817" s="74">
        <v>40.784603161932225</v>
      </c>
      <c r="H5817" s="74">
        <f t="shared" si="181"/>
        <v>-0.29020281859970254</v>
      </c>
    </row>
    <row r="5818" spans="5:8" ht="15.6">
      <c r="E5818" s="279" t="s">
        <v>6144</v>
      </c>
      <c r="F5818" s="284">
        <f t="shared" ca="1" si="180"/>
        <v>0.24700603492035478</v>
      </c>
      <c r="G5818" s="74">
        <v>38.780876995584194</v>
      </c>
      <c r="H5818" s="74">
        <f t="shared" si="181"/>
        <v>1.7135233477483283</v>
      </c>
    </row>
    <row r="5819" spans="5:8" ht="15.6">
      <c r="E5819" s="279" t="s">
        <v>6145</v>
      </c>
      <c r="F5819" s="284">
        <f t="shared" ca="1" si="180"/>
        <v>0.76340413203980939</v>
      </c>
      <c r="G5819" s="74">
        <v>37.914351922477522</v>
      </c>
      <c r="H5819" s="74">
        <f t="shared" si="181"/>
        <v>2.5800484208550003</v>
      </c>
    </row>
    <row r="5820" spans="5:8" ht="15.6">
      <c r="E5820" s="279" t="s">
        <v>6146</v>
      </c>
      <c r="F5820" s="284">
        <f t="shared" ca="1" si="180"/>
        <v>0.10699963398540657</v>
      </c>
      <c r="G5820" s="74">
        <v>41.63574225332659</v>
      </c>
      <c r="H5820" s="74">
        <f t="shared" si="181"/>
        <v>-1.1413419099940683</v>
      </c>
    </row>
    <row r="5821" spans="5:8" ht="15.6">
      <c r="E5821" s="279" t="s">
        <v>6147</v>
      </c>
      <c r="F5821" s="284">
        <f t="shared" ca="1" si="180"/>
        <v>0.52887336449208244</v>
      </c>
      <c r="G5821" s="74">
        <v>40.114358234985865</v>
      </c>
      <c r="H5821" s="74">
        <f t="shared" si="181"/>
        <v>0.38004210834665741</v>
      </c>
    </row>
    <row r="5822" spans="5:8" ht="15.6">
      <c r="E5822" s="279" t="s">
        <v>6148</v>
      </c>
      <c r="F5822" s="284">
        <f t="shared" ca="1" si="180"/>
        <v>0.39793067243270996</v>
      </c>
      <c r="G5822" s="74">
        <v>37.97374238181532</v>
      </c>
      <c r="H5822" s="74">
        <f t="shared" si="181"/>
        <v>2.5206579615172018</v>
      </c>
    </row>
    <row r="5823" spans="5:8" ht="15.6">
      <c r="E5823" s="279" t="s">
        <v>6149</v>
      </c>
      <c r="F5823" s="284">
        <f t="shared" ca="1" si="180"/>
        <v>0.10022291507654391</v>
      </c>
      <c r="G5823" s="74">
        <v>39.062955316535572</v>
      </c>
      <c r="H5823" s="74">
        <f t="shared" si="181"/>
        <v>1.4314450267969505</v>
      </c>
    </row>
    <row r="5824" spans="5:8" ht="15.6">
      <c r="E5824" s="279" t="s">
        <v>6150</v>
      </c>
      <c r="F5824" s="284">
        <f t="shared" ca="1" si="180"/>
        <v>0.31806451197965713</v>
      </c>
      <c r="G5824" s="74">
        <v>39.239376431734513</v>
      </c>
      <c r="H5824" s="74">
        <f t="shared" si="181"/>
        <v>1.2550239115980091</v>
      </c>
    </row>
    <row r="5825" spans="5:8" ht="15.6">
      <c r="E5825" s="279" t="s">
        <v>6151</v>
      </c>
      <c r="F5825" s="284">
        <f t="shared" ca="1" si="180"/>
        <v>0.79355669741527257</v>
      </c>
      <c r="G5825" s="74">
        <v>44.572066306997741</v>
      </c>
      <c r="H5825" s="74">
        <f t="shared" si="181"/>
        <v>-4.0776659636652184</v>
      </c>
    </row>
    <row r="5826" spans="5:8" ht="15.6">
      <c r="E5826" s="279" t="s">
        <v>6152</v>
      </c>
      <c r="F5826" s="284">
        <f t="shared" ca="1" si="180"/>
        <v>0.28656567993189452</v>
      </c>
      <c r="G5826" s="74">
        <v>40.066731907077155</v>
      </c>
      <c r="H5826" s="74">
        <f t="shared" si="181"/>
        <v>0.42766843625536666</v>
      </c>
    </row>
    <row r="5827" spans="5:8" ht="15.6">
      <c r="E5827" s="279" t="s">
        <v>6153</v>
      </c>
      <c r="F5827" s="284">
        <f t="shared" ca="1" si="180"/>
        <v>0.33166655210762508</v>
      </c>
      <c r="G5827" s="74">
        <v>38.125569503734013</v>
      </c>
      <c r="H5827" s="74">
        <f t="shared" si="181"/>
        <v>2.3688308395985089</v>
      </c>
    </row>
    <row r="5828" spans="5:8" ht="15.6">
      <c r="E5828" s="279" t="s">
        <v>6154</v>
      </c>
      <c r="F5828" s="284">
        <f t="shared" ca="1" si="180"/>
        <v>0.28575564354434779</v>
      </c>
      <c r="G5828" s="74">
        <v>38.611320275199134</v>
      </c>
      <c r="H5828" s="74">
        <f t="shared" si="181"/>
        <v>1.8830800681333884</v>
      </c>
    </row>
    <row r="5829" spans="5:8" ht="15.6">
      <c r="E5829" s="279" t="s">
        <v>6155</v>
      </c>
      <c r="F5829" s="284">
        <f t="shared" ca="1" si="180"/>
        <v>0.11844854737271149</v>
      </c>
      <c r="G5829" s="74">
        <v>38.574091373306146</v>
      </c>
      <c r="H5829" s="74">
        <f t="shared" si="181"/>
        <v>1.920308970026376</v>
      </c>
    </row>
    <row r="5830" spans="5:8" ht="15.6">
      <c r="E5830" s="279" t="s">
        <v>6156</v>
      </c>
      <c r="F5830" s="284">
        <f t="shared" ca="1" si="180"/>
        <v>0.11818110376856283</v>
      </c>
      <c r="G5830" s="74">
        <v>38.894428059500129</v>
      </c>
      <c r="H5830" s="74">
        <f t="shared" si="181"/>
        <v>1.5999722838323933</v>
      </c>
    </row>
    <row r="5831" spans="5:8" ht="15.6">
      <c r="E5831" s="279" t="s">
        <v>6157</v>
      </c>
      <c r="F5831" s="284">
        <f t="shared" ca="1" si="180"/>
        <v>0.54868282454556871</v>
      </c>
      <c r="G5831" s="74">
        <v>37.647024564632623</v>
      </c>
      <c r="H5831" s="74">
        <f t="shared" si="181"/>
        <v>2.8473757786998988</v>
      </c>
    </row>
    <row r="5832" spans="5:8" ht="15.6">
      <c r="E5832" s="279" t="s">
        <v>6158</v>
      </c>
      <c r="F5832" s="284">
        <f t="shared" ca="1" si="180"/>
        <v>0.65469690856104634</v>
      </c>
      <c r="G5832" s="74">
        <v>36.083392496662618</v>
      </c>
      <c r="H5832" s="74">
        <f t="shared" si="181"/>
        <v>4.4110078466699036</v>
      </c>
    </row>
    <row r="5833" spans="5:8" ht="15.6">
      <c r="E5833" s="279" t="s">
        <v>6159</v>
      </c>
      <c r="F5833" s="284">
        <f t="shared" ca="1" si="180"/>
        <v>0.97962278738001474</v>
      </c>
      <c r="G5833" s="74">
        <v>37.383712890158691</v>
      </c>
      <c r="H5833" s="74">
        <f t="shared" si="181"/>
        <v>3.1106874531738313</v>
      </c>
    </row>
    <row r="5834" spans="5:8" ht="15.6">
      <c r="E5834" s="279" t="s">
        <v>6160</v>
      </c>
      <c r="F5834" s="284">
        <f t="shared" ca="1" si="180"/>
        <v>0.83906391713014172</v>
      </c>
      <c r="G5834" s="74">
        <v>38.146829243969691</v>
      </c>
      <c r="H5834" s="74">
        <f t="shared" si="181"/>
        <v>2.3475710993628311</v>
      </c>
    </row>
    <row r="5835" spans="5:8" ht="15.6">
      <c r="E5835" s="279" t="s">
        <v>6161</v>
      </c>
      <c r="F5835" s="284">
        <f t="shared" ca="1" si="180"/>
        <v>0.40745776660741184</v>
      </c>
      <c r="G5835" s="74">
        <v>38.635651331119014</v>
      </c>
      <c r="H5835" s="74">
        <f t="shared" si="181"/>
        <v>1.858749012213508</v>
      </c>
    </row>
    <row r="5836" spans="5:8" ht="15.6">
      <c r="E5836" s="279" t="s">
        <v>6162</v>
      </c>
      <c r="F5836" s="284">
        <f t="shared" ref="F5836:F5899" ca="1" si="182">RAND()</f>
        <v>0.43268811698478571</v>
      </c>
      <c r="G5836" s="74">
        <v>39.711842347871162</v>
      </c>
      <c r="H5836" s="74">
        <f t="shared" ref="H5836:H5899" si="183">$D$2-G5836</f>
        <v>0.78255799546136018</v>
      </c>
    </row>
    <row r="5837" spans="5:8" ht="15.6">
      <c r="E5837" s="279" t="s">
        <v>6163</v>
      </c>
      <c r="F5837" s="284">
        <f t="shared" ca="1" si="182"/>
        <v>0.6495810223735714</v>
      </c>
      <c r="G5837" s="74">
        <v>36.773906126779352</v>
      </c>
      <c r="H5837" s="74">
        <f t="shared" si="183"/>
        <v>3.7204942165531705</v>
      </c>
    </row>
    <row r="5838" spans="5:8" ht="15.6">
      <c r="E5838" s="279" t="s">
        <v>6164</v>
      </c>
      <c r="F5838" s="284">
        <f t="shared" ca="1" si="182"/>
        <v>0.17509457485823177</v>
      </c>
      <c r="G5838" s="74">
        <v>40.320319737938767</v>
      </c>
      <c r="H5838" s="74">
        <f t="shared" si="183"/>
        <v>0.17408060539375469</v>
      </c>
    </row>
    <row r="5839" spans="5:8" ht="15.6">
      <c r="E5839" s="279" t="s">
        <v>6165</v>
      </c>
      <c r="F5839" s="284">
        <f t="shared" ca="1" si="182"/>
        <v>0.89994231421770143</v>
      </c>
      <c r="G5839" s="74">
        <v>39.939628778355491</v>
      </c>
      <c r="H5839" s="74">
        <f t="shared" si="183"/>
        <v>0.55477156497703106</v>
      </c>
    </row>
    <row r="5840" spans="5:8" ht="15.6">
      <c r="E5840" s="279" t="s">
        <v>6166</v>
      </c>
      <c r="F5840" s="284">
        <f t="shared" ca="1" si="182"/>
        <v>0.20938777723069535</v>
      </c>
      <c r="G5840" s="74">
        <v>42.468793815993862</v>
      </c>
      <c r="H5840" s="74">
        <f t="shared" si="183"/>
        <v>-1.9743934726613404</v>
      </c>
    </row>
    <row r="5841" spans="5:8" ht="15.6">
      <c r="E5841" s="279" t="s">
        <v>6167</v>
      </c>
      <c r="F5841" s="284">
        <f t="shared" ca="1" si="182"/>
        <v>2.5189857694425721E-2</v>
      </c>
      <c r="G5841" s="74">
        <v>42.734210102301702</v>
      </c>
      <c r="H5841" s="74">
        <f t="shared" si="183"/>
        <v>-2.2398097589691801</v>
      </c>
    </row>
    <row r="5842" spans="5:8" ht="15.6">
      <c r="E5842" s="279" t="s">
        <v>6168</v>
      </c>
      <c r="F5842" s="284">
        <f t="shared" ca="1" si="182"/>
        <v>0.54777820258056498</v>
      </c>
      <c r="G5842" s="74">
        <v>36.771554714599006</v>
      </c>
      <c r="H5842" s="74">
        <f t="shared" si="183"/>
        <v>3.7228456287335163</v>
      </c>
    </row>
    <row r="5843" spans="5:8" ht="15.6">
      <c r="E5843" s="279" t="s">
        <v>6169</v>
      </c>
      <c r="F5843" s="284">
        <f t="shared" ca="1" si="182"/>
        <v>0.15645924229700692</v>
      </c>
      <c r="G5843" s="74">
        <v>36.639204463508385</v>
      </c>
      <c r="H5843" s="74">
        <f t="shared" si="183"/>
        <v>3.8551958798241373</v>
      </c>
    </row>
    <row r="5844" spans="5:8" ht="15.6">
      <c r="E5844" s="279" t="s">
        <v>6170</v>
      </c>
      <c r="F5844" s="284">
        <f t="shared" ca="1" si="182"/>
        <v>0.19560395800931529</v>
      </c>
      <c r="G5844" s="74">
        <v>38.357693226552279</v>
      </c>
      <c r="H5844" s="74">
        <f t="shared" si="183"/>
        <v>2.1367071167802436</v>
      </c>
    </row>
    <row r="5845" spans="5:8" ht="15.6">
      <c r="E5845" s="279" t="s">
        <v>6171</v>
      </c>
      <c r="F5845" s="284">
        <f t="shared" ca="1" si="182"/>
        <v>0.78151308436685074</v>
      </c>
      <c r="G5845" s="74">
        <v>41.988834483465013</v>
      </c>
      <c r="H5845" s="74">
        <f t="shared" si="183"/>
        <v>-1.4944341401324905</v>
      </c>
    </row>
    <row r="5846" spans="5:8" ht="15.6">
      <c r="E5846" s="279" t="s">
        <v>6172</v>
      </c>
      <c r="F5846" s="284">
        <f t="shared" ca="1" si="182"/>
        <v>0.29516653627478828</v>
      </c>
      <c r="G5846" s="74">
        <v>42.844601533532028</v>
      </c>
      <c r="H5846" s="74">
        <f t="shared" si="183"/>
        <v>-2.3502011901995061</v>
      </c>
    </row>
    <row r="5847" spans="5:8" ht="15.6">
      <c r="E5847" s="279" t="s">
        <v>6173</v>
      </c>
      <c r="F5847" s="284">
        <f t="shared" ca="1" si="182"/>
        <v>0.46404899970930957</v>
      </c>
      <c r="G5847" s="74">
        <v>41.387295993122265</v>
      </c>
      <c r="H5847" s="74">
        <f t="shared" si="183"/>
        <v>-0.89289564978974312</v>
      </c>
    </row>
    <row r="5848" spans="5:8" ht="15.6">
      <c r="E5848" s="279" t="s">
        <v>6174</v>
      </c>
      <c r="F5848" s="284">
        <f t="shared" ca="1" si="182"/>
        <v>0.52973482372285285</v>
      </c>
      <c r="G5848" s="74">
        <v>34.44445650061602</v>
      </c>
      <c r="H5848" s="74">
        <f t="shared" si="183"/>
        <v>6.0499438427165018</v>
      </c>
    </row>
    <row r="5849" spans="5:8" ht="15.6">
      <c r="E5849" s="279" t="s">
        <v>6175</v>
      </c>
      <c r="F5849" s="284">
        <f t="shared" ca="1" si="182"/>
        <v>0.33978204192200723</v>
      </c>
      <c r="G5849" s="74">
        <v>35.714888719777463</v>
      </c>
      <c r="H5849" s="74">
        <f t="shared" si="183"/>
        <v>4.7795116235550594</v>
      </c>
    </row>
    <row r="5850" spans="5:8" ht="15.6">
      <c r="E5850" s="279" t="s">
        <v>6176</v>
      </c>
      <c r="F5850" s="284">
        <f t="shared" ca="1" si="182"/>
        <v>0.17145530514328988</v>
      </c>
      <c r="G5850" s="74">
        <v>43.571342684675201</v>
      </c>
      <c r="H5850" s="74">
        <f t="shared" si="183"/>
        <v>-3.0769423413426793</v>
      </c>
    </row>
    <row r="5851" spans="5:8" ht="15.6">
      <c r="E5851" s="279" t="s">
        <v>6177</v>
      </c>
      <c r="F5851" s="284">
        <f t="shared" ca="1" si="182"/>
        <v>0.88774125417816141</v>
      </c>
      <c r="G5851" s="74">
        <v>36.304382043328914</v>
      </c>
      <c r="H5851" s="74">
        <f t="shared" si="183"/>
        <v>4.190018300003608</v>
      </c>
    </row>
    <row r="5852" spans="5:8" ht="15.6">
      <c r="E5852" s="279" t="s">
        <v>6178</v>
      </c>
      <c r="F5852" s="284">
        <f t="shared" ca="1" si="182"/>
        <v>0.76656531850462339</v>
      </c>
      <c r="G5852" s="74">
        <v>39.019526903540502</v>
      </c>
      <c r="H5852" s="74">
        <f t="shared" si="183"/>
        <v>1.4748734397920202</v>
      </c>
    </row>
    <row r="5853" spans="5:8" ht="15.6">
      <c r="E5853" s="279" t="s">
        <v>6179</v>
      </c>
      <c r="F5853" s="284">
        <f t="shared" ca="1" si="182"/>
        <v>0.85653387603983344</v>
      </c>
      <c r="G5853" s="74">
        <v>41.407505806171386</v>
      </c>
      <c r="H5853" s="74">
        <f t="shared" si="183"/>
        <v>-0.91310546283886396</v>
      </c>
    </row>
    <row r="5854" spans="5:8" ht="15.6">
      <c r="E5854" s="279" t="s">
        <v>6180</v>
      </c>
      <c r="F5854" s="284">
        <f t="shared" ca="1" si="182"/>
        <v>0.99068387318165541</v>
      </c>
      <c r="G5854" s="74">
        <v>38.791213432031284</v>
      </c>
      <c r="H5854" s="74">
        <f t="shared" si="183"/>
        <v>1.7031869113012377</v>
      </c>
    </row>
    <row r="5855" spans="5:8" ht="15.6">
      <c r="E5855" s="279" t="s">
        <v>6181</v>
      </c>
      <c r="F5855" s="284">
        <f t="shared" ca="1" si="182"/>
        <v>0.6380071250392495</v>
      </c>
      <c r="G5855" s="74">
        <v>37.687951718058649</v>
      </c>
      <c r="H5855" s="74">
        <f t="shared" si="183"/>
        <v>2.8064486252738732</v>
      </c>
    </row>
    <row r="5856" spans="5:8" ht="15.6">
      <c r="E5856" s="279" t="s">
        <v>6182</v>
      </c>
      <c r="F5856" s="284">
        <f t="shared" ca="1" si="182"/>
        <v>0.78484125768025215</v>
      </c>
      <c r="G5856" s="74">
        <v>35.319158299900515</v>
      </c>
      <c r="H5856" s="74">
        <f t="shared" si="183"/>
        <v>5.1752420434320072</v>
      </c>
    </row>
    <row r="5857" spans="5:8" ht="15.6">
      <c r="E5857" s="279" t="s">
        <v>6183</v>
      </c>
      <c r="F5857" s="284">
        <f t="shared" ca="1" si="182"/>
        <v>0.71322523925877168</v>
      </c>
      <c r="G5857" s="74">
        <v>38.609898903951311</v>
      </c>
      <c r="H5857" s="74">
        <f t="shared" si="183"/>
        <v>1.8845014393812107</v>
      </c>
    </row>
    <row r="5858" spans="5:8" ht="15.6">
      <c r="E5858" s="279" t="s">
        <v>6184</v>
      </c>
      <c r="F5858" s="284">
        <f t="shared" ca="1" si="182"/>
        <v>0.68783228784024475</v>
      </c>
      <c r="G5858" s="74">
        <v>40.042714373484799</v>
      </c>
      <c r="H5858" s="74">
        <f t="shared" si="183"/>
        <v>0.45168596984772336</v>
      </c>
    </row>
    <row r="5859" spans="5:8" ht="15.6">
      <c r="E5859" s="279" t="s">
        <v>6185</v>
      </c>
      <c r="F5859" s="284">
        <f t="shared" ca="1" si="182"/>
        <v>0.1246931064211152</v>
      </c>
      <c r="G5859" s="74">
        <v>41.561960550086241</v>
      </c>
      <c r="H5859" s="74">
        <f t="shared" si="183"/>
        <v>-1.0675602067537184</v>
      </c>
    </row>
    <row r="5860" spans="5:8" ht="15.6">
      <c r="E5860" s="279" t="s">
        <v>6186</v>
      </c>
      <c r="F5860" s="284">
        <f t="shared" ca="1" si="182"/>
        <v>0.73906059514854472</v>
      </c>
      <c r="G5860" s="74">
        <v>38.385700562784947</v>
      </c>
      <c r="H5860" s="74">
        <f t="shared" si="183"/>
        <v>2.1086997805475747</v>
      </c>
    </row>
    <row r="5861" spans="5:8" ht="15.6">
      <c r="E5861" s="279" t="s">
        <v>6187</v>
      </c>
      <c r="F5861" s="284">
        <f t="shared" ca="1" si="182"/>
        <v>0.72122080043881753</v>
      </c>
      <c r="G5861" s="74">
        <v>38.899074246216266</v>
      </c>
      <c r="H5861" s="74">
        <f t="shared" si="183"/>
        <v>1.5953260971162564</v>
      </c>
    </row>
    <row r="5862" spans="5:8" ht="15.6">
      <c r="E5862" s="279" t="s">
        <v>6188</v>
      </c>
      <c r="F5862" s="284">
        <f t="shared" ca="1" si="182"/>
        <v>0.46568900948438685</v>
      </c>
      <c r="G5862" s="74">
        <v>43.401222745002954</v>
      </c>
      <c r="H5862" s="74">
        <f t="shared" si="183"/>
        <v>-2.906822401670432</v>
      </c>
    </row>
    <row r="5863" spans="5:8" ht="15.6">
      <c r="E5863" s="279" t="s">
        <v>6189</v>
      </c>
      <c r="F5863" s="284">
        <f t="shared" ca="1" si="182"/>
        <v>0.28490961550447136</v>
      </c>
      <c r="G5863" s="74">
        <v>38.782569978935086</v>
      </c>
      <c r="H5863" s="74">
        <f t="shared" si="183"/>
        <v>1.7118303643974357</v>
      </c>
    </row>
    <row r="5864" spans="5:8" ht="15.6">
      <c r="E5864" s="279" t="s">
        <v>6190</v>
      </c>
      <c r="F5864" s="284">
        <f t="shared" ca="1" si="182"/>
        <v>0.71561943134637862</v>
      </c>
      <c r="G5864" s="74">
        <v>37.082762786691774</v>
      </c>
      <c r="H5864" s="74">
        <f t="shared" si="183"/>
        <v>3.4116375566407484</v>
      </c>
    </row>
    <row r="5865" spans="5:8" ht="15.6">
      <c r="E5865" s="279" t="s">
        <v>6191</v>
      </c>
      <c r="F5865" s="284">
        <f t="shared" ca="1" si="182"/>
        <v>0.6147262935158414</v>
      </c>
      <c r="G5865" s="74">
        <v>37.32440650974371</v>
      </c>
      <c r="H5865" s="74">
        <f t="shared" si="183"/>
        <v>3.169993833588812</v>
      </c>
    </row>
    <row r="5866" spans="5:8" ht="15.6">
      <c r="E5866" s="279" t="s">
        <v>6192</v>
      </c>
      <c r="F5866" s="284">
        <f t="shared" ca="1" si="182"/>
        <v>0.31244024412746807</v>
      </c>
      <c r="G5866" s="74">
        <v>38.36398886175003</v>
      </c>
      <c r="H5866" s="74">
        <f t="shared" si="183"/>
        <v>2.1304114815824917</v>
      </c>
    </row>
    <row r="5867" spans="5:8" ht="15.6">
      <c r="E5867" s="279" t="s">
        <v>6193</v>
      </c>
      <c r="F5867" s="284">
        <f t="shared" ca="1" si="182"/>
        <v>0.94837581165349549</v>
      </c>
      <c r="G5867" s="74">
        <v>37.551527288236429</v>
      </c>
      <c r="H5867" s="74">
        <f t="shared" si="183"/>
        <v>2.9428730550960935</v>
      </c>
    </row>
    <row r="5868" spans="5:8" ht="15.6">
      <c r="E5868" s="279" t="s">
        <v>6194</v>
      </c>
      <c r="F5868" s="284">
        <f t="shared" ca="1" si="182"/>
        <v>0.90805080956759732</v>
      </c>
      <c r="G5868" s="74">
        <v>37.560027906636677</v>
      </c>
      <c r="H5868" s="74">
        <f t="shared" si="183"/>
        <v>2.9343724366958455</v>
      </c>
    </row>
    <row r="5869" spans="5:8" ht="15.6">
      <c r="E5869" s="279" t="s">
        <v>6195</v>
      </c>
      <c r="F5869" s="284">
        <f t="shared" ca="1" si="182"/>
        <v>0.52118030982947849</v>
      </c>
      <c r="G5869" s="74">
        <v>39.88938002051966</v>
      </c>
      <c r="H5869" s="74">
        <f t="shared" si="183"/>
        <v>0.60502032281286233</v>
      </c>
    </row>
    <row r="5870" spans="5:8" ht="15.6">
      <c r="E5870" s="279" t="s">
        <v>6196</v>
      </c>
      <c r="F5870" s="284">
        <f t="shared" ca="1" si="182"/>
        <v>0.37353523021019264</v>
      </c>
      <c r="G5870" s="74">
        <v>45.983230433293976</v>
      </c>
      <c r="H5870" s="74">
        <f t="shared" si="183"/>
        <v>-5.4888300899614535</v>
      </c>
    </row>
    <row r="5871" spans="5:8" ht="15.6">
      <c r="E5871" s="279" t="s">
        <v>6197</v>
      </c>
      <c r="F5871" s="284">
        <f t="shared" ca="1" si="182"/>
        <v>0.81314174877768353</v>
      </c>
      <c r="G5871" s="74">
        <v>38.142248184909015</v>
      </c>
      <c r="H5871" s="74">
        <f t="shared" si="183"/>
        <v>2.3521521584235074</v>
      </c>
    </row>
    <row r="5872" spans="5:8" ht="15.6">
      <c r="E5872" s="279" t="s">
        <v>6198</v>
      </c>
      <c r="F5872" s="284">
        <f t="shared" ca="1" si="182"/>
        <v>0.57152381482233194</v>
      </c>
      <c r="G5872" s="74">
        <v>40.995591928917236</v>
      </c>
      <c r="H5872" s="74">
        <f t="shared" si="183"/>
        <v>-0.50119158558471355</v>
      </c>
    </row>
    <row r="5873" spans="5:8" ht="15.6">
      <c r="E5873" s="279" t="s">
        <v>6199</v>
      </c>
      <c r="F5873" s="284">
        <f t="shared" ca="1" si="182"/>
        <v>0.8159004067856187</v>
      </c>
      <c r="G5873" s="74">
        <v>38.902106686984894</v>
      </c>
      <c r="H5873" s="74">
        <f t="shared" si="183"/>
        <v>1.5922936563476284</v>
      </c>
    </row>
    <row r="5874" spans="5:8" ht="15.6">
      <c r="E5874" s="279" t="s">
        <v>6200</v>
      </c>
      <c r="F5874" s="284">
        <f t="shared" ca="1" si="182"/>
        <v>0.80966506022293649</v>
      </c>
      <c r="G5874" s="74">
        <v>41.641730629902753</v>
      </c>
      <c r="H5874" s="74">
        <f t="shared" si="183"/>
        <v>-1.1473302865702308</v>
      </c>
    </row>
    <row r="5875" spans="5:8" ht="15.6">
      <c r="E5875" s="279" t="s">
        <v>6201</v>
      </c>
      <c r="F5875" s="284">
        <f t="shared" ca="1" si="182"/>
        <v>0.15145477581075495</v>
      </c>
      <c r="G5875" s="74">
        <v>34.752492275222004</v>
      </c>
      <c r="H5875" s="74">
        <f t="shared" si="183"/>
        <v>5.7419080681105186</v>
      </c>
    </row>
    <row r="5876" spans="5:8" ht="15.6">
      <c r="E5876" s="279" t="s">
        <v>6202</v>
      </c>
      <c r="F5876" s="284">
        <f t="shared" ca="1" si="182"/>
        <v>0.97629678124989228</v>
      </c>
      <c r="G5876" s="74">
        <v>39.373945631153205</v>
      </c>
      <c r="H5876" s="74">
        <f t="shared" si="183"/>
        <v>1.1204547121793169</v>
      </c>
    </row>
    <row r="5877" spans="5:8" ht="15.6">
      <c r="E5877" s="279" t="s">
        <v>6203</v>
      </c>
      <c r="F5877" s="284">
        <f t="shared" ca="1" si="182"/>
        <v>0.76602246307032484</v>
      </c>
      <c r="G5877" s="74">
        <v>37.260775767430957</v>
      </c>
      <c r="H5877" s="74">
        <f t="shared" si="183"/>
        <v>3.2336245759015654</v>
      </c>
    </row>
    <row r="5878" spans="5:8" ht="15.6">
      <c r="E5878" s="279" t="s">
        <v>6204</v>
      </c>
      <c r="F5878" s="284">
        <f t="shared" ca="1" si="182"/>
        <v>0.41851093409303852</v>
      </c>
      <c r="G5878" s="74">
        <v>36.538751590540556</v>
      </c>
      <c r="H5878" s="74">
        <f t="shared" si="183"/>
        <v>3.9556487527919657</v>
      </c>
    </row>
    <row r="5879" spans="5:8" ht="15.6">
      <c r="E5879" s="279" t="s">
        <v>6205</v>
      </c>
      <c r="F5879" s="284">
        <f t="shared" ca="1" si="182"/>
        <v>0.20544433883635249</v>
      </c>
      <c r="G5879" s="74">
        <v>38.555067425463761</v>
      </c>
      <c r="H5879" s="74">
        <f t="shared" si="183"/>
        <v>1.9393329178687608</v>
      </c>
    </row>
    <row r="5880" spans="5:8" ht="15.6">
      <c r="E5880" s="279" t="s">
        <v>6206</v>
      </c>
      <c r="F5880" s="284">
        <f t="shared" ca="1" si="182"/>
        <v>0.36019071543730774</v>
      </c>
      <c r="G5880" s="74">
        <v>37.006584111292916</v>
      </c>
      <c r="H5880" s="74">
        <f t="shared" si="183"/>
        <v>3.4878162320396058</v>
      </c>
    </row>
    <row r="5881" spans="5:8" ht="15.6">
      <c r="E5881" s="279" t="s">
        <v>6207</v>
      </c>
      <c r="F5881" s="284">
        <f t="shared" ca="1" si="182"/>
        <v>0.16228034908412392</v>
      </c>
      <c r="G5881" s="74">
        <v>39.898748569131413</v>
      </c>
      <c r="H5881" s="74">
        <f t="shared" si="183"/>
        <v>0.59565177420110871</v>
      </c>
    </row>
    <row r="5882" spans="5:8" ht="15.6">
      <c r="E5882" s="279" t="s">
        <v>6208</v>
      </c>
      <c r="F5882" s="284">
        <f t="shared" ca="1" si="182"/>
        <v>0.14142783281019922</v>
      </c>
      <c r="G5882" s="74">
        <v>36.77786018629044</v>
      </c>
      <c r="H5882" s="74">
        <f t="shared" si="183"/>
        <v>3.7165401570420826</v>
      </c>
    </row>
    <row r="5883" spans="5:8" ht="15.6">
      <c r="E5883" s="279" t="s">
        <v>6209</v>
      </c>
      <c r="F5883" s="284">
        <f t="shared" ca="1" si="182"/>
        <v>0.15439241563004358</v>
      </c>
      <c r="G5883" s="74">
        <v>43.706241491725812</v>
      </c>
      <c r="H5883" s="74">
        <f t="shared" si="183"/>
        <v>-3.2118411483932903</v>
      </c>
    </row>
    <row r="5884" spans="5:8" ht="15.6">
      <c r="E5884" s="279" t="s">
        <v>6210</v>
      </c>
      <c r="F5884" s="284">
        <f t="shared" ca="1" si="182"/>
        <v>0.10541756360772814</v>
      </c>
      <c r="G5884" s="74">
        <v>40.519418337225005</v>
      </c>
      <c r="H5884" s="74">
        <f t="shared" si="183"/>
        <v>-2.5017993892483048E-2</v>
      </c>
    </row>
    <row r="5885" spans="5:8" ht="15.6">
      <c r="E5885" s="279" t="s">
        <v>6211</v>
      </c>
      <c r="F5885" s="284">
        <f t="shared" ca="1" si="182"/>
        <v>0.8565356917508854</v>
      </c>
      <c r="G5885" s="74">
        <v>39.70723414576036</v>
      </c>
      <c r="H5885" s="74">
        <f t="shared" si="183"/>
        <v>0.78716619757216222</v>
      </c>
    </row>
    <row r="5886" spans="5:8" ht="15.6">
      <c r="E5886" s="279" t="s">
        <v>6212</v>
      </c>
      <c r="F5886" s="284">
        <f t="shared" ca="1" si="182"/>
        <v>0.18641329333203327</v>
      </c>
      <c r="G5886" s="74">
        <v>36.572501817420338</v>
      </c>
      <c r="H5886" s="74">
        <f t="shared" si="183"/>
        <v>3.9218985259121837</v>
      </c>
    </row>
    <row r="5887" spans="5:8" ht="15.6">
      <c r="E5887" s="279" t="s">
        <v>6213</v>
      </c>
      <c r="F5887" s="284">
        <f t="shared" ca="1" si="182"/>
        <v>0.35183027499093666</v>
      </c>
      <c r="G5887" s="74">
        <v>40.039756266950157</v>
      </c>
      <c r="H5887" s="74">
        <f t="shared" si="183"/>
        <v>0.45464407638236537</v>
      </c>
    </row>
    <row r="5888" spans="5:8" ht="15.6">
      <c r="E5888" s="279" t="s">
        <v>6214</v>
      </c>
      <c r="F5888" s="284">
        <f t="shared" ca="1" si="182"/>
        <v>0.31898407122863193</v>
      </c>
      <c r="G5888" s="74">
        <v>37.980308040641539</v>
      </c>
      <c r="H5888" s="74">
        <f t="shared" si="183"/>
        <v>2.5140923026909832</v>
      </c>
    </row>
    <row r="5889" spans="5:8" ht="15.6">
      <c r="E5889" s="279" t="s">
        <v>6215</v>
      </c>
      <c r="F5889" s="284">
        <f t="shared" ca="1" si="182"/>
        <v>0.42008496224265346</v>
      </c>
      <c r="G5889" s="74">
        <v>39.775750637462863</v>
      </c>
      <c r="H5889" s="74">
        <f t="shared" si="183"/>
        <v>0.71864970586965882</v>
      </c>
    </row>
    <row r="5890" spans="5:8" ht="15.6">
      <c r="E5890" s="279" t="s">
        <v>6216</v>
      </c>
      <c r="F5890" s="284">
        <f t="shared" ca="1" si="182"/>
        <v>0.95166171012418921</v>
      </c>
      <c r="G5890" s="74">
        <v>46.037253596545305</v>
      </c>
      <c r="H5890" s="74">
        <f t="shared" si="183"/>
        <v>-5.5428532532127832</v>
      </c>
    </row>
    <row r="5891" spans="5:8" ht="15.6">
      <c r="E5891" s="279" t="s">
        <v>6217</v>
      </c>
      <c r="F5891" s="284">
        <f t="shared" ca="1" si="182"/>
        <v>0.58171729866935751</v>
      </c>
      <c r="G5891" s="74">
        <v>33.777610696224372</v>
      </c>
      <c r="H5891" s="74">
        <f t="shared" si="183"/>
        <v>6.7167896471081505</v>
      </c>
    </row>
    <row r="5892" spans="5:8" ht="15.6">
      <c r="E5892" s="279" t="s">
        <v>6218</v>
      </c>
      <c r="F5892" s="284">
        <f t="shared" ca="1" si="182"/>
        <v>0.7830895845364324</v>
      </c>
      <c r="G5892" s="74">
        <v>40.116731782471369</v>
      </c>
      <c r="H5892" s="74">
        <f t="shared" si="183"/>
        <v>0.37766856086115297</v>
      </c>
    </row>
    <row r="5893" spans="5:8" ht="15.6">
      <c r="E5893" s="279" t="s">
        <v>6219</v>
      </c>
      <c r="F5893" s="284">
        <f t="shared" ca="1" si="182"/>
        <v>0.3395288700062854</v>
      </c>
      <c r="G5893" s="74">
        <v>39.155389740823495</v>
      </c>
      <c r="H5893" s="74">
        <f t="shared" si="183"/>
        <v>1.3390106025090276</v>
      </c>
    </row>
    <row r="5894" spans="5:8" ht="15.6">
      <c r="E5894" s="279" t="s">
        <v>6220</v>
      </c>
      <c r="F5894" s="284">
        <f t="shared" ca="1" si="182"/>
        <v>0.57520122028627396</v>
      </c>
      <c r="G5894" s="74">
        <v>38.737507999933364</v>
      </c>
      <c r="H5894" s="74">
        <f t="shared" si="183"/>
        <v>1.7568923433991586</v>
      </c>
    </row>
    <row r="5895" spans="5:8" ht="15.6">
      <c r="E5895" s="279" t="s">
        <v>6221</v>
      </c>
      <c r="F5895" s="284">
        <f t="shared" ca="1" si="182"/>
        <v>0.96635338513202806</v>
      </c>
      <c r="G5895" s="74">
        <v>46.566129888259411</v>
      </c>
      <c r="H5895" s="74">
        <f t="shared" si="183"/>
        <v>-6.0717295449268889</v>
      </c>
    </row>
    <row r="5896" spans="5:8" ht="15.6">
      <c r="E5896" s="279" t="s">
        <v>6222</v>
      </c>
      <c r="F5896" s="284">
        <f t="shared" ca="1" si="182"/>
        <v>0.80630238709636404</v>
      </c>
      <c r="G5896" s="74">
        <v>36.3306684444902</v>
      </c>
      <c r="H5896" s="74">
        <f t="shared" si="183"/>
        <v>4.1637318988423218</v>
      </c>
    </row>
    <row r="5897" spans="5:8" ht="15.6">
      <c r="E5897" s="279" t="s">
        <v>6223</v>
      </c>
      <c r="F5897" s="284">
        <f t="shared" ca="1" si="182"/>
        <v>0.66867330115857004</v>
      </c>
      <c r="G5897" s="74">
        <v>37.71164365391315</v>
      </c>
      <c r="H5897" s="74">
        <f t="shared" si="183"/>
        <v>2.7827566894193723</v>
      </c>
    </row>
    <row r="5898" spans="5:8" ht="15.6">
      <c r="E5898" s="279" t="s">
        <v>6224</v>
      </c>
      <c r="F5898" s="284">
        <f t="shared" ca="1" si="182"/>
        <v>7.0836744282772091E-2</v>
      </c>
      <c r="G5898" s="74">
        <v>37.412655160234863</v>
      </c>
      <c r="H5898" s="74">
        <f t="shared" si="183"/>
        <v>3.0817451830976594</v>
      </c>
    </row>
    <row r="5899" spans="5:8" ht="15.6">
      <c r="E5899" s="279" t="s">
        <v>6225</v>
      </c>
      <c r="F5899" s="284">
        <f t="shared" ca="1" si="182"/>
        <v>0.77907292063998401</v>
      </c>
      <c r="G5899" s="74">
        <v>40.125742429852977</v>
      </c>
      <c r="H5899" s="74">
        <f t="shared" si="183"/>
        <v>0.36865791347954513</v>
      </c>
    </row>
    <row r="5900" spans="5:8" ht="15.6">
      <c r="E5900" s="279" t="s">
        <v>6226</v>
      </c>
      <c r="F5900" s="284">
        <f t="shared" ref="F5900:F5963" ca="1" si="184">RAND()</f>
        <v>0.7776010907810692</v>
      </c>
      <c r="G5900" s="74">
        <v>35.238734411425646</v>
      </c>
      <c r="H5900" s="74">
        <f t="shared" ref="H5900:H5963" si="185">$D$2-G5900</f>
        <v>5.2556659319068757</v>
      </c>
    </row>
    <row r="5901" spans="5:8" ht="15.6">
      <c r="E5901" s="279" t="s">
        <v>6227</v>
      </c>
      <c r="F5901" s="284">
        <f t="shared" ca="1" si="184"/>
        <v>0.30203093323976404</v>
      </c>
      <c r="G5901" s="74">
        <v>36.885088282245675</v>
      </c>
      <c r="H5901" s="74">
        <f t="shared" si="185"/>
        <v>3.6093120610868468</v>
      </c>
    </row>
    <row r="5902" spans="5:8" ht="15.6">
      <c r="E5902" s="279" t="s">
        <v>6228</v>
      </c>
      <c r="F5902" s="284">
        <f t="shared" ca="1" si="184"/>
        <v>0.65126435529684756</v>
      </c>
      <c r="G5902" s="74">
        <v>39.421625718363877</v>
      </c>
      <c r="H5902" s="74">
        <f t="shared" si="185"/>
        <v>1.0727746249686447</v>
      </c>
    </row>
    <row r="5903" spans="5:8" ht="15.6">
      <c r="E5903" s="279" t="s">
        <v>6229</v>
      </c>
      <c r="F5903" s="284">
        <f t="shared" ca="1" si="184"/>
        <v>0.36726214143199565</v>
      </c>
      <c r="G5903" s="74">
        <v>42.250518608220652</v>
      </c>
      <c r="H5903" s="74">
        <f t="shared" si="185"/>
        <v>-1.7561182648881299</v>
      </c>
    </row>
    <row r="5904" spans="5:8" ht="15.6">
      <c r="E5904" s="279" t="s">
        <v>6230</v>
      </c>
      <c r="F5904" s="284">
        <f t="shared" ca="1" si="184"/>
        <v>0.35388525602383303</v>
      </c>
      <c r="G5904" s="74">
        <v>38.73353262598912</v>
      </c>
      <c r="H5904" s="74">
        <f t="shared" si="185"/>
        <v>1.7608677173434018</v>
      </c>
    </row>
    <row r="5905" spans="5:8" ht="15.6">
      <c r="E5905" s="279" t="s">
        <v>6231</v>
      </c>
      <c r="F5905" s="284">
        <f t="shared" ca="1" si="184"/>
        <v>0.34996146962936459</v>
      </c>
      <c r="G5905" s="74">
        <v>38.95310207171655</v>
      </c>
      <c r="H5905" s="74">
        <f t="shared" si="185"/>
        <v>1.5412982716159718</v>
      </c>
    </row>
    <row r="5906" spans="5:8" ht="15.6">
      <c r="E5906" s="279" t="s">
        <v>6232</v>
      </c>
      <c r="F5906" s="284">
        <f t="shared" ca="1" si="184"/>
        <v>0.99376337841164997</v>
      </c>
      <c r="G5906" s="74">
        <v>37.192411944477016</v>
      </c>
      <c r="H5906" s="74">
        <f t="shared" si="185"/>
        <v>3.3019883988555065</v>
      </c>
    </row>
    <row r="5907" spans="5:8" ht="15.6">
      <c r="E5907" s="279" t="s">
        <v>6233</v>
      </c>
      <c r="F5907" s="284">
        <f t="shared" ca="1" si="184"/>
        <v>0.6933679548331908</v>
      </c>
      <c r="G5907" s="74">
        <v>36.909822854519838</v>
      </c>
      <c r="H5907" s="74">
        <f t="shared" si="185"/>
        <v>3.584577488812684</v>
      </c>
    </row>
    <row r="5908" spans="5:8" ht="15.6">
      <c r="E5908" s="279" t="s">
        <v>6234</v>
      </c>
      <c r="F5908" s="284">
        <f t="shared" ca="1" si="184"/>
        <v>0.29746902134251374</v>
      </c>
      <c r="G5908" s="74">
        <v>41.796122110507078</v>
      </c>
      <c r="H5908" s="74">
        <f t="shared" si="185"/>
        <v>-1.3017217671745556</v>
      </c>
    </row>
    <row r="5909" spans="5:8" ht="15.6">
      <c r="E5909" s="279" t="s">
        <v>6235</v>
      </c>
      <c r="F5909" s="284">
        <f t="shared" ca="1" si="184"/>
        <v>0.4554025572650614</v>
      </c>
      <c r="G5909" s="74">
        <v>39.243383720888872</v>
      </c>
      <c r="H5909" s="74">
        <f t="shared" si="185"/>
        <v>1.2510166224436503</v>
      </c>
    </row>
    <row r="5910" spans="5:8" ht="15.6">
      <c r="E5910" s="279" t="s">
        <v>6236</v>
      </c>
      <c r="F5910" s="284">
        <f t="shared" ca="1" si="184"/>
        <v>0.16976600176190748</v>
      </c>
      <c r="G5910" s="74">
        <v>39.840739223794152</v>
      </c>
      <c r="H5910" s="74">
        <f t="shared" si="185"/>
        <v>0.65366111953836992</v>
      </c>
    </row>
    <row r="5911" spans="5:8" ht="15.6">
      <c r="E5911" s="279" t="s">
        <v>6237</v>
      </c>
      <c r="F5911" s="284">
        <f t="shared" ca="1" si="184"/>
        <v>0.38450689791186798</v>
      </c>
      <c r="G5911" s="74">
        <v>39.430076197537957</v>
      </c>
      <c r="H5911" s="74">
        <f t="shared" si="185"/>
        <v>1.0643241457945649</v>
      </c>
    </row>
    <row r="5912" spans="5:8" ht="15.6">
      <c r="E5912" s="279" t="s">
        <v>6238</v>
      </c>
      <c r="F5912" s="284">
        <f t="shared" ca="1" si="184"/>
        <v>0.96183362777274362</v>
      </c>
      <c r="G5912" s="74">
        <v>37.7442534683736</v>
      </c>
      <c r="H5912" s="74">
        <f t="shared" si="185"/>
        <v>2.7501468749589222</v>
      </c>
    </row>
    <row r="5913" spans="5:8" ht="15.6">
      <c r="E5913" s="279" t="s">
        <v>6239</v>
      </c>
      <c r="F5913" s="284">
        <f t="shared" ca="1" si="184"/>
        <v>0.35301876003048382</v>
      </c>
      <c r="G5913" s="74">
        <v>36.035318904028408</v>
      </c>
      <c r="H5913" s="74">
        <f t="shared" si="185"/>
        <v>4.4590814393041143</v>
      </c>
    </row>
    <row r="5914" spans="5:8" ht="15.6">
      <c r="E5914" s="279" t="s">
        <v>6240</v>
      </c>
      <c r="F5914" s="284">
        <f t="shared" ca="1" si="184"/>
        <v>0.76153245024980665</v>
      </c>
      <c r="G5914" s="74">
        <v>39.648488234224779</v>
      </c>
      <c r="H5914" s="74">
        <f t="shared" si="185"/>
        <v>0.8459121091077435</v>
      </c>
    </row>
    <row r="5915" spans="5:8" ht="15.6">
      <c r="E5915" s="279" t="s">
        <v>6241</v>
      </c>
      <c r="F5915" s="284">
        <f t="shared" ca="1" si="184"/>
        <v>0.36186477236581283</v>
      </c>
      <c r="G5915" s="74">
        <v>36.721540106982822</v>
      </c>
      <c r="H5915" s="74">
        <f t="shared" si="185"/>
        <v>3.7728602363497004</v>
      </c>
    </row>
    <row r="5916" spans="5:8" ht="15.6">
      <c r="E5916" s="279" t="s">
        <v>6242</v>
      </c>
      <c r="F5916" s="284">
        <f t="shared" ca="1" si="184"/>
        <v>0.76570409953785834</v>
      </c>
      <c r="G5916" s="74">
        <v>41.236368350696658</v>
      </c>
      <c r="H5916" s="74">
        <f t="shared" si="185"/>
        <v>-0.74196800736413593</v>
      </c>
    </row>
    <row r="5917" spans="5:8" ht="15.6">
      <c r="E5917" s="279" t="s">
        <v>6243</v>
      </c>
      <c r="F5917" s="284">
        <f t="shared" ca="1" si="184"/>
        <v>0.34861887161515925</v>
      </c>
      <c r="G5917" s="74">
        <v>42.692736220129497</v>
      </c>
      <c r="H5917" s="74">
        <f t="shared" si="185"/>
        <v>-2.1983358767969747</v>
      </c>
    </row>
    <row r="5918" spans="5:8" ht="15.6">
      <c r="E5918" s="279" t="s">
        <v>6244</v>
      </c>
      <c r="F5918" s="284">
        <f t="shared" ca="1" si="184"/>
        <v>0.64487489415440147</v>
      </c>
      <c r="G5918" s="74">
        <v>41.012418745085952</v>
      </c>
      <c r="H5918" s="74">
        <f t="shared" si="185"/>
        <v>-0.51801840175343017</v>
      </c>
    </row>
    <row r="5919" spans="5:8" ht="15.6">
      <c r="E5919" s="279" t="s">
        <v>6245</v>
      </c>
      <c r="F5919" s="284">
        <f t="shared" ca="1" si="184"/>
        <v>0.8059223511222886</v>
      </c>
      <c r="G5919" s="74">
        <v>40.188532941757202</v>
      </c>
      <c r="H5919" s="74">
        <f t="shared" si="185"/>
        <v>0.30586740157531978</v>
      </c>
    </row>
    <row r="5920" spans="5:8" ht="15.6">
      <c r="E5920" s="279" t="s">
        <v>6246</v>
      </c>
      <c r="F5920" s="284">
        <f t="shared" ca="1" si="184"/>
        <v>0.23955692393952432</v>
      </c>
      <c r="G5920" s="74">
        <v>38.068056768472545</v>
      </c>
      <c r="H5920" s="74">
        <f t="shared" si="185"/>
        <v>2.4263435748599775</v>
      </c>
    </row>
    <row r="5921" spans="5:8" ht="15.6">
      <c r="E5921" s="279" t="s">
        <v>6247</v>
      </c>
      <c r="F5921" s="284">
        <f t="shared" ca="1" si="184"/>
        <v>0.62356540966889973</v>
      </c>
      <c r="G5921" s="74">
        <v>36.691793501433011</v>
      </c>
      <c r="H5921" s="74">
        <f t="shared" si="185"/>
        <v>3.8026068418995109</v>
      </c>
    </row>
    <row r="5922" spans="5:8" ht="15.6">
      <c r="E5922" s="279" t="s">
        <v>6248</v>
      </c>
      <c r="F5922" s="284">
        <f t="shared" ca="1" si="184"/>
        <v>6.9732769426832708E-2</v>
      </c>
      <c r="G5922" s="74">
        <v>37.584334354259994</v>
      </c>
      <c r="H5922" s="74">
        <f t="shared" si="185"/>
        <v>2.9100659890725282</v>
      </c>
    </row>
    <row r="5923" spans="5:8" ht="15.6">
      <c r="E5923" s="279" t="s">
        <v>6249</v>
      </c>
      <c r="F5923" s="284">
        <f t="shared" ca="1" si="184"/>
        <v>0.77949118323972733</v>
      </c>
      <c r="G5923" s="74">
        <v>41.65859935541711</v>
      </c>
      <c r="H5923" s="74">
        <f t="shared" si="185"/>
        <v>-1.1641990120845875</v>
      </c>
    </row>
    <row r="5924" spans="5:8" ht="15.6">
      <c r="E5924" s="279" t="s">
        <v>6250</v>
      </c>
      <c r="F5924" s="284">
        <f t="shared" ca="1" si="184"/>
        <v>0.89545915032906254</v>
      </c>
      <c r="G5924" s="74">
        <v>32.288679198100283</v>
      </c>
      <c r="H5924" s="74">
        <f t="shared" si="185"/>
        <v>8.2057211452322392</v>
      </c>
    </row>
    <row r="5925" spans="5:8" ht="15.6">
      <c r="E5925" s="279" t="s">
        <v>6251</v>
      </c>
      <c r="F5925" s="284">
        <f t="shared" ca="1" si="184"/>
        <v>0.59198894355794918</v>
      </c>
      <c r="G5925" s="74">
        <v>38.19838450455282</v>
      </c>
      <c r="H5925" s="74">
        <f t="shared" si="185"/>
        <v>2.2960158387797023</v>
      </c>
    </row>
    <row r="5926" spans="5:8" ht="15.6">
      <c r="E5926" s="279" t="s">
        <v>6252</v>
      </c>
      <c r="F5926" s="284">
        <f t="shared" ca="1" si="184"/>
        <v>0.45412577106474827</v>
      </c>
      <c r="G5926" s="74">
        <v>36.31715820682335</v>
      </c>
      <c r="H5926" s="74">
        <f t="shared" si="185"/>
        <v>4.1772421365091716</v>
      </c>
    </row>
    <row r="5927" spans="5:8" ht="15.6">
      <c r="E5927" s="279" t="s">
        <v>6253</v>
      </c>
      <c r="F5927" s="284">
        <f t="shared" ca="1" si="184"/>
        <v>0.52785473920727388</v>
      </c>
      <c r="G5927" s="74">
        <v>37.620835715183489</v>
      </c>
      <c r="H5927" s="74">
        <f t="shared" si="185"/>
        <v>2.8735646281490332</v>
      </c>
    </row>
    <row r="5928" spans="5:8" ht="15.6">
      <c r="E5928" s="279" t="s">
        <v>6254</v>
      </c>
      <c r="F5928" s="284">
        <f t="shared" ca="1" si="184"/>
        <v>0.53511272995742898</v>
      </c>
      <c r="G5928" s="74">
        <v>41.007365069075718</v>
      </c>
      <c r="H5928" s="74">
        <f t="shared" si="185"/>
        <v>-0.51296472574319552</v>
      </c>
    </row>
    <row r="5929" spans="5:8" ht="15.6">
      <c r="E5929" s="279" t="s">
        <v>6255</v>
      </c>
      <c r="F5929" s="284">
        <f t="shared" ca="1" si="184"/>
        <v>0.40333016885385697</v>
      </c>
      <c r="G5929" s="74">
        <v>42.022613822929991</v>
      </c>
      <c r="H5929" s="74">
        <f t="shared" si="185"/>
        <v>-1.5282134795974684</v>
      </c>
    </row>
    <row r="5930" spans="5:8" ht="15.6">
      <c r="E5930" s="279" t="s">
        <v>6256</v>
      </c>
      <c r="F5930" s="284">
        <f t="shared" ca="1" si="184"/>
        <v>0.57050356978286343</v>
      </c>
      <c r="G5930" s="74">
        <v>39.42249698499392</v>
      </c>
      <c r="H5930" s="74">
        <f t="shared" si="185"/>
        <v>1.0719033583386022</v>
      </c>
    </row>
    <row r="5931" spans="5:8" ht="15.6">
      <c r="E5931" s="279" t="s">
        <v>6257</v>
      </c>
      <c r="F5931" s="284">
        <f t="shared" ca="1" si="184"/>
        <v>0.5402708144674343</v>
      </c>
      <c r="G5931" s="74">
        <v>37.907858463558796</v>
      </c>
      <c r="H5931" s="74">
        <f t="shared" si="185"/>
        <v>2.5865418797737263</v>
      </c>
    </row>
    <row r="5932" spans="5:8" ht="15.6">
      <c r="E5932" s="279" t="s">
        <v>6258</v>
      </c>
      <c r="F5932" s="284">
        <f t="shared" ca="1" si="184"/>
        <v>0.8131182646338867</v>
      </c>
      <c r="G5932" s="74">
        <v>42.535876184820793</v>
      </c>
      <c r="H5932" s="74">
        <f t="shared" si="185"/>
        <v>-2.0414758414882712</v>
      </c>
    </row>
    <row r="5933" spans="5:8" ht="15.6">
      <c r="E5933" s="279" t="s">
        <v>6259</v>
      </c>
      <c r="F5933" s="284">
        <f t="shared" ca="1" si="184"/>
        <v>0.41428250765588881</v>
      </c>
      <c r="G5933" s="74">
        <v>43.413472802298564</v>
      </c>
      <c r="H5933" s="74">
        <f t="shared" si="185"/>
        <v>-2.9190724589660419</v>
      </c>
    </row>
    <row r="5934" spans="5:8" ht="15.6">
      <c r="E5934" s="279" t="s">
        <v>6260</v>
      </c>
      <c r="F5934" s="284">
        <f t="shared" ca="1" si="184"/>
        <v>0.52793996223553674</v>
      </c>
      <c r="G5934" s="74">
        <v>38.80519490190396</v>
      </c>
      <c r="H5934" s="74">
        <f t="shared" si="185"/>
        <v>1.6892054414285624</v>
      </c>
    </row>
    <row r="5935" spans="5:8" ht="15.6">
      <c r="E5935" s="279" t="s">
        <v>6261</v>
      </c>
      <c r="F5935" s="284">
        <f t="shared" ca="1" si="184"/>
        <v>0.78140910194529101</v>
      </c>
      <c r="G5935" s="74">
        <v>37.690402513149579</v>
      </c>
      <c r="H5935" s="74">
        <f t="shared" si="185"/>
        <v>2.8039978301829436</v>
      </c>
    </row>
    <row r="5936" spans="5:8" ht="15.6">
      <c r="E5936" s="279" t="s">
        <v>6262</v>
      </c>
      <c r="F5936" s="284">
        <f t="shared" ca="1" si="184"/>
        <v>0.10842917047247846</v>
      </c>
      <c r="G5936" s="74">
        <v>41.833275624401786</v>
      </c>
      <c r="H5936" s="74">
        <f t="shared" si="185"/>
        <v>-1.3388752810692637</v>
      </c>
    </row>
    <row r="5937" spans="5:8" ht="15.6">
      <c r="E5937" s="279" t="s">
        <v>6263</v>
      </c>
      <c r="F5937" s="284">
        <f t="shared" ca="1" si="184"/>
        <v>0.41847019002736496</v>
      </c>
      <c r="G5937" s="74">
        <v>37.657551186212046</v>
      </c>
      <c r="H5937" s="74">
        <f t="shared" si="185"/>
        <v>2.8368491571204757</v>
      </c>
    </row>
    <row r="5938" spans="5:8" ht="15.6">
      <c r="E5938" s="279" t="s">
        <v>6264</v>
      </c>
      <c r="F5938" s="284">
        <f t="shared" ca="1" si="184"/>
        <v>0.69759382182461671</v>
      </c>
      <c r="G5938" s="74">
        <v>35.11322222731561</v>
      </c>
      <c r="H5938" s="74">
        <f t="shared" si="185"/>
        <v>5.3811781160169119</v>
      </c>
    </row>
    <row r="5939" spans="5:8" ht="15.6">
      <c r="E5939" s="279" t="s">
        <v>6265</v>
      </c>
      <c r="F5939" s="284">
        <f t="shared" ca="1" si="184"/>
        <v>0.41961240394404598</v>
      </c>
      <c r="G5939" s="74">
        <v>38.513057594440987</v>
      </c>
      <c r="H5939" s="74">
        <f t="shared" si="185"/>
        <v>1.9813427488915352</v>
      </c>
    </row>
    <row r="5940" spans="5:8" ht="15.6">
      <c r="E5940" s="279" t="s">
        <v>6266</v>
      </c>
      <c r="F5940" s="284">
        <f t="shared" ca="1" si="184"/>
        <v>0.71270560490991985</v>
      </c>
      <c r="G5940" s="74">
        <v>44.207036503971644</v>
      </c>
      <c r="H5940" s="74">
        <f t="shared" si="185"/>
        <v>-3.7126361606391214</v>
      </c>
    </row>
    <row r="5941" spans="5:8" ht="15.6">
      <c r="E5941" s="279" t="s">
        <v>6267</v>
      </c>
      <c r="F5941" s="284">
        <f t="shared" ca="1" si="184"/>
        <v>0.97049262973627626</v>
      </c>
      <c r="G5941" s="74">
        <v>35.876527784076657</v>
      </c>
      <c r="H5941" s="74">
        <f t="shared" si="185"/>
        <v>4.6178725592558649</v>
      </c>
    </row>
    <row r="5942" spans="5:8" ht="15.6">
      <c r="E5942" s="279" t="s">
        <v>6268</v>
      </c>
      <c r="F5942" s="284">
        <f t="shared" ca="1" si="184"/>
        <v>0.73614354282241723</v>
      </c>
      <c r="G5942" s="74">
        <v>40.50623153446201</v>
      </c>
      <c r="H5942" s="74">
        <f t="shared" si="185"/>
        <v>-1.1831191129488161E-2</v>
      </c>
    </row>
    <row r="5943" spans="5:8" ht="15.6">
      <c r="E5943" s="279" t="s">
        <v>6269</v>
      </c>
      <c r="F5943" s="284">
        <f t="shared" ca="1" si="184"/>
        <v>0.39065628689436616</v>
      </c>
      <c r="G5943" s="74">
        <v>38.349057471999949</v>
      </c>
      <c r="H5943" s="74">
        <f t="shared" si="185"/>
        <v>2.1453428713325735</v>
      </c>
    </row>
    <row r="5944" spans="5:8" ht="15.6">
      <c r="E5944" s="279" t="s">
        <v>6270</v>
      </c>
      <c r="F5944" s="284">
        <f t="shared" ca="1" si="184"/>
        <v>0.34843905198821357</v>
      </c>
      <c r="G5944" s="74">
        <v>41.020054329910593</v>
      </c>
      <c r="H5944" s="74">
        <f t="shared" si="185"/>
        <v>-0.52565398657807094</v>
      </c>
    </row>
    <row r="5945" spans="5:8" ht="15.6">
      <c r="E5945" s="279" t="s">
        <v>6271</v>
      </c>
      <c r="F5945" s="284">
        <f t="shared" ca="1" si="184"/>
        <v>0.52048011680116024</v>
      </c>
      <c r="G5945" s="74">
        <v>43.491046712758667</v>
      </c>
      <c r="H5945" s="74">
        <f t="shared" si="185"/>
        <v>-2.9966463694261449</v>
      </c>
    </row>
    <row r="5946" spans="5:8" ht="15.6">
      <c r="E5946" s="279" t="s">
        <v>6272</v>
      </c>
      <c r="F5946" s="284">
        <f t="shared" ca="1" si="184"/>
        <v>0.84663511863356822</v>
      </c>
      <c r="G5946" s="74">
        <v>36.92695173124703</v>
      </c>
      <c r="H5946" s="74">
        <f t="shared" si="185"/>
        <v>3.5674486120854922</v>
      </c>
    </row>
    <row r="5947" spans="5:8" ht="15.6">
      <c r="E5947" s="279" t="s">
        <v>6273</v>
      </c>
      <c r="F5947" s="284">
        <f t="shared" ca="1" si="184"/>
        <v>5.8999311997109616E-2</v>
      </c>
      <c r="G5947" s="74">
        <v>39.013114101941675</v>
      </c>
      <c r="H5947" s="74">
        <f t="shared" si="185"/>
        <v>1.4812862413908476</v>
      </c>
    </row>
    <row r="5948" spans="5:8" ht="15.6">
      <c r="E5948" s="279" t="s">
        <v>6274</v>
      </c>
      <c r="F5948" s="284">
        <f t="shared" ca="1" si="184"/>
        <v>0.59878932103218419</v>
      </c>
      <c r="G5948" s="74">
        <v>40.222942035455993</v>
      </c>
      <c r="H5948" s="74">
        <f t="shared" si="185"/>
        <v>0.27145830787652869</v>
      </c>
    </row>
    <row r="5949" spans="5:8" ht="15.6">
      <c r="E5949" s="279" t="s">
        <v>6275</v>
      </c>
      <c r="F5949" s="284">
        <f t="shared" ca="1" si="184"/>
        <v>0.35388450045939635</v>
      </c>
      <c r="G5949" s="74">
        <v>37.208400203318021</v>
      </c>
      <c r="H5949" s="74">
        <f t="shared" si="185"/>
        <v>3.2860001400145009</v>
      </c>
    </row>
    <row r="5950" spans="5:8" ht="15.6">
      <c r="E5950" s="279" t="s">
        <v>6276</v>
      </c>
      <c r="F5950" s="284">
        <f t="shared" ca="1" si="184"/>
        <v>0.12132029768313757</v>
      </c>
      <c r="G5950" s="74">
        <v>38.817677066658469</v>
      </c>
      <c r="H5950" s="74">
        <f t="shared" si="185"/>
        <v>1.6767232766740534</v>
      </c>
    </row>
    <row r="5951" spans="5:8" ht="15.6">
      <c r="E5951" s="279" t="s">
        <v>6277</v>
      </c>
      <c r="F5951" s="284">
        <f t="shared" ca="1" si="184"/>
        <v>0.71085500545748415</v>
      </c>
      <c r="G5951" s="74">
        <v>42.111739858877463</v>
      </c>
      <c r="H5951" s="74">
        <f t="shared" si="185"/>
        <v>-1.6173395155449413</v>
      </c>
    </row>
    <row r="5952" spans="5:8" ht="15.6">
      <c r="E5952" s="279" t="s">
        <v>6278</v>
      </c>
      <c r="F5952" s="284">
        <f t="shared" ca="1" si="184"/>
        <v>6.2934024242906728E-2</v>
      </c>
      <c r="G5952" s="74">
        <v>39.355886644735662</v>
      </c>
      <c r="H5952" s="74">
        <f t="shared" si="185"/>
        <v>1.13851369859686</v>
      </c>
    </row>
    <row r="5953" spans="5:8" ht="15.6">
      <c r="E5953" s="279" t="s">
        <v>6279</v>
      </c>
      <c r="F5953" s="284">
        <f t="shared" ca="1" si="184"/>
        <v>0.1165353163337578</v>
      </c>
      <c r="G5953" s="74">
        <v>35.76730522043075</v>
      </c>
      <c r="H5953" s="74">
        <f t="shared" si="185"/>
        <v>4.7270951229017726</v>
      </c>
    </row>
    <row r="5954" spans="5:8" ht="15.6">
      <c r="E5954" s="279" t="s">
        <v>6280</v>
      </c>
      <c r="F5954" s="284">
        <f t="shared" ca="1" si="184"/>
        <v>0.78575622379590082</v>
      </c>
      <c r="G5954" s="74">
        <v>39.647517084677816</v>
      </c>
      <c r="H5954" s="74">
        <f t="shared" si="185"/>
        <v>0.84688325865470659</v>
      </c>
    </row>
    <row r="5955" spans="5:8" ht="15.6">
      <c r="E5955" s="279" t="s">
        <v>6281</v>
      </c>
      <c r="F5955" s="284">
        <f t="shared" ca="1" si="184"/>
        <v>0.33002705878991057</v>
      </c>
      <c r="G5955" s="74">
        <v>41.179551719535397</v>
      </c>
      <c r="H5955" s="74">
        <f t="shared" si="185"/>
        <v>-0.68515137620287447</v>
      </c>
    </row>
    <row r="5956" spans="5:8" ht="15.6">
      <c r="E5956" s="279" t="s">
        <v>6282</v>
      </c>
      <c r="F5956" s="284">
        <f t="shared" ca="1" si="184"/>
        <v>0.52778070254166554</v>
      </c>
      <c r="G5956" s="74">
        <v>38.875701911117886</v>
      </c>
      <c r="H5956" s="74">
        <f t="shared" si="185"/>
        <v>1.6186984322146358</v>
      </c>
    </row>
    <row r="5957" spans="5:8" ht="15.6">
      <c r="E5957" s="279" t="s">
        <v>6283</v>
      </c>
      <c r="F5957" s="284">
        <f t="shared" ca="1" si="184"/>
        <v>0.29132909519888706</v>
      </c>
      <c r="G5957" s="74">
        <v>37.216044203298274</v>
      </c>
      <c r="H5957" s="74">
        <f t="shared" si="185"/>
        <v>3.2783561400342478</v>
      </c>
    </row>
    <row r="5958" spans="5:8" ht="15.6">
      <c r="E5958" s="279" t="s">
        <v>6284</v>
      </c>
      <c r="F5958" s="284">
        <f t="shared" ca="1" si="184"/>
        <v>0.36987815262715318</v>
      </c>
      <c r="G5958" s="74">
        <v>36.742884544760734</v>
      </c>
      <c r="H5958" s="74">
        <f t="shared" si="185"/>
        <v>3.7515157985717877</v>
      </c>
    </row>
    <row r="5959" spans="5:8" ht="15.6">
      <c r="E5959" s="279" t="s">
        <v>6285</v>
      </c>
      <c r="F5959" s="284">
        <f t="shared" ca="1" si="184"/>
        <v>0.38647900611066466</v>
      </c>
      <c r="G5959" s="74">
        <v>44.507177218427032</v>
      </c>
      <c r="H5959" s="74">
        <f t="shared" si="185"/>
        <v>-4.0127768750945094</v>
      </c>
    </row>
    <row r="5960" spans="5:8" ht="15.6">
      <c r="E5960" s="279" t="s">
        <v>6286</v>
      </c>
      <c r="F5960" s="284">
        <f t="shared" ca="1" si="184"/>
        <v>0.10564446088872526</v>
      </c>
      <c r="G5960" s="74">
        <v>42.136700122644761</v>
      </c>
      <c r="H5960" s="74">
        <f t="shared" si="185"/>
        <v>-1.6422997793122391</v>
      </c>
    </row>
    <row r="5961" spans="5:8" ht="15.6">
      <c r="E5961" s="279" t="s">
        <v>6287</v>
      </c>
      <c r="F5961" s="284">
        <f t="shared" ca="1" si="184"/>
        <v>0.89400864515993295</v>
      </c>
      <c r="G5961" s="74">
        <v>32.977418960280779</v>
      </c>
      <c r="H5961" s="74">
        <f t="shared" si="185"/>
        <v>7.5169813830517427</v>
      </c>
    </row>
    <row r="5962" spans="5:8" ht="15.6">
      <c r="E5962" s="279" t="s">
        <v>6288</v>
      </c>
      <c r="F5962" s="284">
        <f t="shared" ca="1" si="184"/>
        <v>0.14831901704434791</v>
      </c>
      <c r="G5962" s="74">
        <v>39.403475162160341</v>
      </c>
      <c r="H5962" s="74">
        <f t="shared" si="185"/>
        <v>1.0909251811721816</v>
      </c>
    </row>
    <row r="5963" spans="5:8" ht="15.6">
      <c r="E5963" s="279" t="s">
        <v>6289</v>
      </c>
      <c r="F5963" s="284">
        <f t="shared" ca="1" si="184"/>
        <v>0.2274114206535599</v>
      </c>
      <c r="G5963" s="74">
        <v>34.247769282614826</v>
      </c>
      <c r="H5963" s="74">
        <f t="shared" si="185"/>
        <v>6.2466310607176965</v>
      </c>
    </row>
    <row r="5964" spans="5:8" ht="15.6">
      <c r="E5964" s="279" t="s">
        <v>6290</v>
      </c>
      <c r="F5964" s="284">
        <f t="shared" ref="F5964:F6027" ca="1" si="186">RAND()</f>
        <v>0.54098212877201302</v>
      </c>
      <c r="G5964" s="74">
        <v>39.670451735158011</v>
      </c>
      <c r="H5964" s="74">
        <f t="shared" ref="H5964:H6027" si="187">$D$2-G5964</f>
        <v>0.82394860817451132</v>
      </c>
    </row>
    <row r="5965" spans="5:8" ht="15.6">
      <c r="E5965" s="279" t="s">
        <v>6291</v>
      </c>
      <c r="F5965" s="284">
        <f t="shared" ca="1" si="186"/>
        <v>0.69976898913104624</v>
      </c>
      <c r="G5965" s="74">
        <v>45.165270147330588</v>
      </c>
      <c r="H5965" s="74">
        <f t="shared" si="187"/>
        <v>-4.6708698039980661</v>
      </c>
    </row>
    <row r="5966" spans="5:8" ht="15.6">
      <c r="E5966" s="279" t="s">
        <v>6292</v>
      </c>
      <c r="F5966" s="284">
        <f t="shared" ca="1" si="186"/>
        <v>0.53380262107923393</v>
      </c>
      <c r="G5966" s="74">
        <v>39.090727500615074</v>
      </c>
      <c r="H5966" s="74">
        <f t="shared" si="187"/>
        <v>1.4036728427174481</v>
      </c>
    </row>
    <row r="5967" spans="5:8" ht="15.6">
      <c r="E5967" s="279" t="s">
        <v>6293</v>
      </c>
      <c r="F5967" s="284">
        <f t="shared" ca="1" si="186"/>
        <v>0.96370759203077427</v>
      </c>
      <c r="G5967" s="74">
        <v>36.084293869961726</v>
      </c>
      <c r="H5967" s="74">
        <f t="shared" si="187"/>
        <v>4.4101064733707958</v>
      </c>
    </row>
    <row r="5968" spans="5:8" ht="15.6">
      <c r="E5968" s="279" t="s">
        <v>6294</v>
      </c>
      <c r="F5968" s="284">
        <f t="shared" ca="1" si="186"/>
        <v>0.91661718184915575</v>
      </c>
      <c r="G5968" s="74">
        <v>42.728509792513769</v>
      </c>
      <c r="H5968" s="74">
        <f t="shared" si="187"/>
        <v>-2.234109449181247</v>
      </c>
    </row>
    <row r="5969" spans="5:8" ht="15.6">
      <c r="E5969" s="279" t="s">
        <v>6295</v>
      </c>
      <c r="F5969" s="284">
        <f t="shared" ca="1" si="186"/>
        <v>0.36196101909749512</v>
      </c>
      <c r="G5969" s="74">
        <v>37.69083501361326</v>
      </c>
      <c r="H5969" s="74">
        <f t="shared" si="187"/>
        <v>2.8035653297192624</v>
      </c>
    </row>
    <row r="5970" spans="5:8" ht="15.6">
      <c r="E5970" s="279" t="s">
        <v>6296</v>
      </c>
      <c r="F5970" s="284">
        <f t="shared" ca="1" si="186"/>
        <v>0.7369473275049665</v>
      </c>
      <c r="G5970" s="74">
        <v>40.304165486197618</v>
      </c>
      <c r="H5970" s="74">
        <f t="shared" si="187"/>
        <v>0.19023485713490373</v>
      </c>
    </row>
    <row r="5971" spans="5:8" ht="15.6">
      <c r="E5971" s="279" t="s">
        <v>6297</v>
      </c>
      <c r="F5971" s="284">
        <f t="shared" ca="1" si="186"/>
        <v>0.27397013264060321</v>
      </c>
      <c r="G5971" s="74">
        <v>36.805770480884206</v>
      </c>
      <c r="H5971" s="74">
        <f t="shared" si="187"/>
        <v>3.688629862448316</v>
      </c>
    </row>
    <row r="5972" spans="5:8" ht="15.6">
      <c r="E5972" s="279" t="s">
        <v>6298</v>
      </c>
      <c r="F5972" s="284">
        <f t="shared" ca="1" si="186"/>
        <v>6.8535499754644236E-2</v>
      </c>
      <c r="G5972" s="74">
        <v>40.831878947485166</v>
      </c>
      <c r="H5972" s="74">
        <f t="shared" si="187"/>
        <v>-0.33747860415264341</v>
      </c>
    </row>
    <row r="5973" spans="5:8" ht="15.6">
      <c r="E5973" s="279" t="s">
        <v>6299</v>
      </c>
      <c r="F5973" s="284">
        <f t="shared" ca="1" si="186"/>
        <v>0.96432797602155862</v>
      </c>
      <c r="G5973" s="74">
        <v>38.30854003925193</v>
      </c>
      <c r="H5973" s="74">
        <f t="shared" si="187"/>
        <v>2.1858603040805917</v>
      </c>
    </row>
    <row r="5974" spans="5:8" ht="15.6">
      <c r="E5974" s="279" t="s">
        <v>6300</v>
      </c>
      <c r="F5974" s="284">
        <f t="shared" ca="1" si="186"/>
        <v>0.91865576703695917</v>
      </c>
      <c r="G5974" s="74">
        <v>39.289375325183059</v>
      </c>
      <c r="H5974" s="74">
        <f t="shared" si="187"/>
        <v>1.2050250181494633</v>
      </c>
    </row>
    <row r="5975" spans="5:8" ht="15.6">
      <c r="E5975" s="279" t="s">
        <v>6301</v>
      </c>
      <c r="F5975" s="284">
        <f t="shared" ca="1" si="186"/>
        <v>0.88061511069634435</v>
      </c>
      <c r="G5975" s="74">
        <v>38.160135575843952</v>
      </c>
      <c r="H5975" s="74">
        <f t="shared" si="187"/>
        <v>2.3342647674885697</v>
      </c>
    </row>
    <row r="5976" spans="5:8" ht="15.6">
      <c r="E5976" s="279" t="s">
        <v>6302</v>
      </c>
      <c r="F5976" s="284">
        <f t="shared" ca="1" si="186"/>
        <v>0.79257038632723986</v>
      </c>
      <c r="G5976" s="74">
        <v>36.352785033204881</v>
      </c>
      <c r="H5976" s="74">
        <f t="shared" si="187"/>
        <v>4.1416153101276407</v>
      </c>
    </row>
    <row r="5977" spans="5:8" ht="15.6">
      <c r="E5977" s="279" t="s">
        <v>6303</v>
      </c>
      <c r="F5977" s="284">
        <f t="shared" ca="1" si="186"/>
        <v>0.31956549859672911</v>
      </c>
      <c r="G5977" s="74">
        <v>40.203169063253156</v>
      </c>
      <c r="H5977" s="74">
        <f t="shared" si="187"/>
        <v>0.29123128007936572</v>
      </c>
    </row>
    <row r="5978" spans="5:8" ht="15.6">
      <c r="E5978" s="279" t="s">
        <v>6304</v>
      </c>
      <c r="F5978" s="284">
        <f t="shared" ca="1" si="186"/>
        <v>0.24712646037551345</v>
      </c>
      <c r="G5978" s="74">
        <v>39.557812597131353</v>
      </c>
      <c r="H5978" s="74">
        <f t="shared" si="187"/>
        <v>0.93658774620116958</v>
      </c>
    </row>
    <row r="5979" spans="5:8" ht="15.6">
      <c r="E5979" s="279" t="s">
        <v>6305</v>
      </c>
      <c r="F5979" s="284">
        <f t="shared" ca="1" si="186"/>
        <v>0.56348310194149631</v>
      </c>
      <c r="G5979" s="74">
        <v>36.615058136423677</v>
      </c>
      <c r="H5979" s="74">
        <f t="shared" si="187"/>
        <v>3.879342206908845</v>
      </c>
    </row>
    <row r="5980" spans="5:8" ht="15.6">
      <c r="E5980" s="279" t="s">
        <v>6306</v>
      </c>
      <c r="F5980" s="284">
        <f t="shared" ca="1" si="186"/>
        <v>0.3648839208322926</v>
      </c>
      <c r="G5980" s="74">
        <v>39.241734611796169</v>
      </c>
      <c r="H5980" s="74">
        <f t="shared" si="187"/>
        <v>1.2526657315363536</v>
      </c>
    </row>
    <row r="5981" spans="5:8" ht="15.6">
      <c r="E5981" s="279" t="s">
        <v>6307</v>
      </c>
      <c r="F5981" s="284">
        <f t="shared" ca="1" si="186"/>
        <v>0.456969881162687</v>
      </c>
      <c r="G5981" s="74">
        <v>40.044441726714147</v>
      </c>
      <c r="H5981" s="74">
        <f t="shared" si="187"/>
        <v>0.44995861661837466</v>
      </c>
    </row>
    <row r="5982" spans="5:8" ht="15.6">
      <c r="E5982" s="279" t="s">
        <v>6308</v>
      </c>
      <c r="F5982" s="284">
        <f t="shared" ca="1" si="186"/>
        <v>7.2922217914186849E-2</v>
      </c>
      <c r="G5982" s="74">
        <v>40.072678566582844</v>
      </c>
      <c r="H5982" s="74">
        <f t="shared" si="187"/>
        <v>0.4217217767496777</v>
      </c>
    </row>
    <row r="5983" spans="5:8" ht="15.6">
      <c r="E5983" s="279" t="s">
        <v>6309</v>
      </c>
      <c r="F5983" s="284">
        <f t="shared" ca="1" si="186"/>
        <v>0.60875552152795986</v>
      </c>
      <c r="G5983" s="74">
        <v>38.263245831136032</v>
      </c>
      <c r="H5983" s="74">
        <f t="shared" si="187"/>
        <v>2.2311545121964897</v>
      </c>
    </row>
    <row r="5984" spans="5:8" ht="15.6">
      <c r="E5984" s="279" t="s">
        <v>6310</v>
      </c>
      <c r="F5984" s="284">
        <f t="shared" ca="1" si="186"/>
        <v>0.5883564839934865</v>
      </c>
      <c r="G5984" s="74">
        <v>39.42670579384518</v>
      </c>
      <c r="H5984" s="74">
        <f t="shared" si="187"/>
        <v>1.0676945494873422</v>
      </c>
    </row>
    <row r="5985" spans="5:8" ht="15.6">
      <c r="E5985" s="279" t="s">
        <v>6311</v>
      </c>
      <c r="F5985" s="284">
        <f t="shared" ca="1" si="186"/>
        <v>0.40727757801461062</v>
      </c>
      <c r="G5985" s="74">
        <v>42.261023336164385</v>
      </c>
      <c r="H5985" s="74">
        <f t="shared" si="187"/>
        <v>-1.7666229928318629</v>
      </c>
    </row>
    <row r="5986" spans="5:8" ht="15.6">
      <c r="E5986" s="279" t="s">
        <v>6312</v>
      </c>
      <c r="F5986" s="284">
        <f t="shared" ca="1" si="186"/>
        <v>0.93904274353031203</v>
      </c>
      <c r="G5986" s="74">
        <v>39.764901820781034</v>
      </c>
      <c r="H5986" s="74">
        <f t="shared" si="187"/>
        <v>0.72949852255148784</v>
      </c>
    </row>
    <row r="5987" spans="5:8" ht="15.6">
      <c r="E5987" s="279" t="s">
        <v>6313</v>
      </c>
      <c r="F5987" s="284">
        <f t="shared" ca="1" si="186"/>
        <v>0.9315841150378229</v>
      </c>
      <c r="G5987" s="74">
        <v>36.380387101090498</v>
      </c>
      <c r="H5987" s="74">
        <f t="shared" si="187"/>
        <v>4.1140132422420237</v>
      </c>
    </row>
    <row r="5988" spans="5:8" ht="15.6">
      <c r="E5988" s="279" t="s">
        <v>6314</v>
      </c>
      <c r="F5988" s="284">
        <f t="shared" ca="1" si="186"/>
        <v>0.38692804623531851</v>
      </c>
      <c r="G5988" s="74">
        <v>35.414761350025948</v>
      </c>
      <c r="H5988" s="74">
        <f t="shared" si="187"/>
        <v>5.079638993306574</v>
      </c>
    </row>
    <row r="5989" spans="5:8" ht="15.6">
      <c r="E5989" s="279" t="s">
        <v>6315</v>
      </c>
      <c r="F5989" s="284">
        <f t="shared" ca="1" si="186"/>
        <v>8.0625311074393524E-2</v>
      </c>
      <c r="G5989" s="74">
        <v>39.622424195561408</v>
      </c>
      <c r="H5989" s="74">
        <f t="shared" si="187"/>
        <v>0.87197614777111454</v>
      </c>
    </row>
    <row r="5990" spans="5:8" ht="15.6">
      <c r="E5990" s="279" t="s">
        <v>6316</v>
      </c>
      <c r="F5990" s="284">
        <f t="shared" ca="1" si="186"/>
        <v>0.6712950079726161</v>
      </c>
      <c r="G5990" s="74">
        <v>39.977964823109851</v>
      </c>
      <c r="H5990" s="74">
        <f t="shared" si="187"/>
        <v>0.51643552022267158</v>
      </c>
    </row>
    <row r="5991" spans="5:8" ht="15.6">
      <c r="E5991" s="279" t="s">
        <v>6317</v>
      </c>
      <c r="F5991" s="284">
        <f t="shared" ca="1" si="186"/>
        <v>0.24789444432208663</v>
      </c>
      <c r="G5991" s="74">
        <v>39.793619618073329</v>
      </c>
      <c r="H5991" s="74">
        <f t="shared" si="187"/>
        <v>0.7007807252591931</v>
      </c>
    </row>
    <row r="5992" spans="5:8" ht="15.6">
      <c r="E5992" s="279" t="s">
        <v>6318</v>
      </c>
      <c r="F5992" s="284">
        <f t="shared" ca="1" si="186"/>
        <v>0.52686149706630681</v>
      </c>
      <c r="G5992" s="74">
        <v>35.78090852978896</v>
      </c>
      <c r="H5992" s="74">
        <f t="shared" si="187"/>
        <v>4.7134918135435626</v>
      </c>
    </row>
    <row r="5993" spans="5:8" ht="15.6">
      <c r="E5993" s="279" t="s">
        <v>6319</v>
      </c>
      <c r="F5993" s="284">
        <f t="shared" ca="1" si="186"/>
        <v>0.28387585341691279</v>
      </c>
      <c r="G5993" s="74">
        <v>39.976402255624535</v>
      </c>
      <c r="H5993" s="74">
        <f t="shared" si="187"/>
        <v>0.51799808770798705</v>
      </c>
    </row>
    <row r="5994" spans="5:8" ht="15.6">
      <c r="E5994" s="279" t="s">
        <v>6320</v>
      </c>
      <c r="F5994" s="284">
        <f t="shared" ca="1" si="186"/>
        <v>0.70250521823593481</v>
      </c>
      <c r="G5994" s="74">
        <v>37.848970939953759</v>
      </c>
      <c r="H5994" s="74">
        <f t="shared" si="187"/>
        <v>2.6454294033787633</v>
      </c>
    </row>
    <row r="5995" spans="5:8" ht="15.6">
      <c r="E5995" s="279" t="s">
        <v>6321</v>
      </c>
      <c r="F5995" s="284">
        <f t="shared" ca="1" si="186"/>
        <v>0.5566511351372545</v>
      </c>
      <c r="G5995" s="74">
        <v>37.267038587417275</v>
      </c>
      <c r="H5995" s="74">
        <f t="shared" si="187"/>
        <v>3.227361755915247</v>
      </c>
    </row>
    <row r="5996" spans="5:8" ht="15.6">
      <c r="E5996" s="279" t="s">
        <v>6322</v>
      </c>
      <c r="F5996" s="284">
        <f t="shared" ca="1" si="186"/>
        <v>0.25806105553507497</v>
      </c>
      <c r="G5996" s="74">
        <v>39.395132787261339</v>
      </c>
      <c r="H5996" s="74">
        <f t="shared" si="187"/>
        <v>1.0992675560711831</v>
      </c>
    </row>
    <row r="5997" spans="5:8" ht="15.6">
      <c r="E5997" s="279" t="s">
        <v>6323</v>
      </c>
      <c r="F5997" s="284">
        <f t="shared" ca="1" si="186"/>
        <v>3.5425336521938355E-2</v>
      </c>
      <c r="G5997" s="74">
        <v>40.642339434756202</v>
      </c>
      <c r="H5997" s="74">
        <f t="shared" si="187"/>
        <v>-0.14793909142368022</v>
      </c>
    </row>
    <row r="5998" spans="5:8" ht="15.6">
      <c r="E5998" s="279" t="s">
        <v>6324</v>
      </c>
      <c r="F5998" s="284">
        <f t="shared" ca="1" si="186"/>
        <v>0.42620157106841239</v>
      </c>
      <c r="G5998" s="74">
        <v>41.345249374114537</v>
      </c>
      <c r="H5998" s="74">
        <f t="shared" si="187"/>
        <v>-0.85084903078201535</v>
      </c>
    </row>
    <row r="5999" spans="5:8" ht="15.6">
      <c r="E5999" s="279" t="s">
        <v>6325</v>
      </c>
      <c r="F5999" s="284">
        <f t="shared" ca="1" si="186"/>
        <v>0.18491728921455097</v>
      </c>
      <c r="G5999" s="74">
        <v>37.209648794646434</v>
      </c>
      <c r="H5999" s="74">
        <f t="shared" si="187"/>
        <v>3.2847515486860885</v>
      </c>
    </row>
    <row r="6000" spans="5:8" ht="15.6">
      <c r="E6000" s="279" t="s">
        <v>6326</v>
      </c>
      <c r="F6000" s="284">
        <f t="shared" ca="1" si="186"/>
        <v>0.86926934360253927</v>
      </c>
      <c r="G6000" s="74">
        <v>39.792521196317885</v>
      </c>
      <c r="H6000" s="74">
        <f t="shared" si="187"/>
        <v>0.70187914701463683</v>
      </c>
    </row>
    <row r="6001" spans="5:8" ht="15.6">
      <c r="E6001" s="279" t="s">
        <v>6327</v>
      </c>
      <c r="F6001" s="284">
        <f t="shared" ca="1" si="186"/>
        <v>0.58981400706525833</v>
      </c>
      <c r="G6001" s="74">
        <v>38.906785344292025</v>
      </c>
      <c r="H6001" s="74">
        <f t="shared" si="187"/>
        <v>1.5876149990404969</v>
      </c>
    </row>
    <row r="6002" spans="5:8" ht="15.6">
      <c r="E6002" s="279" t="s">
        <v>6328</v>
      </c>
      <c r="F6002" s="284">
        <f t="shared" ca="1" si="186"/>
        <v>0.58566808463647357</v>
      </c>
      <c r="G6002" s="74">
        <v>36.779492674929749</v>
      </c>
      <c r="H6002" s="74">
        <f t="shared" si="187"/>
        <v>3.7149076684027733</v>
      </c>
    </row>
    <row r="6003" spans="5:8" ht="15.6">
      <c r="E6003" s="279" t="s">
        <v>6329</v>
      </c>
      <c r="F6003" s="284">
        <f t="shared" ca="1" si="186"/>
        <v>0.78279367657262999</v>
      </c>
      <c r="G6003" s="74">
        <v>38.887115090708136</v>
      </c>
      <c r="H6003" s="74">
        <f t="shared" si="187"/>
        <v>1.6072852526243864</v>
      </c>
    </row>
    <row r="6004" spans="5:8" ht="15.6">
      <c r="E6004" s="279" t="s">
        <v>6330</v>
      </c>
      <c r="F6004" s="284">
        <f t="shared" ca="1" si="186"/>
        <v>9.9072160723007063E-2</v>
      </c>
      <c r="G6004" s="74">
        <v>41.156523405874914</v>
      </c>
      <c r="H6004" s="74">
        <f t="shared" si="187"/>
        <v>-0.66212306254239195</v>
      </c>
    </row>
    <row r="6005" spans="5:8" ht="15.6">
      <c r="E6005" s="279" t="s">
        <v>6331</v>
      </c>
      <c r="F6005" s="284">
        <f t="shared" ca="1" si="186"/>
        <v>0.2156121940044804</v>
      </c>
      <c r="G6005" s="74">
        <v>38.786612365383355</v>
      </c>
      <c r="H6005" s="74">
        <f t="shared" si="187"/>
        <v>1.7077879779491667</v>
      </c>
    </row>
    <row r="6006" spans="5:8" ht="15.6">
      <c r="E6006" s="279" t="s">
        <v>6332</v>
      </c>
      <c r="F6006" s="284">
        <f t="shared" ca="1" si="186"/>
        <v>0.21161259222331774</v>
      </c>
      <c r="G6006" s="74">
        <v>42.499495046631253</v>
      </c>
      <c r="H6006" s="74">
        <f t="shared" si="187"/>
        <v>-2.005094703298731</v>
      </c>
    </row>
    <row r="6007" spans="5:8" ht="15.6">
      <c r="E6007" s="279" t="s">
        <v>6333</v>
      </c>
      <c r="F6007" s="284">
        <f t="shared" ca="1" si="186"/>
        <v>0.67079241968723002</v>
      </c>
      <c r="G6007" s="74">
        <v>38.282849020053753</v>
      </c>
      <c r="H6007" s="74">
        <f t="shared" si="187"/>
        <v>2.2115513232787691</v>
      </c>
    </row>
    <row r="6008" spans="5:8" ht="15.6">
      <c r="E6008" s="279" t="s">
        <v>6334</v>
      </c>
      <c r="F6008" s="284">
        <f t="shared" ca="1" si="186"/>
        <v>0.860501140160712</v>
      </c>
      <c r="G6008" s="74">
        <v>36.423925253032017</v>
      </c>
      <c r="H6008" s="74">
        <f t="shared" si="187"/>
        <v>4.0704750903005049</v>
      </c>
    </row>
    <row r="6009" spans="5:8" ht="15.6">
      <c r="E6009" s="279" t="s">
        <v>6335</v>
      </c>
      <c r="F6009" s="284">
        <f t="shared" ca="1" si="186"/>
        <v>0.99845898708550873</v>
      </c>
      <c r="G6009" s="74">
        <v>38.315324376215457</v>
      </c>
      <c r="H6009" s="74">
        <f t="shared" si="187"/>
        <v>2.1790759671170647</v>
      </c>
    </row>
    <row r="6010" spans="5:8" ht="15.6">
      <c r="E6010" s="279" t="s">
        <v>6336</v>
      </c>
      <c r="F6010" s="284">
        <f t="shared" ca="1" si="186"/>
        <v>0.52231876622504048</v>
      </c>
      <c r="G6010" s="74">
        <v>40.224761666501607</v>
      </c>
      <c r="H6010" s="74">
        <f t="shared" si="187"/>
        <v>0.26963867683091536</v>
      </c>
    </row>
    <row r="6011" spans="5:8" ht="15.6">
      <c r="E6011" s="279" t="s">
        <v>6337</v>
      </c>
      <c r="F6011" s="284">
        <f t="shared" ca="1" si="186"/>
        <v>0.1585330497477454</v>
      </c>
      <c r="G6011" s="74">
        <v>44.561862320089631</v>
      </c>
      <c r="H6011" s="74">
        <f t="shared" si="187"/>
        <v>-4.0674619767571087</v>
      </c>
    </row>
    <row r="6012" spans="5:8" ht="15.6">
      <c r="E6012" s="279" t="s">
        <v>6338</v>
      </c>
      <c r="F6012" s="284">
        <f t="shared" ca="1" si="186"/>
        <v>0.95893345885111636</v>
      </c>
      <c r="G6012" s="74">
        <v>37.813788086829859</v>
      </c>
      <c r="H6012" s="74">
        <f t="shared" si="187"/>
        <v>2.6806122565026627</v>
      </c>
    </row>
    <row r="6013" spans="5:8" ht="15.6">
      <c r="E6013" s="279" t="s">
        <v>6339</v>
      </c>
      <c r="F6013" s="284">
        <f t="shared" ca="1" si="186"/>
        <v>4.6335993068345238E-2</v>
      </c>
      <c r="G6013" s="74">
        <v>41.828698851246926</v>
      </c>
      <c r="H6013" s="74">
        <f t="shared" si="187"/>
        <v>-1.3342985079144043</v>
      </c>
    </row>
    <row r="6014" spans="5:8" ht="15.6">
      <c r="E6014" s="279" t="s">
        <v>6340</v>
      </c>
      <c r="F6014" s="284">
        <f t="shared" ca="1" si="186"/>
        <v>1.4105796109330271E-2</v>
      </c>
      <c r="G6014" s="74">
        <v>37.476786313325313</v>
      </c>
      <c r="H6014" s="74">
        <f t="shared" si="187"/>
        <v>3.0176140300072092</v>
      </c>
    </row>
    <row r="6015" spans="5:8" ht="15.6">
      <c r="E6015" s="279" t="s">
        <v>6341</v>
      </c>
      <c r="F6015" s="284">
        <f t="shared" ca="1" si="186"/>
        <v>0.7219603300415498</v>
      </c>
      <c r="G6015" s="74">
        <v>33.499789122749668</v>
      </c>
      <c r="H6015" s="74">
        <f t="shared" si="187"/>
        <v>6.9946112205828541</v>
      </c>
    </row>
    <row r="6016" spans="5:8" ht="15.6">
      <c r="E6016" s="279" t="s">
        <v>6342</v>
      </c>
      <c r="F6016" s="284">
        <f t="shared" ca="1" si="186"/>
        <v>0.64009561100671597</v>
      </c>
      <c r="G6016" s="74">
        <v>38.55665283311226</v>
      </c>
      <c r="H6016" s="74">
        <f t="shared" si="187"/>
        <v>1.9377475102202624</v>
      </c>
    </row>
    <row r="6017" spans="5:8" ht="15.6">
      <c r="E6017" s="279" t="s">
        <v>6343</v>
      </c>
      <c r="F6017" s="284">
        <f t="shared" ca="1" si="186"/>
        <v>0.47523228694585795</v>
      </c>
      <c r="G6017" s="74">
        <v>37.91644885408418</v>
      </c>
      <c r="H6017" s="74">
        <f t="shared" si="187"/>
        <v>2.5779514892483419</v>
      </c>
    </row>
    <row r="6018" spans="5:8" ht="15.6">
      <c r="E6018" s="279" t="s">
        <v>6344</v>
      </c>
      <c r="F6018" s="284">
        <f t="shared" ca="1" si="186"/>
        <v>0.48660763957842157</v>
      </c>
      <c r="G6018" s="74">
        <v>37.339798965166544</v>
      </c>
      <c r="H6018" s="74">
        <f t="shared" si="187"/>
        <v>3.1546013781659781</v>
      </c>
    </row>
    <row r="6019" spans="5:8" ht="15.6">
      <c r="E6019" s="279" t="s">
        <v>6345</v>
      </c>
      <c r="F6019" s="284">
        <f t="shared" ca="1" si="186"/>
        <v>0.94035388293170363</v>
      </c>
      <c r="G6019" s="74">
        <v>38.769016193065134</v>
      </c>
      <c r="H6019" s="74">
        <f t="shared" si="187"/>
        <v>1.7253841502673879</v>
      </c>
    </row>
    <row r="6020" spans="5:8" ht="15.6">
      <c r="E6020" s="279" t="s">
        <v>6346</v>
      </c>
      <c r="F6020" s="284">
        <f t="shared" ca="1" si="186"/>
        <v>0.89111473226798377</v>
      </c>
      <c r="G6020" s="74">
        <v>37.339959544788762</v>
      </c>
      <c r="H6020" s="74">
        <f t="shared" si="187"/>
        <v>3.1544407985437601</v>
      </c>
    </row>
    <row r="6021" spans="5:8" ht="15.6">
      <c r="E6021" s="279" t="s">
        <v>6347</v>
      </c>
      <c r="F6021" s="284">
        <f t="shared" ca="1" si="186"/>
        <v>0.70963455458322267</v>
      </c>
      <c r="G6021" s="74">
        <v>41.937492883331217</v>
      </c>
      <c r="H6021" s="74">
        <f t="shared" si="187"/>
        <v>-1.4430925399986947</v>
      </c>
    </row>
    <row r="6022" spans="5:8" ht="15.6">
      <c r="E6022" s="279" t="s">
        <v>6348</v>
      </c>
      <c r="F6022" s="284">
        <f t="shared" ca="1" si="186"/>
        <v>0.86306314344324242</v>
      </c>
      <c r="G6022" s="74">
        <v>35.920838316438932</v>
      </c>
      <c r="H6022" s="74">
        <f t="shared" si="187"/>
        <v>4.5735620268935904</v>
      </c>
    </row>
    <row r="6023" spans="5:8" ht="15.6">
      <c r="E6023" s="279" t="s">
        <v>6349</v>
      </c>
      <c r="F6023" s="284">
        <f t="shared" ca="1" si="186"/>
        <v>0.29485039784871114</v>
      </c>
      <c r="G6023" s="74">
        <v>43.09692937363554</v>
      </c>
      <c r="H6023" s="74">
        <f t="shared" si="187"/>
        <v>-2.6025290303030175</v>
      </c>
    </row>
    <row r="6024" spans="5:8" ht="15.6">
      <c r="E6024" s="279" t="s">
        <v>6350</v>
      </c>
      <c r="F6024" s="284">
        <f t="shared" ca="1" si="186"/>
        <v>0.90396562779699519</v>
      </c>
      <c r="G6024" s="74">
        <v>36.790031397483034</v>
      </c>
      <c r="H6024" s="74">
        <f t="shared" si="187"/>
        <v>3.7043689458494882</v>
      </c>
    </row>
    <row r="6025" spans="5:8" ht="15.6">
      <c r="E6025" s="279" t="s">
        <v>6351</v>
      </c>
      <c r="F6025" s="284">
        <f t="shared" ca="1" si="186"/>
        <v>0.52449715292028809</v>
      </c>
      <c r="G6025" s="74">
        <v>36.848173127406163</v>
      </c>
      <c r="H6025" s="74">
        <f t="shared" si="187"/>
        <v>3.6462272159263591</v>
      </c>
    </row>
    <row r="6026" spans="5:8" ht="15.6">
      <c r="E6026" s="279" t="s">
        <v>6352</v>
      </c>
      <c r="F6026" s="284">
        <f t="shared" ca="1" si="186"/>
        <v>0.39468611587484892</v>
      </c>
      <c r="G6026" s="74">
        <v>38.177454933326167</v>
      </c>
      <c r="H6026" s="74">
        <f t="shared" si="187"/>
        <v>2.3169454100063547</v>
      </c>
    </row>
    <row r="6027" spans="5:8" ht="15.6">
      <c r="E6027" s="279" t="s">
        <v>6353</v>
      </c>
      <c r="F6027" s="284">
        <f t="shared" ca="1" si="186"/>
        <v>0.53546465403850563</v>
      </c>
      <c r="G6027" s="74">
        <v>39.939823081914959</v>
      </c>
      <c r="H6027" s="74">
        <f t="shared" si="187"/>
        <v>0.55457726141756325</v>
      </c>
    </row>
    <row r="6028" spans="5:8" ht="15.6">
      <c r="E6028" s="279" t="s">
        <v>6354</v>
      </c>
      <c r="F6028" s="284">
        <f t="shared" ref="F6028:F6091" ca="1" si="188">RAND()</f>
        <v>0.18214115225731131</v>
      </c>
      <c r="G6028" s="74">
        <v>45.580059430137453</v>
      </c>
      <c r="H6028" s="74">
        <f t="shared" ref="H6028:H6091" si="189">$D$2-G6028</f>
        <v>-5.085659086804931</v>
      </c>
    </row>
    <row r="6029" spans="5:8" ht="15.6">
      <c r="E6029" s="279" t="s">
        <v>6355</v>
      </c>
      <c r="F6029" s="284">
        <f t="shared" ca="1" si="188"/>
        <v>0.26649947315387146</v>
      </c>
      <c r="G6029" s="74">
        <v>46.368703389902109</v>
      </c>
      <c r="H6029" s="74">
        <f t="shared" si="189"/>
        <v>-5.8743030465695867</v>
      </c>
    </row>
    <row r="6030" spans="5:8" ht="15.6">
      <c r="E6030" s="279" t="s">
        <v>6356</v>
      </c>
      <c r="F6030" s="284">
        <f t="shared" ca="1" si="188"/>
        <v>0.26672273352700526</v>
      </c>
      <c r="G6030" s="74">
        <v>40.419558642130845</v>
      </c>
      <c r="H6030" s="74">
        <f t="shared" si="189"/>
        <v>7.4841701201677324E-2</v>
      </c>
    </row>
    <row r="6031" spans="5:8" ht="15.6">
      <c r="E6031" s="279" t="s">
        <v>6357</v>
      </c>
      <c r="F6031" s="284">
        <f t="shared" ca="1" si="188"/>
        <v>0.28724016125843133</v>
      </c>
      <c r="G6031" s="74">
        <v>39.436114293788158</v>
      </c>
      <c r="H6031" s="74">
        <f t="shared" si="189"/>
        <v>1.058286049544364</v>
      </c>
    </row>
    <row r="6032" spans="5:8" ht="15.6">
      <c r="E6032" s="279" t="s">
        <v>6358</v>
      </c>
      <c r="F6032" s="284">
        <f t="shared" ca="1" si="188"/>
        <v>0.81631050269645278</v>
      </c>
      <c r="G6032" s="74">
        <v>37.915544662523715</v>
      </c>
      <c r="H6032" s="74">
        <f t="shared" si="189"/>
        <v>2.5788556808088074</v>
      </c>
    </row>
    <row r="6033" spans="5:8" ht="15.6">
      <c r="E6033" s="279" t="s">
        <v>6359</v>
      </c>
      <c r="F6033" s="284">
        <f t="shared" ca="1" si="188"/>
        <v>0.25377403952866551</v>
      </c>
      <c r="G6033" s="74">
        <v>37.793261072282334</v>
      </c>
      <c r="H6033" s="74">
        <f t="shared" si="189"/>
        <v>2.701139271050188</v>
      </c>
    </row>
    <row r="6034" spans="5:8" ht="15.6">
      <c r="E6034" s="279" t="s">
        <v>6360</v>
      </c>
      <c r="F6034" s="284">
        <f t="shared" ca="1" si="188"/>
        <v>0.61477384177718419</v>
      </c>
      <c r="G6034" s="74">
        <v>39.178138802485257</v>
      </c>
      <c r="H6034" s="74">
        <f t="shared" si="189"/>
        <v>1.3162615408472647</v>
      </c>
    </row>
    <row r="6035" spans="5:8" ht="15.6">
      <c r="E6035" s="279" t="s">
        <v>6361</v>
      </c>
      <c r="F6035" s="284">
        <f t="shared" ca="1" si="188"/>
        <v>0.76944421287059173</v>
      </c>
      <c r="G6035" s="74">
        <v>43.569136764301447</v>
      </c>
      <c r="H6035" s="74">
        <f t="shared" si="189"/>
        <v>-3.0747364209689252</v>
      </c>
    </row>
    <row r="6036" spans="5:8" ht="15.6">
      <c r="E6036" s="279" t="s">
        <v>6362</v>
      </c>
      <c r="F6036" s="284">
        <f t="shared" ca="1" si="188"/>
        <v>0.58053696304050784</v>
      </c>
      <c r="G6036" s="74">
        <v>37.025956272759252</v>
      </c>
      <c r="H6036" s="74">
        <f t="shared" si="189"/>
        <v>3.4684440705732698</v>
      </c>
    </row>
    <row r="6037" spans="5:8" ht="15.6">
      <c r="E6037" s="279" t="s">
        <v>6363</v>
      </c>
      <c r="F6037" s="284">
        <f t="shared" ca="1" si="188"/>
        <v>0.50696110643308834</v>
      </c>
      <c r="G6037" s="74">
        <v>38.411983523750543</v>
      </c>
      <c r="H6037" s="74">
        <f t="shared" si="189"/>
        <v>2.0824168195819794</v>
      </c>
    </row>
    <row r="6038" spans="5:8" ht="15.6">
      <c r="E6038" s="279" t="s">
        <v>6364</v>
      </c>
      <c r="F6038" s="284">
        <f t="shared" ca="1" si="188"/>
        <v>2.1817351519413664E-2</v>
      </c>
      <c r="G6038" s="74">
        <v>39.453616472873577</v>
      </c>
      <c r="H6038" s="74">
        <f t="shared" si="189"/>
        <v>1.0407838704589452</v>
      </c>
    </row>
    <row r="6039" spans="5:8" ht="15.6">
      <c r="E6039" s="279" t="s">
        <v>6365</v>
      </c>
      <c r="F6039" s="284">
        <f t="shared" ca="1" si="188"/>
        <v>0.60796785275871512</v>
      </c>
      <c r="G6039" s="74">
        <v>35.720182023787842</v>
      </c>
      <c r="H6039" s="74">
        <f t="shared" si="189"/>
        <v>4.7742183195446799</v>
      </c>
    </row>
    <row r="6040" spans="5:8" ht="15.6">
      <c r="E6040" s="279" t="s">
        <v>6366</v>
      </c>
      <c r="F6040" s="284">
        <f t="shared" ca="1" si="188"/>
        <v>4.1804261658679231E-2</v>
      </c>
      <c r="G6040" s="74">
        <v>36.586257273272899</v>
      </c>
      <c r="H6040" s="74">
        <f t="shared" si="189"/>
        <v>3.9081430700596229</v>
      </c>
    </row>
    <row r="6041" spans="5:8" ht="15.6">
      <c r="E6041" s="279" t="s">
        <v>6367</v>
      </c>
      <c r="F6041" s="284">
        <f t="shared" ca="1" si="188"/>
        <v>0.24779024662237792</v>
      </c>
      <c r="G6041" s="74">
        <v>36.655226430314251</v>
      </c>
      <c r="H6041" s="74">
        <f t="shared" si="189"/>
        <v>3.8391739130182714</v>
      </c>
    </row>
    <row r="6042" spans="5:8" ht="15.6">
      <c r="E6042" s="279" t="s">
        <v>6368</v>
      </c>
      <c r="F6042" s="284">
        <f t="shared" ca="1" si="188"/>
        <v>0.50941663329804487</v>
      </c>
      <c r="G6042" s="74">
        <v>39.196593411023024</v>
      </c>
      <c r="H6042" s="74">
        <f t="shared" si="189"/>
        <v>1.2978069323094985</v>
      </c>
    </row>
    <row r="6043" spans="5:8" ht="15.6">
      <c r="E6043" s="279" t="s">
        <v>6369</v>
      </c>
      <c r="F6043" s="284">
        <f t="shared" ca="1" si="188"/>
        <v>0.26595603022357428</v>
      </c>
      <c r="G6043" s="74">
        <v>39.497305000578997</v>
      </c>
      <c r="H6043" s="74">
        <f t="shared" si="189"/>
        <v>0.99709534275352496</v>
      </c>
    </row>
    <row r="6044" spans="5:8" ht="15.6">
      <c r="E6044" s="279" t="s">
        <v>6370</v>
      </c>
      <c r="F6044" s="284">
        <f t="shared" ca="1" si="188"/>
        <v>0.92308866916045906</v>
      </c>
      <c r="G6044" s="74">
        <v>38.140981977623241</v>
      </c>
      <c r="H6044" s="74">
        <f t="shared" si="189"/>
        <v>2.3534183657092811</v>
      </c>
    </row>
    <row r="6045" spans="5:8" ht="15.6">
      <c r="E6045" s="279" t="s">
        <v>6371</v>
      </c>
      <c r="F6045" s="284">
        <f t="shared" ca="1" si="188"/>
        <v>0.85634396301014692</v>
      </c>
      <c r="G6045" s="74">
        <v>41.870543553386923</v>
      </c>
      <c r="H6045" s="74">
        <f t="shared" si="189"/>
        <v>-1.3761432100544013</v>
      </c>
    </row>
    <row r="6046" spans="5:8" ht="15.6">
      <c r="E6046" s="279" t="s">
        <v>6372</v>
      </c>
      <c r="F6046" s="284">
        <f t="shared" ca="1" si="188"/>
        <v>0.86019194703428847</v>
      </c>
      <c r="G6046" s="74">
        <v>38.75998601297416</v>
      </c>
      <c r="H6046" s="74">
        <f t="shared" si="189"/>
        <v>1.7344143303583621</v>
      </c>
    </row>
    <row r="6047" spans="5:8" ht="15.6">
      <c r="E6047" s="279" t="s">
        <v>6373</v>
      </c>
      <c r="F6047" s="284">
        <f t="shared" ca="1" si="188"/>
        <v>0.61028167606824912</v>
      </c>
      <c r="G6047" s="74">
        <v>38.261318085126895</v>
      </c>
      <c r="H6047" s="74">
        <f t="shared" si="189"/>
        <v>2.2330822582056271</v>
      </c>
    </row>
    <row r="6048" spans="5:8" ht="15.6">
      <c r="E6048" s="279" t="s">
        <v>6374</v>
      </c>
      <c r="F6048" s="284">
        <f t="shared" ca="1" si="188"/>
        <v>0.38361776343604859</v>
      </c>
      <c r="G6048" s="74">
        <v>36.371133985256371</v>
      </c>
      <c r="H6048" s="74">
        <f t="shared" si="189"/>
        <v>4.1232663580761511</v>
      </c>
    </row>
    <row r="6049" spans="5:8" ht="15.6">
      <c r="E6049" s="279" t="s">
        <v>6375</v>
      </c>
      <c r="F6049" s="284">
        <f t="shared" ca="1" si="188"/>
        <v>8.49890142039883E-2</v>
      </c>
      <c r="G6049" s="74">
        <v>36.603844484694093</v>
      </c>
      <c r="H6049" s="74">
        <f t="shared" si="189"/>
        <v>3.8905558586384288</v>
      </c>
    </row>
    <row r="6050" spans="5:8" ht="15.6">
      <c r="E6050" s="279" t="s">
        <v>6376</v>
      </c>
      <c r="F6050" s="284">
        <f t="shared" ca="1" si="188"/>
        <v>0.58478205382114001</v>
      </c>
      <c r="G6050" s="74">
        <v>37.456559452075943</v>
      </c>
      <c r="H6050" s="74">
        <f t="shared" si="189"/>
        <v>3.0378408912565789</v>
      </c>
    </row>
    <row r="6051" spans="5:8" ht="15.6">
      <c r="E6051" s="279" t="s">
        <v>6377</v>
      </c>
      <c r="F6051" s="284">
        <f t="shared" ca="1" si="188"/>
        <v>0.34093417493433986</v>
      </c>
      <c r="G6051" s="74">
        <v>41.232928366848114</v>
      </c>
      <c r="H6051" s="74">
        <f t="shared" si="189"/>
        <v>-0.73852802351559177</v>
      </c>
    </row>
    <row r="6052" spans="5:8" ht="15.6">
      <c r="E6052" s="279" t="s">
        <v>6378</v>
      </c>
      <c r="F6052" s="284">
        <f t="shared" ca="1" si="188"/>
        <v>0.44737480733751445</v>
      </c>
      <c r="G6052" s="74">
        <v>39.779616062293961</v>
      </c>
      <c r="H6052" s="74">
        <f t="shared" si="189"/>
        <v>0.71478428103856118</v>
      </c>
    </row>
    <row r="6053" spans="5:8" ht="15.6">
      <c r="E6053" s="279" t="s">
        <v>6379</v>
      </c>
      <c r="F6053" s="284">
        <f t="shared" ca="1" si="188"/>
        <v>0.84294215998271182</v>
      </c>
      <c r="G6053" s="74">
        <v>36.128952303254508</v>
      </c>
      <c r="H6053" s="74">
        <f t="shared" si="189"/>
        <v>4.3654480400780145</v>
      </c>
    </row>
    <row r="6054" spans="5:8" ht="15.6">
      <c r="E6054" s="279" t="s">
        <v>6380</v>
      </c>
      <c r="F6054" s="284">
        <f t="shared" ca="1" si="188"/>
        <v>0.83429059965592056</v>
      </c>
      <c r="G6054" s="74">
        <v>36.877904375233257</v>
      </c>
      <c r="H6054" s="74">
        <f t="shared" si="189"/>
        <v>3.6164959680992652</v>
      </c>
    </row>
    <row r="6055" spans="5:8" ht="15.6">
      <c r="E6055" s="279" t="s">
        <v>6381</v>
      </c>
      <c r="F6055" s="284">
        <f t="shared" ca="1" si="188"/>
        <v>5.2888150448710536E-2</v>
      </c>
      <c r="G6055" s="74">
        <v>40.513591225942179</v>
      </c>
      <c r="H6055" s="74">
        <f t="shared" si="189"/>
        <v>-1.9190882609656512E-2</v>
      </c>
    </row>
    <row r="6056" spans="5:8" ht="15.6">
      <c r="E6056" s="279" t="s">
        <v>6382</v>
      </c>
      <c r="F6056" s="284">
        <f t="shared" ca="1" si="188"/>
        <v>0.78573091597316547</v>
      </c>
      <c r="G6056" s="74">
        <v>44.015969548337942</v>
      </c>
      <c r="H6056" s="74">
        <f t="shared" si="189"/>
        <v>-3.5215692050054201</v>
      </c>
    </row>
    <row r="6057" spans="5:8" ht="15.6">
      <c r="E6057" s="279" t="s">
        <v>6383</v>
      </c>
      <c r="F6057" s="284">
        <f t="shared" ca="1" si="188"/>
        <v>0.60614804686005574</v>
      </c>
      <c r="G6057" s="74">
        <v>41.548286699579059</v>
      </c>
      <c r="H6057" s="74">
        <f t="shared" si="189"/>
        <v>-1.0538863562465366</v>
      </c>
    </row>
    <row r="6058" spans="5:8" ht="15.6">
      <c r="E6058" s="279" t="s">
        <v>6384</v>
      </c>
      <c r="F6058" s="284">
        <f t="shared" ca="1" si="188"/>
        <v>0.74327135122232224</v>
      </c>
      <c r="G6058" s="74">
        <v>37.677330740612284</v>
      </c>
      <c r="H6058" s="74">
        <f t="shared" si="189"/>
        <v>2.8170696027202382</v>
      </c>
    </row>
    <row r="6059" spans="5:8" ht="15.6">
      <c r="E6059" s="279" t="s">
        <v>6385</v>
      </c>
      <c r="F6059" s="284">
        <f t="shared" ca="1" si="188"/>
        <v>0.82641853868361759</v>
      </c>
      <c r="G6059" s="74">
        <v>39.198300730578829</v>
      </c>
      <c r="H6059" s="74">
        <f t="shared" si="189"/>
        <v>1.296099612753693</v>
      </c>
    </row>
    <row r="6060" spans="5:8" ht="15.6">
      <c r="E6060" s="279" t="s">
        <v>6386</v>
      </c>
      <c r="F6060" s="284">
        <f t="shared" ca="1" si="188"/>
        <v>0.12146967728888325</v>
      </c>
      <c r="G6060" s="74">
        <v>40.135968708907647</v>
      </c>
      <c r="H6060" s="74">
        <f t="shared" si="189"/>
        <v>0.3584316344248748</v>
      </c>
    </row>
    <row r="6061" spans="5:8" ht="15.6">
      <c r="E6061" s="279" t="s">
        <v>6387</v>
      </c>
      <c r="F6061" s="284">
        <f t="shared" ca="1" si="188"/>
        <v>0.54079086604499549</v>
      </c>
      <c r="G6061" s="74">
        <v>39.614611006620976</v>
      </c>
      <c r="H6061" s="74">
        <f t="shared" si="189"/>
        <v>0.87978933671154635</v>
      </c>
    </row>
    <row r="6062" spans="5:8" ht="15.6">
      <c r="E6062" s="279" t="s">
        <v>6388</v>
      </c>
      <c r="F6062" s="284">
        <f t="shared" ca="1" si="188"/>
        <v>0.96585632708273517</v>
      </c>
      <c r="G6062" s="74">
        <v>37.06774954208533</v>
      </c>
      <c r="H6062" s="74">
        <f t="shared" si="189"/>
        <v>3.4266508012471917</v>
      </c>
    </row>
    <row r="6063" spans="5:8" ht="15.6">
      <c r="E6063" s="279" t="s">
        <v>6389</v>
      </c>
      <c r="F6063" s="284">
        <f t="shared" ca="1" si="188"/>
        <v>0.26795384999835936</v>
      </c>
      <c r="G6063" s="74">
        <v>38.073325640925468</v>
      </c>
      <c r="H6063" s="74">
        <f t="shared" si="189"/>
        <v>2.4210747024070542</v>
      </c>
    </row>
    <row r="6064" spans="5:8" ht="15.6">
      <c r="E6064" s="279" t="s">
        <v>6390</v>
      </c>
      <c r="F6064" s="284">
        <f t="shared" ca="1" si="188"/>
        <v>0.88322881869272207</v>
      </c>
      <c r="G6064" s="74">
        <v>37.768178525853152</v>
      </c>
      <c r="H6064" s="74">
        <f t="shared" si="189"/>
        <v>2.7262218174793702</v>
      </c>
    </row>
    <row r="6065" spans="5:8" ht="15.6">
      <c r="E6065" s="279" t="s">
        <v>6391</v>
      </c>
      <c r="F6065" s="284">
        <f t="shared" ca="1" si="188"/>
        <v>0.53508056827928463</v>
      </c>
      <c r="G6065" s="74">
        <v>43.391185007045294</v>
      </c>
      <c r="H6065" s="74">
        <f t="shared" si="189"/>
        <v>-2.8967846637127721</v>
      </c>
    </row>
    <row r="6066" spans="5:8" ht="15.6">
      <c r="E6066" s="279" t="s">
        <v>6392</v>
      </c>
      <c r="F6066" s="284">
        <f t="shared" ca="1" si="188"/>
        <v>0.6900157262076666</v>
      </c>
      <c r="G6066" s="74">
        <v>37.527042973896606</v>
      </c>
      <c r="H6066" s="74">
        <f t="shared" si="189"/>
        <v>2.9673573694359163</v>
      </c>
    </row>
    <row r="6067" spans="5:8" ht="15.6">
      <c r="E6067" s="279" t="s">
        <v>6393</v>
      </c>
      <c r="F6067" s="284">
        <f t="shared" ca="1" si="188"/>
        <v>0.25331705551856465</v>
      </c>
      <c r="G6067" s="74">
        <v>40.421049132233385</v>
      </c>
      <c r="H6067" s="74">
        <f t="shared" si="189"/>
        <v>7.3351211099137004E-2</v>
      </c>
    </row>
    <row r="6068" spans="5:8" ht="15.6">
      <c r="E6068" s="279" t="s">
        <v>6394</v>
      </c>
      <c r="F6068" s="284">
        <f t="shared" ca="1" si="188"/>
        <v>0.42623301926914792</v>
      </c>
      <c r="G6068" s="74">
        <v>43.236780854578058</v>
      </c>
      <c r="H6068" s="74">
        <f t="shared" si="189"/>
        <v>-2.7423805112455355</v>
      </c>
    </row>
    <row r="6069" spans="5:8" ht="15.6">
      <c r="E6069" s="279" t="s">
        <v>6395</v>
      </c>
      <c r="F6069" s="284">
        <f t="shared" ca="1" si="188"/>
        <v>0.84734174461828382</v>
      </c>
      <c r="G6069" s="74">
        <v>42.957766881866334</v>
      </c>
      <c r="H6069" s="74">
        <f t="shared" si="189"/>
        <v>-2.4633665385338119</v>
      </c>
    </row>
    <row r="6070" spans="5:8" ht="15.6">
      <c r="E6070" s="279" t="s">
        <v>6396</v>
      </c>
      <c r="F6070" s="284">
        <f t="shared" ca="1" si="188"/>
        <v>0.71075491815561931</v>
      </c>
      <c r="G6070" s="74">
        <v>37.898919942735617</v>
      </c>
      <c r="H6070" s="74">
        <f t="shared" si="189"/>
        <v>2.5954804005969052</v>
      </c>
    </row>
    <row r="6071" spans="5:8" ht="15.6">
      <c r="E6071" s="279" t="s">
        <v>6397</v>
      </c>
      <c r="F6071" s="284">
        <f t="shared" ca="1" si="188"/>
        <v>0.61705324941963968</v>
      </c>
      <c r="G6071" s="74">
        <v>38.130035017837912</v>
      </c>
      <c r="H6071" s="74">
        <f t="shared" si="189"/>
        <v>2.3643653254946102</v>
      </c>
    </row>
    <row r="6072" spans="5:8" ht="15.6">
      <c r="E6072" s="279" t="s">
        <v>6398</v>
      </c>
      <c r="F6072" s="284">
        <f t="shared" ca="1" si="188"/>
        <v>0.35903634914105997</v>
      </c>
      <c r="G6072" s="74">
        <v>38.579007703929562</v>
      </c>
      <c r="H6072" s="74">
        <f t="shared" si="189"/>
        <v>1.9153926394029597</v>
      </c>
    </row>
    <row r="6073" spans="5:8" ht="15.6">
      <c r="E6073" s="279" t="s">
        <v>6399</v>
      </c>
      <c r="F6073" s="284">
        <f t="shared" ca="1" si="188"/>
        <v>0.67613752522710002</v>
      </c>
      <c r="G6073" s="74">
        <v>39.274083342201088</v>
      </c>
      <c r="H6073" s="74">
        <f t="shared" si="189"/>
        <v>1.2203170011314342</v>
      </c>
    </row>
    <row r="6074" spans="5:8" ht="15.6">
      <c r="E6074" s="279" t="s">
        <v>6400</v>
      </c>
      <c r="F6074" s="284">
        <f t="shared" ca="1" si="188"/>
        <v>0.83711544242169533</v>
      </c>
      <c r="G6074" s="74">
        <v>37.870791097405956</v>
      </c>
      <c r="H6074" s="74">
        <f t="shared" si="189"/>
        <v>2.6236092459265663</v>
      </c>
    </row>
    <row r="6075" spans="5:8" ht="15.6">
      <c r="E6075" s="279" t="s">
        <v>6401</v>
      </c>
      <c r="F6075" s="284">
        <f t="shared" ca="1" si="188"/>
        <v>0.6280308532814276</v>
      </c>
      <c r="G6075" s="74">
        <v>38.905024054595359</v>
      </c>
      <c r="H6075" s="74">
        <f t="shared" si="189"/>
        <v>1.5893762887371636</v>
      </c>
    </row>
    <row r="6076" spans="5:8" ht="15.6">
      <c r="E6076" s="279" t="s">
        <v>6402</v>
      </c>
      <c r="F6076" s="284">
        <f t="shared" ca="1" si="188"/>
        <v>9.9017679789136226E-3</v>
      </c>
      <c r="G6076" s="74">
        <v>37.973450088796866</v>
      </c>
      <c r="H6076" s="74">
        <f t="shared" si="189"/>
        <v>2.5209502545356557</v>
      </c>
    </row>
    <row r="6077" spans="5:8" ht="15.6">
      <c r="E6077" s="279" t="s">
        <v>6403</v>
      </c>
      <c r="F6077" s="284">
        <f t="shared" ca="1" si="188"/>
        <v>0.87185496789378869</v>
      </c>
      <c r="G6077" s="74">
        <v>38.445975012866022</v>
      </c>
      <c r="H6077" s="74">
        <f t="shared" si="189"/>
        <v>2.0484253304665003</v>
      </c>
    </row>
    <row r="6078" spans="5:8" ht="15.6">
      <c r="E6078" s="279" t="s">
        <v>6404</v>
      </c>
      <c r="F6078" s="284">
        <f t="shared" ca="1" si="188"/>
        <v>0.79623309942775167</v>
      </c>
      <c r="G6078" s="74">
        <v>36.724388002554932</v>
      </c>
      <c r="H6078" s="74">
        <f t="shared" si="189"/>
        <v>3.7700123407775905</v>
      </c>
    </row>
    <row r="6079" spans="5:8" ht="15.6">
      <c r="E6079" s="279" t="s">
        <v>6405</v>
      </c>
      <c r="F6079" s="284">
        <f t="shared" ca="1" si="188"/>
        <v>0.54903643842433425</v>
      </c>
      <c r="G6079" s="74">
        <v>37.219523832808328</v>
      </c>
      <c r="H6079" s="74">
        <f t="shared" si="189"/>
        <v>3.2748765105241944</v>
      </c>
    </row>
    <row r="6080" spans="5:8" ht="15.6">
      <c r="E6080" s="279" t="s">
        <v>6406</v>
      </c>
      <c r="F6080" s="284">
        <f t="shared" ca="1" si="188"/>
        <v>1.0978140739570263E-2</v>
      </c>
      <c r="G6080" s="74">
        <v>36.247110259909839</v>
      </c>
      <c r="H6080" s="74">
        <f t="shared" si="189"/>
        <v>4.2472900834226834</v>
      </c>
    </row>
    <row r="6081" spans="5:8" ht="15.6">
      <c r="E6081" s="279" t="s">
        <v>6407</v>
      </c>
      <c r="F6081" s="284">
        <f t="shared" ca="1" si="188"/>
        <v>0.37612800651895795</v>
      </c>
      <c r="G6081" s="74">
        <v>44.346110629642567</v>
      </c>
      <c r="H6081" s="74">
        <f t="shared" si="189"/>
        <v>-3.8517102863100448</v>
      </c>
    </row>
    <row r="6082" spans="5:8" ht="15.6">
      <c r="E6082" s="279" t="s">
        <v>6408</v>
      </c>
      <c r="F6082" s="284">
        <f t="shared" ca="1" si="188"/>
        <v>0.46843773925258014</v>
      </c>
      <c r="G6082" s="74">
        <v>42.320154562991789</v>
      </c>
      <c r="H6082" s="74">
        <f t="shared" si="189"/>
        <v>-1.8257542196592667</v>
      </c>
    </row>
    <row r="6083" spans="5:8" ht="15.6">
      <c r="E6083" s="279" t="s">
        <v>6409</v>
      </c>
      <c r="F6083" s="284">
        <f t="shared" ca="1" si="188"/>
        <v>0.5285616904186603</v>
      </c>
      <c r="G6083" s="74">
        <v>39.007048899114785</v>
      </c>
      <c r="H6083" s="74">
        <f t="shared" si="189"/>
        <v>1.4873514442177367</v>
      </c>
    </row>
    <row r="6084" spans="5:8" ht="15.6">
      <c r="E6084" s="279" t="s">
        <v>6410</v>
      </c>
      <c r="F6084" s="284">
        <f t="shared" ca="1" si="188"/>
        <v>0.53297771784579329</v>
      </c>
      <c r="G6084" s="74">
        <v>35.681762774200536</v>
      </c>
      <c r="H6084" s="74">
        <f t="shared" si="189"/>
        <v>4.8126375691319865</v>
      </c>
    </row>
    <row r="6085" spans="5:8" ht="15.6">
      <c r="E6085" s="279" t="s">
        <v>6411</v>
      </c>
      <c r="F6085" s="284">
        <f t="shared" ca="1" si="188"/>
        <v>0.4644202280781532</v>
      </c>
      <c r="G6085" s="74">
        <v>41.925507450038509</v>
      </c>
      <c r="H6085" s="74">
        <f t="shared" si="189"/>
        <v>-1.4311071067059871</v>
      </c>
    </row>
    <row r="6086" spans="5:8" ht="15.6">
      <c r="E6086" s="279" t="s">
        <v>6412</v>
      </c>
      <c r="F6086" s="284">
        <f t="shared" ca="1" si="188"/>
        <v>3.8896218956516959E-2</v>
      </c>
      <c r="G6086" s="74">
        <v>39.033999099136196</v>
      </c>
      <c r="H6086" s="74">
        <f t="shared" si="189"/>
        <v>1.4604012441963263</v>
      </c>
    </row>
    <row r="6087" spans="5:8" ht="15.6">
      <c r="E6087" s="279" t="s">
        <v>6413</v>
      </c>
      <c r="F6087" s="284">
        <f t="shared" ca="1" si="188"/>
        <v>0.35915500485796858</v>
      </c>
      <c r="G6087" s="74">
        <v>39.145583631898752</v>
      </c>
      <c r="H6087" s="74">
        <f t="shared" si="189"/>
        <v>1.3488167114337699</v>
      </c>
    </row>
    <row r="6088" spans="5:8" ht="15.6">
      <c r="E6088" s="279" t="s">
        <v>6414</v>
      </c>
      <c r="F6088" s="284">
        <f t="shared" ca="1" si="188"/>
        <v>0.33568365812340717</v>
      </c>
      <c r="G6088" s="74">
        <v>38.032463310140336</v>
      </c>
      <c r="H6088" s="74">
        <f t="shared" si="189"/>
        <v>2.4619370331921857</v>
      </c>
    </row>
    <row r="6089" spans="5:8" ht="15.6">
      <c r="E6089" s="279" t="s">
        <v>6415</v>
      </c>
      <c r="F6089" s="284">
        <f t="shared" ca="1" si="188"/>
        <v>0.12198321883542673</v>
      </c>
      <c r="G6089" s="74">
        <v>41.822270609184983</v>
      </c>
      <c r="H6089" s="74">
        <f t="shared" si="189"/>
        <v>-1.3278702658524608</v>
      </c>
    </row>
    <row r="6090" spans="5:8" ht="15.6">
      <c r="E6090" s="279" t="s">
        <v>6416</v>
      </c>
      <c r="F6090" s="284">
        <f t="shared" ca="1" si="188"/>
        <v>0.87039967919715255</v>
      </c>
      <c r="G6090" s="74">
        <v>39.263137157710986</v>
      </c>
      <c r="H6090" s="74">
        <f t="shared" si="189"/>
        <v>1.2312631856215361</v>
      </c>
    </row>
    <row r="6091" spans="5:8" ht="15.6">
      <c r="E6091" s="279" t="s">
        <v>6417</v>
      </c>
      <c r="F6091" s="284">
        <f t="shared" ca="1" si="188"/>
        <v>0.76500755460604863</v>
      </c>
      <c r="G6091" s="74">
        <v>36.776667044525709</v>
      </c>
      <c r="H6091" s="74">
        <f t="shared" si="189"/>
        <v>3.717733298806813</v>
      </c>
    </row>
    <row r="6092" spans="5:8" ht="15.6">
      <c r="E6092" s="279" t="s">
        <v>6418</v>
      </c>
      <c r="F6092" s="284">
        <f t="shared" ref="F6092:F6155" ca="1" si="190">RAND()</f>
        <v>0.64935260410770645</v>
      </c>
      <c r="G6092" s="74">
        <v>37.087256471069558</v>
      </c>
      <c r="H6092" s="74">
        <f t="shared" ref="H6092:H6155" si="191">$D$2-G6092</f>
        <v>3.4071438722629637</v>
      </c>
    </row>
    <row r="6093" spans="5:8" ht="15.6">
      <c r="E6093" s="279" t="s">
        <v>6419</v>
      </c>
      <c r="F6093" s="284">
        <f t="shared" ca="1" si="190"/>
        <v>0.78977916348027755</v>
      </c>
      <c r="G6093" s="74">
        <v>35.685443656041635</v>
      </c>
      <c r="H6093" s="74">
        <f t="shared" si="191"/>
        <v>4.8089566872908875</v>
      </c>
    </row>
    <row r="6094" spans="5:8" ht="15.6">
      <c r="E6094" s="279" t="s">
        <v>6420</v>
      </c>
      <c r="F6094" s="284">
        <f t="shared" ca="1" si="190"/>
        <v>0.98916391228465061</v>
      </c>
      <c r="G6094" s="74">
        <v>39.574118810908182</v>
      </c>
      <c r="H6094" s="74">
        <f t="shared" si="191"/>
        <v>0.9202815324243403</v>
      </c>
    </row>
    <row r="6095" spans="5:8" ht="15.6">
      <c r="E6095" s="279" t="s">
        <v>6421</v>
      </c>
      <c r="F6095" s="284">
        <f t="shared" ca="1" si="190"/>
        <v>0.62601000833686116</v>
      </c>
      <c r="G6095" s="74">
        <v>33.55627713292629</v>
      </c>
      <c r="H6095" s="74">
        <f t="shared" si="191"/>
        <v>6.938123210406232</v>
      </c>
    </row>
    <row r="6096" spans="5:8" ht="15.6">
      <c r="E6096" s="279" t="s">
        <v>6422</v>
      </c>
      <c r="F6096" s="284">
        <f t="shared" ca="1" si="190"/>
        <v>0.58904797290061017</v>
      </c>
      <c r="G6096" s="74">
        <v>37.788687161722144</v>
      </c>
      <c r="H6096" s="74">
        <f t="shared" si="191"/>
        <v>2.7057131816103777</v>
      </c>
    </row>
    <row r="6097" spans="5:8" ht="15.6">
      <c r="E6097" s="279" t="s">
        <v>6423</v>
      </c>
      <c r="F6097" s="284">
        <f t="shared" ca="1" si="190"/>
        <v>0.67727414148503451</v>
      </c>
      <c r="G6097" s="74">
        <v>34.498057506273753</v>
      </c>
      <c r="H6097" s="74">
        <f t="shared" si="191"/>
        <v>5.9963428370587692</v>
      </c>
    </row>
    <row r="6098" spans="5:8" ht="15.6">
      <c r="E6098" s="279" t="s">
        <v>6424</v>
      </c>
      <c r="F6098" s="284">
        <f t="shared" ca="1" si="190"/>
        <v>0.87558582568416432</v>
      </c>
      <c r="G6098" s="74">
        <v>36.916698566648783</v>
      </c>
      <c r="H6098" s="74">
        <f t="shared" si="191"/>
        <v>3.5777017766837389</v>
      </c>
    </row>
    <row r="6099" spans="5:8" ht="15.6">
      <c r="E6099" s="279" t="s">
        <v>6425</v>
      </c>
      <c r="F6099" s="284">
        <f t="shared" ca="1" si="190"/>
        <v>0.87294956319873351</v>
      </c>
      <c r="G6099" s="74">
        <v>38.48724778792797</v>
      </c>
      <c r="H6099" s="74">
        <f t="shared" si="191"/>
        <v>2.0071525554045522</v>
      </c>
    </row>
    <row r="6100" spans="5:8" ht="15.6">
      <c r="E6100" s="279" t="s">
        <v>6426</v>
      </c>
      <c r="F6100" s="284">
        <f t="shared" ca="1" si="190"/>
        <v>0.36001026917650969</v>
      </c>
      <c r="G6100" s="74">
        <v>37.906944818917275</v>
      </c>
      <c r="H6100" s="74">
        <f t="shared" si="191"/>
        <v>2.5874555244152475</v>
      </c>
    </row>
    <row r="6101" spans="5:8" ht="15.6">
      <c r="E6101" s="279" t="s">
        <v>6427</v>
      </c>
      <c r="F6101" s="284">
        <f t="shared" ca="1" si="190"/>
        <v>0.71145339423983334</v>
      </c>
      <c r="G6101" s="74">
        <v>36.756469784256346</v>
      </c>
      <c r="H6101" s="74">
        <f t="shared" si="191"/>
        <v>3.737930559076176</v>
      </c>
    </row>
    <row r="6102" spans="5:8" ht="15.6">
      <c r="E6102" s="279" t="s">
        <v>6428</v>
      </c>
      <c r="F6102" s="284">
        <f t="shared" ca="1" si="190"/>
        <v>0.96593084809315555</v>
      </c>
      <c r="G6102" s="74">
        <v>41.053275526219068</v>
      </c>
      <c r="H6102" s="74">
        <f t="shared" si="191"/>
        <v>-0.55887518288654547</v>
      </c>
    </row>
    <row r="6103" spans="5:8" ht="15.6">
      <c r="E6103" s="279" t="s">
        <v>6429</v>
      </c>
      <c r="F6103" s="284">
        <f t="shared" ca="1" si="190"/>
        <v>0.87374993592347394</v>
      </c>
      <c r="G6103" s="74">
        <v>41.83351515395313</v>
      </c>
      <c r="H6103" s="74">
        <f t="shared" si="191"/>
        <v>-1.3391148106206074</v>
      </c>
    </row>
    <row r="6104" spans="5:8" ht="15.6">
      <c r="E6104" s="279" t="s">
        <v>6430</v>
      </c>
      <c r="F6104" s="284">
        <f t="shared" ca="1" si="190"/>
        <v>0.69465618993072697</v>
      </c>
      <c r="G6104" s="74">
        <v>35.98201311183297</v>
      </c>
      <c r="H6104" s="74">
        <f t="shared" si="191"/>
        <v>4.5123872314995523</v>
      </c>
    </row>
    <row r="6105" spans="5:8" ht="15.6">
      <c r="E6105" s="279" t="s">
        <v>6431</v>
      </c>
      <c r="F6105" s="284">
        <f t="shared" ca="1" si="190"/>
        <v>0.74916725028458919</v>
      </c>
      <c r="G6105" s="74">
        <v>39.353936062799789</v>
      </c>
      <c r="H6105" s="74">
        <f t="shared" si="191"/>
        <v>1.1404642805327327</v>
      </c>
    </row>
    <row r="6106" spans="5:8" ht="15.6">
      <c r="E6106" s="279" t="s">
        <v>6432</v>
      </c>
      <c r="F6106" s="284">
        <f t="shared" ca="1" si="190"/>
        <v>0.14899003701854929</v>
      </c>
      <c r="G6106" s="74">
        <v>34.843274416600991</v>
      </c>
      <c r="H6106" s="74">
        <f t="shared" si="191"/>
        <v>5.651125926731531</v>
      </c>
    </row>
    <row r="6107" spans="5:8" ht="15.6">
      <c r="E6107" s="279" t="s">
        <v>6433</v>
      </c>
      <c r="F6107" s="284">
        <f t="shared" ca="1" si="190"/>
        <v>0.74532022406873444</v>
      </c>
      <c r="G6107" s="74">
        <v>37.681413271211163</v>
      </c>
      <c r="H6107" s="74">
        <f t="shared" si="191"/>
        <v>2.8129870721213592</v>
      </c>
    </row>
    <row r="6108" spans="5:8" ht="15.6">
      <c r="E6108" s="279" t="s">
        <v>6434</v>
      </c>
      <c r="F6108" s="284">
        <f t="shared" ca="1" si="190"/>
        <v>0.23911267949200676</v>
      </c>
      <c r="G6108" s="74">
        <v>41.24173346146587</v>
      </c>
      <c r="H6108" s="74">
        <f t="shared" si="191"/>
        <v>-0.7473331181333478</v>
      </c>
    </row>
    <row r="6109" spans="5:8" ht="15.6">
      <c r="E6109" s="279" t="s">
        <v>6435</v>
      </c>
      <c r="F6109" s="284">
        <f t="shared" ca="1" si="190"/>
        <v>0.46043612879684026</v>
      </c>
      <c r="G6109" s="74">
        <v>37.640569277352519</v>
      </c>
      <c r="H6109" s="74">
        <f t="shared" si="191"/>
        <v>2.8538310659800032</v>
      </c>
    </row>
    <row r="6110" spans="5:8" ht="15.6">
      <c r="E6110" s="279" t="s">
        <v>6436</v>
      </c>
      <c r="F6110" s="284">
        <f t="shared" ca="1" si="190"/>
        <v>0.20784460925518911</v>
      </c>
      <c r="G6110" s="74">
        <v>37.861497006411085</v>
      </c>
      <c r="H6110" s="74">
        <f t="shared" si="191"/>
        <v>2.6329033369214372</v>
      </c>
    </row>
    <row r="6111" spans="5:8" ht="15.6">
      <c r="E6111" s="279" t="s">
        <v>6437</v>
      </c>
      <c r="F6111" s="284">
        <f t="shared" ca="1" si="190"/>
        <v>0.24828939987161491</v>
      </c>
      <c r="G6111" s="74">
        <v>39.350428603836228</v>
      </c>
      <c r="H6111" s="74">
        <f t="shared" si="191"/>
        <v>1.143971739496294</v>
      </c>
    </row>
    <row r="6112" spans="5:8" ht="15.6">
      <c r="E6112" s="279" t="s">
        <v>6438</v>
      </c>
      <c r="F6112" s="284">
        <f t="shared" ca="1" si="190"/>
        <v>0.88360087181648672</v>
      </c>
      <c r="G6112" s="74">
        <v>41.822429692839364</v>
      </c>
      <c r="H6112" s="74">
        <f t="shared" si="191"/>
        <v>-1.328029349506842</v>
      </c>
    </row>
    <row r="6113" spans="5:8" ht="15.6">
      <c r="E6113" s="279" t="s">
        <v>6439</v>
      </c>
      <c r="F6113" s="284">
        <f t="shared" ca="1" si="190"/>
        <v>0.26381111969324822</v>
      </c>
      <c r="G6113" s="74">
        <v>39.003836965259907</v>
      </c>
      <c r="H6113" s="74">
        <f t="shared" si="191"/>
        <v>1.4905633780726149</v>
      </c>
    </row>
    <row r="6114" spans="5:8" ht="15.6">
      <c r="E6114" s="279" t="s">
        <v>6440</v>
      </c>
      <c r="F6114" s="284">
        <f t="shared" ca="1" si="190"/>
        <v>0.25609706309635338</v>
      </c>
      <c r="G6114" s="74">
        <v>35.704346135940973</v>
      </c>
      <c r="H6114" s="74">
        <f t="shared" si="191"/>
        <v>4.7900542073915489</v>
      </c>
    </row>
    <row r="6115" spans="5:8" ht="15.6">
      <c r="E6115" s="279" t="s">
        <v>6441</v>
      </c>
      <c r="F6115" s="284">
        <f t="shared" ca="1" si="190"/>
        <v>0.14526101085217091</v>
      </c>
      <c r="G6115" s="74">
        <v>42.024296898542744</v>
      </c>
      <c r="H6115" s="74">
        <f t="shared" si="191"/>
        <v>-1.5298965552102217</v>
      </c>
    </row>
    <row r="6116" spans="5:8" ht="15.6">
      <c r="E6116" s="279" t="s">
        <v>6442</v>
      </c>
      <c r="F6116" s="284">
        <f t="shared" ca="1" si="190"/>
        <v>0.75292935261989302</v>
      </c>
      <c r="G6116" s="74">
        <v>39.355354175429653</v>
      </c>
      <c r="H6116" s="74">
        <f t="shared" si="191"/>
        <v>1.1390461679028689</v>
      </c>
    </row>
    <row r="6117" spans="5:8" ht="15.6">
      <c r="E6117" s="279" t="s">
        <v>6443</v>
      </c>
      <c r="F6117" s="284">
        <f t="shared" ca="1" si="190"/>
        <v>0.50425002239655925</v>
      </c>
      <c r="G6117" s="74">
        <v>40.143711667960439</v>
      </c>
      <c r="H6117" s="74">
        <f t="shared" si="191"/>
        <v>0.35068867537208348</v>
      </c>
    </row>
    <row r="6118" spans="5:8" ht="15.6">
      <c r="E6118" s="279" t="s">
        <v>6444</v>
      </c>
      <c r="F6118" s="284">
        <f t="shared" ca="1" si="190"/>
        <v>0.42962329484314843</v>
      </c>
      <c r="G6118" s="74">
        <v>38.905740659439957</v>
      </c>
      <c r="H6118" s="74">
        <f t="shared" si="191"/>
        <v>1.5886596838925655</v>
      </c>
    </row>
    <row r="6119" spans="5:8" ht="15.6">
      <c r="E6119" s="279" t="s">
        <v>6445</v>
      </c>
      <c r="F6119" s="284">
        <f t="shared" ca="1" si="190"/>
        <v>0.8301565741898389</v>
      </c>
      <c r="G6119" s="74">
        <v>41.088058776736524</v>
      </c>
      <c r="H6119" s="74">
        <f t="shared" si="191"/>
        <v>-0.59365843340400204</v>
      </c>
    </row>
    <row r="6120" spans="5:8" ht="15.6">
      <c r="E6120" s="279" t="s">
        <v>6446</v>
      </c>
      <c r="F6120" s="284">
        <f t="shared" ca="1" si="190"/>
        <v>0.27550065848282201</v>
      </c>
      <c r="G6120" s="74">
        <v>41.272620659782994</v>
      </c>
      <c r="H6120" s="74">
        <f t="shared" si="191"/>
        <v>-0.77822031645047218</v>
      </c>
    </row>
    <row r="6121" spans="5:8" ht="15.6">
      <c r="E6121" s="279" t="s">
        <v>6447</v>
      </c>
      <c r="F6121" s="284">
        <f t="shared" ca="1" si="190"/>
        <v>0.80441077547698814</v>
      </c>
      <c r="G6121" s="74">
        <v>42.355279215636067</v>
      </c>
      <c r="H6121" s="74">
        <f t="shared" si="191"/>
        <v>-1.8608788723035445</v>
      </c>
    </row>
    <row r="6122" spans="5:8" ht="15.6">
      <c r="E6122" s="279" t="s">
        <v>6448</v>
      </c>
      <c r="F6122" s="284">
        <f t="shared" ca="1" si="190"/>
        <v>0.64395098458849842</v>
      </c>
      <c r="G6122" s="74">
        <v>40.754129016605603</v>
      </c>
      <c r="H6122" s="74">
        <f t="shared" si="191"/>
        <v>-0.2597286732730808</v>
      </c>
    </row>
    <row r="6123" spans="5:8" ht="15.6">
      <c r="E6123" s="279" t="s">
        <v>6449</v>
      </c>
      <c r="F6123" s="284">
        <f t="shared" ca="1" si="190"/>
        <v>0.3723356356336659</v>
      </c>
      <c r="G6123" s="74">
        <v>39.592878356171639</v>
      </c>
      <c r="H6123" s="74">
        <f t="shared" si="191"/>
        <v>0.9015219871608835</v>
      </c>
    </row>
    <row r="6124" spans="5:8" ht="15.6">
      <c r="E6124" s="279" t="s">
        <v>6450</v>
      </c>
      <c r="F6124" s="284">
        <f t="shared" ca="1" si="190"/>
        <v>0.59277272934253777</v>
      </c>
      <c r="G6124" s="74">
        <v>39.936246997960502</v>
      </c>
      <c r="H6124" s="74">
        <f t="shared" si="191"/>
        <v>0.55815334537201977</v>
      </c>
    </row>
    <row r="6125" spans="5:8" ht="15.6">
      <c r="E6125" s="279" t="s">
        <v>6451</v>
      </c>
      <c r="F6125" s="284">
        <f t="shared" ca="1" si="190"/>
        <v>0.3927228420651373</v>
      </c>
      <c r="G6125" s="74">
        <v>36.844177735191579</v>
      </c>
      <c r="H6125" s="74">
        <f t="shared" si="191"/>
        <v>3.6502226081409432</v>
      </c>
    </row>
    <row r="6126" spans="5:8" ht="15.6">
      <c r="E6126" s="279" t="s">
        <v>6452</v>
      </c>
      <c r="F6126" s="284">
        <f t="shared" ca="1" si="190"/>
        <v>0.86241551680168926</v>
      </c>
      <c r="G6126" s="74">
        <v>37.240270472742452</v>
      </c>
      <c r="H6126" s="74">
        <f t="shared" si="191"/>
        <v>3.2541298705900701</v>
      </c>
    </row>
    <row r="6127" spans="5:8" ht="15.6">
      <c r="E6127" s="279" t="s">
        <v>6453</v>
      </c>
      <c r="F6127" s="284">
        <f t="shared" ca="1" si="190"/>
        <v>0.84882770041363209</v>
      </c>
      <c r="G6127" s="74">
        <v>40.599967579594505</v>
      </c>
      <c r="H6127" s="74">
        <f t="shared" si="191"/>
        <v>-0.10556723626198306</v>
      </c>
    </row>
    <row r="6128" spans="5:8" ht="15.6">
      <c r="E6128" s="279" t="s">
        <v>6454</v>
      </c>
      <c r="F6128" s="284">
        <f t="shared" ca="1" si="190"/>
        <v>0.29410490126515587</v>
      </c>
      <c r="G6128" s="74">
        <v>37.353990337449076</v>
      </c>
      <c r="H6128" s="74">
        <f t="shared" si="191"/>
        <v>3.1404100058834459</v>
      </c>
    </row>
    <row r="6129" spans="5:8" ht="15.6">
      <c r="E6129" s="279" t="s">
        <v>6455</v>
      </c>
      <c r="F6129" s="284">
        <f t="shared" ca="1" si="190"/>
        <v>0.37947566944134459</v>
      </c>
      <c r="G6129" s="74">
        <v>37.557647251403054</v>
      </c>
      <c r="H6129" s="74">
        <f t="shared" si="191"/>
        <v>2.936753091929468</v>
      </c>
    </row>
    <row r="6130" spans="5:8" ht="15.6">
      <c r="E6130" s="279" t="s">
        <v>6456</v>
      </c>
      <c r="F6130" s="284">
        <f t="shared" ca="1" si="190"/>
        <v>0.13775167747939243</v>
      </c>
      <c r="G6130" s="74">
        <v>42.224958165358643</v>
      </c>
      <c r="H6130" s="74">
        <f t="shared" si="191"/>
        <v>-1.7305578220261211</v>
      </c>
    </row>
    <row r="6131" spans="5:8" ht="15.6">
      <c r="E6131" s="279" t="s">
        <v>6457</v>
      </c>
      <c r="F6131" s="284">
        <f t="shared" ca="1" si="190"/>
        <v>0.29253422253072769</v>
      </c>
      <c r="G6131" s="74">
        <v>42.060800166956398</v>
      </c>
      <c r="H6131" s="74">
        <f t="shared" si="191"/>
        <v>-1.5663998236238754</v>
      </c>
    </row>
    <row r="6132" spans="5:8" ht="15.6">
      <c r="E6132" s="279" t="s">
        <v>6458</v>
      </c>
      <c r="F6132" s="284">
        <f t="shared" ca="1" si="190"/>
        <v>0.68534784417138184</v>
      </c>
      <c r="G6132" s="74">
        <v>39.437040681027632</v>
      </c>
      <c r="H6132" s="74">
        <f t="shared" si="191"/>
        <v>1.05735966230489</v>
      </c>
    </row>
    <row r="6133" spans="5:8" ht="15.6">
      <c r="E6133" s="279" t="s">
        <v>6459</v>
      </c>
      <c r="F6133" s="284">
        <f t="shared" ca="1" si="190"/>
        <v>0.52511678327449562</v>
      </c>
      <c r="G6133" s="74">
        <v>39.713752429512759</v>
      </c>
      <c r="H6133" s="74">
        <f t="shared" si="191"/>
        <v>0.78064791381976306</v>
      </c>
    </row>
    <row r="6134" spans="5:8" ht="15.6">
      <c r="E6134" s="279" t="s">
        <v>6460</v>
      </c>
      <c r="F6134" s="284">
        <f t="shared" ca="1" si="190"/>
        <v>0.74859660364512937</v>
      </c>
      <c r="G6134" s="74">
        <v>34.592016464146113</v>
      </c>
      <c r="H6134" s="74">
        <f t="shared" si="191"/>
        <v>5.9023838791864094</v>
      </c>
    </row>
    <row r="6135" spans="5:8" ht="15.6">
      <c r="E6135" s="279" t="s">
        <v>6461</v>
      </c>
      <c r="F6135" s="284">
        <f t="shared" ca="1" si="190"/>
        <v>1.3955816314997982E-2</v>
      </c>
      <c r="G6135" s="74">
        <v>37.171174482319557</v>
      </c>
      <c r="H6135" s="74">
        <f t="shared" si="191"/>
        <v>3.3232258610129648</v>
      </c>
    </row>
    <row r="6136" spans="5:8" ht="15.6">
      <c r="E6136" s="279" t="s">
        <v>6462</v>
      </c>
      <c r="F6136" s="284">
        <f t="shared" ca="1" si="190"/>
        <v>0.24247631791882918</v>
      </c>
      <c r="G6136" s="74">
        <v>39.123502786624279</v>
      </c>
      <c r="H6136" s="74">
        <f t="shared" si="191"/>
        <v>1.3708975567082433</v>
      </c>
    </row>
    <row r="6137" spans="5:8" ht="15.6">
      <c r="E6137" s="279" t="s">
        <v>6463</v>
      </c>
      <c r="F6137" s="284">
        <f t="shared" ca="1" si="190"/>
        <v>0.43105447314647416</v>
      </c>
      <c r="G6137" s="74">
        <v>40.151167610484158</v>
      </c>
      <c r="H6137" s="74">
        <f t="shared" si="191"/>
        <v>0.34323273284836375</v>
      </c>
    </row>
    <row r="6138" spans="5:8" ht="15.6">
      <c r="E6138" s="279" t="s">
        <v>6464</v>
      </c>
      <c r="F6138" s="284">
        <f t="shared" ca="1" si="190"/>
        <v>0.38598129057006358</v>
      </c>
      <c r="G6138" s="74">
        <v>36.641691321015863</v>
      </c>
      <c r="H6138" s="74">
        <f t="shared" si="191"/>
        <v>3.8527090223166596</v>
      </c>
    </row>
    <row r="6139" spans="5:8" ht="15.6">
      <c r="E6139" s="279" t="s">
        <v>6465</v>
      </c>
      <c r="F6139" s="284">
        <f t="shared" ca="1" si="190"/>
        <v>0.40455941242970539</v>
      </c>
      <c r="G6139" s="74">
        <v>38.11360113053891</v>
      </c>
      <c r="H6139" s="74">
        <f t="shared" si="191"/>
        <v>2.3807992127936117</v>
      </c>
    </row>
    <row r="6140" spans="5:8" ht="15.6">
      <c r="E6140" s="279" t="s">
        <v>6466</v>
      </c>
      <c r="F6140" s="284">
        <f t="shared" ca="1" si="190"/>
        <v>0.98304822332309483</v>
      </c>
      <c r="G6140" s="74">
        <v>39.118905495743469</v>
      </c>
      <c r="H6140" s="74">
        <f t="shared" si="191"/>
        <v>1.3754948475890529</v>
      </c>
    </row>
    <row r="6141" spans="5:8" ht="15.6">
      <c r="E6141" s="279" t="s">
        <v>6467</v>
      </c>
      <c r="F6141" s="284">
        <f t="shared" ca="1" si="190"/>
        <v>0.97362106623201228</v>
      </c>
      <c r="G6141" s="74">
        <v>43.464447665879398</v>
      </c>
      <c r="H6141" s="74">
        <f t="shared" si="191"/>
        <v>-2.9700473225468755</v>
      </c>
    </row>
    <row r="6142" spans="5:8" ht="15.6">
      <c r="E6142" s="279" t="s">
        <v>6468</v>
      </c>
      <c r="F6142" s="284">
        <f t="shared" ca="1" si="190"/>
        <v>0.54450612500934636</v>
      </c>
      <c r="G6142" s="74">
        <v>37.437839661174451</v>
      </c>
      <c r="H6142" s="74">
        <f t="shared" si="191"/>
        <v>3.0565606821580715</v>
      </c>
    </row>
    <row r="6143" spans="5:8" ht="15.6">
      <c r="E6143" s="279" t="s">
        <v>6469</v>
      </c>
      <c r="F6143" s="284">
        <f t="shared" ca="1" si="190"/>
        <v>0.98250659087177528</v>
      </c>
      <c r="G6143" s="74">
        <v>38.887619375893095</v>
      </c>
      <c r="H6143" s="74">
        <f t="shared" si="191"/>
        <v>1.6067809674394269</v>
      </c>
    </row>
    <row r="6144" spans="5:8" ht="15.6">
      <c r="E6144" s="279" t="s">
        <v>6470</v>
      </c>
      <c r="F6144" s="284">
        <f t="shared" ca="1" si="190"/>
        <v>0.52739518154635634</v>
      </c>
      <c r="G6144" s="74">
        <v>38.521743858918938</v>
      </c>
      <c r="H6144" s="74">
        <f t="shared" si="191"/>
        <v>1.9726564844135837</v>
      </c>
    </row>
    <row r="6145" spans="5:8" ht="15.6">
      <c r="E6145" s="279" t="s">
        <v>6471</v>
      </c>
      <c r="F6145" s="284">
        <f t="shared" ca="1" si="190"/>
        <v>0.16217080768929237</v>
      </c>
      <c r="G6145" s="74">
        <v>40.043717300936592</v>
      </c>
      <c r="H6145" s="74">
        <f t="shared" si="191"/>
        <v>0.45068304239593004</v>
      </c>
    </row>
    <row r="6146" spans="5:8" ht="15.6">
      <c r="E6146" s="279" t="s">
        <v>6472</v>
      </c>
      <c r="F6146" s="284">
        <f t="shared" ca="1" si="190"/>
        <v>0.90889177011966638</v>
      </c>
      <c r="G6146" s="74">
        <v>36.740712242887085</v>
      </c>
      <c r="H6146" s="74">
        <f t="shared" si="191"/>
        <v>3.7536881004454372</v>
      </c>
    </row>
    <row r="6147" spans="5:8" ht="15.6">
      <c r="E6147" s="279" t="s">
        <v>6473</v>
      </c>
      <c r="F6147" s="284">
        <f t="shared" ca="1" si="190"/>
        <v>5.1355516825244307E-2</v>
      </c>
      <c r="G6147" s="74">
        <v>43.473455637974993</v>
      </c>
      <c r="H6147" s="74">
        <f t="shared" si="191"/>
        <v>-2.9790552946424711</v>
      </c>
    </row>
    <row r="6148" spans="5:8" ht="15.6">
      <c r="E6148" s="279" t="s">
        <v>6474</v>
      </c>
      <c r="F6148" s="284">
        <f t="shared" ca="1" si="190"/>
        <v>0.77452145516516901</v>
      </c>
      <c r="G6148" s="74">
        <v>37.104423104262317</v>
      </c>
      <c r="H6148" s="74">
        <f t="shared" si="191"/>
        <v>3.3899772390702054</v>
      </c>
    </row>
    <row r="6149" spans="5:8" ht="15.6">
      <c r="E6149" s="279" t="s">
        <v>6475</v>
      </c>
      <c r="F6149" s="284">
        <f t="shared" ca="1" si="190"/>
        <v>0.70962040142697069</v>
      </c>
      <c r="G6149" s="74">
        <v>35.619415026114162</v>
      </c>
      <c r="H6149" s="74">
        <f t="shared" si="191"/>
        <v>4.8749853172183606</v>
      </c>
    </row>
    <row r="6150" spans="5:8" ht="15.6">
      <c r="E6150" s="279" t="s">
        <v>6476</v>
      </c>
      <c r="F6150" s="284">
        <f t="shared" ca="1" si="190"/>
        <v>0.5134970651377796</v>
      </c>
      <c r="G6150" s="74">
        <v>37.72118740039754</v>
      </c>
      <c r="H6150" s="74">
        <f t="shared" si="191"/>
        <v>2.7732129429349826</v>
      </c>
    </row>
    <row r="6151" spans="5:8" ht="15.6">
      <c r="E6151" s="279" t="s">
        <v>6477</v>
      </c>
      <c r="F6151" s="284">
        <f t="shared" ca="1" si="190"/>
        <v>0.88921960706105752</v>
      </c>
      <c r="G6151" s="74">
        <v>36.988042120151547</v>
      </c>
      <c r="H6151" s="74">
        <f t="shared" si="191"/>
        <v>3.5063582231809747</v>
      </c>
    </row>
    <row r="6152" spans="5:8" ht="15.6">
      <c r="E6152" s="279" t="s">
        <v>6478</v>
      </c>
      <c r="F6152" s="284">
        <f t="shared" ca="1" si="190"/>
        <v>0.80808801042130196</v>
      </c>
      <c r="G6152" s="74">
        <v>39.73401071393674</v>
      </c>
      <c r="H6152" s="74">
        <f t="shared" si="191"/>
        <v>0.7603896293957817</v>
      </c>
    </row>
    <row r="6153" spans="5:8" ht="15.6">
      <c r="E6153" s="279" t="s">
        <v>6479</v>
      </c>
      <c r="F6153" s="284">
        <f t="shared" ca="1" si="190"/>
        <v>6.6976725340617715E-2</v>
      </c>
      <c r="G6153" s="74">
        <v>41.728466239634407</v>
      </c>
      <c r="H6153" s="74">
        <f t="shared" si="191"/>
        <v>-1.2340658963018853</v>
      </c>
    </row>
    <row r="6154" spans="5:8" ht="15.6">
      <c r="E6154" s="279" t="s">
        <v>6480</v>
      </c>
      <c r="F6154" s="284">
        <f t="shared" ca="1" si="190"/>
        <v>0.5604232101826947</v>
      </c>
      <c r="G6154" s="74">
        <v>42.176241603572549</v>
      </c>
      <c r="H6154" s="74">
        <f t="shared" si="191"/>
        <v>-1.6818412602400272</v>
      </c>
    </row>
    <row r="6155" spans="5:8" ht="15.6">
      <c r="E6155" s="279" t="s">
        <v>6481</v>
      </c>
      <c r="F6155" s="284">
        <f t="shared" ca="1" si="190"/>
        <v>0.95730118371690143</v>
      </c>
      <c r="G6155" s="74">
        <v>37.568305527611301</v>
      </c>
      <c r="H6155" s="74">
        <f t="shared" si="191"/>
        <v>2.9260948157212212</v>
      </c>
    </row>
    <row r="6156" spans="5:8" ht="15.6">
      <c r="E6156" s="279" t="s">
        <v>6482</v>
      </c>
      <c r="F6156" s="284">
        <f t="shared" ref="F6156:F6219" ca="1" si="192">RAND()</f>
        <v>0.6131386014986151</v>
      </c>
      <c r="G6156" s="74">
        <v>38.009304387385143</v>
      </c>
      <c r="H6156" s="74">
        <f t="shared" ref="H6156:H6219" si="193">$D$2-G6156</f>
        <v>2.4850959559473793</v>
      </c>
    </row>
    <row r="6157" spans="5:8" ht="15.6">
      <c r="E6157" s="279" t="s">
        <v>6483</v>
      </c>
      <c r="F6157" s="284">
        <f t="shared" ca="1" si="192"/>
        <v>0.752170945360493</v>
      </c>
      <c r="G6157" s="74">
        <v>43.703417746335035</v>
      </c>
      <c r="H6157" s="74">
        <f t="shared" si="193"/>
        <v>-3.2090174030025125</v>
      </c>
    </row>
    <row r="6158" spans="5:8" ht="15.6">
      <c r="E6158" s="279" t="s">
        <v>6484</v>
      </c>
      <c r="F6158" s="284">
        <f t="shared" ca="1" si="192"/>
        <v>0.21882747917813772</v>
      </c>
      <c r="G6158" s="74">
        <v>37.341940064587156</v>
      </c>
      <c r="H6158" s="74">
        <f t="shared" si="193"/>
        <v>3.1524602787453659</v>
      </c>
    </row>
    <row r="6159" spans="5:8" ht="15.6">
      <c r="E6159" s="279" t="s">
        <v>6485</v>
      </c>
      <c r="F6159" s="284">
        <f t="shared" ca="1" si="192"/>
        <v>0.85161750780051171</v>
      </c>
      <c r="G6159" s="74">
        <v>38.511329866050147</v>
      </c>
      <c r="H6159" s="74">
        <f t="shared" si="193"/>
        <v>1.9830704772823751</v>
      </c>
    </row>
    <row r="6160" spans="5:8" ht="15.6">
      <c r="E6160" s="279" t="s">
        <v>6486</v>
      </c>
      <c r="F6160" s="284">
        <f t="shared" ca="1" si="192"/>
        <v>0.28038258262836602</v>
      </c>
      <c r="G6160" s="74">
        <v>37.321833645717206</v>
      </c>
      <c r="H6160" s="74">
        <f t="shared" si="193"/>
        <v>3.1725666976153164</v>
      </c>
    </row>
    <row r="6161" spans="5:8" ht="15.6">
      <c r="E6161" s="279" t="s">
        <v>6487</v>
      </c>
      <c r="F6161" s="284">
        <f t="shared" ca="1" si="192"/>
        <v>2.4374584674946798E-2</v>
      </c>
      <c r="G6161" s="74">
        <v>36.831279354175727</v>
      </c>
      <c r="H6161" s="74">
        <f t="shared" si="193"/>
        <v>3.6631209891567948</v>
      </c>
    </row>
    <row r="6162" spans="5:8" ht="15.6">
      <c r="E6162" s="279" t="s">
        <v>6488</v>
      </c>
      <c r="F6162" s="284">
        <f t="shared" ca="1" si="192"/>
        <v>0.94075254495329974</v>
      </c>
      <c r="G6162" s="74">
        <v>43.715751171284424</v>
      </c>
      <c r="H6162" s="74">
        <f t="shared" si="193"/>
        <v>-3.2213508279519019</v>
      </c>
    </row>
    <row r="6163" spans="5:8" ht="15.6">
      <c r="E6163" s="279" t="s">
        <v>6489</v>
      </c>
      <c r="F6163" s="284">
        <f t="shared" ca="1" si="192"/>
        <v>2.8052613059746712E-2</v>
      </c>
      <c r="G6163" s="74">
        <v>38.131617377982927</v>
      </c>
      <c r="H6163" s="74">
        <f t="shared" si="193"/>
        <v>2.3627829653495951</v>
      </c>
    </row>
    <row r="6164" spans="5:8" ht="15.6">
      <c r="E6164" s="279" t="s">
        <v>6490</v>
      </c>
      <c r="F6164" s="284">
        <f t="shared" ca="1" si="192"/>
        <v>6.9257838606744171E-2</v>
      </c>
      <c r="G6164" s="74">
        <v>37.445723853345903</v>
      </c>
      <c r="H6164" s="74">
        <f t="shared" si="193"/>
        <v>3.0486764899866188</v>
      </c>
    </row>
    <row r="6165" spans="5:8" ht="15.6">
      <c r="E6165" s="279" t="s">
        <v>6491</v>
      </c>
      <c r="F6165" s="284">
        <f t="shared" ca="1" si="192"/>
        <v>0.72498033043389654</v>
      </c>
      <c r="G6165" s="74">
        <v>39.52690066989355</v>
      </c>
      <c r="H6165" s="74">
        <f t="shared" si="193"/>
        <v>0.96749967343897225</v>
      </c>
    </row>
    <row r="6166" spans="5:8" ht="15.6">
      <c r="E6166" s="279" t="s">
        <v>6492</v>
      </c>
      <c r="F6166" s="284">
        <f t="shared" ca="1" si="192"/>
        <v>0.57410757181149841</v>
      </c>
      <c r="G6166" s="74">
        <v>38.318329067510987</v>
      </c>
      <c r="H6166" s="74">
        <f t="shared" si="193"/>
        <v>2.1760712758215348</v>
      </c>
    </row>
    <row r="6167" spans="5:8" ht="15.6">
      <c r="E6167" s="279" t="s">
        <v>6493</v>
      </c>
      <c r="F6167" s="284">
        <f t="shared" ca="1" si="192"/>
        <v>0.98354338583748968</v>
      </c>
      <c r="G6167" s="74">
        <v>37.936717000299105</v>
      </c>
      <c r="H6167" s="74">
        <f t="shared" si="193"/>
        <v>2.5576833430334176</v>
      </c>
    </row>
    <row r="6168" spans="5:8" ht="15.6">
      <c r="E6168" s="279" t="s">
        <v>6494</v>
      </c>
      <c r="F6168" s="284">
        <f t="shared" ca="1" si="192"/>
        <v>0.92475837861476773</v>
      </c>
      <c r="G6168" s="74">
        <v>38.700652569529922</v>
      </c>
      <c r="H6168" s="74">
        <f t="shared" si="193"/>
        <v>1.7937477738026004</v>
      </c>
    </row>
    <row r="6169" spans="5:8" ht="15.6">
      <c r="E6169" s="279" t="s">
        <v>6495</v>
      </c>
      <c r="F6169" s="284">
        <f t="shared" ca="1" si="192"/>
        <v>0.77552042716156055</v>
      </c>
      <c r="G6169" s="74">
        <v>42.360246210729798</v>
      </c>
      <c r="H6169" s="74">
        <f t="shared" si="193"/>
        <v>-1.865845867397276</v>
      </c>
    </row>
    <row r="6170" spans="5:8" ht="15.6">
      <c r="E6170" s="279" t="s">
        <v>6496</v>
      </c>
      <c r="F6170" s="284">
        <f t="shared" ca="1" si="192"/>
        <v>0.7116961783249709</v>
      </c>
      <c r="G6170" s="74">
        <v>42.769393569498881</v>
      </c>
      <c r="H6170" s="74">
        <f t="shared" si="193"/>
        <v>-2.2749932261663588</v>
      </c>
    </row>
    <row r="6171" spans="5:8" ht="15.6">
      <c r="E6171" s="279" t="s">
        <v>6497</v>
      </c>
      <c r="F6171" s="284">
        <f t="shared" ca="1" si="192"/>
        <v>0.74875410815641508</v>
      </c>
      <c r="G6171" s="74">
        <v>37.837426997864661</v>
      </c>
      <c r="H6171" s="74">
        <f t="shared" si="193"/>
        <v>2.6569733454678612</v>
      </c>
    </row>
    <row r="6172" spans="5:8" ht="15.6">
      <c r="E6172" s="279" t="s">
        <v>6498</v>
      </c>
      <c r="F6172" s="284">
        <f t="shared" ca="1" si="192"/>
        <v>0.79770028100919832</v>
      </c>
      <c r="G6172" s="74">
        <v>36.909022360536902</v>
      </c>
      <c r="H6172" s="74">
        <f t="shared" si="193"/>
        <v>3.5853779827956203</v>
      </c>
    </row>
    <row r="6173" spans="5:8" ht="15.6">
      <c r="E6173" s="279" t="s">
        <v>6499</v>
      </c>
      <c r="F6173" s="284">
        <f t="shared" ca="1" si="192"/>
        <v>0.54777284785247682</v>
      </c>
      <c r="G6173" s="74">
        <v>40.062220574790551</v>
      </c>
      <c r="H6173" s="74">
        <f t="shared" si="193"/>
        <v>0.43217976854197104</v>
      </c>
    </row>
    <row r="6174" spans="5:8" ht="15.6">
      <c r="E6174" s="279" t="s">
        <v>6500</v>
      </c>
      <c r="F6174" s="284">
        <f t="shared" ca="1" si="192"/>
        <v>0.29879817623708926</v>
      </c>
      <c r="G6174" s="74">
        <v>38.25323208443529</v>
      </c>
      <c r="H6174" s="74">
        <f t="shared" si="193"/>
        <v>2.2411682588972326</v>
      </c>
    </row>
    <row r="6175" spans="5:8" ht="15.6">
      <c r="E6175" s="279" t="s">
        <v>6501</v>
      </c>
      <c r="F6175" s="284">
        <f t="shared" ca="1" si="192"/>
        <v>0.79434466540608828</v>
      </c>
      <c r="G6175" s="74">
        <v>41.385555770090349</v>
      </c>
      <c r="H6175" s="74">
        <f t="shared" si="193"/>
        <v>-0.89115542675782677</v>
      </c>
    </row>
    <row r="6176" spans="5:8" ht="15.6">
      <c r="E6176" s="279" t="s">
        <v>6502</v>
      </c>
      <c r="F6176" s="284">
        <f t="shared" ca="1" si="192"/>
        <v>0.49732375119227823</v>
      </c>
      <c r="G6176" s="74">
        <v>37.847922388134656</v>
      </c>
      <c r="H6176" s="74">
        <f t="shared" si="193"/>
        <v>2.6464779551978665</v>
      </c>
    </row>
    <row r="6177" spans="5:8" ht="15.6">
      <c r="E6177" s="279" t="s">
        <v>6503</v>
      </c>
      <c r="F6177" s="284">
        <f t="shared" ca="1" si="192"/>
        <v>0.90550244672520075</v>
      </c>
      <c r="G6177" s="74">
        <v>39.81128464151881</v>
      </c>
      <c r="H6177" s="74">
        <f t="shared" si="193"/>
        <v>0.68311570181371195</v>
      </c>
    </row>
    <row r="6178" spans="5:8" ht="15.6">
      <c r="E6178" s="279" t="s">
        <v>6504</v>
      </c>
      <c r="F6178" s="284">
        <f t="shared" ca="1" si="192"/>
        <v>0.59133774544944484</v>
      </c>
      <c r="G6178" s="74">
        <v>41.310636409359383</v>
      </c>
      <c r="H6178" s="74">
        <f t="shared" si="193"/>
        <v>-0.81623606602686039</v>
      </c>
    </row>
    <row r="6179" spans="5:8" ht="15.6">
      <c r="E6179" s="279" t="s">
        <v>6505</v>
      </c>
      <c r="F6179" s="284">
        <f t="shared" ca="1" si="192"/>
        <v>0.57992344534987095</v>
      </c>
      <c r="G6179" s="74">
        <v>41.219017439428789</v>
      </c>
      <c r="H6179" s="74">
        <f t="shared" si="193"/>
        <v>-0.72461709609626723</v>
      </c>
    </row>
    <row r="6180" spans="5:8" ht="15.6">
      <c r="E6180" s="279" t="s">
        <v>6506</v>
      </c>
      <c r="F6180" s="284">
        <f t="shared" ca="1" si="192"/>
        <v>0.11614469223407897</v>
      </c>
      <c r="G6180" s="74">
        <v>39.319125934376544</v>
      </c>
      <c r="H6180" s="74">
        <f t="shared" si="193"/>
        <v>1.1752744089559783</v>
      </c>
    </row>
    <row r="6181" spans="5:8" ht="15.6">
      <c r="E6181" s="279" t="s">
        <v>6507</v>
      </c>
      <c r="F6181" s="284">
        <f t="shared" ca="1" si="192"/>
        <v>0.11572130243467871</v>
      </c>
      <c r="G6181" s="74">
        <v>36.194863481885292</v>
      </c>
      <c r="H6181" s="74">
        <f t="shared" si="193"/>
        <v>4.2995368614472298</v>
      </c>
    </row>
    <row r="6182" spans="5:8" ht="15.6">
      <c r="E6182" s="279" t="s">
        <v>6508</v>
      </c>
      <c r="F6182" s="284">
        <f t="shared" ca="1" si="192"/>
        <v>0.99910228972035164</v>
      </c>
      <c r="G6182" s="74">
        <v>39.667111506094884</v>
      </c>
      <c r="H6182" s="74">
        <f t="shared" si="193"/>
        <v>0.82728883723763857</v>
      </c>
    </row>
    <row r="6183" spans="5:8" ht="15.6">
      <c r="E6183" s="279" t="s">
        <v>6509</v>
      </c>
      <c r="F6183" s="284">
        <f t="shared" ca="1" si="192"/>
        <v>0.42367557408432188</v>
      </c>
      <c r="G6183" s="74">
        <v>37.575212729382322</v>
      </c>
      <c r="H6183" s="74">
        <f t="shared" si="193"/>
        <v>2.9191876139502</v>
      </c>
    </row>
    <row r="6184" spans="5:8" ht="15.6">
      <c r="E6184" s="279" t="s">
        <v>6510</v>
      </c>
      <c r="F6184" s="284">
        <f t="shared" ca="1" si="192"/>
        <v>0.78639015370805587</v>
      </c>
      <c r="G6184" s="74">
        <v>40.100075051530283</v>
      </c>
      <c r="H6184" s="74">
        <f t="shared" si="193"/>
        <v>0.39432529180223952</v>
      </c>
    </row>
    <row r="6185" spans="5:8" ht="15.6">
      <c r="E6185" s="279" t="s">
        <v>6511</v>
      </c>
      <c r="F6185" s="284">
        <f t="shared" ca="1" si="192"/>
        <v>0.54819824439809262</v>
      </c>
      <c r="G6185" s="74">
        <v>39.882695880921929</v>
      </c>
      <c r="H6185" s="74">
        <f t="shared" si="193"/>
        <v>0.61170446241059295</v>
      </c>
    </row>
    <row r="6186" spans="5:8" ht="15.6">
      <c r="E6186" s="279" t="s">
        <v>6512</v>
      </c>
      <c r="F6186" s="284">
        <f t="shared" ca="1" si="192"/>
        <v>0.22698499406167616</v>
      </c>
      <c r="G6186" s="74">
        <v>40.786820658463</v>
      </c>
      <c r="H6186" s="74">
        <f t="shared" si="193"/>
        <v>-0.29242031513047806</v>
      </c>
    </row>
    <row r="6187" spans="5:8" ht="15.6">
      <c r="E6187" s="279" t="s">
        <v>6513</v>
      </c>
      <c r="F6187" s="284">
        <f t="shared" ca="1" si="192"/>
        <v>0.23098995815957413</v>
      </c>
      <c r="G6187" s="74">
        <v>40.976838039888506</v>
      </c>
      <c r="H6187" s="74">
        <f t="shared" si="193"/>
        <v>-0.48243769655598356</v>
      </c>
    </row>
    <row r="6188" spans="5:8" ht="15.6">
      <c r="E6188" s="279" t="s">
        <v>6514</v>
      </c>
      <c r="F6188" s="284">
        <f t="shared" ca="1" si="192"/>
        <v>0.18129183144719119</v>
      </c>
      <c r="G6188" s="74">
        <v>41.618280710426539</v>
      </c>
      <c r="H6188" s="74">
        <f t="shared" si="193"/>
        <v>-1.1238803670940172</v>
      </c>
    </row>
    <row r="6189" spans="5:8" ht="15.6">
      <c r="E6189" s="279" t="s">
        <v>6515</v>
      </c>
      <c r="F6189" s="284">
        <f t="shared" ca="1" si="192"/>
        <v>7.6844594220218831E-2</v>
      </c>
      <c r="G6189" s="74">
        <v>38.773789230359839</v>
      </c>
      <c r="H6189" s="74">
        <f t="shared" si="193"/>
        <v>1.7206111129726835</v>
      </c>
    </row>
    <row r="6190" spans="5:8" ht="15.6">
      <c r="E6190" s="279" t="s">
        <v>6516</v>
      </c>
      <c r="F6190" s="284">
        <f t="shared" ca="1" si="192"/>
        <v>0.50705499760570527</v>
      </c>
      <c r="G6190" s="74">
        <v>44.68961996056035</v>
      </c>
      <c r="H6190" s="74">
        <f t="shared" si="193"/>
        <v>-4.1952196172278278</v>
      </c>
    </row>
    <row r="6191" spans="5:8" ht="15.6">
      <c r="E6191" s="279" t="s">
        <v>6517</v>
      </c>
      <c r="F6191" s="284">
        <f t="shared" ca="1" si="192"/>
        <v>0.14114427055619738</v>
      </c>
      <c r="G6191" s="74">
        <v>35.933234011631122</v>
      </c>
      <c r="H6191" s="74">
        <f t="shared" si="193"/>
        <v>4.5611663317014006</v>
      </c>
    </row>
    <row r="6192" spans="5:8" ht="15.6">
      <c r="E6192" s="279" t="s">
        <v>6518</v>
      </c>
      <c r="F6192" s="284">
        <f t="shared" ca="1" si="192"/>
        <v>0.53892656939627537</v>
      </c>
      <c r="G6192" s="74">
        <v>39.551219944926899</v>
      </c>
      <c r="H6192" s="74">
        <f t="shared" si="193"/>
        <v>0.94318039840562307</v>
      </c>
    </row>
    <row r="6193" spans="5:8" ht="15.6">
      <c r="E6193" s="279" t="s">
        <v>6519</v>
      </c>
      <c r="F6193" s="284">
        <f t="shared" ca="1" si="192"/>
        <v>0.89989461247830105</v>
      </c>
      <c r="G6193" s="74">
        <v>41.176532652621468</v>
      </c>
      <c r="H6193" s="74">
        <f t="shared" si="193"/>
        <v>-0.68213230928894575</v>
      </c>
    </row>
    <row r="6194" spans="5:8" ht="15.6">
      <c r="E6194" s="279" t="s">
        <v>6520</v>
      </c>
      <c r="F6194" s="284">
        <f t="shared" ca="1" si="192"/>
        <v>1.4489566944712928E-2</v>
      </c>
      <c r="G6194" s="74">
        <v>38.579307994507367</v>
      </c>
      <c r="H6194" s="74">
        <f t="shared" si="193"/>
        <v>1.915092348825155</v>
      </c>
    </row>
    <row r="6195" spans="5:8" ht="15.6">
      <c r="E6195" s="279" t="s">
        <v>6521</v>
      </c>
      <c r="F6195" s="284">
        <f t="shared" ca="1" si="192"/>
        <v>0.74886775612153511</v>
      </c>
      <c r="G6195" s="74">
        <v>39.691802186788934</v>
      </c>
      <c r="H6195" s="74">
        <f t="shared" si="193"/>
        <v>0.80259815654358846</v>
      </c>
    </row>
    <row r="6196" spans="5:8" ht="15.6">
      <c r="E6196" s="279" t="s">
        <v>6522</v>
      </c>
      <c r="F6196" s="284">
        <f t="shared" ca="1" si="192"/>
        <v>0.10945349985505404</v>
      </c>
      <c r="G6196" s="74">
        <v>37.781612531336734</v>
      </c>
      <c r="H6196" s="74">
        <f t="shared" si="193"/>
        <v>2.7127878119957884</v>
      </c>
    </row>
    <row r="6197" spans="5:8" ht="15.6">
      <c r="E6197" s="279" t="s">
        <v>6523</v>
      </c>
      <c r="F6197" s="284">
        <f t="shared" ca="1" si="192"/>
        <v>0.69883898462643979</v>
      </c>
      <c r="G6197" s="74">
        <v>39.906578526815785</v>
      </c>
      <c r="H6197" s="74">
        <f t="shared" si="193"/>
        <v>0.58782181651673682</v>
      </c>
    </row>
    <row r="6198" spans="5:8" ht="15.6">
      <c r="E6198" s="279" t="s">
        <v>6524</v>
      </c>
      <c r="F6198" s="284">
        <f t="shared" ca="1" si="192"/>
        <v>0.27832704037252243</v>
      </c>
      <c r="G6198" s="74">
        <v>38.501556056959231</v>
      </c>
      <c r="H6198" s="74">
        <f t="shared" si="193"/>
        <v>1.9928442863732911</v>
      </c>
    </row>
    <row r="6199" spans="5:8" ht="15.6">
      <c r="E6199" s="279" t="s">
        <v>6525</v>
      </c>
      <c r="F6199" s="284">
        <f t="shared" ca="1" si="192"/>
        <v>0.77953105094530006</v>
      </c>
      <c r="G6199" s="74">
        <v>38.441194610634945</v>
      </c>
      <c r="H6199" s="74">
        <f t="shared" si="193"/>
        <v>2.0532057326975774</v>
      </c>
    </row>
    <row r="6200" spans="5:8" ht="15.6">
      <c r="E6200" s="279" t="s">
        <v>6526</v>
      </c>
      <c r="F6200" s="284">
        <f t="shared" ca="1" si="192"/>
        <v>0.79538533319938465</v>
      </c>
      <c r="G6200" s="74">
        <v>39.733893086165324</v>
      </c>
      <c r="H6200" s="74">
        <f t="shared" si="193"/>
        <v>0.76050725716719825</v>
      </c>
    </row>
    <row r="6201" spans="5:8" ht="15.6">
      <c r="E6201" s="279" t="s">
        <v>6527</v>
      </c>
      <c r="F6201" s="284">
        <f t="shared" ca="1" si="192"/>
        <v>0.44099356735566986</v>
      </c>
      <c r="G6201" s="74">
        <v>46.109645681772029</v>
      </c>
      <c r="H6201" s="74">
        <f t="shared" si="193"/>
        <v>-5.6152453384395073</v>
      </c>
    </row>
    <row r="6202" spans="5:8" ht="15.6">
      <c r="E6202" s="279" t="s">
        <v>6528</v>
      </c>
      <c r="F6202" s="284">
        <f t="shared" ca="1" si="192"/>
        <v>0.60828125630813745</v>
      </c>
      <c r="G6202" s="74">
        <v>41.130197657206637</v>
      </c>
      <c r="H6202" s="74">
        <f t="shared" si="193"/>
        <v>-0.63579731387411442</v>
      </c>
    </row>
    <row r="6203" spans="5:8" ht="15.6">
      <c r="E6203" s="279" t="s">
        <v>6529</v>
      </c>
      <c r="F6203" s="284">
        <f t="shared" ca="1" si="192"/>
        <v>0.7071096082174011</v>
      </c>
      <c r="G6203" s="74">
        <v>39.809858213082194</v>
      </c>
      <c r="H6203" s="74">
        <f t="shared" si="193"/>
        <v>0.68454213025032828</v>
      </c>
    </row>
    <row r="6204" spans="5:8" ht="15.6">
      <c r="E6204" s="279" t="s">
        <v>6530</v>
      </c>
      <c r="F6204" s="284">
        <f t="shared" ca="1" si="192"/>
        <v>0.4559137615255765</v>
      </c>
      <c r="G6204" s="74">
        <v>39.748383913080829</v>
      </c>
      <c r="H6204" s="74">
        <f t="shared" si="193"/>
        <v>0.74601643025169295</v>
      </c>
    </row>
    <row r="6205" spans="5:8" ht="15.6">
      <c r="E6205" s="279" t="s">
        <v>6531</v>
      </c>
      <c r="F6205" s="284">
        <f t="shared" ca="1" si="192"/>
        <v>0.73018722452461915</v>
      </c>
      <c r="G6205" s="74">
        <v>39.447314192781853</v>
      </c>
      <c r="H6205" s="74">
        <f t="shared" si="193"/>
        <v>1.047086150550669</v>
      </c>
    </row>
    <row r="6206" spans="5:8" ht="15.6">
      <c r="E6206" s="279" t="s">
        <v>6532</v>
      </c>
      <c r="F6206" s="284">
        <f t="shared" ca="1" si="192"/>
        <v>0.87645964946627197</v>
      </c>
      <c r="G6206" s="74">
        <v>35.823253107279996</v>
      </c>
      <c r="H6206" s="74">
        <f t="shared" si="193"/>
        <v>4.6711472360525264</v>
      </c>
    </row>
    <row r="6207" spans="5:8" ht="15.6">
      <c r="E6207" s="279" t="s">
        <v>6533</v>
      </c>
      <c r="F6207" s="284">
        <f t="shared" ca="1" si="192"/>
        <v>0.42997497902217052</v>
      </c>
      <c r="G6207" s="74">
        <v>40.611410288573545</v>
      </c>
      <c r="H6207" s="74">
        <f t="shared" si="193"/>
        <v>-0.11700994524102271</v>
      </c>
    </row>
    <row r="6208" spans="5:8" ht="15.6">
      <c r="E6208" s="279" t="s">
        <v>6534</v>
      </c>
      <c r="F6208" s="284">
        <f t="shared" ca="1" si="192"/>
        <v>0.34959583856256937</v>
      </c>
      <c r="G6208" s="74">
        <v>35.170322528098119</v>
      </c>
      <c r="H6208" s="74">
        <f t="shared" si="193"/>
        <v>5.3240778152344035</v>
      </c>
    </row>
    <row r="6209" spans="5:8" ht="15.6">
      <c r="E6209" s="279" t="s">
        <v>6535</v>
      </c>
      <c r="F6209" s="284">
        <f t="shared" ca="1" si="192"/>
        <v>0.71555557437284245</v>
      </c>
      <c r="G6209" s="74">
        <v>40.884019179766831</v>
      </c>
      <c r="H6209" s="74">
        <f t="shared" si="193"/>
        <v>-0.38961883643430895</v>
      </c>
    </row>
    <row r="6210" spans="5:8" ht="15.6">
      <c r="E6210" s="279" t="s">
        <v>6536</v>
      </c>
      <c r="F6210" s="284">
        <f t="shared" ca="1" si="192"/>
        <v>0.14518859816726726</v>
      </c>
      <c r="G6210" s="74">
        <v>40.156954098323546</v>
      </c>
      <c r="H6210" s="74">
        <f t="shared" si="193"/>
        <v>0.33744624500897658</v>
      </c>
    </row>
    <row r="6211" spans="5:8" ht="15.6">
      <c r="E6211" s="279" t="s">
        <v>6537</v>
      </c>
      <c r="F6211" s="284">
        <f t="shared" ca="1" si="192"/>
        <v>0.66608664763456538</v>
      </c>
      <c r="G6211" s="74">
        <v>39.086153487402171</v>
      </c>
      <c r="H6211" s="74">
        <f t="shared" si="193"/>
        <v>1.4082468559303507</v>
      </c>
    </row>
    <row r="6212" spans="5:8" ht="15.6">
      <c r="E6212" s="279" t="s">
        <v>6538</v>
      </c>
      <c r="F6212" s="284">
        <f t="shared" ca="1" si="192"/>
        <v>0.69609801341906175</v>
      </c>
      <c r="G6212" s="74">
        <v>36.988690379156751</v>
      </c>
      <c r="H6212" s="74">
        <f t="shared" si="193"/>
        <v>3.5057099641757716</v>
      </c>
    </row>
    <row r="6213" spans="5:8" ht="15.6">
      <c r="E6213" s="279" t="s">
        <v>6539</v>
      </c>
      <c r="F6213" s="284">
        <f t="shared" ca="1" si="192"/>
        <v>0.66819028229161948</v>
      </c>
      <c r="G6213" s="74">
        <v>38.301236488865918</v>
      </c>
      <c r="H6213" s="74">
        <f t="shared" si="193"/>
        <v>2.1931638544666043</v>
      </c>
    </row>
    <row r="6214" spans="5:8" ht="15.6">
      <c r="E6214" s="279" t="s">
        <v>6540</v>
      </c>
      <c r="F6214" s="284">
        <f t="shared" ca="1" si="192"/>
        <v>0.60795057015857545</v>
      </c>
      <c r="G6214" s="74">
        <v>41.493066355698154</v>
      </c>
      <c r="H6214" s="74">
        <f t="shared" si="193"/>
        <v>-0.99866601236563213</v>
      </c>
    </row>
    <row r="6215" spans="5:8" ht="15.6">
      <c r="E6215" s="279" t="s">
        <v>6541</v>
      </c>
      <c r="F6215" s="284">
        <f t="shared" ca="1" si="192"/>
        <v>0.24072459496200738</v>
      </c>
      <c r="G6215" s="74">
        <v>41.84438224666696</v>
      </c>
      <c r="H6215" s="74">
        <f t="shared" si="193"/>
        <v>-1.349981903334438</v>
      </c>
    </row>
    <row r="6216" spans="5:8" ht="15.6">
      <c r="E6216" s="279" t="s">
        <v>6542</v>
      </c>
      <c r="F6216" s="284">
        <f t="shared" ca="1" si="192"/>
        <v>0.2800362169960211</v>
      </c>
      <c r="G6216" s="74">
        <v>33.715723566160051</v>
      </c>
      <c r="H6216" s="74">
        <f t="shared" si="193"/>
        <v>6.7786767771724712</v>
      </c>
    </row>
    <row r="6217" spans="5:8" ht="15.6">
      <c r="E6217" s="279" t="s">
        <v>6543</v>
      </c>
      <c r="F6217" s="284">
        <f t="shared" ca="1" si="192"/>
        <v>0.52686962859532493</v>
      </c>
      <c r="G6217" s="74">
        <v>38.514306777193475</v>
      </c>
      <c r="H6217" s="74">
        <f t="shared" si="193"/>
        <v>1.9800935661390469</v>
      </c>
    </row>
    <row r="6218" spans="5:8" ht="15.6">
      <c r="E6218" s="279" t="s">
        <v>6544</v>
      </c>
      <c r="F6218" s="284">
        <f t="shared" ca="1" si="192"/>
        <v>0.32845864294810045</v>
      </c>
      <c r="G6218" s="74">
        <v>34.932169786105206</v>
      </c>
      <c r="H6218" s="74">
        <f t="shared" si="193"/>
        <v>5.5622305572273163</v>
      </c>
    </row>
    <row r="6219" spans="5:8" ht="15.6">
      <c r="E6219" s="279" t="s">
        <v>6545</v>
      </c>
      <c r="F6219" s="284">
        <f t="shared" ca="1" si="192"/>
        <v>4.6050680193965965E-2</v>
      </c>
      <c r="G6219" s="74">
        <v>40.054712355385938</v>
      </c>
      <c r="H6219" s="74">
        <f t="shared" si="193"/>
        <v>0.43968798794658426</v>
      </c>
    </row>
    <row r="6220" spans="5:8" ht="15.6">
      <c r="E6220" s="279" t="s">
        <v>6546</v>
      </c>
      <c r="F6220" s="284">
        <f t="shared" ref="F6220:F6283" ca="1" si="194">RAND()</f>
        <v>0.33292961798596832</v>
      </c>
      <c r="G6220" s="74">
        <v>34.612614816394597</v>
      </c>
      <c r="H6220" s="74">
        <f t="shared" ref="H6220:H6283" si="195">$D$2-G6220</f>
        <v>5.8817855269379251</v>
      </c>
    </row>
    <row r="6221" spans="5:8" ht="15.6">
      <c r="E6221" s="279" t="s">
        <v>6547</v>
      </c>
      <c r="F6221" s="284">
        <f t="shared" ca="1" si="194"/>
        <v>5.5255591901788637E-2</v>
      </c>
      <c r="G6221" s="74">
        <v>38.99871678721609</v>
      </c>
      <c r="H6221" s="74">
        <f t="shared" si="195"/>
        <v>1.4956835561164326</v>
      </c>
    </row>
    <row r="6222" spans="5:8" ht="15.6">
      <c r="E6222" s="279" t="s">
        <v>6548</v>
      </c>
      <c r="F6222" s="284">
        <f t="shared" ca="1" si="194"/>
        <v>0.871935983505021</v>
      </c>
      <c r="G6222" s="74">
        <v>37.115473010141685</v>
      </c>
      <c r="H6222" s="74">
        <f t="shared" si="195"/>
        <v>3.3789273331908376</v>
      </c>
    </row>
    <row r="6223" spans="5:8" ht="15.6">
      <c r="E6223" s="279" t="s">
        <v>6549</v>
      </c>
      <c r="F6223" s="284">
        <f t="shared" ca="1" si="194"/>
        <v>0.71675048202036939</v>
      </c>
      <c r="G6223" s="74">
        <v>41.29795772278792</v>
      </c>
      <c r="H6223" s="74">
        <f t="shared" si="195"/>
        <v>-0.80355737945539829</v>
      </c>
    </row>
    <row r="6224" spans="5:8" ht="15.6">
      <c r="E6224" s="279" t="s">
        <v>6550</v>
      </c>
      <c r="F6224" s="284">
        <f t="shared" ca="1" si="194"/>
        <v>0.24122433874145821</v>
      </c>
      <c r="G6224" s="74">
        <v>38.068254128620012</v>
      </c>
      <c r="H6224" s="74">
        <f t="shared" si="195"/>
        <v>2.4261462147125101</v>
      </c>
    </row>
    <row r="6225" spans="5:8" ht="15.6">
      <c r="E6225" s="279" t="s">
        <v>6551</v>
      </c>
      <c r="F6225" s="284">
        <f t="shared" ca="1" si="194"/>
        <v>0.83591279336748125</v>
      </c>
      <c r="G6225" s="74">
        <v>42.842794127244801</v>
      </c>
      <c r="H6225" s="74">
        <f t="shared" si="195"/>
        <v>-2.3483937839122788</v>
      </c>
    </row>
    <row r="6226" spans="5:8" ht="15.6">
      <c r="E6226" s="279" t="s">
        <v>6552</v>
      </c>
      <c r="F6226" s="284">
        <f t="shared" ca="1" si="194"/>
        <v>0.92462731385478436</v>
      </c>
      <c r="G6226" s="74">
        <v>41.631856000789831</v>
      </c>
      <c r="H6226" s="74">
        <f t="shared" si="195"/>
        <v>-1.1374556574573091</v>
      </c>
    </row>
    <row r="6227" spans="5:8" ht="15.6">
      <c r="E6227" s="279" t="s">
        <v>6553</v>
      </c>
      <c r="F6227" s="284">
        <f t="shared" ca="1" si="194"/>
        <v>0.26261720436069436</v>
      </c>
      <c r="G6227" s="74">
        <v>43.597770219260582</v>
      </c>
      <c r="H6227" s="74">
        <f t="shared" si="195"/>
        <v>-3.1033698759280597</v>
      </c>
    </row>
    <row r="6228" spans="5:8" ht="15.6">
      <c r="E6228" s="279" t="s">
        <v>6554</v>
      </c>
      <c r="F6228" s="284">
        <f t="shared" ca="1" si="194"/>
        <v>0.22329728306378371</v>
      </c>
      <c r="G6228" s="74">
        <v>42.807484780634539</v>
      </c>
      <c r="H6228" s="74">
        <f t="shared" si="195"/>
        <v>-2.3130844373020167</v>
      </c>
    </row>
    <row r="6229" spans="5:8" ht="15.6">
      <c r="E6229" s="279" t="s">
        <v>6555</v>
      </c>
      <c r="F6229" s="284">
        <f t="shared" ca="1" si="194"/>
        <v>0.65461830136450627</v>
      </c>
      <c r="G6229" s="74">
        <v>39.808572013277391</v>
      </c>
      <c r="H6229" s="74">
        <f t="shared" si="195"/>
        <v>0.68582833005513066</v>
      </c>
    </row>
    <row r="6230" spans="5:8" ht="15.6">
      <c r="E6230" s="279" t="s">
        <v>6556</v>
      </c>
      <c r="F6230" s="284">
        <f t="shared" ca="1" si="194"/>
        <v>0.51921327921294558</v>
      </c>
      <c r="G6230" s="74">
        <v>37.477520463644346</v>
      </c>
      <c r="H6230" s="74">
        <f t="shared" si="195"/>
        <v>3.0168798796881759</v>
      </c>
    </row>
    <row r="6231" spans="5:8" ht="15.6">
      <c r="E6231" s="279" t="s">
        <v>6557</v>
      </c>
      <c r="F6231" s="284">
        <f t="shared" ca="1" si="194"/>
        <v>8.3702868887768456E-2</v>
      </c>
      <c r="G6231" s="74">
        <v>36.969052340423666</v>
      </c>
      <c r="H6231" s="74">
        <f t="shared" si="195"/>
        <v>3.5253480029088564</v>
      </c>
    </row>
    <row r="6232" spans="5:8" ht="15.6">
      <c r="E6232" s="279" t="s">
        <v>6558</v>
      </c>
      <c r="F6232" s="284">
        <f t="shared" ca="1" si="194"/>
        <v>0.11159740604999502</v>
      </c>
      <c r="G6232" s="74">
        <v>37.248769432961545</v>
      </c>
      <c r="H6232" s="74">
        <f t="shared" si="195"/>
        <v>3.2456309103709771</v>
      </c>
    </row>
    <row r="6233" spans="5:8" ht="15.6">
      <c r="E6233" s="279" t="s">
        <v>6559</v>
      </c>
      <c r="F6233" s="284">
        <f t="shared" ca="1" si="194"/>
        <v>9.3585381740097118E-2</v>
      </c>
      <c r="G6233" s="74">
        <v>42.911946986156067</v>
      </c>
      <c r="H6233" s="74">
        <f t="shared" si="195"/>
        <v>-2.4175466428235453</v>
      </c>
    </row>
    <row r="6234" spans="5:8" ht="15.6">
      <c r="E6234" s="279" t="s">
        <v>6560</v>
      </c>
      <c r="F6234" s="284">
        <f t="shared" ca="1" si="194"/>
        <v>0.95961775810988748</v>
      </c>
      <c r="G6234" s="74">
        <v>42.853070409138738</v>
      </c>
      <c r="H6234" s="74">
        <f t="shared" si="195"/>
        <v>-2.3586700658062156</v>
      </c>
    </row>
    <row r="6235" spans="5:8" ht="15.6">
      <c r="E6235" s="279" t="s">
        <v>6561</v>
      </c>
      <c r="F6235" s="284">
        <f t="shared" ca="1" si="194"/>
        <v>0.91241491102594874</v>
      </c>
      <c r="G6235" s="74">
        <v>39.99542467369195</v>
      </c>
      <c r="H6235" s="74">
        <f t="shared" si="195"/>
        <v>0.49897566964057205</v>
      </c>
    </row>
    <row r="6236" spans="5:8" ht="15.6">
      <c r="E6236" s="279" t="s">
        <v>6562</v>
      </c>
      <c r="F6236" s="284">
        <f t="shared" ca="1" si="194"/>
        <v>4.9100872719393673E-2</v>
      </c>
      <c r="G6236" s="74">
        <v>37.707153088795678</v>
      </c>
      <c r="H6236" s="74">
        <f t="shared" si="195"/>
        <v>2.7872472545368439</v>
      </c>
    </row>
    <row r="6237" spans="5:8" ht="15.6">
      <c r="E6237" s="279" t="s">
        <v>6563</v>
      </c>
      <c r="F6237" s="284">
        <f t="shared" ca="1" si="194"/>
        <v>0.88302250479292954</v>
      </c>
      <c r="G6237" s="74">
        <v>40.082477688784643</v>
      </c>
      <c r="H6237" s="74">
        <f t="shared" si="195"/>
        <v>0.41192265454787957</v>
      </c>
    </row>
    <row r="6238" spans="5:8" ht="15.6">
      <c r="E6238" s="279" t="s">
        <v>6564</v>
      </c>
      <c r="F6238" s="284">
        <f t="shared" ca="1" si="194"/>
        <v>0.43676318705878436</v>
      </c>
      <c r="G6238" s="74">
        <v>37.145318409195326</v>
      </c>
      <c r="H6238" s="74">
        <f t="shared" si="195"/>
        <v>3.349081934137196</v>
      </c>
    </row>
    <row r="6239" spans="5:8" ht="15.6">
      <c r="E6239" s="279" t="s">
        <v>6565</v>
      </c>
      <c r="F6239" s="284">
        <f t="shared" ca="1" si="194"/>
        <v>0.79032205556093227</v>
      </c>
      <c r="G6239" s="74">
        <v>37.077956479255938</v>
      </c>
      <c r="H6239" s="74">
        <f t="shared" si="195"/>
        <v>3.4164438640765837</v>
      </c>
    </row>
    <row r="6240" spans="5:8" ht="15.6">
      <c r="E6240" s="279" t="s">
        <v>6566</v>
      </c>
      <c r="F6240" s="284">
        <f t="shared" ca="1" si="194"/>
        <v>0.23524515408600843</v>
      </c>
      <c r="G6240" s="74">
        <v>37.711312317194214</v>
      </c>
      <c r="H6240" s="74">
        <f t="shared" si="195"/>
        <v>2.7830880261383086</v>
      </c>
    </row>
    <row r="6241" spans="5:8" ht="15.6">
      <c r="E6241" s="279" t="s">
        <v>6567</v>
      </c>
      <c r="F6241" s="284">
        <f t="shared" ca="1" si="194"/>
        <v>0.91722151538444219</v>
      </c>
      <c r="G6241" s="74">
        <v>40.12154422526924</v>
      </c>
      <c r="H6241" s="74">
        <f t="shared" si="195"/>
        <v>0.37285611806328234</v>
      </c>
    </row>
    <row r="6242" spans="5:8" ht="15.6">
      <c r="E6242" s="279" t="s">
        <v>6568</v>
      </c>
      <c r="F6242" s="284">
        <f t="shared" ca="1" si="194"/>
        <v>0.42407671280023729</v>
      </c>
      <c r="G6242" s="74">
        <v>41.400514168036224</v>
      </c>
      <c r="H6242" s="74">
        <f t="shared" si="195"/>
        <v>-0.90611382470370216</v>
      </c>
    </row>
    <row r="6243" spans="5:8" ht="15.6">
      <c r="E6243" s="279" t="s">
        <v>6569</v>
      </c>
      <c r="F6243" s="284">
        <f t="shared" ca="1" si="194"/>
        <v>0.10494050065300986</v>
      </c>
      <c r="G6243" s="74">
        <v>37.431449663904402</v>
      </c>
      <c r="H6243" s="74">
        <f t="shared" si="195"/>
        <v>3.0629506794281198</v>
      </c>
    </row>
    <row r="6244" spans="5:8" ht="15.6">
      <c r="E6244" s="279" t="s">
        <v>6570</v>
      </c>
      <c r="F6244" s="284">
        <f t="shared" ca="1" si="194"/>
        <v>0.74512976695081445</v>
      </c>
      <c r="G6244" s="74">
        <v>44.342181313502969</v>
      </c>
      <c r="H6244" s="74">
        <f t="shared" si="195"/>
        <v>-3.8477809701704473</v>
      </c>
    </row>
    <row r="6245" spans="5:8" ht="15.6">
      <c r="E6245" s="279" t="s">
        <v>6571</v>
      </c>
      <c r="F6245" s="284">
        <f t="shared" ca="1" si="194"/>
        <v>0.507414854770327</v>
      </c>
      <c r="G6245" s="74">
        <v>37.185118540963188</v>
      </c>
      <c r="H6245" s="74">
        <f t="shared" si="195"/>
        <v>3.309281802369334</v>
      </c>
    </row>
    <row r="6246" spans="5:8" ht="15.6">
      <c r="E6246" s="279" t="s">
        <v>6572</v>
      </c>
      <c r="F6246" s="284">
        <f t="shared" ca="1" si="194"/>
        <v>0.81477344531653106</v>
      </c>
      <c r="G6246" s="74">
        <v>34.804215874633634</v>
      </c>
      <c r="H6246" s="74">
        <f t="shared" si="195"/>
        <v>5.6901844686988881</v>
      </c>
    </row>
    <row r="6247" spans="5:8" ht="15.6">
      <c r="E6247" s="279" t="s">
        <v>6573</v>
      </c>
      <c r="F6247" s="284">
        <f t="shared" ca="1" si="194"/>
        <v>0.38782476051747217</v>
      </c>
      <c r="G6247" s="74">
        <v>39.661217012295893</v>
      </c>
      <c r="H6247" s="74">
        <f t="shared" si="195"/>
        <v>0.83318333103662923</v>
      </c>
    </row>
    <row r="6248" spans="5:8" ht="15.6">
      <c r="E6248" s="279" t="s">
        <v>6574</v>
      </c>
      <c r="F6248" s="284">
        <f t="shared" ca="1" si="194"/>
        <v>0.37423252210175317</v>
      </c>
      <c r="G6248" s="74">
        <v>43.703536072264647</v>
      </c>
      <c r="H6248" s="74">
        <f t="shared" si="195"/>
        <v>-3.2091357289321252</v>
      </c>
    </row>
    <row r="6249" spans="5:8" ht="15.6">
      <c r="E6249" s="279" t="s">
        <v>6575</v>
      </c>
      <c r="F6249" s="284">
        <f t="shared" ca="1" si="194"/>
        <v>0.19393849327727142</v>
      </c>
      <c r="G6249" s="74">
        <v>36.421213476008461</v>
      </c>
      <c r="H6249" s="74">
        <f t="shared" si="195"/>
        <v>4.0731868673240612</v>
      </c>
    </row>
    <row r="6250" spans="5:8" ht="15.6">
      <c r="E6250" s="279" t="s">
        <v>6576</v>
      </c>
      <c r="F6250" s="284">
        <f t="shared" ca="1" si="194"/>
        <v>0.64640610546710087</v>
      </c>
      <c r="G6250" s="74">
        <v>36.354726955207489</v>
      </c>
      <c r="H6250" s="74">
        <f t="shared" si="195"/>
        <v>4.1396733881250327</v>
      </c>
    </row>
    <row r="6251" spans="5:8" ht="15.6">
      <c r="E6251" s="279" t="s">
        <v>6577</v>
      </c>
      <c r="F6251" s="284">
        <f t="shared" ca="1" si="194"/>
        <v>0.72719983210103689</v>
      </c>
      <c r="G6251" s="74">
        <v>34.548481337892014</v>
      </c>
      <c r="H6251" s="74">
        <f t="shared" si="195"/>
        <v>5.9459190054405084</v>
      </c>
    </row>
    <row r="6252" spans="5:8" ht="15.6">
      <c r="E6252" s="279" t="s">
        <v>6578</v>
      </c>
      <c r="F6252" s="284">
        <f t="shared" ca="1" si="194"/>
        <v>0.21682769641180921</v>
      </c>
      <c r="G6252" s="74">
        <v>37.658517842481288</v>
      </c>
      <c r="H6252" s="74">
        <f t="shared" si="195"/>
        <v>2.8358825008512341</v>
      </c>
    </row>
    <row r="6253" spans="5:8" ht="15.6">
      <c r="E6253" s="279" t="s">
        <v>6579</v>
      </c>
      <c r="F6253" s="284">
        <f t="shared" ca="1" si="194"/>
        <v>0.19958001871793196</v>
      </c>
      <c r="G6253" s="74">
        <v>40.496013510635343</v>
      </c>
      <c r="H6253" s="74">
        <f t="shared" si="195"/>
        <v>-1.613167302821239E-3</v>
      </c>
    </row>
    <row r="6254" spans="5:8" ht="15.6">
      <c r="E6254" s="279" t="s">
        <v>6580</v>
      </c>
      <c r="F6254" s="284">
        <f t="shared" ca="1" si="194"/>
        <v>0.80997075198129509</v>
      </c>
      <c r="G6254" s="74">
        <v>37.214329573286925</v>
      </c>
      <c r="H6254" s="74">
        <f t="shared" si="195"/>
        <v>3.2800707700455973</v>
      </c>
    </row>
    <row r="6255" spans="5:8" ht="15.6">
      <c r="E6255" s="279" t="s">
        <v>6581</v>
      </c>
      <c r="F6255" s="284">
        <f t="shared" ca="1" si="194"/>
        <v>0.3058722355966309</v>
      </c>
      <c r="G6255" s="74">
        <v>36.809475338813719</v>
      </c>
      <c r="H6255" s="74">
        <f t="shared" si="195"/>
        <v>3.6849250045188029</v>
      </c>
    </row>
    <row r="6256" spans="5:8" ht="15.6">
      <c r="E6256" s="279" t="s">
        <v>6582</v>
      </c>
      <c r="F6256" s="284">
        <f t="shared" ca="1" si="194"/>
        <v>0.35205247949982788</v>
      </c>
      <c r="G6256" s="74">
        <v>44.544227129328569</v>
      </c>
      <c r="H6256" s="74">
        <f t="shared" si="195"/>
        <v>-4.0498267859960464</v>
      </c>
    </row>
    <row r="6257" spans="5:8" ht="15.6">
      <c r="E6257" s="279" t="s">
        <v>6583</v>
      </c>
      <c r="F6257" s="284">
        <f t="shared" ca="1" si="194"/>
        <v>0.75658899021373849</v>
      </c>
      <c r="G6257" s="74">
        <v>37.263831105907698</v>
      </c>
      <c r="H6257" s="74">
        <f t="shared" si="195"/>
        <v>3.2305692374248238</v>
      </c>
    </row>
    <row r="6258" spans="5:8" ht="15.6">
      <c r="E6258" s="279" t="s">
        <v>6584</v>
      </c>
      <c r="F6258" s="284">
        <f t="shared" ca="1" si="194"/>
        <v>0.97157688507686191</v>
      </c>
      <c r="G6258" s="74">
        <v>36.595415716941808</v>
      </c>
      <c r="H6258" s="74">
        <f t="shared" si="195"/>
        <v>3.898984626390714</v>
      </c>
    </row>
    <row r="6259" spans="5:8" ht="15.6">
      <c r="E6259" s="279" t="s">
        <v>6585</v>
      </c>
      <c r="F6259" s="284">
        <f t="shared" ca="1" si="194"/>
        <v>0.35156338085830197</v>
      </c>
      <c r="G6259" s="74">
        <v>38.380508441417035</v>
      </c>
      <c r="H6259" s="74">
        <f t="shared" si="195"/>
        <v>2.1138919019154869</v>
      </c>
    </row>
    <row r="6260" spans="5:8" ht="15.6">
      <c r="E6260" s="279" t="s">
        <v>6586</v>
      </c>
      <c r="F6260" s="284">
        <f t="shared" ca="1" si="194"/>
        <v>0.77445325876733184</v>
      </c>
      <c r="G6260" s="74">
        <v>37.932942076250988</v>
      </c>
      <c r="H6260" s="74">
        <f t="shared" si="195"/>
        <v>2.5614582670815338</v>
      </c>
    </row>
    <row r="6261" spans="5:8" ht="15.6">
      <c r="E6261" s="279" t="s">
        <v>6587</v>
      </c>
      <c r="F6261" s="284">
        <f t="shared" ca="1" si="194"/>
        <v>3.7504340182552998E-2</v>
      </c>
      <c r="G6261" s="74">
        <v>41.061135513685421</v>
      </c>
      <c r="H6261" s="74">
        <f t="shared" si="195"/>
        <v>-0.56673517035289933</v>
      </c>
    </row>
    <row r="6262" spans="5:8" ht="15.6">
      <c r="E6262" s="279" t="s">
        <v>6588</v>
      </c>
      <c r="F6262" s="284">
        <f t="shared" ca="1" si="194"/>
        <v>0.18096921684341816</v>
      </c>
      <c r="G6262" s="74">
        <v>38.589536089537397</v>
      </c>
      <c r="H6262" s="74">
        <f t="shared" si="195"/>
        <v>1.9048642537951253</v>
      </c>
    </row>
    <row r="6263" spans="5:8" ht="15.6">
      <c r="E6263" s="279" t="s">
        <v>6589</v>
      </c>
      <c r="F6263" s="284">
        <f t="shared" ca="1" si="194"/>
        <v>0.43090972419418716</v>
      </c>
      <c r="G6263" s="74">
        <v>38.546540227646375</v>
      </c>
      <c r="H6263" s="74">
        <f t="shared" si="195"/>
        <v>1.9478601156861473</v>
      </c>
    </row>
    <row r="6264" spans="5:8" ht="15.6">
      <c r="E6264" s="279" t="s">
        <v>6590</v>
      </c>
      <c r="F6264" s="284">
        <f t="shared" ca="1" si="194"/>
        <v>0.46913509075085535</v>
      </c>
      <c r="G6264" s="74">
        <v>40.273531181332004</v>
      </c>
      <c r="H6264" s="74">
        <f t="shared" si="195"/>
        <v>0.22086916200051832</v>
      </c>
    </row>
    <row r="6265" spans="5:8" ht="15.6">
      <c r="E6265" s="279" t="s">
        <v>6591</v>
      </c>
      <c r="F6265" s="284">
        <f t="shared" ca="1" si="194"/>
        <v>0.33948549505560288</v>
      </c>
      <c r="G6265" s="74">
        <v>40.81461305620352</v>
      </c>
      <c r="H6265" s="74">
        <f t="shared" si="195"/>
        <v>-0.32021271287099751</v>
      </c>
    </row>
    <row r="6266" spans="5:8" ht="15.6">
      <c r="E6266" s="279" t="s">
        <v>6592</v>
      </c>
      <c r="F6266" s="284">
        <f t="shared" ca="1" si="194"/>
        <v>0.28287927446158689</v>
      </c>
      <c r="G6266" s="74">
        <v>39.283809178186509</v>
      </c>
      <c r="H6266" s="74">
        <f t="shared" si="195"/>
        <v>1.2105911651460133</v>
      </c>
    </row>
    <row r="6267" spans="5:8" ht="15.6">
      <c r="E6267" s="279" t="s">
        <v>6593</v>
      </c>
      <c r="F6267" s="284">
        <f t="shared" ca="1" si="194"/>
        <v>0.96075526331577055</v>
      </c>
      <c r="G6267" s="74">
        <v>43.880105490691214</v>
      </c>
      <c r="H6267" s="74">
        <f t="shared" si="195"/>
        <v>-3.3857051473586921</v>
      </c>
    </row>
    <row r="6268" spans="5:8" ht="15.6">
      <c r="E6268" s="279" t="s">
        <v>6594</v>
      </c>
      <c r="F6268" s="284">
        <f t="shared" ca="1" si="194"/>
        <v>0.90927550616665254</v>
      </c>
      <c r="G6268" s="74">
        <v>38.67257663866458</v>
      </c>
      <c r="H6268" s="74">
        <f t="shared" si="195"/>
        <v>1.821823704667942</v>
      </c>
    </row>
    <row r="6269" spans="5:8" ht="15.6">
      <c r="E6269" s="279" t="s">
        <v>6595</v>
      </c>
      <c r="F6269" s="284">
        <f t="shared" ca="1" si="194"/>
        <v>0.78977174616011925</v>
      </c>
      <c r="G6269" s="74">
        <v>36.665946367453799</v>
      </c>
      <c r="H6269" s="74">
        <f t="shared" si="195"/>
        <v>3.8284539758787233</v>
      </c>
    </row>
    <row r="6270" spans="5:8" ht="15.6">
      <c r="E6270" s="279" t="s">
        <v>6596</v>
      </c>
      <c r="F6270" s="284">
        <f t="shared" ca="1" si="194"/>
        <v>0.78340125427289098</v>
      </c>
      <c r="G6270" s="74">
        <v>39.003736005239624</v>
      </c>
      <c r="H6270" s="74">
        <f t="shared" si="195"/>
        <v>1.4906643380928983</v>
      </c>
    </row>
    <row r="6271" spans="5:8" ht="15.6">
      <c r="E6271" s="279" t="s">
        <v>6597</v>
      </c>
      <c r="F6271" s="284">
        <f t="shared" ca="1" si="194"/>
        <v>0.75724498060277834</v>
      </c>
      <c r="G6271" s="74">
        <v>39.526675231069824</v>
      </c>
      <c r="H6271" s="74">
        <f t="shared" si="195"/>
        <v>0.96772511226269842</v>
      </c>
    </row>
    <row r="6272" spans="5:8" ht="15.6">
      <c r="E6272" s="279" t="s">
        <v>6598</v>
      </c>
      <c r="F6272" s="284">
        <f t="shared" ca="1" si="194"/>
        <v>0.29111279855823757</v>
      </c>
      <c r="G6272" s="74">
        <v>38.374278863965451</v>
      </c>
      <c r="H6272" s="74">
        <f t="shared" si="195"/>
        <v>2.1201214793670715</v>
      </c>
    </row>
    <row r="6273" spans="5:8" ht="15.6">
      <c r="E6273" s="279" t="s">
        <v>6599</v>
      </c>
      <c r="F6273" s="284">
        <f t="shared" ca="1" si="194"/>
        <v>0.98407909941208516</v>
      </c>
      <c r="G6273" s="74">
        <v>37.932166549993383</v>
      </c>
      <c r="H6273" s="74">
        <f t="shared" si="195"/>
        <v>2.5622337933391393</v>
      </c>
    </row>
    <row r="6274" spans="5:8" ht="15.6">
      <c r="E6274" s="279" t="s">
        <v>6600</v>
      </c>
      <c r="F6274" s="284">
        <f t="shared" ca="1" si="194"/>
        <v>0.17143506865222458</v>
      </c>
      <c r="G6274" s="74">
        <v>37.853680122153278</v>
      </c>
      <c r="H6274" s="74">
        <f t="shared" si="195"/>
        <v>2.6407202211792438</v>
      </c>
    </row>
    <row r="6275" spans="5:8" ht="15.6">
      <c r="E6275" s="279" t="s">
        <v>6601</v>
      </c>
      <c r="F6275" s="284">
        <f t="shared" ca="1" si="194"/>
        <v>0.98268042509987308</v>
      </c>
      <c r="G6275" s="74">
        <v>40.767452420229837</v>
      </c>
      <c r="H6275" s="74">
        <f t="shared" si="195"/>
        <v>-0.27305207689731503</v>
      </c>
    </row>
    <row r="6276" spans="5:8" ht="15.6">
      <c r="E6276" s="279" t="s">
        <v>6602</v>
      </c>
      <c r="F6276" s="284">
        <f t="shared" ca="1" si="194"/>
        <v>0.89010361088845391</v>
      </c>
      <c r="G6276" s="74">
        <v>37.442097131851099</v>
      </c>
      <c r="H6276" s="74">
        <f t="shared" si="195"/>
        <v>3.0523032114814228</v>
      </c>
    </row>
    <row r="6277" spans="5:8" ht="15.6">
      <c r="E6277" s="279" t="s">
        <v>6603</v>
      </c>
      <c r="F6277" s="284">
        <f t="shared" ca="1" si="194"/>
        <v>0.8352582489634448</v>
      </c>
      <c r="G6277" s="74">
        <v>36.488147355813446</v>
      </c>
      <c r="H6277" s="74">
        <f t="shared" si="195"/>
        <v>4.0062529875190762</v>
      </c>
    </row>
    <row r="6278" spans="5:8" ht="15.6">
      <c r="E6278" s="279" t="s">
        <v>6604</v>
      </c>
      <c r="F6278" s="284">
        <f t="shared" ca="1" si="194"/>
        <v>0.93542077029352588</v>
      </c>
      <c r="G6278" s="74">
        <v>42.421830731592095</v>
      </c>
      <c r="H6278" s="74">
        <f t="shared" si="195"/>
        <v>-1.9274303882595731</v>
      </c>
    </row>
    <row r="6279" spans="5:8" ht="15.6">
      <c r="E6279" s="279" t="s">
        <v>6605</v>
      </c>
      <c r="F6279" s="284">
        <f t="shared" ca="1" si="194"/>
        <v>0.58579145400963517</v>
      </c>
      <c r="G6279" s="74">
        <v>42.622968262368872</v>
      </c>
      <c r="H6279" s="74">
        <f t="shared" si="195"/>
        <v>-2.1285679190363496</v>
      </c>
    </row>
    <row r="6280" spans="5:8" ht="15.6">
      <c r="E6280" s="279" t="s">
        <v>6606</v>
      </c>
      <c r="F6280" s="284">
        <f t="shared" ca="1" si="194"/>
        <v>0.91450946716549786</v>
      </c>
      <c r="G6280" s="74">
        <v>35.193461588836691</v>
      </c>
      <c r="H6280" s="74">
        <f t="shared" si="195"/>
        <v>5.3009387544958315</v>
      </c>
    </row>
    <row r="6281" spans="5:8" ht="15.6">
      <c r="E6281" s="279" t="s">
        <v>6607</v>
      </c>
      <c r="F6281" s="284">
        <f t="shared" ca="1" si="194"/>
        <v>1.344904538346936E-2</v>
      </c>
      <c r="G6281" s="74">
        <v>39.132856062676055</v>
      </c>
      <c r="H6281" s="74">
        <f t="shared" si="195"/>
        <v>1.3615442806564673</v>
      </c>
    </row>
    <row r="6282" spans="5:8" ht="15.6">
      <c r="E6282" s="279" t="s">
        <v>6608</v>
      </c>
      <c r="F6282" s="284">
        <f t="shared" ca="1" si="194"/>
        <v>0.51102570182014428</v>
      </c>
      <c r="G6282" s="74">
        <v>40.747552377159963</v>
      </c>
      <c r="H6282" s="74">
        <f t="shared" si="195"/>
        <v>-0.25315203382744045</v>
      </c>
    </row>
    <row r="6283" spans="5:8" ht="15.6">
      <c r="E6283" s="279" t="s">
        <v>6609</v>
      </c>
      <c r="F6283" s="284">
        <f t="shared" ca="1" si="194"/>
        <v>7.4935573460875204E-2</v>
      </c>
      <c r="G6283" s="74">
        <v>34.691987462952525</v>
      </c>
      <c r="H6283" s="74">
        <f t="shared" si="195"/>
        <v>5.8024128803799968</v>
      </c>
    </row>
    <row r="6284" spans="5:8" ht="15.6">
      <c r="E6284" s="279" t="s">
        <v>6610</v>
      </c>
      <c r="F6284" s="284">
        <f t="shared" ref="F6284:F6347" ca="1" si="196">RAND()</f>
        <v>0.10165817611256223</v>
      </c>
      <c r="G6284" s="74">
        <v>41.362944871286324</v>
      </c>
      <c r="H6284" s="74">
        <f t="shared" ref="H6284:H6347" si="197">$D$2-G6284</f>
        <v>-0.86854452795380155</v>
      </c>
    </row>
    <row r="6285" spans="5:8" ht="15.6">
      <c r="E6285" s="279" t="s">
        <v>6611</v>
      </c>
      <c r="F6285" s="284">
        <f t="shared" ca="1" si="196"/>
        <v>0.66480132683718873</v>
      </c>
      <c r="G6285" s="74">
        <v>43.768524290705777</v>
      </c>
      <c r="H6285" s="74">
        <f t="shared" si="197"/>
        <v>-3.2741239473732549</v>
      </c>
    </row>
    <row r="6286" spans="5:8" ht="15.6">
      <c r="E6286" s="279" t="s">
        <v>6612</v>
      </c>
      <c r="F6286" s="284">
        <f t="shared" ca="1" si="196"/>
        <v>0.4497439823262489</v>
      </c>
      <c r="G6286" s="74">
        <v>42.255757158233926</v>
      </c>
      <c r="H6286" s="74">
        <f t="shared" si="197"/>
        <v>-1.7613568149014043</v>
      </c>
    </row>
    <row r="6287" spans="5:8" ht="15.6">
      <c r="E6287" s="279" t="s">
        <v>6613</v>
      </c>
      <c r="F6287" s="284">
        <f t="shared" ca="1" si="196"/>
        <v>0.82065462852765048</v>
      </c>
      <c r="G6287" s="74">
        <v>42.688883517389669</v>
      </c>
      <c r="H6287" s="74">
        <f t="shared" si="197"/>
        <v>-2.1944831740571473</v>
      </c>
    </row>
    <row r="6288" spans="5:8" ht="15.6">
      <c r="E6288" s="279" t="s">
        <v>6614</v>
      </c>
      <c r="F6288" s="284">
        <f t="shared" ca="1" si="196"/>
        <v>0.96744383516939481</v>
      </c>
      <c r="G6288" s="74">
        <v>38.507929491163985</v>
      </c>
      <c r="H6288" s="74">
        <f t="shared" si="197"/>
        <v>1.9864708521685372</v>
      </c>
    </row>
    <row r="6289" spans="5:8" ht="15.6">
      <c r="E6289" s="279" t="s">
        <v>6615</v>
      </c>
      <c r="F6289" s="284">
        <f t="shared" ca="1" si="196"/>
        <v>0.11793837824500442</v>
      </c>
      <c r="G6289" s="74">
        <v>39.643029431855609</v>
      </c>
      <c r="H6289" s="74">
        <f t="shared" si="197"/>
        <v>0.8513709114769128</v>
      </c>
    </row>
    <row r="6290" spans="5:8" ht="15.6">
      <c r="E6290" s="279" t="s">
        <v>6616</v>
      </c>
      <c r="F6290" s="284">
        <f t="shared" ca="1" si="196"/>
        <v>0.18066719492439876</v>
      </c>
      <c r="G6290" s="74">
        <v>43.064677472224034</v>
      </c>
      <c r="H6290" s="74">
        <f t="shared" si="197"/>
        <v>-2.5702771288915116</v>
      </c>
    </row>
    <row r="6291" spans="5:8" ht="15.6">
      <c r="E6291" s="279" t="s">
        <v>6617</v>
      </c>
      <c r="F6291" s="284">
        <f t="shared" ca="1" si="196"/>
        <v>0.41300672547058803</v>
      </c>
      <c r="G6291" s="74">
        <v>41.398244869339877</v>
      </c>
      <c r="H6291" s="74">
        <f t="shared" si="197"/>
        <v>-0.90384452600735443</v>
      </c>
    </row>
    <row r="6292" spans="5:8" ht="15.6">
      <c r="E6292" s="279" t="s">
        <v>6618</v>
      </c>
      <c r="F6292" s="284">
        <f t="shared" ca="1" si="196"/>
        <v>0.34142881270003533</v>
      </c>
      <c r="G6292" s="74">
        <v>41.887025752516436</v>
      </c>
      <c r="H6292" s="74">
        <f t="shared" si="197"/>
        <v>-1.3926254091839141</v>
      </c>
    </row>
    <row r="6293" spans="5:8" ht="15.6">
      <c r="E6293" s="279" t="s">
        <v>6619</v>
      </c>
      <c r="F6293" s="284">
        <f t="shared" ca="1" si="196"/>
        <v>0.15171958199447122</v>
      </c>
      <c r="G6293" s="74">
        <v>38.257399182939324</v>
      </c>
      <c r="H6293" s="74">
        <f t="shared" si="197"/>
        <v>2.2370011603931985</v>
      </c>
    </row>
    <row r="6294" spans="5:8" ht="15.6">
      <c r="E6294" s="279" t="s">
        <v>6620</v>
      </c>
      <c r="F6294" s="284">
        <f t="shared" ca="1" si="196"/>
        <v>0.83826002763892737</v>
      </c>
      <c r="G6294" s="74">
        <v>40.967301710927096</v>
      </c>
      <c r="H6294" s="74">
        <f t="shared" si="197"/>
        <v>-0.47290136759457368</v>
      </c>
    </row>
    <row r="6295" spans="5:8" ht="15.6">
      <c r="E6295" s="279" t="s">
        <v>6621</v>
      </c>
      <c r="F6295" s="284">
        <f t="shared" ca="1" si="196"/>
        <v>0.10861074103370993</v>
      </c>
      <c r="G6295" s="74">
        <v>36.293592313118644</v>
      </c>
      <c r="H6295" s="74">
        <f t="shared" si="197"/>
        <v>4.2008080302138779</v>
      </c>
    </row>
    <row r="6296" spans="5:8" ht="15.6">
      <c r="E6296" s="279" t="s">
        <v>6622</v>
      </c>
      <c r="F6296" s="284">
        <f t="shared" ca="1" si="196"/>
        <v>0.72246511215139064</v>
      </c>
      <c r="G6296" s="74">
        <v>37.223747858561467</v>
      </c>
      <c r="H6296" s="74">
        <f t="shared" si="197"/>
        <v>3.2706524847710554</v>
      </c>
    </row>
    <row r="6297" spans="5:8" ht="15.6">
      <c r="E6297" s="279" t="s">
        <v>6623</v>
      </c>
      <c r="F6297" s="284">
        <f t="shared" ca="1" si="196"/>
        <v>0.85315226060844829</v>
      </c>
      <c r="G6297" s="74">
        <v>40.814378444836073</v>
      </c>
      <c r="H6297" s="74">
        <f t="shared" si="197"/>
        <v>-0.31997810150355122</v>
      </c>
    </row>
    <row r="6298" spans="5:8" ht="15.6">
      <c r="E6298" s="279" t="s">
        <v>6624</v>
      </c>
      <c r="F6298" s="284">
        <f t="shared" ca="1" si="196"/>
        <v>0.77415342325263403</v>
      </c>
      <c r="G6298" s="74">
        <v>37.97766929036392</v>
      </c>
      <c r="H6298" s="74">
        <f t="shared" si="197"/>
        <v>2.516731052968602</v>
      </c>
    </row>
    <row r="6299" spans="5:8" ht="15.6">
      <c r="E6299" s="279" t="s">
        <v>6625</v>
      </c>
      <c r="F6299" s="284">
        <f t="shared" ca="1" si="196"/>
        <v>0.8401444693634772</v>
      </c>
      <c r="G6299" s="74">
        <v>36.6215612577695</v>
      </c>
      <c r="H6299" s="74">
        <f t="shared" si="197"/>
        <v>3.8728390855630224</v>
      </c>
    </row>
    <row r="6300" spans="5:8" ht="15.6">
      <c r="E6300" s="279" t="s">
        <v>6626</v>
      </c>
      <c r="F6300" s="284">
        <f t="shared" ca="1" si="196"/>
        <v>0.64282907528957323</v>
      </c>
      <c r="G6300" s="74">
        <v>38.867260564024221</v>
      </c>
      <c r="H6300" s="74">
        <f t="shared" si="197"/>
        <v>1.6271397793083011</v>
      </c>
    </row>
    <row r="6301" spans="5:8" ht="15.6">
      <c r="E6301" s="279" t="s">
        <v>6627</v>
      </c>
      <c r="F6301" s="284">
        <f t="shared" ca="1" si="196"/>
        <v>0.18052839445808277</v>
      </c>
      <c r="G6301" s="74">
        <v>40.717050589379284</v>
      </c>
      <c r="H6301" s="74">
        <f t="shared" si="197"/>
        <v>-0.22265024604676142</v>
      </c>
    </row>
    <row r="6302" spans="5:8" ht="15.6">
      <c r="E6302" s="279" t="s">
        <v>6628</v>
      </c>
      <c r="F6302" s="284">
        <f t="shared" ca="1" si="196"/>
        <v>0.83198223169667795</v>
      </c>
      <c r="G6302" s="74">
        <v>39.63010925897774</v>
      </c>
      <c r="H6302" s="74">
        <f t="shared" si="197"/>
        <v>0.86429108435478241</v>
      </c>
    </row>
    <row r="6303" spans="5:8" ht="15.6">
      <c r="E6303" s="279" t="s">
        <v>6629</v>
      </c>
      <c r="F6303" s="284">
        <f t="shared" ca="1" si="196"/>
        <v>0.47009839423445854</v>
      </c>
      <c r="G6303" s="74">
        <v>38.248372833049679</v>
      </c>
      <c r="H6303" s="74">
        <f t="shared" si="197"/>
        <v>2.2460275102828433</v>
      </c>
    </row>
    <row r="6304" spans="5:8" ht="15.6">
      <c r="E6304" s="279" t="s">
        <v>6630</v>
      </c>
      <c r="F6304" s="284">
        <f t="shared" ca="1" si="196"/>
        <v>0.5846067442262407</v>
      </c>
      <c r="G6304" s="74">
        <v>37.769895171278286</v>
      </c>
      <c r="H6304" s="74">
        <f t="shared" si="197"/>
        <v>2.7245051720542364</v>
      </c>
    </row>
    <row r="6305" spans="5:8" ht="15.6">
      <c r="E6305" s="279" t="s">
        <v>6631</v>
      </c>
      <c r="F6305" s="284">
        <f t="shared" ca="1" si="196"/>
        <v>0.17346669820506178</v>
      </c>
      <c r="G6305" s="74">
        <v>39.869898792529604</v>
      </c>
      <c r="H6305" s="74">
        <f t="shared" si="197"/>
        <v>0.62450155080291836</v>
      </c>
    </row>
    <row r="6306" spans="5:8" ht="15.6">
      <c r="E6306" s="279" t="s">
        <v>6632</v>
      </c>
      <c r="F6306" s="284">
        <f t="shared" ca="1" si="196"/>
        <v>0.40935183200203662</v>
      </c>
      <c r="G6306" s="74">
        <v>38.777016367557046</v>
      </c>
      <c r="H6306" s="74">
        <f t="shared" si="197"/>
        <v>1.7173839757754763</v>
      </c>
    </row>
    <row r="6307" spans="5:8" ht="15.6">
      <c r="E6307" s="279" t="s">
        <v>6633</v>
      </c>
      <c r="F6307" s="284">
        <f t="shared" ca="1" si="196"/>
        <v>0.97296242202142813</v>
      </c>
      <c r="G6307" s="74">
        <v>42.256223569465703</v>
      </c>
      <c r="H6307" s="74">
        <f t="shared" si="197"/>
        <v>-1.7618232261331812</v>
      </c>
    </row>
    <row r="6308" spans="5:8" ht="15.6">
      <c r="E6308" s="279" t="s">
        <v>6634</v>
      </c>
      <c r="F6308" s="284">
        <f t="shared" ca="1" si="196"/>
        <v>0.49378699488257205</v>
      </c>
      <c r="G6308" s="74">
        <v>42.056653658762123</v>
      </c>
      <c r="H6308" s="74">
        <f t="shared" si="197"/>
        <v>-1.5622533154296008</v>
      </c>
    </row>
    <row r="6309" spans="5:8" ht="15.6">
      <c r="E6309" s="279" t="s">
        <v>6635</v>
      </c>
      <c r="F6309" s="284">
        <f t="shared" ca="1" si="196"/>
        <v>2.7706641539595012E-2</v>
      </c>
      <c r="G6309" s="74">
        <v>38.063391697982425</v>
      </c>
      <c r="H6309" s="74">
        <f t="shared" si="197"/>
        <v>2.4310086453500972</v>
      </c>
    </row>
    <row r="6310" spans="5:8" ht="15.6">
      <c r="E6310" s="279" t="s">
        <v>6636</v>
      </c>
      <c r="F6310" s="284">
        <f t="shared" ca="1" si="196"/>
        <v>0.95935574580874616</v>
      </c>
      <c r="G6310" s="74">
        <v>37.793344573120926</v>
      </c>
      <c r="H6310" s="74">
        <f t="shared" si="197"/>
        <v>2.701055770211596</v>
      </c>
    </row>
    <row r="6311" spans="5:8" ht="15.6">
      <c r="E6311" s="279" t="s">
        <v>6637</v>
      </c>
      <c r="F6311" s="284">
        <f t="shared" ca="1" si="196"/>
        <v>0.47542806552501338</v>
      </c>
      <c r="G6311" s="74">
        <v>37.32307411546612</v>
      </c>
      <c r="H6311" s="74">
        <f t="shared" si="197"/>
        <v>3.1713262278664018</v>
      </c>
    </row>
    <row r="6312" spans="5:8" ht="15.6">
      <c r="E6312" s="279" t="s">
        <v>6638</v>
      </c>
      <c r="F6312" s="284">
        <f t="shared" ca="1" si="196"/>
        <v>0.93401643483028518</v>
      </c>
      <c r="G6312" s="74">
        <v>40.58368335413229</v>
      </c>
      <c r="H6312" s="74">
        <f t="shared" si="197"/>
        <v>-8.9283010799768192E-2</v>
      </c>
    </row>
    <row r="6313" spans="5:8" ht="15.6">
      <c r="E6313" s="279" t="s">
        <v>6639</v>
      </c>
      <c r="F6313" s="284">
        <f t="shared" ca="1" si="196"/>
        <v>0.49764675644035472</v>
      </c>
      <c r="G6313" s="74">
        <v>37.085961116823476</v>
      </c>
      <c r="H6313" s="74">
        <f t="shared" si="197"/>
        <v>3.4084392265090457</v>
      </c>
    </row>
    <row r="6314" spans="5:8" ht="15.6">
      <c r="E6314" s="279" t="s">
        <v>6640</v>
      </c>
      <c r="F6314" s="284">
        <f t="shared" ca="1" si="196"/>
        <v>9.455723639642688E-2</v>
      </c>
      <c r="G6314" s="74">
        <v>40.772948754745926</v>
      </c>
      <c r="H6314" s="74">
        <f t="shared" si="197"/>
        <v>-0.27854841141340358</v>
      </c>
    </row>
    <row r="6315" spans="5:8" ht="15.6">
      <c r="E6315" s="279" t="s">
        <v>6641</v>
      </c>
      <c r="F6315" s="284">
        <f t="shared" ca="1" si="196"/>
        <v>0.3896964906043362</v>
      </c>
      <c r="G6315" s="74">
        <v>41.694544082041368</v>
      </c>
      <c r="H6315" s="74">
        <f t="shared" si="197"/>
        <v>-1.2001437387088458</v>
      </c>
    </row>
    <row r="6316" spans="5:8" ht="15.6">
      <c r="E6316" s="279" t="s">
        <v>6642</v>
      </c>
      <c r="F6316" s="284">
        <f t="shared" ca="1" si="196"/>
        <v>0.91276126918613043</v>
      </c>
      <c r="G6316" s="74">
        <v>35.690460564333648</v>
      </c>
      <c r="H6316" s="74">
        <f t="shared" si="197"/>
        <v>4.803939778998874</v>
      </c>
    </row>
    <row r="6317" spans="5:8" ht="15.6">
      <c r="E6317" s="279" t="s">
        <v>6643</v>
      </c>
      <c r="F6317" s="284">
        <f t="shared" ca="1" si="196"/>
        <v>0.75457987858290554</v>
      </c>
      <c r="G6317" s="74">
        <v>41.969123410616774</v>
      </c>
      <c r="H6317" s="74">
        <f t="shared" si="197"/>
        <v>-1.474723067284252</v>
      </c>
    </row>
    <row r="6318" spans="5:8" ht="15.6">
      <c r="E6318" s="279" t="s">
        <v>6644</v>
      </c>
      <c r="F6318" s="284">
        <f t="shared" ca="1" si="196"/>
        <v>0.77629696324356046</v>
      </c>
      <c r="G6318" s="74">
        <v>37.777783835194263</v>
      </c>
      <c r="H6318" s="74">
        <f t="shared" si="197"/>
        <v>2.7166165081382587</v>
      </c>
    </row>
    <row r="6319" spans="5:8" ht="15.6">
      <c r="E6319" s="279" t="s">
        <v>6645</v>
      </c>
      <c r="F6319" s="284">
        <f t="shared" ca="1" si="196"/>
        <v>0.54290540629137252</v>
      </c>
      <c r="G6319" s="74">
        <v>45.75707889479996</v>
      </c>
      <c r="H6319" s="74">
        <f t="shared" si="197"/>
        <v>-5.2626785514674381</v>
      </c>
    </row>
    <row r="6320" spans="5:8" ht="15.6">
      <c r="E6320" s="279" t="s">
        <v>6646</v>
      </c>
      <c r="F6320" s="284">
        <f t="shared" ca="1" si="196"/>
        <v>1.0030225644737878E-2</v>
      </c>
      <c r="G6320" s="74">
        <v>36.019688669577206</v>
      </c>
      <c r="H6320" s="74">
        <f t="shared" si="197"/>
        <v>4.4747116737553156</v>
      </c>
    </row>
    <row r="6321" spans="5:8" ht="15.6">
      <c r="E6321" s="279" t="s">
        <v>6647</v>
      </c>
      <c r="F6321" s="284">
        <f t="shared" ca="1" si="196"/>
        <v>0.82229775569709329</v>
      </c>
      <c r="G6321" s="74">
        <v>39.356466036335263</v>
      </c>
      <c r="H6321" s="74">
        <f t="shared" si="197"/>
        <v>1.1379343069972592</v>
      </c>
    </row>
    <row r="6322" spans="5:8" ht="15.6">
      <c r="E6322" s="279" t="s">
        <v>6648</v>
      </c>
      <c r="F6322" s="284">
        <f t="shared" ca="1" si="196"/>
        <v>0.91414663467744461</v>
      </c>
      <c r="G6322" s="74">
        <v>37.057035908529805</v>
      </c>
      <c r="H6322" s="74">
        <f t="shared" si="197"/>
        <v>3.437364434802717</v>
      </c>
    </row>
    <row r="6323" spans="5:8" ht="15.6">
      <c r="E6323" s="279" t="s">
        <v>6649</v>
      </c>
      <c r="F6323" s="284">
        <f t="shared" ca="1" si="196"/>
        <v>0.24111345163175801</v>
      </c>
      <c r="G6323" s="74">
        <v>44.749053068204454</v>
      </c>
      <c r="H6323" s="74">
        <f t="shared" si="197"/>
        <v>-4.2546527248719315</v>
      </c>
    </row>
    <row r="6324" spans="5:8" ht="15.6">
      <c r="E6324" s="279" t="s">
        <v>6650</v>
      </c>
      <c r="F6324" s="284">
        <f t="shared" ca="1" si="196"/>
        <v>5.1436689892384146E-2</v>
      </c>
      <c r="G6324" s="74">
        <v>40.20929138331109</v>
      </c>
      <c r="H6324" s="74">
        <f t="shared" si="197"/>
        <v>0.28510896002143227</v>
      </c>
    </row>
    <row r="6325" spans="5:8" ht="15.6">
      <c r="E6325" s="279" t="s">
        <v>6651</v>
      </c>
      <c r="F6325" s="284">
        <f t="shared" ca="1" si="196"/>
        <v>0.78847820731055662</v>
      </c>
      <c r="G6325" s="74">
        <v>35.476397072370226</v>
      </c>
      <c r="H6325" s="74">
        <f t="shared" si="197"/>
        <v>5.0180032709622964</v>
      </c>
    </row>
    <row r="6326" spans="5:8" ht="15.6">
      <c r="E6326" s="279" t="s">
        <v>6652</v>
      </c>
      <c r="F6326" s="284">
        <f t="shared" ca="1" si="196"/>
        <v>0.70464729115333513</v>
      </c>
      <c r="G6326" s="74">
        <v>39.380982005426503</v>
      </c>
      <c r="H6326" s="74">
        <f t="shared" si="197"/>
        <v>1.113418337906019</v>
      </c>
    </row>
    <row r="6327" spans="5:8" ht="15.6">
      <c r="E6327" s="279" t="s">
        <v>6653</v>
      </c>
      <c r="F6327" s="284">
        <f t="shared" ca="1" si="196"/>
        <v>0.4194444845886558</v>
      </c>
      <c r="G6327" s="74">
        <v>36.746830531321848</v>
      </c>
      <c r="H6327" s="74">
        <f t="shared" si="197"/>
        <v>3.7475698120106742</v>
      </c>
    </row>
    <row r="6328" spans="5:8" ht="15.6">
      <c r="E6328" s="279" t="s">
        <v>6654</v>
      </c>
      <c r="F6328" s="284">
        <f t="shared" ca="1" si="196"/>
        <v>0.91777285529788299</v>
      </c>
      <c r="G6328" s="74">
        <v>38.800010076479467</v>
      </c>
      <c r="H6328" s="74">
        <f t="shared" si="197"/>
        <v>1.6943902668530555</v>
      </c>
    </row>
    <row r="6329" spans="5:8" ht="15.6">
      <c r="E6329" s="279" t="s">
        <v>6655</v>
      </c>
      <c r="F6329" s="284">
        <f t="shared" ca="1" si="196"/>
        <v>0.11972248798224128</v>
      </c>
      <c r="G6329" s="74">
        <v>34.610874757236637</v>
      </c>
      <c r="H6329" s="74">
        <f t="shared" si="197"/>
        <v>5.8835255860958853</v>
      </c>
    </row>
    <row r="6330" spans="5:8" ht="15.6">
      <c r="E6330" s="279" t="s">
        <v>6656</v>
      </c>
      <c r="F6330" s="284">
        <f t="shared" ca="1" si="196"/>
        <v>4.3403340050572892E-2</v>
      </c>
      <c r="G6330" s="74">
        <v>39.094113466707427</v>
      </c>
      <c r="H6330" s="74">
        <f t="shared" si="197"/>
        <v>1.4002868766250955</v>
      </c>
    </row>
    <row r="6331" spans="5:8" ht="15.6">
      <c r="E6331" s="279" t="s">
        <v>6657</v>
      </c>
      <c r="F6331" s="284">
        <f t="shared" ca="1" si="196"/>
        <v>6.4253951237077445E-2</v>
      </c>
      <c r="G6331" s="74">
        <v>38.715336805706102</v>
      </c>
      <c r="H6331" s="74">
        <f t="shared" si="197"/>
        <v>1.7790635376264206</v>
      </c>
    </row>
    <row r="6332" spans="5:8" ht="15.6">
      <c r="E6332" s="279" t="s">
        <v>6658</v>
      </c>
      <c r="F6332" s="284">
        <f t="shared" ca="1" si="196"/>
        <v>0.62956928529220868</v>
      </c>
      <c r="G6332" s="74">
        <v>38.979892887692081</v>
      </c>
      <c r="H6332" s="74">
        <f t="shared" si="197"/>
        <v>1.514507455640441</v>
      </c>
    </row>
    <row r="6333" spans="5:8" ht="15.6">
      <c r="E6333" s="279" t="s">
        <v>6659</v>
      </c>
      <c r="F6333" s="284">
        <f t="shared" ca="1" si="196"/>
        <v>0.81738307617928618</v>
      </c>
      <c r="G6333" s="74">
        <v>41.957863684862936</v>
      </c>
      <c r="H6333" s="74">
        <f t="shared" si="197"/>
        <v>-1.4634633415304137</v>
      </c>
    </row>
    <row r="6334" spans="5:8" ht="15.6">
      <c r="E6334" s="279" t="s">
        <v>6660</v>
      </c>
      <c r="F6334" s="284">
        <f t="shared" ca="1" si="196"/>
        <v>0.58564143479581887</v>
      </c>
      <c r="G6334" s="74">
        <v>41.42544495174743</v>
      </c>
      <c r="H6334" s="74">
        <f t="shared" si="197"/>
        <v>-0.93104460841490777</v>
      </c>
    </row>
    <row r="6335" spans="5:8" ht="15.6">
      <c r="E6335" s="279" t="s">
        <v>6661</v>
      </c>
      <c r="F6335" s="284">
        <f t="shared" ca="1" si="196"/>
        <v>0.74727706685674178</v>
      </c>
      <c r="G6335" s="74">
        <v>41.494361729133672</v>
      </c>
      <c r="H6335" s="74">
        <f t="shared" si="197"/>
        <v>-0.99996138580115002</v>
      </c>
    </row>
    <row r="6336" spans="5:8" ht="15.6">
      <c r="E6336" s="279" t="s">
        <v>6662</v>
      </c>
      <c r="F6336" s="284">
        <f t="shared" ca="1" si="196"/>
        <v>0.13631844273042404</v>
      </c>
      <c r="G6336" s="74">
        <v>37.784478305068454</v>
      </c>
      <c r="H6336" s="74">
        <f t="shared" si="197"/>
        <v>2.7099220382640681</v>
      </c>
    </row>
    <row r="6337" spans="5:8" ht="15.6">
      <c r="E6337" s="279" t="s">
        <v>6663</v>
      </c>
      <c r="F6337" s="284">
        <f t="shared" ca="1" si="196"/>
        <v>0.31966020085260738</v>
      </c>
      <c r="G6337" s="74">
        <v>37.570462868964285</v>
      </c>
      <c r="H6337" s="74">
        <f t="shared" si="197"/>
        <v>2.9239374743682376</v>
      </c>
    </row>
    <row r="6338" spans="5:8" ht="15.6">
      <c r="E6338" s="279" t="s">
        <v>6664</v>
      </c>
      <c r="F6338" s="284">
        <f t="shared" ca="1" si="196"/>
        <v>0.42110997989096677</v>
      </c>
      <c r="G6338" s="74">
        <v>42.54974425794078</v>
      </c>
      <c r="H6338" s="74">
        <f t="shared" si="197"/>
        <v>-2.0553439146082582</v>
      </c>
    </row>
    <row r="6339" spans="5:8" ht="15.6">
      <c r="E6339" s="279" t="s">
        <v>6665</v>
      </c>
      <c r="F6339" s="284">
        <f t="shared" ca="1" si="196"/>
        <v>0.90446631019041501</v>
      </c>
      <c r="G6339" s="74">
        <v>48.989086689752632</v>
      </c>
      <c r="H6339" s="74">
        <f t="shared" si="197"/>
        <v>-8.4946863464201101</v>
      </c>
    </row>
    <row r="6340" spans="5:8" ht="15.6">
      <c r="E6340" s="279" t="s">
        <v>6666</v>
      </c>
      <c r="F6340" s="284">
        <f t="shared" ca="1" si="196"/>
        <v>0.79939729398245563</v>
      </c>
      <c r="G6340" s="74">
        <v>44.330276798387644</v>
      </c>
      <c r="H6340" s="74">
        <f t="shared" si="197"/>
        <v>-3.8358764550551214</v>
      </c>
    </row>
    <row r="6341" spans="5:8" ht="15.6">
      <c r="E6341" s="279" t="s">
        <v>6667</v>
      </c>
      <c r="F6341" s="284">
        <f t="shared" ca="1" si="196"/>
        <v>0.32546833227767846</v>
      </c>
      <c r="G6341" s="74">
        <v>39.975487864116268</v>
      </c>
      <c r="H6341" s="74">
        <f t="shared" si="197"/>
        <v>0.5189124792162545</v>
      </c>
    </row>
    <row r="6342" spans="5:8" ht="15.6">
      <c r="E6342" s="279" t="s">
        <v>6668</v>
      </c>
      <c r="F6342" s="284">
        <f t="shared" ca="1" si="196"/>
        <v>0.82076255965536626</v>
      </c>
      <c r="G6342" s="74">
        <v>36.340383370935875</v>
      </c>
      <c r="H6342" s="74">
        <f t="shared" si="197"/>
        <v>4.1540169723966471</v>
      </c>
    </row>
    <row r="6343" spans="5:8" ht="15.6">
      <c r="E6343" s="279" t="s">
        <v>6669</v>
      </c>
      <c r="F6343" s="284">
        <f t="shared" ca="1" si="196"/>
        <v>0.47704436054094856</v>
      </c>
      <c r="G6343" s="74">
        <v>37.789966473722849</v>
      </c>
      <c r="H6343" s="74">
        <f t="shared" si="197"/>
        <v>2.704433869609673</v>
      </c>
    </row>
    <row r="6344" spans="5:8" ht="15.6">
      <c r="E6344" s="279" t="s">
        <v>6670</v>
      </c>
      <c r="F6344" s="284">
        <f t="shared" ca="1" si="196"/>
        <v>0.66349651279029176</v>
      </c>
      <c r="G6344" s="74">
        <v>38.38445430021541</v>
      </c>
      <c r="H6344" s="74">
        <f t="shared" si="197"/>
        <v>2.1099460431171124</v>
      </c>
    </row>
    <row r="6345" spans="5:8" ht="15.6">
      <c r="E6345" s="279" t="s">
        <v>6671</v>
      </c>
      <c r="F6345" s="284">
        <f t="shared" ca="1" si="196"/>
        <v>0.64554659444220175</v>
      </c>
      <c r="G6345" s="74">
        <v>40.170990035953388</v>
      </c>
      <c r="H6345" s="74">
        <f t="shared" si="197"/>
        <v>0.32341030737913457</v>
      </c>
    </row>
    <row r="6346" spans="5:8" ht="15.6">
      <c r="E6346" s="279" t="s">
        <v>6672</v>
      </c>
      <c r="F6346" s="284">
        <f t="shared" ca="1" si="196"/>
        <v>0.15080332363937554</v>
      </c>
      <c r="G6346" s="74">
        <v>38.361081264901074</v>
      </c>
      <c r="H6346" s="74">
        <f t="shared" si="197"/>
        <v>2.1333190784314482</v>
      </c>
    </row>
    <row r="6347" spans="5:8" ht="15.6">
      <c r="E6347" s="279" t="s">
        <v>6673</v>
      </c>
      <c r="F6347" s="284">
        <f t="shared" ca="1" si="196"/>
        <v>0.2569109689584409</v>
      </c>
      <c r="G6347" s="74">
        <v>38.790317860434243</v>
      </c>
      <c r="H6347" s="74">
        <f t="shared" si="197"/>
        <v>1.7040824828982792</v>
      </c>
    </row>
    <row r="6348" spans="5:8" ht="15.6">
      <c r="E6348" s="279" t="s">
        <v>6674</v>
      </c>
      <c r="F6348" s="284">
        <f t="shared" ref="F6348:F6411" ca="1" si="198">RAND()</f>
        <v>0.60268879971215816</v>
      </c>
      <c r="G6348" s="74">
        <v>35.408836387542372</v>
      </c>
      <c r="H6348" s="74">
        <f t="shared" ref="H6348:H6411" si="199">$D$2-G6348</f>
        <v>5.0855639557901497</v>
      </c>
    </row>
    <row r="6349" spans="5:8" ht="15.6">
      <c r="E6349" s="279" t="s">
        <v>6675</v>
      </c>
      <c r="F6349" s="284">
        <f t="shared" ca="1" si="198"/>
        <v>0.53420621165876669</v>
      </c>
      <c r="G6349" s="74">
        <v>37.994752837451735</v>
      </c>
      <c r="H6349" s="74">
        <f t="shared" si="199"/>
        <v>2.4996475058807874</v>
      </c>
    </row>
    <row r="6350" spans="5:8" ht="15.6">
      <c r="E6350" s="279" t="s">
        <v>6676</v>
      </c>
      <c r="F6350" s="284">
        <f t="shared" ca="1" si="198"/>
        <v>0.60546016155927762</v>
      </c>
      <c r="G6350" s="74">
        <v>36.190591958661919</v>
      </c>
      <c r="H6350" s="74">
        <f t="shared" si="199"/>
        <v>4.303808384670603</v>
      </c>
    </row>
    <row r="6351" spans="5:8" ht="15.6">
      <c r="E6351" s="279" t="s">
        <v>6677</v>
      </c>
      <c r="F6351" s="284">
        <f t="shared" ca="1" si="198"/>
        <v>0.66081770925198136</v>
      </c>
      <c r="G6351" s="74">
        <v>41.064641148507135</v>
      </c>
      <c r="H6351" s="74">
        <f t="shared" si="199"/>
        <v>-0.57024080517461329</v>
      </c>
    </row>
    <row r="6352" spans="5:8" ht="15.6">
      <c r="E6352" s="279" t="s">
        <v>6678</v>
      </c>
      <c r="F6352" s="284">
        <f t="shared" ca="1" si="198"/>
        <v>9.5917157069238423E-2</v>
      </c>
      <c r="G6352" s="74">
        <v>39.667389803514119</v>
      </c>
      <c r="H6352" s="74">
        <f t="shared" si="199"/>
        <v>0.82701053981840289</v>
      </c>
    </row>
    <row r="6353" spans="5:8" ht="15.6">
      <c r="E6353" s="279" t="s">
        <v>6679</v>
      </c>
      <c r="F6353" s="284">
        <f t="shared" ca="1" si="198"/>
        <v>0.20253293585959409</v>
      </c>
      <c r="G6353" s="74">
        <v>41.165862401171502</v>
      </c>
      <c r="H6353" s="74">
        <f t="shared" si="199"/>
        <v>-0.67146205783897983</v>
      </c>
    </row>
    <row r="6354" spans="5:8" ht="15.6">
      <c r="E6354" s="279" t="s">
        <v>6680</v>
      </c>
      <c r="F6354" s="284">
        <f t="shared" ca="1" si="198"/>
        <v>3.3496364296978887E-2</v>
      </c>
      <c r="G6354" s="74">
        <v>38.415633532443145</v>
      </c>
      <c r="H6354" s="74">
        <f t="shared" si="199"/>
        <v>2.0787668108893769</v>
      </c>
    </row>
    <row r="6355" spans="5:8" ht="15.6">
      <c r="E6355" s="279" t="s">
        <v>6681</v>
      </c>
      <c r="F6355" s="284">
        <f t="shared" ca="1" si="198"/>
        <v>0.39890924873406763</v>
      </c>
      <c r="G6355" s="74">
        <v>44.352866177954944</v>
      </c>
      <c r="H6355" s="74">
        <f t="shared" si="199"/>
        <v>-3.8584658346224217</v>
      </c>
    </row>
    <row r="6356" spans="5:8" ht="15.6">
      <c r="E6356" s="279" t="s">
        <v>6682</v>
      </c>
      <c r="F6356" s="284">
        <f t="shared" ca="1" si="198"/>
        <v>0.11160423480850223</v>
      </c>
      <c r="G6356" s="74">
        <v>41.622974782847983</v>
      </c>
      <c r="H6356" s="74">
        <f t="shared" si="199"/>
        <v>-1.1285744395154609</v>
      </c>
    </row>
    <row r="6357" spans="5:8" ht="15.6">
      <c r="E6357" s="279" t="s">
        <v>6683</v>
      </c>
      <c r="F6357" s="284">
        <f t="shared" ca="1" si="198"/>
        <v>0.61431382027653203</v>
      </c>
      <c r="G6357" s="74">
        <v>37.95017319405197</v>
      </c>
      <c r="H6357" s="74">
        <f t="shared" si="199"/>
        <v>2.5442271492805517</v>
      </c>
    </row>
    <row r="6358" spans="5:8" ht="15.6">
      <c r="E6358" s="279" t="s">
        <v>6684</v>
      </c>
      <c r="F6358" s="284">
        <f t="shared" ca="1" si="198"/>
        <v>4.4641303745854732E-2</v>
      </c>
      <c r="G6358" s="74">
        <v>41.696797464559403</v>
      </c>
      <c r="H6358" s="74">
        <f t="shared" si="199"/>
        <v>-1.2023971212268805</v>
      </c>
    </row>
    <row r="6359" spans="5:8" ht="15.6">
      <c r="E6359" s="279" t="s">
        <v>6685</v>
      </c>
      <c r="F6359" s="284">
        <f t="shared" ca="1" si="198"/>
        <v>0.64093734685726511</v>
      </c>
      <c r="G6359" s="74">
        <v>39.454744407126661</v>
      </c>
      <c r="H6359" s="74">
        <f t="shared" si="199"/>
        <v>1.0396559362058611</v>
      </c>
    </row>
    <row r="6360" spans="5:8" ht="15.6">
      <c r="E6360" s="279" t="s">
        <v>6686</v>
      </c>
      <c r="F6360" s="284">
        <f t="shared" ca="1" si="198"/>
        <v>0.406257036864617</v>
      </c>
      <c r="G6360" s="74">
        <v>45.902815163069761</v>
      </c>
      <c r="H6360" s="74">
        <f t="shared" si="199"/>
        <v>-5.4084148197372386</v>
      </c>
    </row>
    <row r="6361" spans="5:8" ht="15.6">
      <c r="E6361" s="279" t="s">
        <v>6687</v>
      </c>
      <c r="F6361" s="284">
        <f t="shared" ca="1" si="198"/>
        <v>0.39517736722944119</v>
      </c>
      <c r="G6361" s="74">
        <v>37.22752801137699</v>
      </c>
      <c r="H6361" s="74">
        <f t="shared" si="199"/>
        <v>3.2668723319555326</v>
      </c>
    </row>
    <row r="6362" spans="5:8" ht="15.6">
      <c r="E6362" s="279" t="s">
        <v>6688</v>
      </c>
      <c r="F6362" s="284">
        <f t="shared" ca="1" si="198"/>
        <v>0.82398823803069621</v>
      </c>
      <c r="G6362" s="74">
        <v>41.904037186240124</v>
      </c>
      <c r="H6362" s="74">
        <f t="shared" si="199"/>
        <v>-1.4096368429076023</v>
      </c>
    </row>
    <row r="6363" spans="5:8" ht="15.6">
      <c r="E6363" s="279" t="s">
        <v>6689</v>
      </c>
      <c r="F6363" s="284">
        <f t="shared" ca="1" si="198"/>
        <v>4.3774873773050338E-4</v>
      </c>
      <c r="G6363" s="74">
        <v>36.680203209885306</v>
      </c>
      <c r="H6363" s="74">
        <f t="shared" si="199"/>
        <v>3.814197133447216</v>
      </c>
    </row>
    <row r="6364" spans="5:8" ht="15.6">
      <c r="E6364" s="279" t="s">
        <v>6690</v>
      </c>
      <c r="F6364" s="284">
        <f t="shared" ca="1" si="198"/>
        <v>2.908139956875766E-2</v>
      </c>
      <c r="G6364" s="74">
        <v>37.703490589454596</v>
      </c>
      <c r="H6364" s="74">
        <f t="shared" si="199"/>
        <v>2.7909097538779264</v>
      </c>
    </row>
    <row r="6365" spans="5:8" ht="15.6">
      <c r="E6365" s="279" t="s">
        <v>6691</v>
      </c>
      <c r="F6365" s="284">
        <f t="shared" ca="1" si="198"/>
        <v>0.43941545503356361</v>
      </c>
      <c r="G6365" s="74">
        <v>40.05437568141776</v>
      </c>
      <c r="H6365" s="74">
        <f t="shared" si="199"/>
        <v>0.44002466191476231</v>
      </c>
    </row>
    <row r="6366" spans="5:8" ht="15.6">
      <c r="E6366" s="279" t="s">
        <v>6692</v>
      </c>
      <c r="F6366" s="284">
        <f t="shared" ca="1" si="198"/>
        <v>0.89966265201662721</v>
      </c>
      <c r="G6366" s="74">
        <v>38.229145304214008</v>
      </c>
      <c r="H6366" s="74">
        <f t="shared" si="199"/>
        <v>2.2652550391185144</v>
      </c>
    </row>
    <row r="6367" spans="5:8" ht="15.6">
      <c r="E6367" s="279" t="s">
        <v>6693</v>
      </c>
      <c r="F6367" s="284">
        <f t="shared" ca="1" si="198"/>
        <v>0.51771568622537367</v>
      </c>
      <c r="G6367" s="74">
        <v>41.809063528345547</v>
      </c>
      <c r="H6367" s="74">
        <f t="shared" si="199"/>
        <v>-1.3146631850130248</v>
      </c>
    </row>
    <row r="6368" spans="5:8" ht="15.6">
      <c r="E6368" s="279" t="s">
        <v>6694</v>
      </c>
      <c r="F6368" s="284">
        <f t="shared" ca="1" si="198"/>
        <v>0.72917679584583817</v>
      </c>
      <c r="G6368" s="74">
        <v>41.149614882648912</v>
      </c>
      <c r="H6368" s="74">
        <f t="shared" si="199"/>
        <v>-0.65521453931638973</v>
      </c>
    </row>
    <row r="6369" spans="5:8" ht="15.6">
      <c r="E6369" s="279" t="s">
        <v>6695</v>
      </c>
      <c r="F6369" s="284">
        <f t="shared" ca="1" si="198"/>
        <v>0.48801110453283481</v>
      </c>
      <c r="G6369" s="74">
        <v>38.633259431186801</v>
      </c>
      <c r="H6369" s="74">
        <f t="shared" si="199"/>
        <v>1.8611409121457214</v>
      </c>
    </row>
    <row r="6370" spans="5:8" ht="15.6">
      <c r="E6370" s="279" t="s">
        <v>6696</v>
      </c>
      <c r="F6370" s="284">
        <f t="shared" ca="1" si="198"/>
        <v>0.71317343460026661</v>
      </c>
      <c r="G6370" s="74">
        <v>37.296523268160719</v>
      </c>
      <c r="H6370" s="74">
        <f t="shared" si="199"/>
        <v>3.1978770751718031</v>
      </c>
    </row>
    <row r="6371" spans="5:8" ht="15.6">
      <c r="E6371" s="279" t="s">
        <v>6697</v>
      </c>
      <c r="F6371" s="284">
        <f t="shared" ca="1" si="198"/>
        <v>0.12414735885957973</v>
      </c>
      <c r="G6371" s="74">
        <v>39.083072439434154</v>
      </c>
      <c r="H6371" s="74">
        <f t="shared" si="199"/>
        <v>1.4113279038983677</v>
      </c>
    </row>
    <row r="6372" spans="5:8" ht="15.6">
      <c r="E6372" s="279" t="s">
        <v>6698</v>
      </c>
      <c r="F6372" s="284">
        <f t="shared" ca="1" si="198"/>
        <v>0.73622940684809768</v>
      </c>
      <c r="G6372" s="74">
        <v>36.747420126862366</v>
      </c>
      <c r="H6372" s="74">
        <f t="shared" si="199"/>
        <v>3.7469802164701562</v>
      </c>
    </row>
    <row r="6373" spans="5:8" ht="15.6">
      <c r="E6373" s="279" t="s">
        <v>6699</v>
      </c>
      <c r="F6373" s="284">
        <f t="shared" ca="1" si="198"/>
        <v>0.54725899259443456</v>
      </c>
      <c r="G6373" s="74">
        <v>39.812645612035077</v>
      </c>
      <c r="H6373" s="74">
        <f t="shared" si="199"/>
        <v>0.68175473129744546</v>
      </c>
    </row>
    <row r="6374" spans="5:8" ht="15.6">
      <c r="E6374" s="279" t="s">
        <v>6700</v>
      </c>
      <c r="F6374" s="284">
        <f t="shared" ca="1" si="198"/>
        <v>7.8926492600651654E-2</v>
      </c>
      <c r="G6374" s="74">
        <v>35.461257880519312</v>
      </c>
      <c r="H6374" s="74">
        <f t="shared" si="199"/>
        <v>5.0331424628132098</v>
      </c>
    </row>
    <row r="6375" spans="5:8" ht="15.6">
      <c r="E6375" s="279" t="s">
        <v>6701</v>
      </c>
      <c r="F6375" s="284">
        <f t="shared" ca="1" si="198"/>
        <v>0.18684647783019237</v>
      </c>
      <c r="G6375" s="74">
        <v>40.345492681494676</v>
      </c>
      <c r="H6375" s="74">
        <f t="shared" si="199"/>
        <v>0.14890766183784621</v>
      </c>
    </row>
    <row r="6376" spans="5:8" ht="15.6">
      <c r="E6376" s="279" t="s">
        <v>6702</v>
      </c>
      <c r="F6376" s="284">
        <f t="shared" ca="1" si="198"/>
        <v>0.64336064702206319</v>
      </c>
      <c r="G6376" s="74">
        <v>36.265789788813244</v>
      </c>
      <c r="H6376" s="74">
        <f t="shared" si="199"/>
        <v>4.2286105545192783</v>
      </c>
    </row>
    <row r="6377" spans="5:8" ht="15.6">
      <c r="E6377" s="279" t="s">
        <v>6703</v>
      </c>
      <c r="F6377" s="284">
        <f t="shared" ca="1" si="198"/>
        <v>0.86076467168683779</v>
      </c>
      <c r="G6377" s="74">
        <v>37.849878675875786</v>
      </c>
      <c r="H6377" s="74">
        <f t="shared" si="199"/>
        <v>2.6445216674567362</v>
      </c>
    </row>
    <row r="6378" spans="5:8" ht="15.6">
      <c r="E6378" s="279" t="s">
        <v>6704</v>
      </c>
      <c r="F6378" s="284">
        <f t="shared" ca="1" si="198"/>
        <v>0.45198900023964705</v>
      </c>
      <c r="G6378" s="74">
        <v>39.255466342869987</v>
      </c>
      <c r="H6378" s="74">
        <f t="shared" si="199"/>
        <v>1.2389340004625353</v>
      </c>
    </row>
    <row r="6379" spans="5:8" ht="15.6">
      <c r="E6379" s="279" t="s">
        <v>6705</v>
      </c>
      <c r="F6379" s="284">
        <f t="shared" ca="1" si="198"/>
        <v>9.907898314228325E-2</v>
      </c>
      <c r="G6379" s="74">
        <v>37.253597639614007</v>
      </c>
      <c r="H6379" s="74">
        <f t="shared" si="199"/>
        <v>3.240802703718515</v>
      </c>
    </row>
    <row r="6380" spans="5:8" ht="15.6">
      <c r="E6380" s="279" t="s">
        <v>6706</v>
      </c>
      <c r="F6380" s="284">
        <f t="shared" ca="1" si="198"/>
        <v>0.6982765211006644</v>
      </c>
      <c r="G6380" s="74">
        <v>38.187972033614834</v>
      </c>
      <c r="H6380" s="74">
        <f t="shared" si="199"/>
        <v>2.3064283097176883</v>
      </c>
    </row>
    <row r="6381" spans="5:8" ht="15.6">
      <c r="E6381" s="279" t="s">
        <v>6707</v>
      </c>
      <c r="F6381" s="284">
        <f t="shared" ca="1" si="198"/>
        <v>0.18383443090181251</v>
      </c>
      <c r="G6381" s="74">
        <v>48.385806792806711</v>
      </c>
      <c r="H6381" s="74">
        <f t="shared" si="199"/>
        <v>-7.8914064494741893</v>
      </c>
    </row>
    <row r="6382" spans="5:8" ht="15.6">
      <c r="E6382" s="279" t="s">
        <v>6708</v>
      </c>
      <c r="F6382" s="284">
        <f t="shared" ca="1" si="198"/>
        <v>0.75614310745262514</v>
      </c>
      <c r="G6382" s="74">
        <v>35.779290957556164</v>
      </c>
      <c r="H6382" s="74">
        <f t="shared" si="199"/>
        <v>4.7151093857763584</v>
      </c>
    </row>
    <row r="6383" spans="5:8" ht="15.6">
      <c r="E6383" s="279" t="s">
        <v>6709</v>
      </c>
      <c r="F6383" s="284">
        <f t="shared" ca="1" si="198"/>
        <v>0.45553772347588239</v>
      </c>
      <c r="G6383" s="74">
        <v>42.070482002787394</v>
      </c>
      <c r="H6383" s="74">
        <f t="shared" si="199"/>
        <v>-1.5760816594548714</v>
      </c>
    </row>
    <row r="6384" spans="5:8" ht="15.6">
      <c r="E6384" s="279" t="s">
        <v>6710</v>
      </c>
      <c r="F6384" s="284">
        <f t="shared" ca="1" si="198"/>
        <v>0.42917979889738156</v>
      </c>
      <c r="G6384" s="74">
        <v>39.210698016325374</v>
      </c>
      <c r="H6384" s="74">
        <f t="shared" si="199"/>
        <v>1.2837023270071484</v>
      </c>
    </row>
    <row r="6385" spans="5:8" ht="15.6">
      <c r="E6385" s="279" t="s">
        <v>6711</v>
      </c>
      <c r="F6385" s="284">
        <f t="shared" ca="1" si="198"/>
        <v>0.24483147499199243</v>
      </c>
      <c r="G6385" s="74">
        <v>32.691628063767034</v>
      </c>
      <c r="H6385" s="74">
        <f t="shared" si="199"/>
        <v>7.8027722795654881</v>
      </c>
    </row>
    <row r="6386" spans="5:8" ht="15.6">
      <c r="E6386" s="279" t="s">
        <v>6712</v>
      </c>
      <c r="F6386" s="284">
        <f t="shared" ca="1" si="198"/>
        <v>0.24064618818392969</v>
      </c>
      <c r="G6386" s="74">
        <v>43.344678723940056</v>
      </c>
      <c r="H6386" s="74">
        <f t="shared" si="199"/>
        <v>-2.8502783806075342</v>
      </c>
    </row>
    <row r="6387" spans="5:8" ht="15.6">
      <c r="E6387" s="279" t="s">
        <v>6713</v>
      </c>
      <c r="F6387" s="284">
        <f t="shared" ca="1" si="198"/>
        <v>0.2688139416493911</v>
      </c>
      <c r="G6387" s="74">
        <v>38.284027719924929</v>
      </c>
      <c r="H6387" s="74">
        <f t="shared" si="199"/>
        <v>2.2103726234075936</v>
      </c>
    </row>
    <row r="6388" spans="5:8" ht="15.6">
      <c r="E6388" s="279" t="s">
        <v>6714</v>
      </c>
      <c r="F6388" s="284">
        <f t="shared" ca="1" si="198"/>
        <v>0.10748939430287308</v>
      </c>
      <c r="G6388" s="74">
        <v>39.821796481204629</v>
      </c>
      <c r="H6388" s="74">
        <f t="shared" si="199"/>
        <v>0.67260386212789314</v>
      </c>
    </row>
    <row r="6389" spans="5:8" ht="15.6">
      <c r="E6389" s="279" t="s">
        <v>6715</v>
      </c>
      <c r="F6389" s="284">
        <f t="shared" ca="1" si="198"/>
        <v>0.79401704430559061</v>
      </c>
      <c r="G6389" s="74">
        <v>41.735949438258466</v>
      </c>
      <c r="H6389" s="74">
        <f t="shared" si="199"/>
        <v>-1.2415490949259436</v>
      </c>
    </row>
    <row r="6390" spans="5:8" ht="15.6">
      <c r="E6390" s="279" t="s">
        <v>6716</v>
      </c>
      <c r="F6390" s="284">
        <f t="shared" ca="1" si="198"/>
        <v>0.38732071420369651</v>
      </c>
      <c r="G6390" s="74">
        <v>41.958659239428037</v>
      </c>
      <c r="H6390" s="74">
        <f t="shared" si="199"/>
        <v>-1.4642588960955152</v>
      </c>
    </row>
    <row r="6391" spans="5:8" ht="15.6">
      <c r="E6391" s="279" t="s">
        <v>6717</v>
      </c>
      <c r="F6391" s="284">
        <f t="shared" ca="1" si="198"/>
        <v>0.20051357919616464</v>
      </c>
      <c r="G6391" s="74">
        <v>35.714668180949147</v>
      </c>
      <c r="H6391" s="74">
        <f t="shared" si="199"/>
        <v>4.7797321623833753</v>
      </c>
    </row>
    <row r="6392" spans="5:8" ht="15.6">
      <c r="E6392" s="279" t="s">
        <v>6718</v>
      </c>
      <c r="F6392" s="284">
        <f t="shared" ca="1" si="198"/>
        <v>0.94513980271239628</v>
      </c>
      <c r="G6392" s="74">
        <v>37.70580617953771</v>
      </c>
      <c r="H6392" s="74">
        <f t="shared" si="199"/>
        <v>2.7885941637948122</v>
      </c>
    </row>
    <row r="6393" spans="5:8" ht="15.6">
      <c r="E6393" s="279" t="s">
        <v>6719</v>
      </c>
      <c r="F6393" s="284">
        <f t="shared" ca="1" si="198"/>
        <v>0.61271938917884583</v>
      </c>
      <c r="G6393" s="74">
        <v>37.021956283623474</v>
      </c>
      <c r="H6393" s="74">
        <f t="shared" si="199"/>
        <v>3.4724440597090478</v>
      </c>
    </row>
    <row r="6394" spans="5:8" ht="15.6">
      <c r="E6394" s="279" t="s">
        <v>6720</v>
      </c>
      <c r="F6394" s="284">
        <f t="shared" ca="1" si="198"/>
        <v>0.99784356265541685</v>
      </c>
      <c r="G6394" s="74">
        <v>33.049611106398672</v>
      </c>
      <c r="H6394" s="74">
        <f t="shared" si="199"/>
        <v>7.4447892369338504</v>
      </c>
    </row>
    <row r="6395" spans="5:8" ht="15.6">
      <c r="E6395" s="279" t="s">
        <v>6721</v>
      </c>
      <c r="F6395" s="284">
        <f t="shared" ca="1" si="198"/>
        <v>4.8922725519258359E-2</v>
      </c>
      <c r="G6395" s="74">
        <v>39.406888410213824</v>
      </c>
      <c r="H6395" s="74">
        <f t="shared" si="199"/>
        <v>1.087511933118698</v>
      </c>
    </row>
    <row r="6396" spans="5:8" ht="15.6">
      <c r="E6396" s="279" t="s">
        <v>6722</v>
      </c>
      <c r="F6396" s="284">
        <f t="shared" ca="1" si="198"/>
        <v>0.6105166947989924</v>
      </c>
      <c r="G6396" s="74">
        <v>40.206595795909735</v>
      </c>
      <c r="H6396" s="74">
        <f t="shared" si="199"/>
        <v>0.28780454742278749</v>
      </c>
    </row>
    <row r="6397" spans="5:8" ht="15.6">
      <c r="E6397" s="279" t="s">
        <v>6723</v>
      </c>
      <c r="F6397" s="284">
        <f t="shared" ca="1" si="198"/>
        <v>0.77347863930408656</v>
      </c>
      <c r="G6397" s="74">
        <v>37.586111888462732</v>
      </c>
      <c r="H6397" s="74">
        <f t="shared" si="199"/>
        <v>2.9082884548697905</v>
      </c>
    </row>
    <row r="6398" spans="5:8" ht="15.6">
      <c r="E6398" s="279" t="s">
        <v>6724</v>
      </c>
      <c r="F6398" s="284">
        <f t="shared" ca="1" si="198"/>
        <v>0.9600127115410908</v>
      </c>
      <c r="G6398" s="74">
        <v>40.08692702830956</v>
      </c>
      <c r="H6398" s="74">
        <f t="shared" si="199"/>
        <v>0.40747331502296191</v>
      </c>
    </row>
    <row r="6399" spans="5:8" ht="15.6">
      <c r="E6399" s="279" t="s">
        <v>6725</v>
      </c>
      <c r="F6399" s="284">
        <f t="shared" ca="1" si="198"/>
        <v>0.51976170637402308</v>
      </c>
      <c r="G6399" s="74">
        <v>44.8896152695959</v>
      </c>
      <c r="H6399" s="74">
        <f t="shared" si="199"/>
        <v>-4.3952149262633782</v>
      </c>
    </row>
    <row r="6400" spans="5:8" ht="15.6">
      <c r="E6400" s="279" t="s">
        <v>6726</v>
      </c>
      <c r="F6400" s="284">
        <f t="shared" ca="1" si="198"/>
        <v>0.55447844972909943</v>
      </c>
      <c r="G6400" s="74">
        <v>35.921336106750694</v>
      </c>
      <c r="H6400" s="74">
        <f t="shared" si="199"/>
        <v>4.5730642365818284</v>
      </c>
    </row>
    <row r="6401" spans="5:8" ht="15.6">
      <c r="E6401" s="279" t="s">
        <v>6727</v>
      </c>
      <c r="F6401" s="284">
        <f t="shared" ca="1" si="198"/>
        <v>0.83840950237553657</v>
      </c>
      <c r="G6401" s="74">
        <v>33.972642469427761</v>
      </c>
      <c r="H6401" s="74">
        <f t="shared" si="199"/>
        <v>6.521757873904761</v>
      </c>
    </row>
    <row r="6402" spans="5:8" ht="15.6">
      <c r="E6402" s="279" t="s">
        <v>6728</v>
      </c>
      <c r="F6402" s="284">
        <f t="shared" ca="1" si="198"/>
        <v>0.47152938776497122</v>
      </c>
      <c r="G6402" s="74">
        <v>40.983321453875732</v>
      </c>
      <c r="H6402" s="74">
        <f t="shared" si="199"/>
        <v>-0.48892111054320964</v>
      </c>
    </row>
    <row r="6403" spans="5:8" ht="15.6">
      <c r="E6403" s="279" t="s">
        <v>6729</v>
      </c>
      <c r="F6403" s="284">
        <f t="shared" ca="1" si="198"/>
        <v>0.65732343089983269</v>
      </c>
      <c r="G6403" s="74">
        <v>33.473611878730082</v>
      </c>
      <c r="H6403" s="74">
        <f t="shared" si="199"/>
        <v>7.0207884646024397</v>
      </c>
    </row>
    <row r="6404" spans="5:8" ht="15.6">
      <c r="E6404" s="279" t="s">
        <v>6730</v>
      </c>
      <c r="F6404" s="284">
        <f t="shared" ca="1" si="198"/>
        <v>0.95068998972933605</v>
      </c>
      <c r="G6404" s="74">
        <v>36.601811850960729</v>
      </c>
      <c r="H6404" s="74">
        <f t="shared" si="199"/>
        <v>3.8925884923717931</v>
      </c>
    </row>
    <row r="6405" spans="5:8" ht="15.6">
      <c r="E6405" s="279" t="s">
        <v>6731</v>
      </c>
      <c r="F6405" s="284">
        <f t="shared" ca="1" si="198"/>
        <v>0.32253379502935731</v>
      </c>
      <c r="G6405" s="74">
        <v>37.415959054961831</v>
      </c>
      <c r="H6405" s="74">
        <f t="shared" si="199"/>
        <v>3.0784412883706906</v>
      </c>
    </row>
    <row r="6406" spans="5:8" ht="15.6">
      <c r="E6406" s="279" t="s">
        <v>6732</v>
      </c>
      <c r="F6406" s="284">
        <f t="shared" ca="1" si="198"/>
        <v>0.46519453465180072</v>
      </c>
      <c r="G6406" s="74">
        <v>38.886380092788038</v>
      </c>
      <c r="H6406" s="74">
        <f t="shared" si="199"/>
        <v>1.6080202505444845</v>
      </c>
    </row>
    <row r="6407" spans="5:8" ht="15.6">
      <c r="E6407" s="279" t="s">
        <v>6733</v>
      </c>
      <c r="F6407" s="284">
        <f t="shared" ca="1" si="198"/>
        <v>0.61313467812443723</v>
      </c>
      <c r="G6407" s="74">
        <v>41.245652885968553</v>
      </c>
      <c r="H6407" s="74">
        <f t="shared" si="199"/>
        <v>-0.75125254263603125</v>
      </c>
    </row>
    <row r="6408" spans="5:8" ht="15.6">
      <c r="E6408" s="279" t="s">
        <v>6734</v>
      </c>
      <c r="F6408" s="284">
        <f t="shared" ca="1" si="198"/>
        <v>0.37066996671754304</v>
      </c>
      <c r="G6408" s="74">
        <v>38.491828758928733</v>
      </c>
      <c r="H6408" s="74">
        <f t="shared" si="199"/>
        <v>2.002571584403789</v>
      </c>
    </row>
    <row r="6409" spans="5:8" ht="15.6">
      <c r="E6409" s="279" t="s">
        <v>6735</v>
      </c>
      <c r="F6409" s="284">
        <f t="shared" ca="1" si="198"/>
        <v>0.13981807752790421</v>
      </c>
      <c r="G6409" s="74">
        <v>39.173349453059345</v>
      </c>
      <c r="H6409" s="74">
        <f t="shared" si="199"/>
        <v>1.3210508902731775</v>
      </c>
    </row>
    <row r="6410" spans="5:8" ht="15.6">
      <c r="E6410" s="279" t="s">
        <v>6736</v>
      </c>
      <c r="F6410" s="284">
        <f t="shared" ca="1" si="198"/>
        <v>0.1381062008629077</v>
      </c>
      <c r="G6410" s="74">
        <v>35.950299551923806</v>
      </c>
      <c r="H6410" s="74">
        <f t="shared" si="199"/>
        <v>4.5441007914087166</v>
      </c>
    </row>
    <row r="6411" spans="5:8" ht="15.6">
      <c r="E6411" s="279" t="s">
        <v>6737</v>
      </c>
      <c r="F6411" s="284">
        <f t="shared" ca="1" si="198"/>
        <v>5.4585474575858273E-2</v>
      </c>
      <c r="G6411" s="74">
        <v>38.791973105820112</v>
      </c>
      <c r="H6411" s="74">
        <f t="shared" si="199"/>
        <v>1.7024272375124099</v>
      </c>
    </row>
    <row r="6412" spans="5:8" ht="15.6">
      <c r="E6412" s="279" t="s">
        <v>6738</v>
      </c>
      <c r="F6412" s="284">
        <f t="shared" ref="F6412:F6475" ca="1" si="200">RAND()</f>
        <v>0.66966737484169325</v>
      </c>
      <c r="G6412" s="74">
        <v>39.495966452739921</v>
      </c>
      <c r="H6412" s="74">
        <f t="shared" ref="H6412:H6475" si="201">$D$2-G6412</f>
        <v>0.9984338905926009</v>
      </c>
    </row>
    <row r="6413" spans="5:8" ht="15.6">
      <c r="E6413" s="279" t="s">
        <v>6739</v>
      </c>
      <c r="F6413" s="284">
        <f t="shared" ca="1" si="200"/>
        <v>0.3788461710333878</v>
      </c>
      <c r="G6413" s="74">
        <v>40.815086302471784</v>
      </c>
      <c r="H6413" s="74">
        <f t="shared" si="201"/>
        <v>-0.32068595913926146</v>
      </c>
    </row>
    <row r="6414" spans="5:8" ht="15.6">
      <c r="E6414" s="279" t="s">
        <v>6740</v>
      </c>
      <c r="F6414" s="284">
        <f t="shared" ca="1" si="200"/>
        <v>0.28648587848207474</v>
      </c>
      <c r="G6414" s="74">
        <v>40.870689921302684</v>
      </c>
      <c r="H6414" s="74">
        <f t="shared" si="201"/>
        <v>-0.37628957797016227</v>
      </c>
    </row>
    <row r="6415" spans="5:8" ht="15.6">
      <c r="E6415" s="279" t="s">
        <v>6741</v>
      </c>
      <c r="F6415" s="284">
        <f t="shared" ca="1" si="200"/>
        <v>0.86573699177186203</v>
      </c>
      <c r="G6415" s="74">
        <v>38.341965988382405</v>
      </c>
      <c r="H6415" s="74">
        <f t="shared" si="201"/>
        <v>2.1524343549501168</v>
      </c>
    </row>
    <row r="6416" spans="5:8" ht="15.6">
      <c r="E6416" s="279" t="s">
        <v>6742</v>
      </c>
      <c r="F6416" s="284">
        <f t="shared" ca="1" si="200"/>
        <v>0.27279077776600447</v>
      </c>
      <c r="G6416" s="74">
        <v>40.632569018725071</v>
      </c>
      <c r="H6416" s="74">
        <f t="shared" si="201"/>
        <v>-0.13816867539254929</v>
      </c>
    </row>
    <row r="6417" spans="5:8" ht="15.6">
      <c r="E6417" s="279" t="s">
        <v>6743</v>
      </c>
      <c r="F6417" s="284">
        <f t="shared" ca="1" si="200"/>
        <v>0.10840433953269024</v>
      </c>
      <c r="G6417" s="74">
        <v>42.468414788316082</v>
      </c>
      <c r="H6417" s="74">
        <f t="shared" si="201"/>
        <v>-1.9740144449835597</v>
      </c>
    </row>
    <row r="6418" spans="5:8" ht="15.6">
      <c r="E6418" s="279" t="s">
        <v>6744</v>
      </c>
      <c r="F6418" s="284">
        <f t="shared" ca="1" si="200"/>
        <v>0.3998618900493921</v>
      </c>
      <c r="G6418" s="74">
        <v>36.380963448929755</v>
      </c>
      <c r="H6418" s="74">
        <f t="shared" si="201"/>
        <v>4.1134368944027671</v>
      </c>
    </row>
    <row r="6419" spans="5:8" ht="15.6">
      <c r="E6419" s="279" t="s">
        <v>6745</v>
      </c>
      <c r="F6419" s="284">
        <f t="shared" ca="1" si="200"/>
        <v>7.8087629135570324E-3</v>
      </c>
      <c r="G6419" s="74">
        <v>36.894242212659648</v>
      </c>
      <c r="H6419" s="74">
        <f t="shared" si="201"/>
        <v>3.6001581306728738</v>
      </c>
    </row>
    <row r="6420" spans="5:8" ht="15.6">
      <c r="E6420" s="279" t="s">
        <v>6746</v>
      </c>
      <c r="F6420" s="284">
        <f t="shared" ca="1" si="200"/>
        <v>0.40489177845227609</v>
      </c>
      <c r="G6420" s="74">
        <v>41.246182137942945</v>
      </c>
      <c r="H6420" s="74">
        <f t="shared" si="201"/>
        <v>-0.75178179461042305</v>
      </c>
    </row>
    <row r="6421" spans="5:8" ht="15.6">
      <c r="E6421" s="279" t="s">
        <v>6747</v>
      </c>
      <c r="F6421" s="284">
        <f t="shared" ca="1" si="200"/>
        <v>1.2595753344619043E-2</v>
      </c>
      <c r="G6421" s="74">
        <v>45.679814817877777</v>
      </c>
      <c r="H6421" s="74">
        <f t="shared" si="201"/>
        <v>-5.1854144745452544</v>
      </c>
    </row>
    <row r="6422" spans="5:8" ht="15.6">
      <c r="E6422" s="279" t="s">
        <v>6748</v>
      </c>
      <c r="F6422" s="284">
        <f t="shared" ca="1" si="200"/>
        <v>0.3987970021687034</v>
      </c>
      <c r="G6422" s="74">
        <v>38.404879669404608</v>
      </c>
      <c r="H6422" s="74">
        <f t="shared" si="201"/>
        <v>2.0895206739279146</v>
      </c>
    </row>
    <row r="6423" spans="5:8" ht="15.6">
      <c r="E6423" s="279" t="s">
        <v>6749</v>
      </c>
      <c r="F6423" s="284">
        <f t="shared" ca="1" si="200"/>
        <v>7.7647241761383712E-2</v>
      </c>
      <c r="G6423" s="74">
        <v>36.865033232996211</v>
      </c>
      <c r="H6423" s="74">
        <f t="shared" si="201"/>
        <v>3.629367110336311</v>
      </c>
    </row>
    <row r="6424" spans="5:8" ht="15.6">
      <c r="E6424" s="279" t="s">
        <v>6750</v>
      </c>
      <c r="F6424" s="284">
        <f t="shared" ca="1" si="200"/>
        <v>0.64990140397017315</v>
      </c>
      <c r="G6424" s="74">
        <v>41.215168862772316</v>
      </c>
      <c r="H6424" s="74">
        <f t="shared" si="201"/>
        <v>-0.72076851943979392</v>
      </c>
    </row>
    <row r="6425" spans="5:8" ht="15.6">
      <c r="E6425" s="279" t="s">
        <v>6751</v>
      </c>
      <c r="F6425" s="284">
        <f t="shared" ca="1" si="200"/>
        <v>0.68409804813099284</v>
      </c>
      <c r="G6425" s="74">
        <v>37.776184056402563</v>
      </c>
      <c r="H6425" s="74">
        <f t="shared" si="201"/>
        <v>2.7182162869299589</v>
      </c>
    </row>
    <row r="6426" spans="5:8" ht="15.6">
      <c r="E6426" s="279" t="s">
        <v>6752</v>
      </c>
      <c r="F6426" s="284">
        <f t="shared" ca="1" si="200"/>
        <v>0.81244457395122116</v>
      </c>
      <c r="G6426" s="74">
        <v>36.630807316395561</v>
      </c>
      <c r="H6426" s="74">
        <f t="shared" si="201"/>
        <v>3.8635930269369609</v>
      </c>
    </row>
    <row r="6427" spans="5:8" ht="15.6">
      <c r="E6427" s="279" t="s">
        <v>6753</v>
      </c>
      <c r="F6427" s="284">
        <f t="shared" ca="1" si="200"/>
        <v>0.98002422587383198</v>
      </c>
      <c r="G6427" s="74">
        <v>41.187868034712267</v>
      </c>
      <c r="H6427" s="74">
        <f t="shared" si="201"/>
        <v>-0.69346769137974462</v>
      </c>
    </row>
    <row r="6428" spans="5:8" ht="15.6">
      <c r="E6428" s="279" t="s">
        <v>6754</v>
      </c>
      <c r="F6428" s="284">
        <f t="shared" ca="1" si="200"/>
        <v>0.38779164874544159</v>
      </c>
      <c r="G6428" s="74">
        <v>39.525211406244026</v>
      </c>
      <c r="H6428" s="74">
        <f t="shared" si="201"/>
        <v>0.96918893708849652</v>
      </c>
    </row>
    <row r="6429" spans="5:8" ht="15.6">
      <c r="E6429" s="279" t="s">
        <v>6755</v>
      </c>
      <c r="F6429" s="284">
        <f t="shared" ca="1" si="200"/>
        <v>0.37970503025940538</v>
      </c>
      <c r="G6429" s="74">
        <v>42.818226273895085</v>
      </c>
      <c r="H6429" s="74">
        <f t="shared" si="201"/>
        <v>-2.3238259305625633</v>
      </c>
    </row>
    <row r="6430" spans="5:8" ht="15.6">
      <c r="E6430" s="279" t="s">
        <v>6756</v>
      </c>
      <c r="F6430" s="284">
        <f t="shared" ca="1" si="200"/>
        <v>0.9928811687327207</v>
      </c>
      <c r="G6430" s="74">
        <v>36.141353229671388</v>
      </c>
      <c r="H6430" s="74">
        <f t="shared" si="201"/>
        <v>4.3530471136611339</v>
      </c>
    </row>
    <row r="6431" spans="5:8" ht="15.6">
      <c r="E6431" s="279" t="s">
        <v>6757</v>
      </c>
      <c r="F6431" s="284">
        <f t="shared" ca="1" si="200"/>
        <v>0.426633492952738</v>
      </c>
      <c r="G6431" s="74">
        <v>43.842331195445055</v>
      </c>
      <c r="H6431" s="74">
        <f t="shared" si="201"/>
        <v>-3.3479308521125333</v>
      </c>
    </row>
    <row r="6432" spans="5:8" ht="15.6">
      <c r="E6432" s="279" t="s">
        <v>6758</v>
      </c>
      <c r="F6432" s="284">
        <f t="shared" ca="1" si="200"/>
        <v>0.56227561814950322</v>
      </c>
      <c r="G6432" s="74">
        <v>37.154173184036175</v>
      </c>
      <c r="H6432" s="74">
        <f t="shared" si="201"/>
        <v>3.3402271592963473</v>
      </c>
    </row>
    <row r="6433" spans="5:8" ht="15.6">
      <c r="E6433" s="279" t="s">
        <v>6759</v>
      </c>
      <c r="F6433" s="284">
        <f t="shared" ca="1" si="200"/>
        <v>0.90490896459368797</v>
      </c>
      <c r="G6433" s="74">
        <v>40.506238422287318</v>
      </c>
      <c r="H6433" s="74">
        <f t="shared" si="201"/>
        <v>-1.1838078954795606E-2</v>
      </c>
    </row>
    <row r="6434" spans="5:8" ht="15.6">
      <c r="E6434" s="279" t="s">
        <v>6760</v>
      </c>
      <c r="F6434" s="284">
        <f t="shared" ca="1" si="200"/>
        <v>0.92708914661005504</v>
      </c>
      <c r="G6434" s="74">
        <v>35.877535463706423</v>
      </c>
      <c r="H6434" s="74">
        <f t="shared" si="201"/>
        <v>4.6168648796260996</v>
      </c>
    </row>
    <row r="6435" spans="5:8" ht="15.6">
      <c r="E6435" s="279" t="s">
        <v>6761</v>
      </c>
      <c r="F6435" s="284">
        <f t="shared" ca="1" si="200"/>
        <v>5.9370892868916503E-2</v>
      </c>
      <c r="G6435" s="74">
        <v>35.613159560547636</v>
      </c>
      <c r="H6435" s="74">
        <f t="shared" si="201"/>
        <v>4.8812407827848858</v>
      </c>
    </row>
    <row r="6436" spans="5:8" ht="15.6">
      <c r="E6436" s="279" t="s">
        <v>6762</v>
      </c>
      <c r="F6436" s="284">
        <f t="shared" ca="1" si="200"/>
        <v>0.32998660449063477</v>
      </c>
      <c r="G6436" s="74">
        <v>36.160189480164881</v>
      </c>
      <c r="H6436" s="74">
        <f t="shared" si="201"/>
        <v>4.334210863167641</v>
      </c>
    </row>
    <row r="6437" spans="5:8" ht="15.6">
      <c r="E6437" s="279" t="s">
        <v>6763</v>
      </c>
      <c r="F6437" s="284">
        <f t="shared" ca="1" si="200"/>
        <v>0.76119938125593811</v>
      </c>
      <c r="G6437" s="74">
        <v>38.320254889433507</v>
      </c>
      <c r="H6437" s="74">
        <f t="shared" si="201"/>
        <v>2.1741454538990155</v>
      </c>
    </row>
    <row r="6438" spans="5:8" ht="15.6">
      <c r="E6438" s="279" t="s">
        <v>6764</v>
      </c>
      <c r="F6438" s="284">
        <f t="shared" ca="1" si="200"/>
        <v>0.94767153537606752</v>
      </c>
      <c r="G6438" s="74">
        <v>36.113142801862864</v>
      </c>
      <c r="H6438" s="74">
        <f t="shared" si="201"/>
        <v>4.3812575414696582</v>
      </c>
    </row>
    <row r="6439" spans="5:8" ht="15.6">
      <c r="E6439" s="279" t="s">
        <v>6765</v>
      </c>
      <c r="F6439" s="284">
        <f t="shared" ca="1" si="200"/>
        <v>0.3557574662381312</v>
      </c>
      <c r="G6439" s="74">
        <v>41.271931520469224</v>
      </c>
      <c r="H6439" s="74">
        <f t="shared" si="201"/>
        <v>-0.7775311771367015</v>
      </c>
    </row>
    <row r="6440" spans="5:8" ht="15.6">
      <c r="E6440" s="279" t="s">
        <v>6766</v>
      </c>
      <c r="F6440" s="284">
        <f t="shared" ca="1" si="200"/>
        <v>0.7202130548534027</v>
      </c>
      <c r="G6440" s="74">
        <v>37.213418376818034</v>
      </c>
      <c r="H6440" s="74">
        <f t="shared" si="201"/>
        <v>3.2809819665144886</v>
      </c>
    </row>
    <row r="6441" spans="5:8" ht="15.6">
      <c r="E6441" s="279" t="s">
        <v>6767</v>
      </c>
      <c r="F6441" s="284">
        <f t="shared" ca="1" si="200"/>
        <v>0.5668903239898514</v>
      </c>
      <c r="G6441" s="74">
        <v>37.326611504547792</v>
      </c>
      <c r="H6441" s="74">
        <f t="shared" si="201"/>
        <v>3.1677888387847304</v>
      </c>
    </row>
    <row r="6442" spans="5:8" ht="15.6">
      <c r="E6442" s="279" t="s">
        <v>6768</v>
      </c>
      <c r="F6442" s="284">
        <f t="shared" ca="1" si="200"/>
        <v>0.75392934162381009</v>
      </c>
      <c r="G6442" s="74">
        <v>37.733775864369285</v>
      </c>
      <c r="H6442" s="74">
        <f t="shared" si="201"/>
        <v>2.760624478963237</v>
      </c>
    </row>
    <row r="6443" spans="5:8" ht="15.6">
      <c r="E6443" s="279" t="s">
        <v>6769</v>
      </c>
      <c r="F6443" s="284">
        <f t="shared" ca="1" si="200"/>
        <v>0.78227744673550503</v>
      </c>
      <c r="G6443" s="74">
        <v>39.647151218815203</v>
      </c>
      <c r="H6443" s="74">
        <f t="shared" si="201"/>
        <v>0.84724912451731882</v>
      </c>
    </row>
    <row r="6444" spans="5:8" ht="15.6">
      <c r="E6444" s="279" t="s">
        <v>6770</v>
      </c>
      <c r="F6444" s="284">
        <f t="shared" ca="1" si="200"/>
        <v>0.66315369262769663</v>
      </c>
      <c r="G6444" s="74">
        <v>42.989455575989666</v>
      </c>
      <c r="H6444" s="74">
        <f t="shared" si="201"/>
        <v>-2.495055232657144</v>
      </c>
    </row>
    <row r="6445" spans="5:8" ht="15.6">
      <c r="E6445" s="279" t="s">
        <v>6771</v>
      </c>
      <c r="F6445" s="284">
        <f t="shared" ca="1" si="200"/>
        <v>2.6812834515729245E-3</v>
      </c>
      <c r="G6445" s="74">
        <v>37.002150112805786</v>
      </c>
      <c r="H6445" s="74">
        <f t="shared" si="201"/>
        <v>3.4922502305267358</v>
      </c>
    </row>
    <row r="6446" spans="5:8" ht="15.6">
      <c r="E6446" s="279" t="s">
        <v>6772</v>
      </c>
      <c r="F6446" s="284">
        <f t="shared" ca="1" si="200"/>
        <v>0.48250776861625788</v>
      </c>
      <c r="G6446" s="74">
        <v>40.088547667335654</v>
      </c>
      <c r="H6446" s="74">
        <f t="shared" si="201"/>
        <v>0.40585267599686858</v>
      </c>
    </row>
    <row r="6447" spans="5:8" ht="15.6">
      <c r="E6447" s="279" t="s">
        <v>6773</v>
      </c>
      <c r="F6447" s="284">
        <f t="shared" ca="1" si="200"/>
        <v>0.3587060277167734</v>
      </c>
      <c r="G6447" s="74">
        <v>41.673937499790433</v>
      </c>
      <c r="H6447" s="74">
        <f t="shared" si="201"/>
        <v>-1.1795371564579114</v>
      </c>
    </row>
    <row r="6448" spans="5:8" ht="15.6">
      <c r="E6448" s="279" t="s">
        <v>6774</v>
      </c>
      <c r="F6448" s="284">
        <f t="shared" ca="1" si="200"/>
        <v>0.13116852244623922</v>
      </c>
      <c r="G6448" s="74">
        <v>37.300052914663397</v>
      </c>
      <c r="H6448" s="74">
        <f t="shared" si="201"/>
        <v>3.1943474286691256</v>
      </c>
    </row>
    <row r="6449" spans="5:8" ht="15.6">
      <c r="E6449" s="279" t="s">
        <v>6775</v>
      </c>
      <c r="F6449" s="284">
        <f t="shared" ca="1" si="200"/>
        <v>0.20173597916179964</v>
      </c>
      <c r="G6449" s="74">
        <v>36.780876524618009</v>
      </c>
      <c r="H6449" s="74">
        <f t="shared" si="201"/>
        <v>3.7135238187145134</v>
      </c>
    </row>
    <row r="6450" spans="5:8" ht="15.6">
      <c r="E6450" s="279" t="s">
        <v>6776</v>
      </c>
      <c r="F6450" s="284">
        <f t="shared" ca="1" si="200"/>
        <v>0.78740874240849312</v>
      </c>
      <c r="G6450" s="74">
        <v>42.95270919158046</v>
      </c>
      <c r="H6450" s="74">
        <f t="shared" si="201"/>
        <v>-2.4583088482479383</v>
      </c>
    </row>
    <row r="6451" spans="5:8" ht="15.6">
      <c r="E6451" s="279" t="s">
        <v>6777</v>
      </c>
      <c r="F6451" s="284">
        <f t="shared" ca="1" si="200"/>
        <v>0.74643633500338336</v>
      </c>
      <c r="G6451" s="74">
        <v>38.504257764226125</v>
      </c>
      <c r="H6451" s="74">
        <f t="shared" si="201"/>
        <v>1.9901425791063971</v>
      </c>
    </row>
    <row r="6452" spans="5:8" ht="15.6">
      <c r="E6452" s="279" t="s">
        <v>6778</v>
      </c>
      <c r="F6452" s="284">
        <f t="shared" ca="1" si="200"/>
        <v>6.5426302149186322E-2</v>
      </c>
      <c r="G6452" s="74">
        <v>40.803918645899742</v>
      </c>
      <c r="H6452" s="74">
        <f t="shared" si="201"/>
        <v>-0.30951830256721991</v>
      </c>
    </row>
    <row r="6453" spans="5:8" ht="15.6">
      <c r="E6453" s="279" t="s">
        <v>6779</v>
      </c>
      <c r="F6453" s="284">
        <f t="shared" ca="1" si="200"/>
        <v>0.74672717587148019</v>
      </c>
      <c r="G6453" s="74">
        <v>38.680381918921235</v>
      </c>
      <c r="H6453" s="74">
        <f t="shared" si="201"/>
        <v>1.8140184244112874</v>
      </c>
    </row>
    <row r="6454" spans="5:8" ht="15.6">
      <c r="E6454" s="279" t="s">
        <v>6780</v>
      </c>
      <c r="F6454" s="284">
        <f t="shared" ca="1" si="200"/>
        <v>0.59199826411396206</v>
      </c>
      <c r="G6454" s="74">
        <v>42.748883529414172</v>
      </c>
      <c r="H6454" s="74">
        <f t="shared" si="201"/>
        <v>-2.2544831860816501</v>
      </c>
    </row>
    <row r="6455" spans="5:8" ht="15.6">
      <c r="E6455" s="279" t="s">
        <v>6781</v>
      </c>
      <c r="F6455" s="284">
        <f t="shared" ca="1" si="200"/>
        <v>0.18101273104161142</v>
      </c>
      <c r="G6455" s="74">
        <v>40.803854645635987</v>
      </c>
      <c r="H6455" s="74">
        <f t="shared" si="201"/>
        <v>-0.3094543023034646</v>
      </c>
    </row>
    <row r="6456" spans="5:8" ht="15.6">
      <c r="E6456" s="279" t="s">
        <v>6782</v>
      </c>
      <c r="F6456" s="284">
        <f t="shared" ca="1" si="200"/>
        <v>0.53248497199757217</v>
      </c>
      <c r="G6456" s="74">
        <v>39.362258337839634</v>
      </c>
      <c r="H6456" s="74">
        <f t="shared" si="201"/>
        <v>1.1321420054928879</v>
      </c>
    </row>
    <row r="6457" spans="5:8" ht="15.6">
      <c r="E6457" s="279" t="s">
        <v>6783</v>
      </c>
      <c r="F6457" s="284">
        <f t="shared" ca="1" si="200"/>
        <v>0.32125676449221352</v>
      </c>
      <c r="G6457" s="74">
        <v>42.548279439389269</v>
      </c>
      <c r="H6457" s="74">
        <f t="shared" si="201"/>
        <v>-2.0538790960567468</v>
      </c>
    </row>
    <row r="6458" spans="5:8" ht="15.6">
      <c r="E6458" s="279" t="s">
        <v>6784</v>
      </c>
      <c r="F6458" s="284">
        <f t="shared" ca="1" si="200"/>
        <v>0.23181482031045997</v>
      </c>
      <c r="G6458" s="74">
        <v>38.344718680103135</v>
      </c>
      <c r="H6458" s="74">
        <f t="shared" si="201"/>
        <v>2.1496816632293871</v>
      </c>
    </row>
    <row r="6459" spans="5:8" ht="15.6">
      <c r="E6459" s="279" t="s">
        <v>6785</v>
      </c>
      <c r="F6459" s="284">
        <f t="shared" ca="1" si="200"/>
        <v>4.6122747518291485E-2</v>
      </c>
      <c r="G6459" s="74">
        <v>36.966959957570118</v>
      </c>
      <c r="H6459" s="74">
        <f t="shared" si="201"/>
        <v>3.5274403857624037</v>
      </c>
    </row>
    <row r="6460" spans="5:8" ht="15.6">
      <c r="E6460" s="279" t="s">
        <v>6786</v>
      </c>
      <c r="F6460" s="284">
        <f t="shared" ca="1" si="200"/>
        <v>0.84940628036578325</v>
      </c>
      <c r="G6460" s="74">
        <v>40.590631253208237</v>
      </c>
      <c r="H6460" s="74">
        <f t="shared" si="201"/>
        <v>-9.6230909875714588E-2</v>
      </c>
    </row>
    <row r="6461" spans="5:8" ht="15.6">
      <c r="E6461" s="279" t="s">
        <v>6787</v>
      </c>
      <c r="F6461" s="284">
        <f t="shared" ca="1" si="200"/>
        <v>0.64789873510411178</v>
      </c>
      <c r="G6461" s="74">
        <v>41.313696334652498</v>
      </c>
      <c r="H6461" s="74">
        <f t="shared" si="201"/>
        <v>-0.81929599131997577</v>
      </c>
    </row>
    <row r="6462" spans="5:8" ht="15.6">
      <c r="E6462" s="279" t="s">
        <v>6788</v>
      </c>
      <c r="F6462" s="284">
        <f t="shared" ca="1" si="200"/>
        <v>0.42583865405458143</v>
      </c>
      <c r="G6462" s="74">
        <v>39.722913473355121</v>
      </c>
      <c r="H6462" s="74">
        <f t="shared" si="201"/>
        <v>0.77148686997740157</v>
      </c>
    </row>
    <row r="6463" spans="5:8" ht="15.6">
      <c r="E6463" s="279" t="s">
        <v>6789</v>
      </c>
      <c r="F6463" s="284">
        <f t="shared" ca="1" si="200"/>
        <v>0.82103509904468275</v>
      </c>
      <c r="G6463" s="74">
        <v>39.326706026695618</v>
      </c>
      <c r="H6463" s="74">
        <f t="shared" si="201"/>
        <v>1.1676943166369043</v>
      </c>
    </row>
    <row r="6464" spans="5:8" ht="15.6">
      <c r="E6464" s="279" t="s">
        <v>6790</v>
      </c>
      <c r="F6464" s="284">
        <f t="shared" ca="1" si="200"/>
        <v>0.85934161155708944</v>
      </c>
      <c r="G6464" s="74">
        <v>45.426053083024264</v>
      </c>
      <c r="H6464" s="74">
        <f t="shared" si="201"/>
        <v>-4.9316527396917422</v>
      </c>
    </row>
    <row r="6465" spans="5:8" ht="15.6">
      <c r="E6465" s="279" t="s">
        <v>6791</v>
      </c>
      <c r="F6465" s="284">
        <f t="shared" ca="1" si="200"/>
        <v>0.52336560770541263</v>
      </c>
      <c r="G6465" s="74">
        <v>38.608804385794315</v>
      </c>
      <c r="H6465" s="74">
        <f t="shared" si="201"/>
        <v>1.8855959575382073</v>
      </c>
    </row>
    <row r="6466" spans="5:8" ht="15.6">
      <c r="E6466" s="279" t="s">
        <v>6792</v>
      </c>
      <c r="F6466" s="284">
        <f t="shared" ca="1" si="200"/>
        <v>7.954288535473153E-2</v>
      </c>
      <c r="G6466" s="74">
        <v>37.781371571349936</v>
      </c>
      <c r="H6466" s="74">
        <f t="shared" si="201"/>
        <v>2.7130287719825859</v>
      </c>
    </row>
    <row r="6467" spans="5:8" ht="15.6">
      <c r="E6467" s="279" t="s">
        <v>6793</v>
      </c>
      <c r="F6467" s="284">
        <f t="shared" ca="1" si="200"/>
        <v>3.2853382529076436E-2</v>
      </c>
      <c r="G6467" s="74">
        <v>36.481933547310135</v>
      </c>
      <c r="H6467" s="74">
        <f t="shared" si="201"/>
        <v>4.0124667960223874</v>
      </c>
    </row>
    <row r="6468" spans="5:8" ht="15.6">
      <c r="E6468" s="279" t="s">
        <v>6794</v>
      </c>
      <c r="F6468" s="284">
        <f t="shared" ca="1" si="200"/>
        <v>0.35509899303280668</v>
      </c>
      <c r="G6468" s="74">
        <v>41.364755022268412</v>
      </c>
      <c r="H6468" s="74">
        <f t="shared" si="201"/>
        <v>-0.87035467893588958</v>
      </c>
    </row>
    <row r="6469" spans="5:8" ht="15.6">
      <c r="E6469" s="279" t="s">
        <v>6795</v>
      </c>
      <c r="F6469" s="284">
        <f t="shared" ca="1" si="200"/>
        <v>0.96665934732332304</v>
      </c>
      <c r="G6469" s="74">
        <v>36.64406067938932</v>
      </c>
      <c r="H6469" s="74">
        <f t="shared" si="201"/>
        <v>3.8503396639432026</v>
      </c>
    </row>
    <row r="6470" spans="5:8" ht="15.6">
      <c r="E6470" s="279" t="s">
        <v>6796</v>
      </c>
      <c r="F6470" s="284">
        <f t="shared" ca="1" si="200"/>
        <v>0.20552772689090382</v>
      </c>
      <c r="G6470" s="74">
        <v>37.975064981120397</v>
      </c>
      <c r="H6470" s="74">
        <f t="shared" si="201"/>
        <v>2.5193353622121251</v>
      </c>
    </row>
    <row r="6471" spans="5:8" ht="15.6">
      <c r="E6471" s="279" t="s">
        <v>6797</v>
      </c>
      <c r="F6471" s="284">
        <f t="shared" ca="1" si="200"/>
        <v>0.67479190430019098</v>
      </c>
      <c r="G6471" s="74">
        <v>35.867640460366822</v>
      </c>
      <c r="H6471" s="74">
        <f t="shared" si="201"/>
        <v>4.6267598829657004</v>
      </c>
    </row>
    <row r="6472" spans="5:8" ht="15.6">
      <c r="E6472" s="279" t="s">
        <v>6798</v>
      </c>
      <c r="F6472" s="284">
        <f t="shared" ca="1" si="200"/>
        <v>0.91153278780004865</v>
      </c>
      <c r="G6472" s="74">
        <v>40.040801011335674</v>
      </c>
      <c r="H6472" s="74">
        <f t="shared" si="201"/>
        <v>0.45359933199684832</v>
      </c>
    </row>
    <row r="6473" spans="5:8" ht="15.6">
      <c r="E6473" s="279" t="s">
        <v>6799</v>
      </c>
      <c r="F6473" s="284">
        <f t="shared" ca="1" si="200"/>
        <v>0.87120813839569078</v>
      </c>
      <c r="G6473" s="74">
        <v>42.96373201353606</v>
      </c>
      <c r="H6473" s="74">
        <f t="shared" si="201"/>
        <v>-2.4693316702035375</v>
      </c>
    </row>
    <row r="6474" spans="5:8" ht="15.6">
      <c r="E6474" s="279" t="s">
        <v>6800</v>
      </c>
      <c r="F6474" s="284">
        <f t="shared" ca="1" si="200"/>
        <v>0.1887878606966763</v>
      </c>
      <c r="G6474" s="74">
        <v>36.388642730435187</v>
      </c>
      <c r="H6474" s="74">
        <f t="shared" si="201"/>
        <v>4.1057576128973352</v>
      </c>
    </row>
    <row r="6475" spans="5:8" ht="15.6">
      <c r="E6475" s="279" t="s">
        <v>6801</v>
      </c>
      <c r="F6475" s="284">
        <f t="shared" ca="1" si="200"/>
        <v>0.52468980928321163</v>
      </c>
      <c r="G6475" s="74">
        <v>43.020019206300134</v>
      </c>
      <c r="H6475" s="74">
        <f t="shared" si="201"/>
        <v>-2.5256188629676117</v>
      </c>
    </row>
    <row r="6476" spans="5:8" ht="15.6">
      <c r="E6476" s="279" t="s">
        <v>6802</v>
      </c>
      <c r="F6476" s="284">
        <f t="shared" ref="F6476:F6539" ca="1" si="202">RAND()</f>
        <v>0.4939422806618512</v>
      </c>
      <c r="G6476" s="74">
        <v>36.129284798874963</v>
      </c>
      <c r="H6476" s="74">
        <f t="shared" ref="H6476:H6539" si="203">$D$2-G6476</f>
        <v>4.3651155444575593</v>
      </c>
    </row>
    <row r="6477" spans="5:8" ht="15.6">
      <c r="E6477" s="279" t="s">
        <v>6803</v>
      </c>
      <c r="F6477" s="284">
        <f t="shared" ca="1" si="202"/>
        <v>0.58314031767922081</v>
      </c>
      <c r="G6477" s="74">
        <v>40.34363741072314</v>
      </c>
      <c r="H6477" s="74">
        <f t="shared" si="203"/>
        <v>0.15076293260938201</v>
      </c>
    </row>
    <row r="6478" spans="5:8" ht="15.6">
      <c r="E6478" s="279" t="s">
        <v>6804</v>
      </c>
      <c r="F6478" s="284">
        <f t="shared" ca="1" si="202"/>
        <v>0.53564863247795069</v>
      </c>
      <c r="G6478" s="74">
        <v>36.448177401678855</v>
      </c>
      <c r="H6478" s="74">
        <f t="shared" si="203"/>
        <v>4.0462229416536672</v>
      </c>
    </row>
    <row r="6479" spans="5:8" ht="15.6">
      <c r="E6479" s="279" t="s">
        <v>6805</v>
      </c>
      <c r="F6479" s="284">
        <f t="shared" ca="1" si="202"/>
        <v>0.74960779374293052</v>
      </c>
      <c r="G6479" s="74">
        <v>39.34951254132114</v>
      </c>
      <c r="H6479" s="74">
        <f t="shared" si="203"/>
        <v>1.1448878020113824</v>
      </c>
    </row>
    <row r="6480" spans="5:8" ht="15.6">
      <c r="E6480" s="279" t="s">
        <v>6806</v>
      </c>
      <c r="F6480" s="284">
        <f t="shared" ca="1" si="202"/>
        <v>0.97284409651897286</v>
      </c>
      <c r="G6480" s="74">
        <v>39.577224610891029</v>
      </c>
      <c r="H6480" s="74">
        <f t="shared" si="203"/>
        <v>0.91717573244149264</v>
      </c>
    </row>
    <row r="6481" spans="5:8" ht="15.6">
      <c r="E6481" s="279" t="s">
        <v>6807</v>
      </c>
      <c r="F6481" s="284">
        <f t="shared" ca="1" si="202"/>
        <v>0.2408787865100116</v>
      </c>
      <c r="G6481" s="74">
        <v>43.685649270455258</v>
      </c>
      <c r="H6481" s="74">
        <f t="shared" si="203"/>
        <v>-3.1912489271227358</v>
      </c>
    </row>
    <row r="6482" spans="5:8" ht="15.6">
      <c r="E6482" s="279" t="s">
        <v>6808</v>
      </c>
      <c r="F6482" s="284">
        <f t="shared" ca="1" si="202"/>
        <v>0.11243463096373796</v>
      </c>
      <c r="G6482" s="74">
        <v>39.053711373886763</v>
      </c>
      <c r="H6482" s="74">
        <f t="shared" si="203"/>
        <v>1.440688969445759</v>
      </c>
    </row>
    <row r="6483" spans="5:8" ht="15.6">
      <c r="E6483" s="279" t="s">
        <v>6809</v>
      </c>
      <c r="F6483" s="284">
        <f t="shared" ca="1" si="202"/>
        <v>0.1371591207306827</v>
      </c>
      <c r="G6483" s="74">
        <v>40.474925037518936</v>
      </c>
      <c r="H6483" s="74">
        <f t="shared" si="203"/>
        <v>1.9475305813585919E-2</v>
      </c>
    </row>
    <row r="6484" spans="5:8" ht="15.6">
      <c r="E6484" s="279" t="s">
        <v>6810</v>
      </c>
      <c r="F6484" s="284">
        <f t="shared" ca="1" si="202"/>
        <v>0.71920375907263634</v>
      </c>
      <c r="G6484" s="74">
        <v>38.968522925490028</v>
      </c>
      <c r="H6484" s="74">
        <f t="shared" si="203"/>
        <v>1.5258774178424943</v>
      </c>
    </row>
    <row r="6485" spans="5:8" ht="15.6">
      <c r="E6485" s="279" t="s">
        <v>6811</v>
      </c>
      <c r="F6485" s="284">
        <f t="shared" ca="1" si="202"/>
        <v>0.58552251959239421</v>
      </c>
      <c r="G6485" s="74">
        <v>42.099044142279503</v>
      </c>
      <c r="H6485" s="74">
        <f t="shared" si="203"/>
        <v>-1.6046437989469808</v>
      </c>
    </row>
    <row r="6486" spans="5:8" ht="15.6">
      <c r="E6486" s="279" t="s">
        <v>6812</v>
      </c>
      <c r="F6486" s="284">
        <f t="shared" ca="1" si="202"/>
        <v>0.94646294271705023</v>
      </c>
      <c r="G6486" s="74">
        <v>37.845392097988167</v>
      </c>
      <c r="H6486" s="74">
        <f t="shared" si="203"/>
        <v>2.6490082453443549</v>
      </c>
    </row>
    <row r="6487" spans="5:8" ht="15.6">
      <c r="E6487" s="279" t="s">
        <v>6813</v>
      </c>
      <c r="F6487" s="284">
        <f t="shared" ca="1" si="202"/>
        <v>0.10650054659594888</v>
      </c>
      <c r="G6487" s="74">
        <v>39.64687063186453</v>
      </c>
      <c r="H6487" s="74">
        <f t="shared" si="203"/>
        <v>0.84752971146799183</v>
      </c>
    </row>
    <row r="6488" spans="5:8" ht="15.6">
      <c r="E6488" s="279" t="s">
        <v>6814</v>
      </c>
      <c r="F6488" s="284">
        <f t="shared" ca="1" si="202"/>
        <v>0.69668521043371112</v>
      </c>
      <c r="G6488" s="74">
        <v>38.364490840548342</v>
      </c>
      <c r="H6488" s="74">
        <f t="shared" si="203"/>
        <v>2.1299095027841801</v>
      </c>
    </row>
    <row r="6489" spans="5:8" ht="15.6">
      <c r="E6489" s="279" t="s">
        <v>6815</v>
      </c>
      <c r="F6489" s="284">
        <f t="shared" ca="1" si="202"/>
        <v>0.99463507915320459</v>
      </c>
      <c r="G6489" s="74">
        <v>41.010084465422608</v>
      </c>
      <c r="H6489" s="74">
        <f t="shared" si="203"/>
        <v>-0.51568412209008585</v>
      </c>
    </row>
    <row r="6490" spans="5:8" ht="15.6">
      <c r="E6490" s="279" t="s">
        <v>6816</v>
      </c>
      <c r="F6490" s="284">
        <f t="shared" ca="1" si="202"/>
        <v>0.48042746302293249</v>
      </c>
      <c r="G6490" s="74">
        <v>39.133771900290959</v>
      </c>
      <c r="H6490" s="74">
        <f t="shared" si="203"/>
        <v>1.3606284430415627</v>
      </c>
    </row>
    <row r="6491" spans="5:8" ht="15.6">
      <c r="E6491" s="279" t="s">
        <v>6817</v>
      </c>
      <c r="F6491" s="284">
        <f t="shared" ca="1" si="202"/>
        <v>0.62657022844763666</v>
      </c>
      <c r="G6491" s="74">
        <v>36.569837991698911</v>
      </c>
      <c r="H6491" s="74">
        <f t="shared" si="203"/>
        <v>3.924562351633611</v>
      </c>
    </row>
    <row r="6492" spans="5:8" ht="15.6">
      <c r="E6492" s="279" t="s">
        <v>6818</v>
      </c>
      <c r="F6492" s="284">
        <f t="shared" ca="1" si="202"/>
        <v>0.28885372074561433</v>
      </c>
      <c r="G6492" s="74">
        <v>41.469564589934201</v>
      </c>
      <c r="H6492" s="74">
        <f t="shared" si="203"/>
        <v>-0.975164246601679</v>
      </c>
    </row>
    <row r="6493" spans="5:8" ht="15.6">
      <c r="E6493" s="279" t="s">
        <v>6819</v>
      </c>
      <c r="F6493" s="284">
        <f t="shared" ca="1" si="202"/>
        <v>0.91806728220548217</v>
      </c>
      <c r="G6493" s="74">
        <v>34.07384593814038</v>
      </c>
      <c r="H6493" s="74">
        <f t="shared" si="203"/>
        <v>6.4205544051921422</v>
      </c>
    </row>
    <row r="6494" spans="5:8" ht="15.6">
      <c r="E6494" s="279" t="s">
        <v>6820</v>
      </c>
      <c r="F6494" s="284">
        <f t="shared" ca="1" si="202"/>
        <v>2.5930895985656344E-3</v>
      </c>
      <c r="G6494" s="74">
        <v>41.62515564784001</v>
      </c>
      <c r="H6494" s="74">
        <f t="shared" si="203"/>
        <v>-1.1307553045074883</v>
      </c>
    </row>
    <row r="6495" spans="5:8" ht="15.6">
      <c r="E6495" s="279" t="s">
        <v>6821</v>
      </c>
      <c r="F6495" s="284">
        <f t="shared" ca="1" si="202"/>
        <v>0.86075293605048553</v>
      </c>
      <c r="G6495" s="74">
        <v>39.788191086716942</v>
      </c>
      <c r="H6495" s="74">
        <f t="shared" si="203"/>
        <v>0.70620925661557976</v>
      </c>
    </row>
    <row r="6496" spans="5:8" ht="15.6">
      <c r="E6496" s="279" t="s">
        <v>6822</v>
      </c>
      <c r="F6496" s="284">
        <f t="shared" ca="1" si="202"/>
        <v>0.40021113897815219</v>
      </c>
      <c r="G6496" s="74">
        <v>36.357149528289924</v>
      </c>
      <c r="H6496" s="74">
        <f t="shared" si="203"/>
        <v>4.1372508150425986</v>
      </c>
    </row>
    <row r="6497" spans="5:8" ht="15.6">
      <c r="E6497" s="279" t="s">
        <v>6823</v>
      </c>
      <c r="F6497" s="284">
        <f t="shared" ca="1" si="202"/>
        <v>0.13943207576906758</v>
      </c>
      <c r="G6497" s="74">
        <v>39.930166544422143</v>
      </c>
      <c r="H6497" s="74">
        <f t="shared" si="203"/>
        <v>0.56423379891037939</v>
      </c>
    </row>
    <row r="6498" spans="5:8" ht="15.6">
      <c r="E6498" s="279" t="s">
        <v>6824</v>
      </c>
      <c r="F6498" s="284">
        <f t="shared" ca="1" si="202"/>
        <v>0.56745892439977963</v>
      </c>
      <c r="G6498" s="74">
        <v>43.416716741528845</v>
      </c>
      <c r="H6498" s="74">
        <f t="shared" si="203"/>
        <v>-2.9223163981963225</v>
      </c>
    </row>
    <row r="6499" spans="5:8" ht="15.6">
      <c r="E6499" s="279" t="s">
        <v>6825</v>
      </c>
      <c r="F6499" s="284">
        <f t="shared" ca="1" si="202"/>
        <v>0.56645148047171567</v>
      </c>
      <c r="G6499" s="74">
        <v>44.015229843106674</v>
      </c>
      <c r="H6499" s="74">
        <f t="shared" si="203"/>
        <v>-3.5208294997741518</v>
      </c>
    </row>
    <row r="6500" spans="5:8" ht="15.6">
      <c r="E6500" s="279" t="s">
        <v>6826</v>
      </c>
      <c r="F6500" s="284">
        <f t="shared" ca="1" si="202"/>
        <v>0.61973608246871636</v>
      </c>
      <c r="G6500" s="74">
        <v>37.443214791514613</v>
      </c>
      <c r="H6500" s="74">
        <f t="shared" si="203"/>
        <v>3.051185551817909</v>
      </c>
    </row>
    <row r="6501" spans="5:8" ht="15.6">
      <c r="E6501" s="279" t="s">
        <v>6827</v>
      </c>
      <c r="F6501" s="284">
        <f t="shared" ca="1" si="202"/>
        <v>0.8303247235748209</v>
      </c>
      <c r="G6501" s="74">
        <v>38.621875820392731</v>
      </c>
      <c r="H6501" s="74">
        <f t="shared" si="203"/>
        <v>1.8725245229397913</v>
      </c>
    </row>
    <row r="6502" spans="5:8" ht="15.6">
      <c r="E6502" s="279" t="s">
        <v>6828</v>
      </c>
      <c r="F6502" s="284">
        <f t="shared" ca="1" si="202"/>
        <v>0.47032988454716529</v>
      </c>
      <c r="G6502" s="74">
        <v>38.310695724331474</v>
      </c>
      <c r="H6502" s="74">
        <f t="shared" si="203"/>
        <v>2.1837046190010483</v>
      </c>
    </row>
    <row r="6503" spans="5:8" ht="15.6">
      <c r="E6503" s="279" t="s">
        <v>6829</v>
      </c>
      <c r="F6503" s="284">
        <f t="shared" ca="1" si="202"/>
        <v>0.1990234704959799</v>
      </c>
      <c r="G6503" s="74">
        <v>32.886783457460304</v>
      </c>
      <c r="H6503" s="74">
        <f t="shared" si="203"/>
        <v>7.6076168858722184</v>
      </c>
    </row>
    <row r="6504" spans="5:8" ht="15.6">
      <c r="E6504" s="279" t="s">
        <v>6830</v>
      </c>
      <c r="F6504" s="284">
        <f t="shared" ca="1" si="202"/>
        <v>0.35368349196606974</v>
      </c>
      <c r="G6504" s="74">
        <v>38.398951874987524</v>
      </c>
      <c r="H6504" s="74">
        <f t="shared" si="203"/>
        <v>2.0954484683449977</v>
      </c>
    </row>
    <row r="6505" spans="5:8" ht="15.6">
      <c r="E6505" s="279" t="s">
        <v>6831</v>
      </c>
      <c r="F6505" s="284">
        <f t="shared" ca="1" si="202"/>
        <v>0.78862497388618802</v>
      </c>
      <c r="G6505" s="74">
        <v>36.938427054790068</v>
      </c>
      <c r="H6505" s="74">
        <f t="shared" si="203"/>
        <v>3.5559732885424538</v>
      </c>
    </row>
    <row r="6506" spans="5:8" ht="15.6">
      <c r="E6506" s="279" t="s">
        <v>6832</v>
      </c>
      <c r="F6506" s="284">
        <f t="shared" ca="1" si="202"/>
        <v>0.15655438207014571</v>
      </c>
      <c r="G6506" s="74">
        <v>34.954157338188132</v>
      </c>
      <c r="H6506" s="74">
        <f t="shared" si="203"/>
        <v>5.5402430051443901</v>
      </c>
    </row>
    <row r="6507" spans="5:8" ht="15.6">
      <c r="E6507" s="279" t="s">
        <v>6833</v>
      </c>
      <c r="F6507" s="284">
        <f t="shared" ca="1" si="202"/>
        <v>0.60807525880904123</v>
      </c>
      <c r="G6507" s="74">
        <v>38.053632234895872</v>
      </c>
      <c r="H6507" s="74">
        <f t="shared" si="203"/>
        <v>2.4407681084366502</v>
      </c>
    </row>
    <row r="6508" spans="5:8" ht="15.6">
      <c r="E6508" s="279" t="s">
        <v>6834</v>
      </c>
      <c r="F6508" s="284">
        <f t="shared" ca="1" si="202"/>
        <v>0.38771431093969655</v>
      </c>
      <c r="G6508" s="74">
        <v>42.185791884029733</v>
      </c>
      <c r="H6508" s="74">
        <f t="shared" si="203"/>
        <v>-1.6913915406972109</v>
      </c>
    </row>
    <row r="6509" spans="5:8" ht="15.6">
      <c r="E6509" s="279" t="s">
        <v>6835</v>
      </c>
      <c r="F6509" s="284">
        <f t="shared" ca="1" si="202"/>
        <v>0.20369072341847039</v>
      </c>
      <c r="G6509" s="74">
        <v>35.65090479007246</v>
      </c>
      <c r="H6509" s="74">
        <f t="shared" si="203"/>
        <v>4.8434955532600625</v>
      </c>
    </row>
    <row r="6510" spans="5:8" ht="15.6">
      <c r="E6510" s="279" t="s">
        <v>6836</v>
      </c>
      <c r="F6510" s="284">
        <f t="shared" ca="1" si="202"/>
        <v>0.77339751410871449</v>
      </c>
      <c r="G6510" s="74">
        <v>41.825379973445457</v>
      </c>
      <c r="H6510" s="74">
        <f t="shared" si="203"/>
        <v>-1.3309796301129353</v>
      </c>
    </row>
    <row r="6511" spans="5:8" ht="15.6">
      <c r="E6511" s="279" t="s">
        <v>6837</v>
      </c>
      <c r="F6511" s="284">
        <f t="shared" ca="1" si="202"/>
        <v>0.3042029474926301</v>
      </c>
      <c r="G6511" s="74">
        <v>42.343486787771489</v>
      </c>
      <c r="H6511" s="74">
        <f t="shared" si="203"/>
        <v>-1.8490864444389672</v>
      </c>
    </row>
    <row r="6512" spans="5:8" ht="15.6">
      <c r="E6512" s="279" t="s">
        <v>6838</v>
      </c>
      <c r="F6512" s="284">
        <f t="shared" ca="1" si="202"/>
        <v>0.11412944512835987</v>
      </c>
      <c r="G6512" s="74">
        <v>42.169290978568384</v>
      </c>
      <c r="H6512" s="74">
        <f t="shared" si="203"/>
        <v>-1.6748906352358617</v>
      </c>
    </row>
    <row r="6513" spans="5:8" ht="15.6">
      <c r="E6513" s="279" t="s">
        <v>6839</v>
      </c>
      <c r="F6513" s="284">
        <f t="shared" ca="1" si="202"/>
        <v>0.96949456127102152</v>
      </c>
      <c r="G6513" s="74">
        <v>36.576945102773763</v>
      </c>
      <c r="H6513" s="74">
        <f t="shared" si="203"/>
        <v>3.917455240558759</v>
      </c>
    </row>
    <row r="6514" spans="5:8" ht="15.6">
      <c r="E6514" s="279" t="s">
        <v>6840</v>
      </c>
      <c r="F6514" s="284">
        <f t="shared" ca="1" si="202"/>
        <v>0.10359565816865868</v>
      </c>
      <c r="G6514" s="74">
        <v>42.113843785545519</v>
      </c>
      <c r="H6514" s="74">
        <f t="shared" si="203"/>
        <v>-1.6194434422129973</v>
      </c>
    </row>
    <row r="6515" spans="5:8" ht="15.6">
      <c r="E6515" s="279" t="s">
        <v>6841</v>
      </c>
      <c r="F6515" s="284">
        <f t="shared" ca="1" si="202"/>
        <v>0.96883527783633416</v>
      </c>
      <c r="G6515" s="74">
        <v>41.24086871427842</v>
      </c>
      <c r="H6515" s="74">
        <f t="shared" si="203"/>
        <v>-0.74646837094589813</v>
      </c>
    </row>
    <row r="6516" spans="5:8" ht="15.6">
      <c r="E6516" s="279" t="s">
        <v>6842</v>
      </c>
      <c r="F6516" s="284">
        <f t="shared" ca="1" si="202"/>
        <v>0.95377367184036388</v>
      </c>
      <c r="G6516" s="74">
        <v>40.45302512123687</v>
      </c>
      <c r="H6516" s="74">
        <f t="shared" si="203"/>
        <v>4.1375222095652475E-2</v>
      </c>
    </row>
    <row r="6517" spans="5:8" ht="15.6">
      <c r="E6517" s="279" t="s">
        <v>6843</v>
      </c>
      <c r="F6517" s="284">
        <f t="shared" ca="1" si="202"/>
        <v>0.81217162517636055</v>
      </c>
      <c r="G6517" s="74">
        <v>40.996096405592098</v>
      </c>
      <c r="H6517" s="74">
        <f t="shared" si="203"/>
        <v>-0.50169606225957608</v>
      </c>
    </row>
    <row r="6518" spans="5:8" ht="15.6">
      <c r="E6518" s="279" t="s">
        <v>6844</v>
      </c>
      <c r="F6518" s="284">
        <f t="shared" ca="1" si="202"/>
        <v>0.63785625458426809</v>
      </c>
      <c r="G6518" s="74">
        <v>44.354421925095146</v>
      </c>
      <c r="H6518" s="74">
        <f t="shared" si="203"/>
        <v>-3.8600215817626236</v>
      </c>
    </row>
    <row r="6519" spans="5:8" ht="15.6">
      <c r="E6519" s="279" t="s">
        <v>6845</v>
      </c>
      <c r="F6519" s="284">
        <f t="shared" ca="1" si="202"/>
        <v>0.90783822964243122</v>
      </c>
      <c r="G6519" s="74">
        <v>42.936736433965883</v>
      </c>
      <c r="H6519" s="74">
        <f t="shared" si="203"/>
        <v>-2.4423360906333613</v>
      </c>
    </row>
    <row r="6520" spans="5:8" ht="15.6">
      <c r="E6520" s="279" t="s">
        <v>6846</v>
      </c>
      <c r="F6520" s="284">
        <f t="shared" ca="1" si="202"/>
        <v>3.0102097916454906E-2</v>
      </c>
      <c r="G6520" s="74">
        <v>37.341496343108517</v>
      </c>
      <c r="H6520" s="74">
        <f t="shared" si="203"/>
        <v>3.1529040002240052</v>
      </c>
    </row>
    <row r="6521" spans="5:8" ht="15.6">
      <c r="E6521" s="279" t="s">
        <v>6847</v>
      </c>
      <c r="F6521" s="284">
        <f t="shared" ca="1" si="202"/>
        <v>0.40072772765540465</v>
      </c>
      <c r="G6521" s="74">
        <v>37.563475040042242</v>
      </c>
      <c r="H6521" s="74">
        <f t="shared" si="203"/>
        <v>2.9309253032902802</v>
      </c>
    </row>
    <row r="6522" spans="5:8" ht="15.6">
      <c r="E6522" s="279" t="s">
        <v>6848</v>
      </c>
      <c r="F6522" s="284">
        <f t="shared" ca="1" si="202"/>
        <v>0.44156143168470141</v>
      </c>
      <c r="G6522" s="74">
        <v>40.616646664673844</v>
      </c>
      <c r="H6522" s="74">
        <f t="shared" si="203"/>
        <v>-0.12224632134132207</v>
      </c>
    </row>
    <row r="6523" spans="5:8" ht="15.6">
      <c r="E6523" s="279" t="s">
        <v>6849</v>
      </c>
      <c r="F6523" s="284">
        <f t="shared" ca="1" si="202"/>
        <v>0.1953531229350346</v>
      </c>
      <c r="G6523" s="74">
        <v>37.835290658489832</v>
      </c>
      <c r="H6523" s="74">
        <f t="shared" si="203"/>
        <v>2.6591096848426901</v>
      </c>
    </row>
    <row r="6524" spans="5:8" ht="15.6">
      <c r="E6524" s="279" t="s">
        <v>6850</v>
      </c>
      <c r="F6524" s="284">
        <f t="shared" ca="1" si="202"/>
        <v>0.95783186193038539</v>
      </c>
      <c r="G6524" s="74">
        <v>42.904472306511693</v>
      </c>
      <c r="H6524" s="74">
        <f t="shared" si="203"/>
        <v>-2.4100719631791705</v>
      </c>
    </row>
    <row r="6525" spans="5:8" ht="15.6">
      <c r="E6525" s="279" t="s">
        <v>6851</v>
      </c>
      <c r="F6525" s="284">
        <f t="shared" ca="1" si="202"/>
        <v>0.77450851746095639</v>
      </c>
      <c r="G6525" s="74">
        <v>38.426034468055377</v>
      </c>
      <c r="H6525" s="74">
        <f t="shared" si="203"/>
        <v>2.068365875277145</v>
      </c>
    </row>
    <row r="6526" spans="5:8" ht="15.6">
      <c r="E6526" s="279" t="s">
        <v>6852</v>
      </c>
      <c r="F6526" s="284">
        <f t="shared" ca="1" si="202"/>
        <v>0.77239567362231798</v>
      </c>
      <c r="G6526" s="74">
        <v>40.198475505020603</v>
      </c>
      <c r="H6526" s="74">
        <f t="shared" si="203"/>
        <v>0.29592483831191885</v>
      </c>
    </row>
    <row r="6527" spans="5:8" ht="15.6">
      <c r="E6527" s="279" t="s">
        <v>6853</v>
      </c>
      <c r="F6527" s="284">
        <f t="shared" ca="1" si="202"/>
        <v>0.54192800152030263</v>
      </c>
      <c r="G6527" s="74">
        <v>37.683381870356961</v>
      </c>
      <c r="H6527" s="74">
        <f t="shared" si="203"/>
        <v>2.8110184729755616</v>
      </c>
    </row>
    <row r="6528" spans="5:8" ht="15.6">
      <c r="E6528" s="279" t="s">
        <v>6854</v>
      </c>
      <c r="F6528" s="284">
        <f t="shared" ca="1" si="202"/>
        <v>0.90862440567854441</v>
      </c>
      <c r="G6528" s="74">
        <v>44.051133715222271</v>
      </c>
      <c r="H6528" s="74">
        <f t="shared" si="203"/>
        <v>-3.5567333718897487</v>
      </c>
    </row>
    <row r="6529" spans="5:8" ht="15.6">
      <c r="E6529" s="279" t="s">
        <v>6855</v>
      </c>
      <c r="F6529" s="284">
        <f t="shared" ca="1" si="202"/>
        <v>0.49587447385783423</v>
      </c>
      <c r="G6529" s="74">
        <v>36.237681870849357</v>
      </c>
      <c r="H6529" s="74">
        <f t="shared" si="203"/>
        <v>4.2567184724831648</v>
      </c>
    </row>
    <row r="6530" spans="5:8" ht="15.6">
      <c r="E6530" s="279" t="s">
        <v>6856</v>
      </c>
      <c r="F6530" s="284">
        <f t="shared" ca="1" si="202"/>
        <v>0.5692078005081268</v>
      </c>
      <c r="G6530" s="74">
        <v>38.673795687772689</v>
      </c>
      <c r="H6530" s="74">
        <f t="shared" si="203"/>
        <v>1.8206046555598334</v>
      </c>
    </row>
    <row r="6531" spans="5:8" ht="15.6">
      <c r="E6531" s="279" t="s">
        <v>6857</v>
      </c>
      <c r="F6531" s="284">
        <f t="shared" ca="1" si="202"/>
        <v>0.53524024905898016</v>
      </c>
      <c r="G6531" s="74">
        <v>36.83055106163431</v>
      </c>
      <c r="H6531" s="74">
        <f t="shared" si="203"/>
        <v>3.6638492816982122</v>
      </c>
    </row>
    <row r="6532" spans="5:8" ht="15.6">
      <c r="E6532" s="279" t="s">
        <v>6858</v>
      </c>
      <c r="F6532" s="284">
        <f t="shared" ca="1" si="202"/>
        <v>0.75816197235075733</v>
      </c>
      <c r="G6532" s="74">
        <v>39.822165222850003</v>
      </c>
      <c r="H6532" s="74">
        <f t="shared" si="203"/>
        <v>0.67223512048251877</v>
      </c>
    </row>
    <row r="6533" spans="5:8" ht="15.6">
      <c r="E6533" s="279" t="s">
        <v>6859</v>
      </c>
      <c r="F6533" s="284">
        <f t="shared" ca="1" si="202"/>
        <v>0.6736496062095042</v>
      </c>
      <c r="G6533" s="74">
        <v>38.848810597127155</v>
      </c>
      <c r="H6533" s="74">
        <f t="shared" si="203"/>
        <v>1.645589746205367</v>
      </c>
    </row>
    <row r="6534" spans="5:8" ht="15.6">
      <c r="E6534" s="279" t="s">
        <v>6860</v>
      </c>
      <c r="F6534" s="284">
        <f t="shared" ca="1" si="202"/>
        <v>0.18251526823897701</v>
      </c>
      <c r="G6534" s="74">
        <v>46.331261108665863</v>
      </c>
      <c r="H6534" s="74">
        <f t="shared" si="203"/>
        <v>-5.8368607653333413</v>
      </c>
    </row>
    <row r="6535" spans="5:8" ht="15.6">
      <c r="E6535" s="279" t="s">
        <v>6861</v>
      </c>
      <c r="F6535" s="284">
        <f t="shared" ca="1" si="202"/>
        <v>0.61663349040990134</v>
      </c>
      <c r="G6535" s="74">
        <v>36.557044248424816</v>
      </c>
      <c r="H6535" s="74">
        <f t="shared" si="203"/>
        <v>3.937356094907706</v>
      </c>
    </row>
    <row r="6536" spans="5:8" ht="15.6">
      <c r="E6536" s="279" t="s">
        <v>6862</v>
      </c>
      <c r="F6536" s="284">
        <f t="shared" ca="1" si="202"/>
        <v>0.48245162286894472</v>
      </c>
      <c r="G6536" s="74">
        <v>36.431276568850556</v>
      </c>
      <c r="H6536" s="74">
        <f t="shared" si="203"/>
        <v>4.0631237744819657</v>
      </c>
    </row>
    <row r="6537" spans="5:8" ht="15.6">
      <c r="E6537" s="279" t="s">
        <v>6863</v>
      </c>
      <c r="F6537" s="284">
        <f t="shared" ca="1" si="202"/>
        <v>0.7666336515492671</v>
      </c>
      <c r="G6537" s="74">
        <v>36.226060046381356</v>
      </c>
      <c r="H6537" s="74">
        <f t="shared" si="203"/>
        <v>4.2683402969511661</v>
      </c>
    </row>
    <row r="6538" spans="5:8" ht="15.6">
      <c r="E6538" s="279" t="s">
        <v>6864</v>
      </c>
      <c r="F6538" s="284">
        <f t="shared" ca="1" si="202"/>
        <v>0.81927733262390445</v>
      </c>
      <c r="G6538" s="74">
        <v>41.240827436397147</v>
      </c>
      <c r="H6538" s="74">
        <f t="shared" si="203"/>
        <v>-0.74642709306462507</v>
      </c>
    </row>
    <row r="6539" spans="5:8" ht="15.6">
      <c r="E6539" s="279" t="s">
        <v>6865</v>
      </c>
      <c r="F6539" s="284">
        <f t="shared" ca="1" si="202"/>
        <v>0.38094954999201958</v>
      </c>
      <c r="G6539" s="74">
        <v>41.505872081010494</v>
      </c>
      <c r="H6539" s="74">
        <f t="shared" si="203"/>
        <v>-1.0114717376779723</v>
      </c>
    </row>
    <row r="6540" spans="5:8" ht="15.6">
      <c r="E6540" s="279" t="s">
        <v>6866</v>
      </c>
      <c r="F6540" s="284">
        <f t="shared" ref="F6540:F6603" ca="1" si="204">RAND()</f>
        <v>5.6916792759056367E-3</v>
      </c>
      <c r="G6540" s="74">
        <v>37.452552216723284</v>
      </c>
      <c r="H6540" s="74">
        <f t="shared" ref="H6540:H6603" si="205">$D$2-G6540</f>
        <v>3.0418481266092385</v>
      </c>
    </row>
    <row r="6541" spans="5:8" ht="15.6">
      <c r="E6541" s="279" t="s">
        <v>6867</v>
      </c>
      <c r="F6541" s="284">
        <f t="shared" ca="1" si="204"/>
        <v>0.58948632880374652</v>
      </c>
      <c r="G6541" s="74">
        <v>43.658613845931399</v>
      </c>
      <c r="H6541" s="74">
        <f t="shared" si="205"/>
        <v>-3.1642135025988765</v>
      </c>
    </row>
    <row r="6542" spans="5:8" ht="15.6">
      <c r="E6542" s="279" t="s">
        <v>6868</v>
      </c>
      <c r="F6542" s="284">
        <f t="shared" ca="1" si="204"/>
        <v>0.4390170342165659</v>
      </c>
      <c r="G6542" s="74">
        <v>40.750378550915507</v>
      </c>
      <c r="H6542" s="74">
        <f t="shared" si="205"/>
        <v>-0.2559782075829844</v>
      </c>
    </row>
    <row r="6543" spans="5:8" ht="15.6">
      <c r="E6543" s="279" t="s">
        <v>6869</v>
      </c>
      <c r="F6543" s="284">
        <f t="shared" ca="1" si="204"/>
        <v>0.6793278999687159</v>
      </c>
      <c r="G6543" s="74">
        <v>35.983287564713478</v>
      </c>
      <c r="H6543" s="74">
        <f t="shared" si="205"/>
        <v>4.5111127786190437</v>
      </c>
    </row>
    <row r="6544" spans="5:8" ht="15.6">
      <c r="E6544" s="279" t="s">
        <v>6870</v>
      </c>
      <c r="F6544" s="284">
        <f t="shared" ca="1" si="204"/>
        <v>0.71306175218139278</v>
      </c>
      <c r="G6544" s="74">
        <v>40.924901306160457</v>
      </c>
      <c r="H6544" s="74">
        <f t="shared" si="205"/>
        <v>-0.43050096282793504</v>
      </c>
    </row>
    <row r="6545" spans="5:8" ht="15.6">
      <c r="E6545" s="279" t="s">
        <v>6871</v>
      </c>
      <c r="F6545" s="284">
        <f t="shared" ca="1" si="204"/>
        <v>0.44055177445142191</v>
      </c>
      <c r="G6545" s="74">
        <v>39.554488612469775</v>
      </c>
      <c r="H6545" s="74">
        <f t="shared" si="205"/>
        <v>0.93991173086274671</v>
      </c>
    </row>
    <row r="6546" spans="5:8" ht="15.6">
      <c r="E6546" s="279" t="s">
        <v>6872</v>
      </c>
      <c r="F6546" s="284">
        <f t="shared" ca="1" si="204"/>
        <v>0.10156322754876568</v>
      </c>
      <c r="G6546" s="74">
        <v>38.735087112647925</v>
      </c>
      <c r="H6546" s="74">
        <f t="shared" si="205"/>
        <v>1.7593132306845973</v>
      </c>
    </row>
    <row r="6547" spans="5:8" ht="15.6">
      <c r="E6547" s="279" t="s">
        <v>6873</v>
      </c>
      <c r="F6547" s="284">
        <f t="shared" ca="1" si="204"/>
        <v>0.20586346628195917</v>
      </c>
      <c r="G6547" s="74">
        <v>40.024396360742536</v>
      </c>
      <c r="H6547" s="74">
        <f t="shared" si="205"/>
        <v>0.47000398258998644</v>
      </c>
    </row>
    <row r="6548" spans="5:8" ht="15.6">
      <c r="E6548" s="279" t="s">
        <v>6874</v>
      </c>
      <c r="F6548" s="284">
        <f t="shared" ca="1" si="204"/>
        <v>0.6446285281887979</v>
      </c>
      <c r="G6548" s="74">
        <v>35.945308374627622</v>
      </c>
      <c r="H6548" s="74">
        <f t="shared" si="205"/>
        <v>4.5490919687049001</v>
      </c>
    </row>
    <row r="6549" spans="5:8" ht="15.6">
      <c r="E6549" s="279" t="s">
        <v>6875</v>
      </c>
      <c r="F6549" s="284">
        <f t="shared" ca="1" si="204"/>
        <v>0.15605465501707583</v>
      </c>
      <c r="G6549" s="74">
        <v>40.868956631383519</v>
      </c>
      <c r="H6549" s="74">
        <f t="shared" si="205"/>
        <v>-0.3745562880509965</v>
      </c>
    </row>
    <row r="6550" spans="5:8" ht="15.6">
      <c r="E6550" s="279" t="s">
        <v>6876</v>
      </c>
      <c r="F6550" s="284">
        <f t="shared" ca="1" si="204"/>
        <v>0.1609419406334458</v>
      </c>
      <c r="G6550" s="74">
        <v>39.843234148858748</v>
      </c>
      <c r="H6550" s="74">
        <f t="shared" si="205"/>
        <v>0.65116619447377388</v>
      </c>
    </row>
    <row r="6551" spans="5:8" ht="15.6">
      <c r="E6551" s="279" t="s">
        <v>6877</v>
      </c>
      <c r="F6551" s="284">
        <f t="shared" ca="1" si="204"/>
        <v>5.7977939845982651E-2</v>
      </c>
      <c r="G6551" s="74">
        <v>35.168744544536054</v>
      </c>
      <c r="H6551" s="74">
        <f t="shared" si="205"/>
        <v>5.3256557987964683</v>
      </c>
    </row>
    <row r="6552" spans="5:8" ht="15.6">
      <c r="E6552" s="279" t="s">
        <v>6878</v>
      </c>
      <c r="F6552" s="284">
        <f t="shared" ca="1" si="204"/>
        <v>0.20941843521658621</v>
      </c>
      <c r="G6552" s="74">
        <v>33.306659643332281</v>
      </c>
      <c r="H6552" s="74">
        <f t="shared" si="205"/>
        <v>7.1877407000002407</v>
      </c>
    </row>
    <row r="6553" spans="5:8" ht="15.6">
      <c r="E6553" s="279" t="s">
        <v>6879</v>
      </c>
      <c r="F6553" s="284">
        <f t="shared" ca="1" si="204"/>
        <v>0.73091527549635715</v>
      </c>
      <c r="G6553" s="74">
        <v>41.297901081820449</v>
      </c>
      <c r="H6553" s="74">
        <f t="shared" si="205"/>
        <v>-0.80350073848792647</v>
      </c>
    </row>
    <row r="6554" spans="5:8" ht="15.6">
      <c r="E6554" s="279" t="s">
        <v>6880</v>
      </c>
      <c r="F6554" s="284">
        <f t="shared" ca="1" si="204"/>
        <v>0.93003002891623499</v>
      </c>
      <c r="G6554" s="74">
        <v>42.812242619494668</v>
      </c>
      <c r="H6554" s="74">
        <f t="shared" si="205"/>
        <v>-2.3178422761621462</v>
      </c>
    </row>
    <row r="6555" spans="5:8" ht="15.6">
      <c r="E6555" s="279" t="s">
        <v>6881</v>
      </c>
      <c r="F6555" s="284">
        <f t="shared" ca="1" si="204"/>
        <v>0.66318195600217</v>
      </c>
      <c r="G6555" s="74">
        <v>40.464178054985844</v>
      </c>
      <c r="H6555" s="74">
        <f t="shared" si="205"/>
        <v>3.0222288346678283E-2</v>
      </c>
    </row>
    <row r="6556" spans="5:8" ht="15.6">
      <c r="E6556" s="279" t="s">
        <v>6882</v>
      </c>
      <c r="F6556" s="284">
        <f t="shared" ca="1" si="204"/>
        <v>0.37166094776896852</v>
      </c>
      <c r="G6556" s="74">
        <v>42.327193122067698</v>
      </c>
      <c r="H6556" s="74">
        <f t="shared" si="205"/>
        <v>-1.8327927787351754</v>
      </c>
    </row>
    <row r="6557" spans="5:8" ht="15.6">
      <c r="E6557" s="279" t="s">
        <v>6883</v>
      </c>
      <c r="F6557" s="284">
        <f t="shared" ca="1" si="204"/>
        <v>0.74728390499055686</v>
      </c>
      <c r="G6557" s="74">
        <v>40.16321022811092</v>
      </c>
      <c r="H6557" s="74">
        <f t="shared" si="205"/>
        <v>0.33119011522160235</v>
      </c>
    </row>
    <row r="6558" spans="5:8" ht="15.6">
      <c r="E6558" s="279" t="s">
        <v>6884</v>
      </c>
      <c r="F6558" s="284">
        <f t="shared" ca="1" si="204"/>
        <v>0.33918808385937982</v>
      </c>
      <c r="G6558" s="74">
        <v>35.411603219203265</v>
      </c>
      <c r="H6558" s="74">
        <f t="shared" si="205"/>
        <v>5.0827971241292573</v>
      </c>
    </row>
    <row r="6559" spans="5:8" ht="15.6">
      <c r="E6559" s="279" t="s">
        <v>6885</v>
      </c>
      <c r="F6559" s="284">
        <f t="shared" ca="1" si="204"/>
        <v>0.11670436609736845</v>
      </c>
      <c r="G6559" s="74">
        <v>38.465563243501919</v>
      </c>
      <c r="H6559" s="74">
        <f t="shared" si="205"/>
        <v>2.0288370998306036</v>
      </c>
    </row>
    <row r="6560" spans="5:8" ht="15.6">
      <c r="E6560" s="279" t="s">
        <v>6886</v>
      </c>
      <c r="F6560" s="284">
        <f t="shared" ca="1" si="204"/>
        <v>0.25560953984848589</v>
      </c>
      <c r="G6560" s="74">
        <v>42.673764643371811</v>
      </c>
      <c r="H6560" s="74">
        <f t="shared" si="205"/>
        <v>-2.179364300039289</v>
      </c>
    </row>
    <row r="6561" spans="5:8" ht="15.6">
      <c r="E6561" s="279" t="s">
        <v>6887</v>
      </c>
      <c r="F6561" s="284">
        <f t="shared" ca="1" si="204"/>
        <v>0.82401380387361711</v>
      </c>
      <c r="G6561" s="74">
        <v>40.696532361527716</v>
      </c>
      <c r="H6561" s="74">
        <f t="shared" si="205"/>
        <v>-0.20213201819519355</v>
      </c>
    </row>
    <row r="6562" spans="5:8" ht="15.6">
      <c r="E6562" s="279" t="s">
        <v>6888</v>
      </c>
      <c r="F6562" s="284">
        <f t="shared" ca="1" si="204"/>
        <v>0.25888841189859135</v>
      </c>
      <c r="G6562" s="74">
        <v>38.708223422321979</v>
      </c>
      <c r="H6562" s="74">
        <f t="shared" si="205"/>
        <v>1.7861769210105436</v>
      </c>
    </row>
    <row r="6563" spans="5:8" ht="15.6">
      <c r="E6563" s="279" t="s">
        <v>6889</v>
      </c>
      <c r="F6563" s="284">
        <f t="shared" ca="1" si="204"/>
        <v>0.24804057309529404</v>
      </c>
      <c r="G6563" s="74">
        <v>39.08667051415317</v>
      </c>
      <c r="H6563" s="74">
        <f t="shared" si="205"/>
        <v>1.4077298291793525</v>
      </c>
    </row>
    <row r="6564" spans="5:8" ht="15.6">
      <c r="E6564" s="279" t="s">
        <v>6890</v>
      </c>
      <c r="F6564" s="284">
        <f t="shared" ca="1" si="204"/>
        <v>0.50248984625481274</v>
      </c>
      <c r="G6564" s="74">
        <v>32.083047527258806</v>
      </c>
      <c r="H6564" s="74">
        <f t="shared" si="205"/>
        <v>8.4113528160737161</v>
      </c>
    </row>
    <row r="6565" spans="5:8" ht="15.6">
      <c r="E6565" s="279" t="s">
        <v>6891</v>
      </c>
      <c r="F6565" s="284">
        <f t="shared" ca="1" si="204"/>
        <v>0.1681076207697757</v>
      </c>
      <c r="G6565" s="74">
        <v>38.522788390522599</v>
      </c>
      <c r="H6565" s="74">
        <f t="shared" si="205"/>
        <v>1.9716119528099227</v>
      </c>
    </row>
    <row r="6566" spans="5:8" ht="15.6">
      <c r="E6566" s="279" t="s">
        <v>6892</v>
      </c>
      <c r="F6566" s="284">
        <f t="shared" ca="1" si="204"/>
        <v>0.24411485169425617</v>
      </c>
      <c r="G6566" s="74">
        <v>39.978073584098539</v>
      </c>
      <c r="H6566" s="74">
        <f t="shared" si="205"/>
        <v>0.51632675923398352</v>
      </c>
    </row>
    <row r="6567" spans="5:8" ht="15.6">
      <c r="E6567" s="279" t="s">
        <v>6893</v>
      </c>
      <c r="F6567" s="284">
        <f t="shared" ca="1" si="204"/>
        <v>0.25425808284044282</v>
      </c>
      <c r="G6567" s="74">
        <v>35.019354504190552</v>
      </c>
      <c r="H6567" s="74">
        <f t="shared" si="205"/>
        <v>5.4750458391419699</v>
      </c>
    </row>
    <row r="6568" spans="5:8" ht="15.6">
      <c r="E6568" s="279" t="s">
        <v>6894</v>
      </c>
      <c r="F6568" s="284">
        <f t="shared" ca="1" si="204"/>
        <v>0.74495932470089998</v>
      </c>
      <c r="G6568" s="74">
        <v>39.44275489388226</v>
      </c>
      <c r="H6568" s="74">
        <f t="shared" si="205"/>
        <v>1.0516454494502625</v>
      </c>
    </row>
    <row r="6569" spans="5:8" ht="15.6">
      <c r="E6569" s="279" t="s">
        <v>6895</v>
      </c>
      <c r="F6569" s="284">
        <f t="shared" ca="1" si="204"/>
        <v>3.6665073304919416E-2</v>
      </c>
      <c r="G6569" s="74">
        <v>36.559504514352497</v>
      </c>
      <c r="H6569" s="74">
        <f t="shared" si="205"/>
        <v>3.9348958289800251</v>
      </c>
    </row>
    <row r="6570" spans="5:8" ht="15.6">
      <c r="E6570" s="279" t="s">
        <v>6896</v>
      </c>
      <c r="F6570" s="284">
        <f t="shared" ca="1" si="204"/>
        <v>0.49704087214565151</v>
      </c>
      <c r="G6570" s="74">
        <v>41.983837722919809</v>
      </c>
      <c r="H6570" s="74">
        <f t="shared" si="205"/>
        <v>-1.4894373795872866</v>
      </c>
    </row>
    <row r="6571" spans="5:8" ht="15.6">
      <c r="E6571" s="279" t="s">
        <v>6897</v>
      </c>
      <c r="F6571" s="284">
        <f t="shared" ca="1" si="204"/>
        <v>0.3921571548588263</v>
      </c>
      <c r="G6571" s="74">
        <v>45.010308298985692</v>
      </c>
      <c r="H6571" s="74">
        <f t="shared" si="205"/>
        <v>-4.5159079556531694</v>
      </c>
    </row>
    <row r="6572" spans="5:8" ht="15.6">
      <c r="E6572" s="279" t="s">
        <v>6898</v>
      </c>
      <c r="F6572" s="284">
        <f t="shared" ca="1" si="204"/>
        <v>0.47617079775089088</v>
      </c>
      <c r="G6572" s="74">
        <v>37.039035310650711</v>
      </c>
      <c r="H6572" s="74">
        <f t="shared" si="205"/>
        <v>3.4553650326818115</v>
      </c>
    </row>
    <row r="6573" spans="5:8" ht="15.6">
      <c r="E6573" s="279" t="s">
        <v>6899</v>
      </c>
      <c r="F6573" s="284">
        <f t="shared" ca="1" si="204"/>
        <v>0.74849028930192996</v>
      </c>
      <c r="G6573" s="74">
        <v>38.54258383180774</v>
      </c>
      <c r="H6573" s="74">
        <f t="shared" si="205"/>
        <v>1.9518165115247825</v>
      </c>
    </row>
    <row r="6574" spans="5:8" ht="15.6">
      <c r="E6574" s="279" t="s">
        <v>6900</v>
      </c>
      <c r="F6574" s="284">
        <f t="shared" ca="1" si="204"/>
        <v>0.17519496149923353</v>
      </c>
      <c r="G6574" s="74">
        <v>39.832454725492532</v>
      </c>
      <c r="H6574" s="74">
        <f t="shared" si="205"/>
        <v>0.66194561783999006</v>
      </c>
    </row>
    <row r="6575" spans="5:8" ht="15.6">
      <c r="E6575" s="279" t="s">
        <v>6901</v>
      </c>
      <c r="F6575" s="284">
        <f t="shared" ca="1" si="204"/>
        <v>0.69948874519955484</v>
      </c>
      <c r="G6575" s="74">
        <v>41.797180949936916</v>
      </c>
      <c r="H6575" s="74">
        <f t="shared" si="205"/>
        <v>-1.3027806066043937</v>
      </c>
    </row>
    <row r="6576" spans="5:8" ht="15.6">
      <c r="E6576" s="279" t="s">
        <v>6902</v>
      </c>
      <c r="F6576" s="284">
        <f t="shared" ca="1" si="204"/>
        <v>0.91288204230320036</v>
      </c>
      <c r="G6576" s="74">
        <v>36.801822355303855</v>
      </c>
      <c r="H6576" s="74">
        <f t="shared" si="205"/>
        <v>3.6925779880286669</v>
      </c>
    </row>
    <row r="6577" spans="5:8" ht="15.6">
      <c r="E6577" s="279" t="s">
        <v>6903</v>
      </c>
      <c r="F6577" s="284">
        <f t="shared" ca="1" si="204"/>
        <v>0.13204710799347519</v>
      </c>
      <c r="G6577" s="74">
        <v>40.400725236315729</v>
      </c>
      <c r="H6577" s="74">
        <f t="shared" si="205"/>
        <v>9.3675107016792936E-2</v>
      </c>
    </row>
    <row r="6578" spans="5:8" ht="15.6">
      <c r="E6578" s="279" t="s">
        <v>6904</v>
      </c>
      <c r="F6578" s="284">
        <f t="shared" ca="1" si="204"/>
        <v>0.27189857117839156</v>
      </c>
      <c r="G6578" s="74">
        <v>38.863993655733893</v>
      </c>
      <c r="H6578" s="74">
        <f t="shared" si="205"/>
        <v>1.6304066875986294</v>
      </c>
    </row>
    <row r="6579" spans="5:8" ht="15.6">
      <c r="E6579" s="279" t="s">
        <v>6905</v>
      </c>
      <c r="F6579" s="284">
        <f t="shared" ca="1" si="204"/>
        <v>0.49190079216615679</v>
      </c>
      <c r="G6579" s="74">
        <v>38.907734806049554</v>
      </c>
      <c r="H6579" s="74">
        <f t="shared" si="205"/>
        <v>1.5866655372829683</v>
      </c>
    </row>
    <row r="6580" spans="5:8" ht="15.6">
      <c r="E6580" s="279" t="s">
        <v>6906</v>
      </c>
      <c r="F6580" s="284">
        <f t="shared" ca="1" si="204"/>
        <v>0.70387055701557799</v>
      </c>
      <c r="G6580" s="74">
        <v>39.724500262021692</v>
      </c>
      <c r="H6580" s="74">
        <f t="shared" si="205"/>
        <v>0.76990008131082988</v>
      </c>
    </row>
    <row r="6581" spans="5:8" ht="15.6">
      <c r="E6581" s="279" t="s">
        <v>6907</v>
      </c>
      <c r="F6581" s="284">
        <f t="shared" ca="1" si="204"/>
        <v>0.70404430951230734</v>
      </c>
      <c r="G6581" s="74">
        <v>38.088531953810651</v>
      </c>
      <c r="H6581" s="74">
        <f t="shared" si="205"/>
        <v>2.4058683895218707</v>
      </c>
    </row>
    <row r="6582" spans="5:8" ht="15.6">
      <c r="E6582" s="279" t="s">
        <v>6908</v>
      </c>
      <c r="F6582" s="284">
        <f t="shared" ca="1" si="204"/>
        <v>0.37022373126971819</v>
      </c>
      <c r="G6582" s="74">
        <v>38.189198962532728</v>
      </c>
      <c r="H6582" s="74">
        <f t="shared" si="205"/>
        <v>2.3052013807997938</v>
      </c>
    </row>
    <row r="6583" spans="5:8" ht="15.6">
      <c r="E6583" s="279" t="s">
        <v>6909</v>
      </c>
      <c r="F6583" s="284">
        <f t="shared" ca="1" si="204"/>
        <v>0.69955211165939324</v>
      </c>
      <c r="G6583" s="74">
        <v>38.167003540780378</v>
      </c>
      <c r="H6583" s="74">
        <f t="shared" si="205"/>
        <v>2.3273968025521441</v>
      </c>
    </row>
    <row r="6584" spans="5:8" ht="15.6">
      <c r="E6584" s="279" t="s">
        <v>6910</v>
      </c>
      <c r="F6584" s="284">
        <f t="shared" ca="1" si="204"/>
        <v>0.33190806595729572</v>
      </c>
      <c r="G6584" s="74">
        <v>44.919845979071006</v>
      </c>
      <c r="H6584" s="74">
        <f t="shared" si="205"/>
        <v>-4.4254456357384839</v>
      </c>
    </row>
    <row r="6585" spans="5:8" ht="15.6">
      <c r="E6585" s="279" t="s">
        <v>6911</v>
      </c>
      <c r="F6585" s="284">
        <f t="shared" ca="1" si="204"/>
        <v>0.24953139552167058</v>
      </c>
      <c r="G6585" s="74">
        <v>40.867151098440019</v>
      </c>
      <c r="H6585" s="74">
        <f t="shared" si="205"/>
        <v>-0.37275075510749645</v>
      </c>
    </row>
    <row r="6586" spans="5:8" ht="15.6">
      <c r="E6586" s="279" t="s">
        <v>6912</v>
      </c>
      <c r="F6586" s="284">
        <f t="shared" ca="1" si="204"/>
        <v>0.78860101603341559</v>
      </c>
      <c r="G6586" s="74">
        <v>31.791820934249301</v>
      </c>
      <c r="H6586" s="74">
        <f t="shared" si="205"/>
        <v>8.7025794090832207</v>
      </c>
    </row>
    <row r="6587" spans="5:8" ht="15.6">
      <c r="E6587" s="279" t="s">
        <v>6913</v>
      </c>
      <c r="F6587" s="284">
        <f t="shared" ca="1" si="204"/>
        <v>0.51197525854040904</v>
      </c>
      <c r="G6587" s="74">
        <v>42.535380172283112</v>
      </c>
      <c r="H6587" s="74">
        <f t="shared" si="205"/>
        <v>-2.04097982895059</v>
      </c>
    </row>
    <row r="6588" spans="5:8" ht="15.6">
      <c r="E6588" s="279" t="s">
        <v>6914</v>
      </c>
      <c r="F6588" s="284">
        <f t="shared" ca="1" si="204"/>
        <v>0.28185332054670498</v>
      </c>
      <c r="G6588" s="74">
        <v>41.008979311436406</v>
      </c>
      <c r="H6588" s="74">
        <f t="shared" si="205"/>
        <v>-0.51457896810388348</v>
      </c>
    </row>
    <row r="6589" spans="5:8" ht="15.6">
      <c r="E6589" s="279" t="s">
        <v>6915</v>
      </c>
      <c r="F6589" s="284">
        <f t="shared" ca="1" si="204"/>
        <v>0.92251292190945156</v>
      </c>
      <c r="G6589" s="74">
        <v>37.559474867870769</v>
      </c>
      <c r="H6589" s="74">
        <f t="shared" si="205"/>
        <v>2.9349254754617533</v>
      </c>
    </row>
    <row r="6590" spans="5:8" ht="15.6">
      <c r="E6590" s="279" t="s">
        <v>6916</v>
      </c>
      <c r="F6590" s="284">
        <f t="shared" ca="1" si="204"/>
        <v>0.44270218457056532</v>
      </c>
      <c r="G6590" s="74">
        <v>36.948981866515489</v>
      </c>
      <c r="H6590" s="74">
        <f t="shared" si="205"/>
        <v>3.5454184768170336</v>
      </c>
    </row>
    <row r="6591" spans="5:8" ht="15.6">
      <c r="E6591" s="279" t="s">
        <v>6917</v>
      </c>
      <c r="F6591" s="284">
        <f t="shared" ca="1" si="204"/>
        <v>0.67596377724338652</v>
      </c>
      <c r="G6591" s="74">
        <v>37.577247676687456</v>
      </c>
      <c r="H6591" s="74">
        <f t="shared" si="205"/>
        <v>2.917152666645066</v>
      </c>
    </row>
    <row r="6592" spans="5:8" ht="15.6">
      <c r="E6592" s="279" t="s">
        <v>6918</v>
      </c>
      <c r="F6592" s="284">
        <f t="shared" ca="1" si="204"/>
        <v>0.11265739153989307</v>
      </c>
      <c r="G6592" s="74">
        <v>40.604021609039449</v>
      </c>
      <c r="H6592" s="74">
        <f t="shared" si="205"/>
        <v>-0.10962126570692732</v>
      </c>
    </row>
    <row r="6593" spans="5:8" ht="15.6">
      <c r="E6593" s="279" t="s">
        <v>6919</v>
      </c>
      <c r="F6593" s="284">
        <f t="shared" ca="1" si="204"/>
        <v>0.50202235021095121</v>
      </c>
      <c r="G6593" s="74">
        <v>39.33245776543253</v>
      </c>
      <c r="H6593" s="74">
        <f t="shared" si="205"/>
        <v>1.1619425778999926</v>
      </c>
    </row>
    <row r="6594" spans="5:8" ht="15.6">
      <c r="E6594" s="279" t="s">
        <v>6920</v>
      </c>
      <c r="F6594" s="284">
        <f t="shared" ca="1" si="204"/>
        <v>0.23409098353283142</v>
      </c>
      <c r="G6594" s="74">
        <v>38.816333816108575</v>
      </c>
      <c r="H6594" s="74">
        <f t="shared" si="205"/>
        <v>1.6780665272239474</v>
      </c>
    </row>
    <row r="6595" spans="5:8" ht="15.6">
      <c r="E6595" s="279" t="s">
        <v>6921</v>
      </c>
      <c r="F6595" s="284">
        <f t="shared" ca="1" si="204"/>
        <v>0.29065744073868049</v>
      </c>
      <c r="G6595" s="74">
        <v>37.269284446290051</v>
      </c>
      <c r="H6595" s="74">
        <f t="shared" si="205"/>
        <v>3.2251158970424711</v>
      </c>
    </row>
    <row r="6596" spans="5:8" ht="15.6">
      <c r="E6596" s="279" t="s">
        <v>6922</v>
      </c>
      <c r="F6596" s="284">
        <f t="shared" ca="1" si="204"/>
        <v>9.7042569145940893E-3</v>
      </c>
      <c r="G6596" s="74">
        <v>37.841306346865281</v>
      </c>
      <c r="H6596" s="74">
        <f t="shared" si="205"/>
        <v>2.6530939964672413</v>
      </c>
    </row>
    <row r="6597" spans="5:8" ht="15.6">
      <c r="E6597" s="279" t="s">
        <v>6923</v>
      </c>
      <c r="F6597" s="284">
        <f t="shared" ca="1" si="204"/>
        <v>8.3746348147797356E-3</v>
      </c>
      <c r="G6597" s="74">
        <v>40.297482274683063</v>
      </c>
      <c r="H6597" s="74">
        <f t="shared" si="205"/>
        <v>0.1969180686494596</v>
      </c>
    </row>
    <row r="6598" spans="5:8" ht="15.6">
      <c r="E6598" s="279" t="s">
        <v>6924</v>
      </c>
      <c r="F6598" s="284">
        <f t="shared" ca="1" si="204"/>
        <v>0.38085992673884506</v>
      </c>
      <c r="G6598" s="74">
        <v>39.727246390141964</v>
      </c>
      <c r="H6598" s="74">
        <f t="shared" si="205"/>
        <v>0.76715395319055801</v>
      </c>
    </row>
    <row r="6599" spans="5:8" ht="15.6">
      <c r="E6599" s="279" t="s">
        <v>6925</v>
      </c>
      <c r="F6599" s="284">
        <f t="shared" ca="1" si="204"/>
        <v>0.65878900326159961</v>
      </c>
      <c r="G6599" s="74">
        <v>37.529182093742392</v>
      </c>
      <c r="H6599" s="74">
        <f t="shared" si="205"/>
        <v>2.96521824959013</v>
      </c>
    </row>
    <row r="6600" spans="5:8" ht="15.6">
      <c r="E6600" s="279" t="s">
        <v>6926</v>
      </c>
      <c r="F6600" s="284">
        <f t="shared" ca="1" si="204"/>
        <v>0.71752602193779169</v>
      </c>
      <c r="G6600" s="74">
        <v>40.020623586828222</v>
      </c>
      <c r="H6600" s="74">
        <f t="shared" si="205"/>
        <v>0.47377675650430007</v>
      </c>
    </row>
    <row r="6601" spans="5:8" ht="15.6">
      <c r="E6601" s="279" t="s">
        <v>6927</v>
      </c>
      <c r="F6601" s="284">
        <f t="shared" ca="1" si="204"/>
        <v>0.41467555042111182</v>
      </c>
      <c r="G6601" s="74">
        <v>43.488140503345505</v>
      </c>
      <c r="H6601" s="74">
        <f t="shared" si="205"/>
        <v>-2.9937401600129832</v>
      </c>
    </row>
    <row r="6602" spans="5:8" ht="15.6">
      <c r="E6602" s="279" t="s">
        <v>6928</v>
      </c>
      <c r="F6602" s="284">
        <f t="shared" ca="1" si="204"/>
        <v>0.29690017421011772</v>
      </c>
      <c r="G6602" s="74">
        <v>39.581923440803742</v>
      </c>
      <c r="H6602" s="74">
        <f t="shared" si="205"/>
        <v>0.91247690252878044</v>
      </c>
    </row>
    <row r="6603" spans="5:8" ht="15.6">
      <c r="E6603" s="279" t="s">
        <v>6929</v>
      </c>
      <c r="F6603" s="284">
        <f t="shared" ca="1" si="204"/>
        <v>0.53278412307934642</v>
      </c>
      <c r="G6603" s="74">
        <v>40.88917614495525</v>
      </c>
      <c r="H6603" s="74">
        <f t="shared" si="205"/>
        <v>-0.3947758016227283</v>
      </c>
    </row>
    <row r="6604" spans="5:8" ht="15.6">
      <c r="E6604" s="279" t="s">
        <v>6930</v>
      </c>
      <c r="F6604" s="284">
        <f t="shared" ref="F6604:F6667" ca="1" si="206">RAND()</f>
        <v>0.96194282659709596</v>
      </c>
      <c r="G6604" s="74">
        <v>35.118777132037543</v>
      </c>
      <c r="H6604" s="74">
        <f t="shared" ref="H6604:H6667" si="207">$D$2-G6604</f>
        <v>5.3756232112949789</v>
      </c>
    </row>
    <row r="6605" spans="5:8" ht="15.6">
      <c r="E6605" s="279" t="s">
        <v>6931</v>
      </c>
      <c r="F6605" s="284">
        <f t="shared" ca="1" si="206"/>
        <v>0.93634419559697024</v>
      </c>
      <c r="G6605" s="74">
        <v>37.912718624684757</v>
      </c>
      <c r="H6605" s="74">
        <f t="shared" si="207"/>
        <v>2.581681718647765</v>
      </c>
    </row>
    <row r="6606" spans="5:8" ht="15.6">
      <c r="E6606" s="279" t="s">
        <v>6932</v>
      </c>
      <c r="F6606" s="284">
        <f t="shared" ca="1" si="206"/>
        <v>0.63803389372094044</v>
      </c>
      <c r="G6606" s="74">
        <v>39.443062475821705</v>
      </c>
      <c r="H6606" s="74">
        <f t="shared" si="207"/>
        <v>1.0513378675108171</v>
      </c>
    </row>
    <row r="6607" spans="5:8" ht="15.6">
      <c r="E6607" s="279" t="s">
        <v>6933</v>
      </c>
      <c r="F6607" s="284">
        <f t="shared" ca="1" si="206"/>
        <v>0.45232622641058406</v>
      </c>
      <c r="G6607" s="74">
        <v>39.808718610705888</v>
      </c>
      <c r="H6607" s="74">
        <f t="shared" si="207"/>
        <v>0.68568173262663379</v>
      </c>
    </row>
    <row r="6608" spans="5:8" ht="15.6">
      <c r="E6608" s="279" t="s">
        <v>6934</v>
      </c>
      <c r="F6608" s="284">
        <f t="shared" ca="1" si="206"/>
        <v>1.0090169644332847E-2</v>
      </c>
      <c r="G6608" s="74">
        <v>39.655403155203615</v>
      </c>
      <c r="H6608" s="74">
        <f t="shared" si="207"/>
        <v>0.83899718812890711</v>
      </c>
    </row>
    <row r="6609" spans="5:8" ht="15.6">
      <c r="E6609" s="279" t="s">
        <v>6935</v>
      </c>
      <c r="F6609" s="284">
        <f t="shared" ca="1" si="206"/>
        <v>3.8315497476638649E-3</v>
      </c>
      <c r="G6609" s="74">
        <v>39.952224521109763</v>
      </c>
      <c r="H6609" s="74">
        <f t="shared" si="207"/>
        <v>0.54217582222275951</v>
      </c>
    </row>
    <row r="6610" spans="5:8" ht="15.6">
      <c r="E6610" s="279" t="s">
        <v>6936</v>
      </c>
      <c r="F6610" s="284">
        <f t="shared" ca="1" si="206"/>
        <v>0.26118200455107443</v>
      </c>
      <c r="G6610" s="74">
        <v>39.887221112346943</v>
      </c>
      <c r="H6610" s="74">
        <f t="shared" si="207"/>
        <v>0.60717923098557947</v>
      </c>
    </row>
    <row r="6611" spans="5:8" ht="15.6">
      <c r="E6611" s="279" t="s">
        <v>6937</v>
      </c>
      <c r="F6611" s="284">
        <f t="shared" ca="1" si="206"/>
        <v>0.65074730404985415</v>
      </c>
      <c r="G6611" s="74">
        <v>41.123951609820693</v>
      </c>
      <c r="H6611" s="74">
        <f t="shared" si="207"/>
        <v>-0.62955126648817128</v>
      </c>
    </row>
    <row r="6612" spans="5:8" ht="15.6">
      <c r="E6612" s="279" t="s">
        <v>6938</v>
      </c>
      <c r="F6612" s="284">
        <f t="shared" ca="1" si="206"/>
        <v>0.94603167801650379</v>
      </c>
      <c r="G6612" s="74">
        <v>40.512333709194998</v>
      </c>
      <c r="H6612" s="74">
        <f t="shared" si="207"/>
        <v>-1.7933365862475625E-2</v>
      </c>
    </row>
    <row r="6613" spans="5:8" ht="15.6">
      <c r="E6613" s="279" t="s">
        <v>6939</v>
      </c>
      <c r="F6613" s="284">
        <f t="shared" ca="1" si="206"/>
        <v>0.82474639337088174</v>
      </c>
      <c r="G6613" s="74">
        <v>39.895034506415286</v>
      </c>
      <c r="H6613" s="74">
        <f t="shared" si="207"/>
        <v>0.59936583691723655</v>
      </c>
    </row>
    <row r="6614" spans="5:8" ht="15.6">
      <c r="E6614" s="279" t="s">
        <v>6940</v>
      </c>
      <c r="F6614" s="284">
        <f t="shared" ca="1" si="206"/>
        <v>0.41284999398275313</v>
      </c>
      <c r="G6614" s="74">
        <v>38.232679257927188</v>
      </c>
      <c r="H6614" s="74">
        <f t="shared" si="207"/>
        <v>2.261721085405334</v>
      </c>
    </row>
    <row r="6615" spans="5:8" ht="15.6">
      <c r="E6615" s="279" t="s">
        <v>6941</v>
      </c>
      <c r="F6615" s="284">
        <f t="shared" ca="1" si="206"/>
        <v>0.51734224379655025</v>
      </c>
      <c r="G6615" s="74">
        <v>40.287065514158819</v>
      </c>
      <c r="H6615" s="74">
        <f t="shared" si="207"/>
        <v>0.20733482917370338</v>
      </c>
    </row>
    <row r="6616" spans="5:8" ht="15.6">
      <c r="E6616" s="279" t="s">
        <v>6942</v>
      </c>
      <c r="F6616" s="284">
        <f t="shared" ca="1" si="206"/>
        <v>0.4378301900216871</v>
      </c>
      <c r="G6616" s="74">
        <v>36.968527192495912</v>
      </c>
      <c r="H6616" s="74">
        <f t="shared" si="207"/>
        <v>3.5258731508366097</v>
      </c>
    </row>
    <row r="6617" spans="5:8" ht="15.6">
      <c r="E6617" s="279" t="s">
        <v>6943</v>
      </c>
      <c r="F6617" s="284">
        <f t="shared" ca="1" si="206"/>
        <v>0.92727329687584747</v>
      </c>
      <c r="G6617" s="74">
        <v>38.699126423857344</v>
      </c>
      <c r="H6617" s="74">
        <f t="shared" si="207"/>
        <v>1.7952739194751786</v>
      </c>
    </row>
    <row r="6618" spans="5:8" ht="15.6">
      <c r="E6618" s="279" t="s">
        <v>6944</v>
      </c>
      <c r="F6618" s="284">
        <f t="shared" ca="1" si="206"/>
        <v>0.29139945375439147</v>
      </c>
      <c r="G6618" s="74">
        <v>41.641643101181785</v>
      </c>
      <c r="H6618" s="74">
        <f t="shared" si="207"/>
        <v>-1.1472427578492628</v>
      </c>
    </row>
    <row r="6619" spans="5:8" ht="15.6">
      <c r="E6619" s="279" t="s">
        <v>6945</v>
      </c>
      <c r="F6619" s="284">
        <f t="shared" ca="1" si="206"/>
        <v>0.50940457170085718</v>
      </c>
      <c r="G6619" s="74">
        <v>41.433392130501375</v>
      </c>
      <c r="H6619" s="74">
        <f t="shared" si="207"/>
        <v>-0.93899178716885245</v>
      </c>
    </row>
    <row r="6620" spans="5:8" ht="15.6">
      <c r="E6620" s="279" t="s">
        <v>6946</v>
      </c>
      <c r="F6620" s="284">
        <f t="shared" ca="1" si="206"/>
        <v>0.64404606814586496</v>
      </c>
      <c r="G6620" s="74">
        <v>40.662017169522905</v>
      </c>
      <c r="H6620" s="74">
        <f t="shared" si="207"/>
        <v>-0.16761682619038254</v>
      </c>
    </row>
    <row r="6621" spans="5:8" ht="15.6">
      <c r="E6621" s="279" t="s">
        <v>6947</v>
      </c>
      <c r="F6621" s="284">
        <f t="shared" ca="1" si="206"/>
        <v>0.30077290949109559</v>
      </c>
      <c r="G6621" s="74">
        <v>38.401087384360935</v>
      </c>
      <c r="H6621" s="74">
        <f t="shared" si="207"/>
        <v>2.0933129589715875</v>
      </c>
    </row>
    <row r="6622" spans="5:8" ht="15.6">
      <c r="E6622" s="279" t="s">
        <v>6948</v>
      </c>
      <c r="F6622" s="284">
        <f t="shared" ca="1" si="206"/>
        <v>0.79156668030292843</v>
      </c>
      <c r="G6622" s="74">
        <v>37.730339390498777</v>
      </c>
      <c r="H6622" s="74">
        <f t="shared" si="207"/>
        <v>2.764060952833745</v>
      </c>
    </row>
    <row r="6623" spans="5:8" ht="15.6">
      <c r="E6623" s="279" t="s">
        <v>6949</v>
      </c>
      <c r="F6623" s="284">
        <f t="shared" ca="1" si="206"/>
        <v>0.59014300032922262</v>
      </c>
      <c r="G6623" s="74">
        <v>42.661110548546461</v>
      </c>
      <c r="H6623" s="74">
        <f t="shared" si="207"/>
        <v>-2.1667102052139384</v>
      </c>
    </row>
    <row r="6624" spans="5:8" ht="15.6">
      <c r="E6624" s="279" t="s">
        <v>6950</v>
      </c>
      <c r="F6624" s="284">
        <f t="shared" ca="1" si="206"/>
        <v>4.2731754282621881E-2</v>
      </c>
      <c r="G6624" s="74">
        <v>40.391481330323025</v>
      </c>
      <c r="H6624" s="74">
        <f t="shared" si="207"/>
        <v>0.10291901300949746</v>
      </c>
    </row>
    <row r="6625" spans="5:8" ht="15.6">
      <c r="E6625" s="279" t="s">
        <v>6951</v>
      </c>
      <c r="F6625" s="284">
        <f t="shared" ca="1" si="206"/>
        <v>0.55846117754715252</v>
      </c>
      <c r="G6625" s="74">
        <v>38.697434495680255</v>
      </c>
      <c r="H6625" s="74">
        <f t="shared" si="207"/>
        <v>1.7969658476522667</v>
      </c>
    </row>
    <row r="6626" spans="5:8" ht="15.6">
      <c r="E6626" s="279" t="s">
        <v>6952</v>
      </c>
      <c r="F6626" s="284">
        <f t="shared" ca="1" si="206"/>
        <v>0.35272036991776035</v>
      </c>
      <c r="G6626" s="74">
        <v>50.864301992980863</v>
      </c>
      <c r="H6626" s="74">
        <f t="shared" si="207"/>
        <v>-10.369901649648341</v>
      </c>
    </row>
    <row r="6627" spans="5:8" ht="15.6">
      <c r="E6627" s="279" t="s">
        <v>6953</v>
      </c>
      <c r="F6627" s="284">
        <f t="shared" ca="1" si="206"/>
        <v>4.9250859977330586E-2</v>
      </c>
      <c r="G6627" s="74">
        <v>39.389660862155182</v>
      </c>
      <c r="H6627" s="74">
        <f t="shared" si="207"/>
        <v>1.1047394811773401</v>
      </c>
    </row>
    <row r="6628" spans="5:8" ht="15.6">
      <c r="E6628" s="279" t="s">
        <v>6954</v>
      </c>
      <c r="F6628" s="284">
        <f t="shared" ca="1" si="206"/>
        <v>0.28558965621888088</v>
      </c>
      <c r="G6628" s="74">
        <v>40.167129872698474</v>
      </c>
      <c r="H6628" s="74">
        <f t="shared" si="207"/>
        <v>0.32727047063404768</v>
      </c>
    </row>
    <row r="6629" spans="5:8" ht="15.6">
      <c r="E6629" s="279" t="s">
        <v>6955</v>
      </c>
      <c r="F6629" s="284">
        <f t="shared" ca="1" si="206"/>
        <v>0.97184972413582893</v>
      </c>
      <c r="G6629" s="74">
        <v>38.408468683983365</v>
      </c>
      <c r="H6629" s="74">
        <f t="shared" si="207"/>
        <v>2.085931659349157</v>
      </c>
    </row>
    <row r="6630" spans="5:8" ht="15.6">
      <c r="E6630" s="279" t="s">
        <v>6956</v>
      </c>
      <c r="F6630" s="284">
        <f t="shared" ca="1" si="206"/>
        <v>0.67272896063659249</v>
      </c>
      <c r="G6630" s="74">
        <v>37.666437876989264</v>
      </c>
      <c r="H6630" s="74">
        <f t="shared" si="207"/>
        <v>2.8279624663432585</v>
      </c>
    </row>
    <row r="6631" spans="5:8" ht="15.6">
      <c r="E6631" s="279" t="s">
        <v>6957</v>
      </c>
      <c r="F6631" s="284">
        <f t="shared" ca="1" si="206"/>
        <v>0.4041831095790227</v>
      </c>
      <c r="G6631" s="74">
        <v>42.099211009008506</v>
      </c>
      <c r="H6631" s="74">
        <f t="shared" si="207"/>
        <v>-1.6048106656759842</v>
      </c>
    </row>
    <row r="6632" spans="5:8" ht="15.6">
      <c r="E6632" s="279" t="s">
        <v>6958</v>
      </c>
      <c r="F6632" s="284">
        <f t="shared" ca="1" si="206"/>
        <v>0.44697380809456921</v>
      </c>
      <c r="G6632" s="74">
        <v>41.452843896302191</v>
      </c>
      <c r="H6632" s="74">
        <f t="shared" si="207"/>
        <v>-0.9584435529696691</v>
      </c>
    </row>
    <row r="6633" spans="5:8" ht="15.6">
      <c r="E6633" s="279" t="s">
        <v>6959</v>
      </c>
      <c r="F6633" s="284">
        <f t="shared" ca="1" si="206"/>
        <v>0.52577289546676909</v>
      </c>
      <c r="G6633" s="74">
        <v>37.154722671662881</v>
      </c>
      <c r="H6633" s="74">
        <f t="shared" si="207"/>
        <v>3.3396776716696408</v>
      </c>
    </row>
    <row r="6634" spans="5:8" ht="15.6">
      <c r="E6634" s="279" t="s">
        <v>6960</v>
      </c>
      <c r="F6634" s="284">
        <f t="shared" ca="1" si="206"/>
        <v>0.41616804357045734</v>
      </c>
      <c r="G6634" s="74">
        <v>39.561200812780477</v>
      </c>
      <c r="H6634" s="74">
        <f t="shared" si="207"/>
        <v>0.93319953055204508</v>
      </c>
    </row>
    <row r="6635" spans="5:8" ht="15.6">
      <c r="E6635" s="279" t="s">
        <v>6961</v>
      </c>
      <c r="F6635" s="284">
        <f t="shared" ca="1" si="206"/>
        <v>0.78329624384863406</v>
      </c>
      <c r="G6635" s="74">
        <v>38.814997228553381</v>
      </c>
      <c r="H6635" s="74">
        <f t="shared" si="207"/>
        <v>1.6794031147791415</v>
      </c>
    </row>
    <row r="6636" spans="5:8" ht="15.6">
      <c r="E6636" s="279" t="s">
        <v>6962</v>
      </c>
      <c r="F6636" s="284">
        <f t="shared" ca="1" si="206"/>
        <v>0.30584170809763378</v>
      </c>
      <c r="G6636" s="74">
        <v>35.133759215859293</v>
      </c>
      <c r="H6636" s="74">
        <f t="shared" si="207"/>
        <v>5.3606411274732295</v>
      </c>
    </row>
    <row r="6637" spans="5:8" ht="15.6">
      <c r="E6637" s="279" t="s">
        <v>6963</v>
      </c>
      <c r="F6637" s="284">
        <f t="shared" ca="1" si="206"/>
        <v>0.29376137525998447</v>
      </c>
      <c r="G6637" s="74">
        <v>40.992505268484948</v>
      </c>
      <c r="H6637" s="74">
        <f t="shared" si="207"/>
        <v>-0.49810492515242544</v>
      </c>
    </row>
    <row r="6638" spans="5:8" ht="15.6">
      <c r="E6638" s="279" t="s">
        <v>6964</v>
      </c>
      <c r="F6638" s="284">
        <f t="shared" ca="1" si="206"/>
        <v>0.78184565505719628</v>
      </c>
      <c r="G6638" s="74">
        <v>41.183445809556908</v>
      </c>
      <c r="H6638" s="74">
        <f t="shared" si="207"/>
        <v>-0.68904546622438545</v>
      </c>
    </row>
    <row r="6639" spans="5:8" ht="15.6">
      <c r="E6639" s="279" t="s">
        <v>6965</v>
      </c>
      <c r="F6639" s="284">
        <f t="shared" ca="1" si="206"/>
        <v>0.55255763745918163</v>
      </c>
      <c r="G6639" s="74">
        <v>39.638675577285213</v>
      </c>
      <c r="H6639" s="74">
        <f t="shared" si="207"/>
        <v>0.85572476604730952</v>
      </c>
    </row>
    <row r="6640" spans="5:8" ht="15.6">
      <c r="E6640" s="279" t="s">
        <v>6966</v>
      </c>
      <c r="F6640" s="284">
        <f t="shared" ca="1" si="206"/>
        <v>0.1652719626334509</v>
      </c>
      <c r="G6640" s="74">
        <v>36.215764142892859</v>
      </c>
      <c r="H6640" s="74">
        <f t="shared" si="207"/>
        <v>4.2786362004396636</v>
      </c>
    </row>
    <row r="6641" spans="5:8" ht="15.6">
      <c r="E6641" s="279" t="s">
        <v>6967</v>
      </c>
      <c r="F6641" s="284">
        <f t="shared" ca="1" si="206"/>
        <v>0.39783739985483835</v>
      </c>
      <c r="G6641" s="74">
        <v>34.241531041548974</v>
      </c>
      <c r="H6641" s="74">
        <f t="shared" si="207"/>
        <v>6.2528693017835479</v>
      </c>
    </row>
    <row r="6642" spans="5:8" ht="15.6">
      <c r="E6642" s="279" t="s">
        <v>6968</v>
      </c>
      <c r="F6642" s="284">
        <f t="shared" ca="1" si="206"/>
        <v>0.22920552090851065</v>
      </c>
      <c r="G6642" s="74">
        <v>42.496050195477061</v>
      </c>
      <c r="H6642" s="74">
        <f t="shared" si="207"/>
        <v>-2.0016498521445385</v>
      </c>
    </row>
    <row r="6643" spans="5:8" ht="15.6">
      <c r="E6643" s="279" t="s">
        <v>6969</v>
      </c>
      <c r="F6643" s="284">
        <f t="shared" ca="1" si="206"/>
        <v>0.17426780803534303</v>
      </c>
      <c r="G6643" s="74">
        <v>36.629775567659209</v>
      </c>
      <c r="H6643" s="74">
        <f t="shared" si="207"/>
        <v>3.8646247756733132</v>
      </c>
    </row>
    <row r="6644" spans="5:8" ht="15.6">
      <c r="E6644" s="279" t="s">
        <v>6970</v>
      </c>
      <c r="F6644" s="284">
        <f t="shared" ca="1" si="206"/>
        <v>0.89511994161059605</v>
      </c>
      <c r="G6644" s="74">
        <v>39.900442927848211</v>
      </c>
      <c r="H6644" s="74">
        <f t="shared" si="207"/>
        <v>0.59395741548431147</v>
      </c>
    </row>
    <row r="6645" spans="5:8" ht="15.6">
      <c r="E6645" s="279" t="s">
        <v>6971</v>
      </c>
      <c r="F6645" s="284">
        <f t="shared" ca="1" si="206"/>
        <v>0.23342597882004712</v>
      </c>
      <c r="G6645" s="74">
        <v>37.936087349877816</v>
      </c>
      <c r="H6645" s="74">
        <f t="shared" si="207"/>
        <v>2.558312993454706</v>
      </c>
    </row>
    <row r="6646" spans="5:8" ht="15.6">
      <c r="E6646" s="279" t="s">
        <v>6972</v>
      </c>
      <c r="F6646" s="284">
        <f t="shared" ca="1" si="206"/>
        <v>0.61393330866897133</v>
      </c>
      <c r="G6646" s="74">
        <v>35.883508200713926</v>
      </c>
      <c r="H6646" s="74">
        <f t="shared" si="207"/>
        <v>4.6108921426185958</v>
      </c>
    </row>
    <row r="6647" spans="5:8" ht="15.6">
      <c r="E6647" s="279" t="s">
        <v>6973</v>
      </c>
      <c r="F6647" s="284">
        <f t="shared" ca="1" si="206"/>
        <v>0.25522538530724792</v>
      </c>
      <c r="G6647" s="74">
        <v>37.928303889617155</v>
      </c>
      <c r="H6647" s="74">
        <f t="shared" si="207"/>
        <v>2.5660964537153674</v>
      </c>
    </row>
    <row r="6648" spans="5:8" ht="15.6">
      <c r="E6648" s="279" t="s">
        <v>6974</v>
      </c>
      <c r="F6648" s="284">
        <f t="shared" ca="1" si="206"/>
        <v>0.29464552780816489</v>
      </c>
      <c r="G6648" s="74">
        <v>39.337203499951436</v>
      </c>
      <c r="H6648" s="74">
        <f t="shared" si="207"/>
        <v>1.1571968433810866</v>
      </c>
    </row>
    <row r="6649" spans="5:8" ht="15.6">
      <c r="E6649" s="279" t="s">
        <v>6975</v>
      </c>
      <c r="F6649" s="284">
        <f t="shared" ca="1" si="206"/>
        <v>0.18933430256128359</v>
      </c>
      <c r="G6649" s="74">
        <v>37.347875550952431</v>
      </c>
      <c r="H6649" s="74">
        <f t="shared" si="207"/>
        <v>3.1465247923800916</v>
      </c>
    </row>
    <row r="6650" spans="5:8" ht="15.6">
      <c r="E6650" s="279" t="s">
        <v>6976</v>
      </c>
      <c r="F6650" s="284">
        <f t="shared" ca="1" si="206"/>
        <v>0.57393508943678484</v>
      </c>
      <c r="G6650" s="74">
        <v>39.795271398213778</v>
      </c>
      <c r="H6650" s="74">
        <f t="shared" si="207"/>
        <v>0.69912894511874413</v>
      </c>
    </row>
    <row r="6651" spans="5:8" ht="15.6">
      <c r="E6651" s="279" t="s">
        <v>6977</v>
      </c>
      <c r="F6651" s="284">
        <f t="shared" ca="1" si="206"/>
        <v>0.90395746440981961</v>
      </c>
      <c r="G6651" s="74">
        <v>38.115457927825432</v>
      </c>
      <c r="H6651" s="74">
        <f t="shared" si="207"/>
        <v>2.3789424155070904</v>
      </c>
    </row>
    <row r="6652" spans="5:8" ht="15.6">
      <c r="E6652" s="279" t="s">
        <v>6978</v>
      </c>
      <c r="F6652" s="284">
        <f t="shared" ca="1" si="206"/>
        <v>0.32824337359539579</v>
      </c>
      <c r="G6652" s="74">
        <v>39.416932700888943</v>
      </c>
      <c r="H6652" s="74">
        <f t="shared" si="207"/>
        <v>1.0774676424435796</v>
      </c>
    </row>
    <row r="6653" spans="5:8" ht="15.6">
      <c r="E6653" s="279" t="s">
        <v>6979</v>
      </c>
      <c r="F6653" s="284">
        <f t="shared" ca="1" si="206"/>
        <v>0.15874193339013121</v>
      </c>
      <c r="G6653" s="74">
        <v>36.999316107438219</v>
      </c>
      <c r="H6653" s="74">
        <f t="shared" si="207"/>
        <v>3.4950842358943035</v>
      </c>
    </row>
    <row r="6654" spans="5:8" ht="15.6">
      <c r="E6654" s="279" t="s">
        <v>6980</v>
      </c>
      <c r="F6654" s="284">
        <f t="shared" ca="1" si="206"/>
        <v>7.4234923991309154E-2</v>
      </c>
      <c r="G6654" s="74">
        <v>36.65604838968931</v>
      </c>
      <c r="H6654" s="74">
        <f t="shared" si="207"/>
        <v>3.8383519536432118</v>
      </c>
    </row>
    <row r="6655" spans="5:8" ht="15.6">
      <c r="E6655" s="279" t="s">
        <v>6981</v>
      </c>
      <c r="F6655" s="284">
        <f t="shared" ca="1" si="206"/>
        <v>1.8447436132811967E-2</v>
      </c>
      <c r="G6655" s="74">
        <v>35.524712946831535</v>
      </c>
      <c r="H6655" s="74">
        <f t="shared" si="207"/>
        <v>4.9696873965009871</v>
      </c>
    </row>
    <row r="6656" spans="5:8" ht="15.6">
      <c r="E6656" s="279" t="s">
        <v>6982</v>
      </c>
      <c r="F6656" s="284">
        <f t="shared" ca="1" si="206"/>
        <v>0.74640454147600632</v>
      </c>
      <c r="G6656" s="74">
        <v>41.405512686527203</v>
      </c>
      <c r="H6656" s="74">
        <f t="shared" si="207"/>
        <v>-0.91111234319468082</v>
      </c>
    </row>
    <row r="6657" spans="5:8" ht="15.6">
      <c r="E6657" s="279" t="s">
        <v>6983</v>
      </c>
      <c r="F6657" s="284">
        <f t="shared" ca="1" si="206"/>
        <v>0.19727054744190042</v>
      </c>
      <c r="G6657" s="74">
        <v>40.250840474729671</v>
      </c>
      <c r="H6657" s="74">
        <f t="shared" si="207"/>
        <v>0.24355986860285128</v>
      </c>
    </row>
    <row r="6658" spans="5:8" ht="15.6">
      <c r="E6658" s="279" t="s">
        <v>6984</v>
      </c>
      <c r="F6658" s="284">
        <f t="shared" ca="1" si="206"/>
        <v>0.7543361901935195</v>
      </c>
      <c r="G6658" s="74">
        <v>39.940471295493921</v>
      </c>
      <c r="H6658" s="74">
        <f t="shared" si="207"/>
        <v>0.55392904783860075</v>
      </c>
    </row>
    <row r="6659" spans="5:8" ht="15.6">
      <c r="E6659" s="279" t="s">
        <v>6985</v>
      </c>
      <c r="F6659" s="284">
        <f t="shared" ca="1" si="206"/>
        <v>0.59664933023330335</v>
      </c>
      <c r="G6659" s="74">
        <v>39.815918705657467</v>
      </c>
      <c r="H6659" s="74">
        <f t="shared" si="207"/>
        <v>0.67848163767505554</v>
      </c>
    </row>
    <row r="6660" spans="5:8" ht="15.6">
      <c r="E6660" s="279" t="s">
        <v>6986</v>
      </c>
      <c r="F6660" s="284">
        <f t="shared" ca="1" si="206"/>
        <v>0.4950819815596994</v>
      </c>
      <c r="G6660" s="74">
        <v>35.662587279891632</v>
      </c>
      <c r="H6660" s="74">
        <f t="shared" si="207"/>
        <v>4.8318130634408902</v>
      </c>
    </row>
    <row r="6661" spans="5:8" ht="15.6">
      <c r="E6661" s="279" t="s">
        <v>6987</v>
      </c>
      <c r="F6661" s="284">
        <f t="shared" ca="1" si="206"/>
        <v>0.6326434633562672</v>
      </c>
      <c r="G6661" s="74">
        <v>41.112479181419843</v>
      </c>
      <c r="H6661" s="74">
        <f t="shared" si="207"/>
        <v>-0.618078838087321</v>
      </c>
    </row>
    <row r="6662" spans="5:8" ht="15.6">
      <c r="E6662" s="279" t="s">
        <v>6988</v>
      </c>
      <c r="F6662" s="284">
        <f t="shared" ca="1" si="206"/>
        <v>0.30206287050624325</v>
      </c>
      <c r="G6662" s="74">
        <v>38.185737242682798</v>
      </c>
      <c r="H6662" s="74">
        <f t="shared" si="207"/>
        <v>2.3086631006497242</v>
      </c>
    </row>
    <row r="6663" spans="5:8" ht="15.6">
      <c r="E6663" s="279" t="s">
        <v>6989</v>
      </c>
      <c r="F6663" s="284">
        <f t="shared" ca="1" si="206"/>
        <v>0.58031532800290475</v>
      </c>
      <c r="G6663" s="74">
        <v>34.969499351914742</v>
      </c>
      <c r="H6663" s="74">
        <f t="shared" si="207"/>
        <v>5.5249009914177805</v>
      </c>
    </row>
    <row r="6664" spans="5:8" ht="15.6">
      <c r="E6664" s="279" t="s">
        <v>6990</v>
      </c>
      <c r="F6664" s="284">
        <f t="shared" ca="1" si="206"/>
        <v>0.76232167554498509</v>
      </c>
      <c r="G6664" s="74">
        <v>39.885370968176645</v>
      </c>
      <c r="H6664" s="74">
        <f t="shared" si="207"/>
        <v>0.60902937515587752</v>
      </c>
    </row>
    <row r="6665" spans="5:8" ht="15.6">
      <c r="E6665" s="279" t="s">
        <v>6991</v>
      </c>
      <c r="F6665" s="284">
        <f t="shared" ca="1" si="206"/>
        <v>0.25991632423474176</v>
      </c>
      <c r="G6665" s="74">
        <v>41.64710889378842</v>
      </c>
      <c r="H6665" s="74">
        <f t="shared" si="207"/>
        <v>-1.1527085504558983</v>
      </c>
    </row>
    <row r="6666" spans="5:8" ht="15.6">
      <c r="E6666" s="279" t="s">
        <v>6992</v>
      </c>
      <c r="F6666" s="284">
        <f t="shared" ca="1" si="206"/>
        <v>0.419498209762311</v>
      </c>
      <c r="G6666" s="74">
        <v>43.548398203492312</v>
      </c>
      <c r="H6666" s="74">
        <f t="shared" si="207"/>
        <v>-3.0539978601597895</v>
      </c>
    </row>
    <row r="6667" spans="5:8" ht="15.6">
      <c r="E6667" s="279" t="s">
        <v>6993</v>
      </c>
      <c r="F6667" s="284">
        <f t="shared" ca="1" si="206"/>
        <v>0.68216327627240336</v>
      </c>
      <c r="G6667" s="74">
        <v>40.852127767479239</v>
      </c>
      <c r="H6667" s="74">
        <f t="shared" si="207"/>
        <v>-0.35772742414671654</v>
      </c>
    </row>
    <row r="6668" spans="5:8" ht="15.6">
      <c r="E6668" s="279" t="s">
        <v>6994</v>
      </c>
      <c r="F6668" s="284">
        <f t="shared" ref="F6668:F6731" ca="1" si="208">RAND()</f>
        <v>0.1257880774301452</v>
      </c>
      <c r="G6668" s="74">
        <v>38.551462507395435</v>
      </c>
      <c r="H6668" s="74">
        <f t="shared" ref="H6668:H6731" si="209">$D$2-G6668</f>
        <v>1.9429378359370872</v>
      </c>
    </row>
    <row r="6669" spans="5:8" ht="15.6">
      <c r="E6669" s="279" t="s">
        <v>6995</v>
      </c>
      <c r="F6669" s="284">
        <f t="shared" ca="1" si="208"/>
        <v>0.11250155318865218</v>
      </c>
      <c r="G6669" s="74">
        <v>37.491851317124997</v>
      </c>
      <c r="H6669" s="74">
        <f t="shared" si="209"/>
        <v>3.0025490262075252</v>
      </c>
    </row>
    <row r="6670" spans="5:8" ht="15.6">
      <c r="E6670" s="279" t="s">
        <v>6996</v>
      </c>
      <c r="F6670" s="284">
        <f t="shared" ca="1" si="208"/>
        <v>0.22844003752226871</v>
      </c>
      <c r="G6670" s="74">
        <v>38.597281859958578</v>
      </c>
      <c r="H6670" s="74">
        <f t="shared" si="209"/>
        <v>1.8971184833739443</v>
      </c>
    </row>
    <row r="6671" spans="5:8" ht="15.6">
      <c r="E6671" s="279" t="s">
        <v>6997</v>
      </c>
      <c r="F6671" s="284">
        <f t="shared" ca="1" si="208"/>
        <v>0.96727618004224725</v>
      </c>
      <c r="G6671" s="74">
        <v>34.334405517683216</v>
      </c>
      <c r="H6671" s="74">
        <f t="shared" si="209"/>
        <v>6.1599948256493064</v>
      </c>
    </row>
    <row r="6672" spans="5:8" ht="15.6">
      <c r="E6672" s="279" t="s">
        <v>6998</v>
      </c>
      <c r="F6672" s="284">
        <f t="shared" ca="1" si="208"/>
        <v>0.54192592749487889</v>
      </c>
      <c r="G6672" s="74">
        <v>41.459461488151199</v>
      </c>
      <c r="H6672" s="74">
        <f t="shared" si="209"/>
        <v>-0.96506114481867655</v>
      </c>
    </row>
    <row r="6673" spans="5:8" ht="15.6">
      <c r="E6673" s="279" t="s">
        <v>6999</v>
      </c>
      <c r="F6673" s="284">
        <f t="shared" ca="1" si="208"/>
        <v>6.2915728509285174E-2</v>
      </c>
      <c r="G6673" s="74">
        <v>40.150309402966528</v>
      </c>
      <c r="H6673" s="74">
        <f t="shared" si="209"/>
        <v>0.34409094036599441</v>
      </c>
    </row>
    <row r="6674" spans="5:8" ht="15.6">
      <c r="E6674" s="279" t="s">
        <v>7000</v>
      </c>
      <c r="F6674" s="284">
        <f t="shared" ca="1" si="208"/>
        <v>0.40389745269300414</v>
      </c>
      <c r="G6674" s="74">
        <v>37.950875020330358</v>
      </c>
      <c r="H6674" s="74">
        <f t="shared" si="209"/>
        <v>2.5435253230021644</v>
      </c>
    </row>
    <row r="6675" spans="5:8" ht="15.6">
      <c r="E6675" s="279" t="s">
        <v>7001</v>
      </c>
      <c r="F6675" s="284">
        <f t="shared" ca="1" si="208"/>
        <v>0.23002749951061752</v>
      </c>
      <c r="G6675" s="74">
        <v>38.197395359084084</v>
      </c>
      <c r="H6675" s="74">
        <f t="shared" si="209"/>
        <v>2.2970049842484386</v>
      </c>
    </row>
    <row r="6676" spans="5:8" ht="15.6">
      <c r="E6676" s="279" t="s">
        <v>7002</v>
      </c>
      <c r="F6676" s="284">
        <f t="shared" ca="1" si="208"/>
        <v>0.29760824555036181</v>
      </c>
      <c r="G6676" s="74">
        <v>37.926746897079006</v>
      </c>
      <c r="H6676" s="74">
        <f t="shared" si="209"/>
        <v>2.5676534462535159</v>
      </c>
    </row>
    <row r="6677" spans="5:8" ht="15.6">
      <c r="E6677" s="279" t="s">
        <v>7003</v>
      </c>
      <c r="F6677" s="284">
        <f t="shared" ca="1" si="208"/>
        <v>0.94100934547639747</v>
      </c>
      <c r="G6677" s="74">
        <v>43.643968115377184</v>
      </c>
      <c r="H6677" s="74">
        <f t="shared" si="209"/>
        <v>-3.1495677720446622</v>
      </c>
    </row>
    <row r="6678" spans="5:8" ht="15.6">
      <c r="E6678" s="279" t="s">
        <v>7004</v>
      </c>
      <c r="F6678" s="284">
        <f t="shared" ca="1" si="208"/>
        <v>9.528743327059408E-2</v>
      </c>
      <c r="G6678" s="74">
        <v>38.268212366386415</v>
      </c>
      <c r="H6678" s="74">
        <f t="shared" si="209"/>
        <v>2.2261879769461075</v>
      </c>
    </row>
    <row r="6679" spans="5:8" ht="15.6">
      <c r="E6679" s="279" t="s">
        <v>7005</v>
      </c>
      <c r="F6679" s="284">
        <f t="shared" ca="1" si="208"/>
        <v>0.47771651331843379</v>
      </c>
      <c r="G6679" s="74">
        <v>38.301931074307731</v>
      </c>
      <c r="H6679" s="74">
        <f t="shared" si="209"/>
        <v>2.1924692690247909</v>
      </c>
    </row>
    <row r="6680" spans="5:8" ht="15.6">
      <c r="E6680" s="279" t="s">
        <v>7006</v>
      </c>
      <c r="F6680" s="284">
        <f t="shared" ca="1" si="208"/>
        <v>0.83473436367324994</v>
      </c>
      <c r="G6680" s="74">
        <v>40.843221606491717</v>
      </c>
      <c r="H6680" s="74">
        <f t="shared" si="209"/>
        <v>-0.34882126315919493</v>
      </c>
    </row>
    <row r="6681" spans="5:8" ht="15.6">
      <c r="E6681" s="279" t="s">
        <v>7007</v>
      </c>
      <c r="F6681" s="284">
        <f t="shared" ca="1" si="208"/>
        <v>0.62592526179704344</v>
      </c>
      <c r="G6681" s="74">
        <v>35.803648674990228</v>
      </c>
      <c r="H6681" s="74">
        <f t="shared" si="209"/>
        <v>4.6907516683422941</v>
      </c>
    </row>
    <row r="6682" spans="5:8" ht="15.6">
      <c r="E6682" s="279" t="s">
        <v>7008</v>
      </c>
      <c r="F6682" s="284">
        <f t="shared" ca="1" si="208"/>
        <v>0.41720326559034404</v>
      </c>
      <c r="G6682" s="74">
        <v>40.489054034060302</v>
      </c>
      <c r="H6682" s="74">
        <f t="shared" si="209"/>
        <v>5.3463092722196848E-3</v>
      </c>
    </row>
    <row r="6683" spans="5:8" ht="15.6">
      <c r="E6683" s="279" t="s">
        <v>7009</v>
      </c>
      <c r="F6683" s="284">
        <f t="shared" ca="1" si="208"/>
        <v>4.8406111045532163E-2</v>
      </c>
      <c r="G6683" s="74">
        <v>38.050591663449048</v>
      </c>
      <c r="H6683" s="74">
        <f t="shared" si="209"/>
        <v>2.4438086798834746</v>
      </c>
    </row>
    <row r="6684" spans="5:8" ht="15.6">
      <c r="E6684" s="279" t="s">
        <v>7010</v>
      </c>
      <c r="F6684" s="284">
        <f t="shared" ca="1" si="208"/>
        <v>0.1712837503296476</v>
      </c>
      <c r="G6684" s="74">
        <v>37.341803903748712</v>
      </c>
      <c r="H6684" s="74">
        <f t="shared" si="209"/>
        <v>3.1525964395838102</v>
      </c>
    </row>
    <row r="6685" spans="5:8" ht="15.6">
      <c r="E6685" s="279" t="s">
        <v>7011</v>
      </c>
      <c r="F6685" s="284">
        <f t="shared" ca="1" si="208"/>
        <v>0.73583299833386795</v>
      </c>
      <c r="G6685" s="74">
        <v>41.638465561269086</v>
      </c>
      <c r="H6685" s="74">
        <f t="shared" si="209"/>
        <v>-1.1440652179365642</v>
      </c>
    </row>
    <row r="6686" spans="5:8" ht="15.6">
      <c r="E6686" s="279" t="s">
        <v>7012</v>
      </c>
      <c r="F6686" s="284">
        <f t="shared" ca="1" si="208"/>
        <v>0.68610735879426776</v>
      </c>
      <c r="G6686" s="74">
        <v>42.560559335939288</v>
      </c>
      <c r="H6686" s="74">
        <f t="shared" si="209"/>
        <v>-2.0661589926067663</v>
      </c>
    </row>
    <row r="6687" spans="5:8" ht="15.6">
      <c r="E6687" s="279" t="s">
        <v>7013</v>
      </c>
      <c r="F6687" s="284">
        <f t="shared" ca="1" si="208"/>
        <v>0.98863298336308436</v>
      </c>
      <c r="G6687" s="74">
        <v>32.964572885971812</v>
      </c>
      <c r="H6687" s="74">
        <f t="shared" si="209"/>
        <v>7.5298274573607102</v>
      </c>
    </row>
    <row r="6688" spans="5:8" ht="15.6">
      <c r="E6688" s="279" t="s">
        <v>7014</v>
      </c>
      <c r="F6688" s="284">
        <f t="shared" ca="1" si="208"/>
        <v>0.94006648086075095</v>
      </c>
      <c r="G6688" s="74">
        <v>41.585571111296645</v>
      </c>
      <c r="H6688" s="74">
        <f t="shared" si="209"/>
        <v>-1.0911707679641225</v>
      </c>
    </row>
    <row r="6689" spans="5:8" ht="15.6">
      <c r="E6689" s="279" t="s">
        <v>7015</v>
      </c>
      <c r="F6689" s="284">
        <f t="shared" ca="1" si="208"/>
        <v>0.69866929303640213</v>
      </c>
      <c r="G6689" s="74">
        <v>42.031962760979106</v>
      </c>
      <c r="H6689" s="74">
        <f t="shared" si="209"/>
        <v>-1.5375624176465834</v>
      </c>
    </row>
    <row r="6690" spans="5:8" ht="15.6">
      <c r="E6690" s="279" t="s">
        <v>7016</v>
      </c>
      <c r="F6690" s="284">
        <f t="shared" ca="1" si="208"/>
        <v>0.13005167423607922</v>
      </c>
      <c r="G6690" s="74">
        <v>38.05245564211652</v>
      </c>
      <c r="H6690" s="74">
        <f t="shared" si="209"/>
        <v>2.441944701216002</v>
      </c>
    </row>
    <row r="6691" spans="5:8" ht="15.6">
      <c r="E6691" s="279" t="s">
        <v>7017</v>
      </c>
      <c r="F6691" s="284">
        <f t="shared" ca="1" si="208"/>
        <v>0.90915101956287825</v>
      </c>
      <c r="G6691" s="74">
        <v>42.382465279399042</v>
      </c>
      <c r="H6691" s="74">
        <f t="shared" si="209"/>
        <v>-1.8880649360665203</v>
      </c>
    </row>
    <row r="6692" spans="5:8" ht="15.6">
      <c r="E6692" s="279" t="s">
        <v>7018</v>
      </c>
      <c r="F6692" s="284">
        <f t="shared" ca="1" si="208"/>
        <v>0.16947410109510641</v>
      </c>
      <c r="G6692" s="74">
        <v>39.719892196799961</v>
      </c>
      <c r="H6692" s="74">
        <f t="shared" si="209"/>
        <v>0.77450814653256117</v>
      </c>
    </row>
    <row r="6693" spans="5:8" ht="15.6">
      <c r="E6693" s="279" t="s">
        <v>7019</v>
      </c>
      <c r="F6693" s="284">
        <f t="shared" ca="1" si="208"/>
        <v>0.7972332482745077</v>
      </c>
      <c r="G6693" s="74">
        <v>41.878555824343195</v>
      </c>
      <c r="H6693" s="74">
        <f t="shared" si="209"/>
        <v>-1.3841554810106729</v>
      </c>
    </row>
    <row r="6694" spans="5:8" ht="15.6">
      <c r="E6694" s="279" t="s">
        <v>7020</v>
      </c>
      <c r="F6694" s="284">
        <f t="shared" ca="1" si="208"/>
        <v>3.9043421404779566E-2</v>
      </c>
      <c r="G6694" s="74">
        <v>42.14585990937168</v>
      </c>
      <c r="H6694" s="74">
        <f t="shared" si="209"/>
        <v>-1.6514595660391578</v>
      </c>
    </row>
    <row r="6695" spans="5:8" ht="15.6">
      <c r="E6695" s="279" t="s">
        <v>7021</v>
      </c>
      <c r="F6695" s="284">
        <f t="shared" ca="1" si="208"/>
        <v>0.68054717251896146</v>
      </c>
      <c r="G6695" s="74">
        <v>42.088924414155365</v>
      </c>
      <c r="H6695" s="74">
        <f t="shared" si="209"/>
        <v>-1.5945240708228425</v>
      </c>
    </row>
    <row r="6696" spans="5:8" ht="15.6">
      <c r="E6696" s="279" t="s">
        <v>7022</v>
      </c>
      <c r="F6696" s="284">
        <f t="shared" ca="1" si="208"/>
        <v>0.32427225584730113</v>
      </c>
      <c r="G6696" s="74">
        <v>39.589546529566157</v>
      </c>
      <c r="H6696" s="74">
        <f t="shared" si="209"/>
        <v>0.90485381376636553</v>
      </c>
    </row>
    <row r="6697" spans="5:8" ht="15.6">
      <c r="E6697" s="279" t="s">
        <v>7023</v>
      </c>
      <c r="F6697" s="284">
        <f t="shared" ca="1" si="208"/>
        <v>0.60272673634463458</v>
      </c>
      <c r="G6697" s="74">
        <v>34.9582952303222</v>
      </c>
      <c r="H6697" s="74">
        <f t="shared" si="209"/>
        <v>5.536105113010322</v>
      </c>
    </row>
    <row r="6698" spans="5:8" ht="15.6">
      <c r="E6698" s="279" t="s">
        <v>7024</v>
      </c>
      <c r="F6698" s="284">
        <f t="shared" ca="1" si="208"/>
        <v>0.49679778342860992</v>
      </c>
      <c r="G6698" s="74">
        <v>38.624227940587772</v>
      </c>
      <c r="H6698" s="74">
        <f t="shared" si="209"/>
        <v>1.8701724027447497</v>
      </c>
    </row>
    <row r="6699" spans="5:8" ht="15.6">
      <c r="E6699" s="279" t="s">
        <v>7025</v>
      </c>
      <c r="F6699" s="284">
        <f t="shared" ca="1" si="208"/>
        <v>0.27257205075120505</v>
      </c>
      <c r="G6699" s="74">
        <v>36.108316339376252</v>
      </c>
      <c r="H6699" s="74">
        <f t="shared" si="209"/>
        <v>4.3860840039562703</v>
      </c>
    </row>
    <row r="6700" spans="5:8" ht="15.6">
      <c r="E6700" s="279" t="s">
        <v>7026</v>
      </c>
      <c r="F6700" s="284">
        <f t="shared" ca="1" si="208"/>
        <v>0.1415085661499258</v>
      </c>
      <c r="G6700" s="74">
        <v>39.001258728475243</v>
      </c>
      <c r="H6700" s="74">
        <f t="shared" si="209"/>
        <v>1.4931416148572794</v>
      </c>
    </row>
    <row r="6701" spans="5:8" ht="15.6">
      <c r="E6701" s="279" t="s">
        <v>7027</v>
      </c>
      <c r="F6701" s="284">
        <f t="shared" ca="1" si="208"/>
        <v>0.42026612024290166</v>
      </c>
      <c r="G6701" s="74">
        <v>45.046642933275933</v>
      </c>
      <c r="H6701" s="74">
        <f t="shared" si="209"/>
        <v>-4.5522425899434111</v>
      </c>
    </row>
    <row r="6702" spans="5:8" ht="15.6">
      <c r="E6702" s="279" t="s">
        <v>7028</v>
      </c>
      <c r="F6702" s="284">
        <f t="shared" ca="1" si="208"/>
        <v>0.43968937062873259</v>
      </c>
      <c r="G6702" s="74">
        <v>38.672412121999351</v>
      </c>
      <c r="H6702" s="74">
        <f t="shared" si="209"/>
        <v>1.8219882213331715</v>
      </c>
    </row>
    <row r="6703" spans="5:8" ht="15.6">
      <c r="E6703" s="279" t="s">
        <v>7029</v>
      </c>
      <c r="F6703" s="284">
        <f t="shared" ca="1" si="208"/>
        <v>0.6113887904525972</v>
      </c>
      <c r="G6703" s="74">
        <v>35.575107868538389</v>
      </c>
      <c r="H6703" s="74">
        <f t="shared" si="209"/>
        <v>4.9192924747941333</v>
      </c>
    </row>
    <row r="6704" spans="5:8" ht="15.6">
      <c r="E6704" s="279" t="s">
        <v>7030</v>
      </c>
      <c r="F6704" s="284">
        <f t="shared" ca="1" si="208"/>
        <v>5.0855746235522914E-2</v>
      </c>
      <c r="G6704" s="74">
        <v>43.891990752506175</v>
      </c>
      <c r="H6704" s="74">
        <f t="shared" si="209"/>
        <v>-3.3975904091736524</v>
      </c>
    </row>
    <row r="6705" spans="5:8" ht="15.6">
      <c r="E6705" s="279" t="s">
        <v>7031</v>
      </c>
      <c r="F6705" s="284">
        <f t="shared" ca="1" si="208"/>
        <v>0.47923829394157236</v>
      </c>
      <c r="G6705" s="74">
        <v>33.000140612793366</v>
      </c>
      <c r="H6705" s="74">
        <f t="shared" si="209"/>
        <v>7.4942597305391558</v>
      </c>
    </row>
    <row r="6706" spans="5:8" ht="15.6">
      <c r="E6706" s="279" t="s">
        <v>7032</v>
      </c>
      <c r="F6706" s="284">
        <f t="shared" ca="1" si="208"/>
        <v>4.617359467678428E-2</v>
      </c>
      <c r="G6706" s="74">
        <v>40.254608434241383</v>
      </c>
      <c r="H6706" s="74">
        <f t="shared" si="209"/>
        <v>0.23979190909113868</v>
      </c>
    </row>
    <row r="6707" spans="5:8" ht="15.6">
      <c r="E6707" s="279" t="s">
        <v>7033</v>
      </c>
      <c r="F6707" s="284">
        <f t="shared" ca="1" si="208"/>
        <v>0.21899274629474885</v>
      </c>
      <c r="G6707" s="74">
        <v>38.963785453371301</v>
      </c>
      <c r="H6707" s="74">
        <f t="shared" si="209"/>
        <v>1.5306148899612211</v>
      </c>
    </row>
    <row r="6708" spans="5:8" ht="15.6">
      <c r="E6708" s="279" t="s">
        <v>7034</v>
      </c>
      <c r="F6708" s="284">
        <f t="shared" ca="1" si="208"/>
        <v>0.64672051543554721</v>
      </c>
      <c r="G6708" s="74">
        <v>40.646273104465685</v>
      </c>
      <c r="H6708" s="74">
        <f t="shared" si="209"/>
        <v>-0.15187276113316273</v>
      </c>
    </row>
    <row r="6709" spans="5:8" ht="15.6">
      <c r="E6709" s="279" t="s">
        <v>7035</v>
      </c>
      <c r="F6709" s="284">
        <f t="shared" ca="1" si="208"/>
        <v>0.33215554165639771</v>
      </c>
      <c r="G6709" s="74">
        <v>38.484432303097726</v>
      </c>
      <c r="H6709" s="74">
        <f t="shared" si="209"/>
        <v>2.0099680402347957</v>
      </c>
    </row>
    <row r="6710" spans="5:8" ht="15.6">
      <c r="E6710" s="279" t="s">
        <v>7036</v>
      </c>
      <c r="F6710" s="284">
        <f t="shared" ca="1" si="208"/>
        <v>0.25316236975808903</v>
      </c>
      <c r="G6710" s="74">
        <v>43.302068162702732</v>
      </c>
      <c r="H6710" s="74">
        <f t="shared" si="209"/>
        <v>-2.8076678193702094</v>
      </c>
    </row>
    <row r="6711" spans="5:8" ht="15.6">
      <c r="E6711" s="279" t="s">
        <v>7037</v>
      </c>
      <c r="F6711" s="284">
        <f t="shared" ca="1" si="208"/>
        <v>0.4411623796747618</v>
      </c>
      <c r="G6711" s="74">
        <v>40.420319497780454</v>
      </c>
      <c r="H6711" s="74">
        <f t="shared" si="209"/>
        <v>7.4080845552067842E-2</v>
      </c>
    </row>
    <row r="6712" spans="5:8" ht="15.6">
      <c r="E6712" s="279" t="s">
        <v>7038</v>
      </c>
      <c r="F6712" s="284">
        <f t="shared" ca="1" si="208"/>
        <v>0.7245139823689859</v>
      </c>
      <c r="G6712" s="74">
        <v>42.1367206447417</v>
      </c>
      <c r="H6712" s="74">
        <f t="shared" si="209"/>
        <v>-1.6423203014091783</v>
      </c>
    </row>
    <row r="6713" spans="5:8" ht="15.6">
      <c r="E6713" s="279" t="s">
        <v>7039</v>
      </c>
      <c r="F6713" s="284">
        <f t="shared" ca="1" si="208"/>
        <v>0.74390646946756989</v>
      </c>
      <c r="G6713" s="74">
        <v>41.749963400672449</v>
      </c>
      <c r="H6713" s="74">
        <f t="shared" si="209"/>
        <v>-1.255563057339927</v>
      </c>
    </row>
    <row r="6714" spans="5:8" ht="15.6">
      <c r="E6714" s="279" t="s">
        <v>7040</v>
      </c>
      <c r="F6714" s="284">
        <f t="shared" ca="1" si="208"/>
        <v>0.44430839997245719</v>
      </c>
      <c r="G6714" s="74">
        <v>39.759317660197638</v>
      </c>
      <c r="H6714" s="74">
        <f t="shared" si="209"/>
        <v>0.73508268313488401</v>
      </c>
    </row>
    <row r="6715" spans="5:8" ht="15.6">
      <c r="E6715" s="279" t="s">
        <v>7041</v>
      </c>
      <c r="F6715" s="284">
        <f t="shared" ca="1" si="208"/>
        <v>0.77254532491738992</v>
      </c>
      <c r="G6715" s="74">
        <v>37.924565593183814</v>
      </c>
      <c r="H6715" s="74">
        <f t="shared" si="209"/>
        <v>2.5698347501487078</v>
      </c>
    </row>
    <row r="6716" spans="5:8" ht="15.6">
      <c r="E6716" s="279" t="s">
        <v>7042</v>
      </c>
      <c r="F6716" s="284">
        <f t="shared" ca="1" si="208"/>
        <v>0.26391691004671347</v>
      </c>
      <c r="G6716" s="74">
        <v>35.355038100471432</v>
      </c>
      <c r="H6716" s="74">
        <f t="shared" si="209"/>
        <v>5.1393622428610897</v>
      </c>
    </row>
    <row r="6717" spans="5:8" ht="15.6">
      <c r="E6717" s="279" t="s">
        <v>7043</v>
      </c>
      <c r="F6717" s="284">
        <f t="shared" ca="1" si="208"/>
        <v>0.98659835263169682</v>
      </c>
      <c r="G6717" s="74">
        <v>39.782161153576595</v>
      </c>
      <c r="H6717" s="74">
        <f t="shared" si="209"/>
        <v>0.71223918975592682</v>
      </c>
    </row>
    <row r="6718" spans="5:8" ht="15.6">
      <c r="E6718" s="279" t="s">
        <v>7044</v>
      </c>
      <c r="F6718" s="284">
        <f t="shared" ca="1" si="208"/>
        <v>0.58249137117352223</v>
      </c>
      <c r="G6718" s="74">
        <v>35.013642114162032</v>
      </c>
      <c r="H6718" s="74">
        <f t="shared" si="209"/>
        <v>5.4807582291704904</v>
      </c>
    </row>
    <row r="6719" spans="5:8" ht="15.6">
      <c r="E6719" s="279" t="s">
        <v>7045</v>
      </c>
      <c r="F6719" s="284">
        <f t="shared" ca="1" si="208"/>
        <v>0.88587634944193772</v>
      </c>
      <c r="G6719" s="74">
        <v>37.552123115596956</v>
      </c>
      <c r="H6719" s="74">
        <f t="shared" si="209"/>
        <v>2.9422772277355662</v>
      </c>
    </row>
    <row r="6720" spans="5:8" ht="15.6">
      <c r="E6720" s="279" t="s">
        <v>7046</v>
      </c>
      <c r="F6720" s="284">
        <f t="shared" ca="1" si="208"/>
        <v>0.16563904259621154</v>
      </c>
      <c r="G6720" s="74">
        <v>39.985454908179427</v>
      </c>
      <c r="H6720" s="74">
        <f t="shared" si="209"/>
        <v>0.50894543515309465</v>
      </c>
    </row>
    <row r="6721" spans="5:8" ht="15.6">
      <c r="E6721" s="279" t="s">
        <v>7047</v>
      </c>
      <c r="F6721" s="284">
        <f t="shared" ca="1" si="208"/>
        <v>0.28579709788070806</v>
      </c>
      <c r="G6721" s="74">
        <v>38.801362184833756</v>
      </c>
      <c r="H6721" s="74">
        <f t="shared" si="209"/>
        <v>1.6930381584987657</v>
      </c>
    </row>
    <row r="6722" spans="5:8" ht="15.6">
      <c r="E6722" s="279" t="s">
        <v>7048</v>
      </c>
      <c r="F6722" s="284">
        <f t="shared" ca="1" si="208"/>
        <v>0.41580978883998199</v>
      </c>
      <c r="G6722" s="74">
        <v>38.590157911756179</v>
      </c>
      <c r="H6722" s="74">
        <f t="shared" si="209"/>
        <v>1.9042424315763427</v>
      </c>
    </row>
    <row r="6723" spans="5:8" ht="15.6">
      <c r="E6723" s="279" t="s">
        <v>7049</v>
      </c>
      <c r="F6723" s="284">
        <f t="shared" ca="1" si="208"/>
        <v>0.97020820444137967</v>
      </c>
      <c r="G6723" s="74">
        <v>35.525554548500196</v>
      </c>
      <c r="H6723" s="74">
        <f t="shared" si="209"/>
        <v>4.9688457948323261</v>
      </c>
    </row>
    <row r="6724" spans="5:8" ht="15.6">
      <c r="E6724" s="279" t="s">
        <v>7050</v>
      </c>
      <c r="F6724" s="284">
        <f t="shared" ca="1" si="208"/>
        <v>0.27065684007488533</v>
      </c>
      <c r="G6724" s="74">
        <v>39.868697635085198</v>
      </c>
      <c r="H6724" s="74">
        <f t="shared" si="209"/>
        <v>0.62570270824732432</v>
      </c>
    </row>
    <row r="6725" spans="5:8" ht="15.6">
      <c r="E6725" s="279" t="s">
        <v>7051</v>
      </c>
      <c r="F6725" s="284">
        <f t="shared" ca="1" si="208"/>
        <v>0.25598163901426385</v>
      </c>
      <c r="G6725" s="74">
        <v>36.856934592069493</v>
      </c>
      <c r="H6725" s="74">
        <f t="shared" si="209"/>
        <v>3.6374657512630293</v>
      </c>
    </row>
    <row r="6726" spans="5:8" ht="15.6">
      <c r="E6726" s="279" t="s">
        <v>7052</v>
      </c>
      <c r="F6726" s="284">
        <f t="shared" ca="1" si="208"/>
        <v>0.73039622886606725</v>
      </c>
      <c r="G6726" s="74">
        <v>38.700246716133655</v>
      </c>
      <c r="H6726" s="74">
        <f t="shared" si="209"/>
        <v>1.7941536271988667</v>
      </c>
    </row>
    <row r="6727" spans="5:8" ht="15.6">
      <c r="E6727" s="279" t="s">
        <v>7053</v>
      </c>
      <c r="F6727" s="284">
        <f t="shared" ca="1" si="208"/>
        <v>0.81133715489597924</v>
      </c>
      <c r="G6727" s="74">
        <v>39.89770231402462</v>
      </c>
      <c r="H6727" s="74">
        <f t="shared" si="209"/>
        <v>0.59669802930790183</v>
      </c>
    </row>
    <row r="6728" spans="5:8" ht="15.6">
      <c r="E6728" s="279" t="s">
        <v>7054</v>
      </c>
      <c r="F6728" s="284">
        <f t="shared" ca="1" si="208"/>
        <v>0.98685045051178721</v>
      </c>
      <c r="G6728" s="74">
        <v>35.351226326482077</v>
      </c>
      <c r="H6728" s="74">
        <f t="shared" si="209"/>
        <v>5.1431740168504447</v>
      </c>
    </row>
    <row r="6729" spans="5:8" ht="15.6">
      <c r="E6729" s="279" t="s">
        <v>7055</v>
      </c>
      <c r="F6729" s="284">
        <f t="shared" ca="1" si="208"/>
        <v>2.2463262344007973E-5</v>
      </c>
      <c r="G6729" s="74">
        <v>39.628195888943445</v>
      </c>
      <c r="H6729" s="74">
        <f t="shared" si="209"/>
        <v>0.86620445438907723</v>
      </c>
    </row>
    <row r="6730" spans="5:8" ht="15.6">
      <c r="E6730" s="279" t="s">
        <v>7056</v>
      </c>
      <c r="F6730" s="284">
        <f t="shared" ca="1" si="208"/>
        <v>0.88147524456520965</v>
      </c>
      <c r="G6730" s="74">
        <v>42.082081596263627</v>
      </c>
      <c r="H6730" s="74">
        <f t="shared" si="209"/>
        <v>-1.5876812529311053</v>
      </c>
    </row>
    <row r="6731" spans="5:8" ht="15.6">
      <c r="E6731" s="279" t="s">
        <v>7057</v>
      </c>
      <c r="F6731" s="284">
        <f t="shared" ca="1" si="208"/>
        <v>0.47802598570365429</v>
      </c>
      <c r="G6731" s="74">
        <v>37.533723953597885</v>
      </c>
      <c r="H6731" s="74">
        <f t="shared" si="209"/>
        <v>2.9606763897346369</v>
      </c>
    </row>
    <row r="6732" spans="5:8" ht="15.6">
      <c r="E6732" s="279" t="s">
        <v>7058</v>
      </c>
      <c r="F6732" s="284">
        <f t="shared" ref="F6732:F6795" ca="1" si="210">RAND()</f>
        <v>5.2741708900524431E-3</v>
      </c>
      <c r="G6732" s="74">
        <v>36.499049594438283</v>
      </c>
      <c r="H6732" s="74">
        <f t="shared" ref="H6732:H6795" si="211">$D$2-G6732</f>
        <v>3.9953507488942392</v>
      </c>
    </row>
    <row r="6733" spans="5:8" ht="15.6">
      <c r="E6733" s="279" t="s">
        <v>7059</v>
      </c>
      <c r="F6733" s="284">
        <f t="shared" ca="1" si="210"/>
        <v>0.26704226439932099</v>
      </c>
      <c r="G6733" s="74">
        <v>41.970395898396148</v>
      </c>
      <c r="H6733" s="74">
        <f t="shared" si="211"/>
        <v>-1.4759955550636263</v>
      </c>
    </row>
    <row r="6734" spans="5:8" ht="15.6">
      <c r="E6734" s="279" t="s">
        <v>7060</v>
      </c>
      <c r="F6734" s="284">
        <f t="shared" ca="1" si="210"/>
        <v>0.18831729368644579</v>
      </c>
      <c r="G6734" s="74">
        <v>42.37687991786791</v>
      </c>
      <c r="H6734" s="74">
        <f t="shared" si="211"/>
        <v>-1.8824795745353882</v>
      </c>
    </row>
    <row r="6735" spans="5:8" ht="15.6">
      <c r="E6735" s="279" t="s">
        <v>7061</v>
      </c>
      <c r="F6735" s="284">
        <f t="shared" ca="1" si="210"/>
        <v>0.99915803475462861</v>
      </c>
      <c r="G6735" s="74">
        <v>37.071262935051031</v>
      </c>
      <c r="H6735" s="74">
        <f t="shared" si="211"/>
        <v>3.4231374082814909</v>
      </c>
    </row>
    <row r="6736" spans="5:8" ht="15.6">
      <c r="E6736" s="279" t="s">
        <v>7062</v>
      </c>
      <c r="F6736" s="284">
        <f t="shared" ca="1" si="210"/>
        <v>0.46436793994475167</v>
      </c>
      <c r="G6736" s="74">
        <v>39.245223404271066</v>
      </c>
      <c r="H6736" s="74">
        <f t="shared" si="211"/>
        <v>1.2491769390614564</v>
      </c>
    </row>
    <row r="6737" spans="5:8" ht="15.6">
      <c r="E6737" s="279" t="s">
        <v>7063</v>
      </c>
      <c r="F6737" s="284">
        <f t="shared" ca="1" si="210"/>
        <v>0.8724114989706836</v>
      </c>
      <c r="G6737" s="74">
        <v>36.590055095219519</v>
      </c>
      <c r="H6737" s="74">
        <f t="shared" si="211"/>
        <v>3.9043452481130032</v>
      </c>
    </row>
    <row r="6738" spans="5:8" ht="15.6">
      <c r="E6738" s="279" t="s">
        <v>7064</v>
      </c>
      <c r="F6738" s="284">
        <f t="shared" ca="1" si="210"/>
        <v>0.77477594949597328</v>
      </c>
      <c r="G6738" s="74">
        <v>37.222314853033978</v>
      </c>
      <c r="H6738" s="74">
        <f t="shared" si="211"/>
        <v>3.2720854902985437</v>
      </c>
    </row>
    <row r="6739" spans="5:8" ht="15.6">
      <c r="E6739" s="279" t="s">
        <v>7065</v>
      </c>
      <c r="F6739" s="284">
        <f t="shared" ca="1" si="210"/>
        <v>0.77109157929425354</v>
      </c>
      <c r="G6739" s="74">
        <v>38.864965257833354</v>
      </c>
      <c r="H6739" s="74">
        <f t="shared" si="211"/>
        <v>1.6294350854991677</v>
      </c>
    </row>
    <row r="6740" spans="5:8" ht="15.6">
      <c r="E6740" s="279" t="s">
        <v>7066</v>
      </c>
      <c r="F6740" s="284">
        <f t="shared" ca="1" si="210"/>
        <v>0.77356178180782076</v>
      </c>
      <c r="G6740" s="74">
        <v>37.795523887002496</v>
      </c>
      <c r="H6740" s="74">
        <f t="shared" si="211"/>
        <v>2.6988764563300265</v>
      </c>
    </row>
    <row r="6741" spans="5:8" ht="15.6">
      <c r="E6741" s="279" t="s">
        <v>7067</v>
      </c>
      <c r="F6741" s="284">
        <f t="shared" ca="1" si="210"/>
        <v>0.53552071627219955</v>
      </c>
      <c r="G6741" s="74">
        <v>40.884439994785048</v>
      </c>
      <c r="H6741" s="74">
        <f t="shared" si="211"/>
        <v>-0.3900396514525255</v>
      </c>
    </row>
    <row r="6742" spans="5:8" ht="15.6">
      <c r="E6742" s="279" t="s">
        <v>7068</v>
      </c>
      <c r="F6742" s="284">
        <f t="shared" ca="1" si="210"/>
        <v>0.3199184920669409</v>
      </c>
      <c r="G6742" s="74">
        <v>39.634737167095054</v>
      </c>
      <c r="H6742" s="74">
        <f t="shared" si="211"/>
        <v>0.85966317623746846</v>
      </c>
    </row>
    <row r="6743" spans="5:8" ht="15.6">
      <c r="E6743" s="279" t="s">
        <v>7069</v>
      </c>
      <c r="F6743" s="284">
        <f t="shared" ca="1" si="210"/>
        <v>6.5732799519132801E-2</v>
      </c>
      <c r="G6743" s="74">
        <v>39.305154310546655</v>
      </c>
      <c r="H6743" s="74">
        <f t="shared" si="211"/>
        <v>1.1892460327858672</v>
      </c>
    </row>
    <row r="6744" spans="5:8" ht="15.6">
      <c r="E6744" s="279" t="s">
        <v>7070</v>
      </c>
      <c r="F6744" s="284">
        <f t="shared" ca="1" si="210"/>
        <v>0.49089856891378036</v>
      </c>
      <c r="G6744" s="74">
        <v>39.035744580085662</v>
      </c>
      <c r="H6744" s="74">
        <f t="shared" si="211"/>
        <v>1.4586557632468597</v>
      </c>
    </row>
    <row r="6745" spans="5:8" ht="15.6">
      <c r="E6745" s="279" t="s">
        <v>7071</v>
      </c>
      <c r="F6745" s="284">
        <f t="shared" ca="1" si="210"/>
        <v>0.33396846936284019</v>
      </c>
      <c r="G6745" s="74">
        <v>32.895940110709255</v>
      </c>
      <c r="H6745" s="74">
        <f t="shared" si="211"/>
        <v>7.5984602326232675</v>
      </c>
    </row>
    <row r="6746" spans="5:8" ht="15.6">
      <c r="E6746" s="279" t="s">
        <v>7072</v>
      </c>
      <c r="F6746" s="284">
        <f t="shared" ca="1" si="210"/>
        <v>0.78801492572113119</v>
      </c>
      <c r="G6746" s="74">
        <v>36.446379234376607</v>
      </c>
      <c r="H6746" s="74">
        <f t="shared" si="211"/>
        <v>4.0480211089559148</v>
      </c>
    </row>
    <row r="6747" spans="5:8" ht="15.6">
      <c r="E6747" s="279" t="s">
        <v>7073</v>
      </c>
      <c r="F6747" s="284">
        <f t="shared" ca="1" si="210"/>
        <v>0.25858263460654918</v>
      </c>
      <c r="G6747" s="74">
        <v>40.307397231382105</v>
      </c>
      <c r="H6747" s="74">
        <f t="shared" si="211"/>
        <v>0.18700311195041763</v>
      </c>
    </row>
    <row r="6748" spans="5:8" ht="15.6">
      <c r="E6748" s="279" t="s">
        <v>7074</v>
      </c>
      <c r="F6748" s="284">
        <f t="shared" ca="1" si="210"/>
        <v>0.69130442425518901</v>
      </c>
      <c r="G6748" s="74">
        <v>38.726693960166195</v>
      </c>
      <c r="H6748" s="74">
        <f t="shared" si="211"/>
        <v>1.7677063831663276</v>
      </c>
    </row>
    <row r="6749" spans="5:8" ht="15.6">
      <c r="E6749" s="279" t="s">
        <v>7075</v>
      </c>
      <c r="F6749" s="284">
        <f t="shared" ca="1" si="210"/>
        <v>0.10480516617796465</v>
      </c>
      <c r="G6749" s="74">
        <v>37.358019490780286</v>
      </c>
      <c r="H6749" s="74">
        <f t="shared" si="211"/>
        <v>3.1363808525522359</v>
      </c>
    </row>
    <row r="6750" spans="5:8" ht="15.6">
      <c r="E6750" s="279" t="s">
        <v>7076</v>
      </c>
      <c r="F6750" s="284">
        <f t="shared" ca="1" si="210"/>
        <v>0.72337203674243578</v>
      </c>
      <c r="G6750" s="74">
        <v>42.187161225719557</v>
      </c>
      <c r="H6750" s="74">
        <f t="shared" si="211"/>
        <v>-1.6927608823870344</v>
      </c>
    </row>
    <row r="6751" spans="5:8" ht="15.6">
      <c r="E6751" s="279" t="s">
        <v>7077</v>
      </c>
      <c r="F6751" s="284">
        <f t="shared" ca="1" si="210"/>
        <v>0.21627278478288914</v>
      </c>
      <c r="G6751" s="74">
        <v>39.031406511443706</v>
      </c>
      <c r="H6751" s="74">
        <f t="shared" si="211"/>
        <v>1.4629938318888165</v>
      </c>
    </row>
    <row r="6752" spans="5:8" ht="15.6">
      <c r="E6752" s="279" t="s">
        <v>7078</v>
      </c>
      <c r="F6752" s="284">
        <f t="shared" ca="1" si="210"/>
        <v>0.51583899575718595</v>
      </c>
      <c r="G6752" s="74">
        <v>38.014813335519676</v>
      </c>
      <c r="H6752" s="74">
        <f t="shared" si="211"/>
        <v>2.4795870078128459</v>
      </c>
    </row>
    <row r="6753" spans="5:8" ht="15.6">
      <c r="E6753" s="279" t="s">
        <v>7079</v>
      </c>
      <c r="F6753" s="284">
        <f t="shared" ca="1" si="210"/>
        <v>0.58539889534679668</v>
      </c>
      <c r="G6753" s="74">
        <v>43.906240626180782</v>
      </c>
      <c r="H6753" s="74">
        <f t="shared" si="211"/>
        <v>-3.4118402828482601</v>
      </c>
    </row>
    <row r="6754" spans="5:8" ht="15.6">
      <c r="E6754" s="279" t="s">
        <v>7080</v>
      </c>
      <c r="F6754" s="284">
        <f t="shared" ca="1" si="210"/>
        <v>0.14200581276154578</v>
      </c>
      <c r="G6754" s="74">
        <v>42.507069562195916</v>
      </c>
      <c r="H6754" s="74">
        <f t="shared" si="211"/>
        <v>-2.0126692188633939</v>
      </c>
    </row>
    <row r="6755" spans="5:8" ht="15.6">
      <c r="E6755" s="279" t="s">
        <v>7081</v>
      </c>
      <c r="F6755" s="284">
        <f t="shared" ca="1" si="210"/>
        <v>0.73610369556648891</v>
      </c>
      <c r="G6755" s="74">
        <v>39.4662126719318</v>
      </c>
      <c r="H6755" s="74">
        <f t="shared" si="211"/>
        <v>1.0281876714007225</v>
      </c>
    </row>
    <row r="6756" spans="5:8" ht="15.6">
      <c r="E6756" s="279" t="s">
        <v>7082</v>
      </c>
      <c r="F6756" s="284">
        <f t="shared" ca="1" si="210"/>
        <v>0.63073522374944879</v>
      </c>
      <c r="G6756" s="74">
        <v>39.796292883818275</v>
      </c>
      <c r="H6756" s="74">
        <f t="shared" si="211"/>
        <v>0.69810745951424735</v>
      </c>
    </row>
    <row r="6757" spans="5:8" ht="15.6">
      <c r="E6757" s="279" t="s">
        <v>7083</v>
      </c>
      <c r="F6757" s="284">
        <f t="shared" ca="1" si="210"/>
        <v>0.75244942928555736</v>
      </c>
      <c r="G6757" s="74">
        <v>43.909366786788766</v>
      </c>
      <c r="H6757" s="74">
        <f t="shared" si="211"/>
        <v>-3.4149664434562439</v>
      </c>
    </row>
    <row r="6758" spans="5:8" ht="15.6">
      <c r="E6758" s="279" t="s">
        <v>7084</v>
      </c>
      <c r="F6758" s="284">
        <f t="shared" ca="1" si="210"/>
        <v>0.88540361719480432</v>
      </c>
      <c r="G6758" s="74">
        <v>32.971194245560774</v>
      </c>
      <c r="H6758" s="74">
        <f t="shared" si="211"/>
        <v>7.5232060977717481</v>
      </c>
    </row>
    <row r="6759" spans="5:8" ht="15.6">
      <c r="E6759" s="279" t="s">
        <v>7085</v>
      </c>
      <c r="F6759" s="284">
        <f t="shared" ca="1" si="210"/>
        <v>0.38452929026769433</v>
      </c>
      <c r="G6759" s="74">
        <v>36.808976801136119</v>
      </c>
      <c r="H6759" s="74">
        <f t="shared" si="211"/>
        <v>3.6854235421964034</v>
      </c>
    </row>
    <row r="6760" spans="5:8" ht="15.6">
      <c r="E6760" s="279" t="s">
        <v>7086</v>
      </c>
      <c r="F6760" s="284">
        <f t="shared" ca="1" si="210"/>
        <v>0.2814117669365449</v>
      </c>
      <c r="G6760" s="74">
        <v>43.787783999774554</v>
      </c>
      <c r="H6760" s="74">
        <f t="shared" si="211"/>
        <v>-3.2933836564420318</v>
      </c>
    </row>
    <row r="6761" spans="5:8" ht="15.6">
      <c r="E6761" s="279" t="s">
        <v>7087</v>
      </c>
      <c r="F6761" s="284">
        <f t="shared" ca="1" si="210"/>
        <v>0.50538607876503772</v>
      </c>
      <c r="G6761" s="74">
        <v>38.21447093633266</v>
      </c>
      <c r="H6761" s="74">
        <f t="shared" si="211"/>
        <v>2.2799294069998624</v>
      </c>
    </row>
    <row r="6762" spans="5:8" ht="15.6">
      <c r="E6762" s="279" t="s">
        <v>7088</v>
      </c>
      <c r="F6762" s="284">
        <f t="shared" ca="1" si="210"/>
        <v>0.77152471866655037</v>
      </c>
      <c r="G6762" s="74">
        <v>39.153832971111967</v>
      </c>
      <c r="H6762" s="74">
        <f t="shared" si="211"/>
        <v>1.3405673722205549</v>
      </c>
    </row>
    <row r="6763" spans="5:8" ht="15.6">
      <c r="E6763" s="279" t="s">
        <v>7089</v>
      </c>
      <c r="F6763" s="284">
        <f t="shared" ca="1" si="210"/>
        <v>0.3571657481858822</v>
      </c>
      <c r="G6763" s="74">
        <v>39.224372867268215</v>
      </c>
      <c r="H6763" s="74">
        <f t="shared" si="211"/>
        <v>1.2700274760643069</v>
      </c>
    </row>
    <row r="6764" spans="5:8" ht="15.6">
      <c r="E6764" s="279" t="s">
        <v>7090</v>
      </c>
      <c r="F6764" s="284">
        <f t="shared" ca="1" si="210"/>
        <v>0.95565367702228154</v>
      </c>
      <c r="G6764" s="74">
        <v>38.249475722386322</v>
      </c>
      <c r="H6764" s="74">
        <f t="shared" si="211"/>
        <v>2.2449246209462004</v>
      </c>
    </row>
    <row r="6765" spans="5:8" ht="15.6">
      <c r="E6765" s="279" t="s">
        <v>7091</v>
      </c>
      <c r="F6765" s="284">
        <f t="shared" ca="1" si="210"/>
        <v>0.42974659616681898</v>
      </c>
      <c r="G6765" s="74">
        <v>37.778741128624389</v>
      </c>
      <c r="H6765" s="74">
        <f t="shared" si="211"/>
        <v>2.7156592147081327</v>
      </c>
    </row>
    <row r="6766" spans="5:8" ht="15.6">
      <c r="E6766" s="279" t="s">
        <v>7092</v>
      </c>
      <c r="F6766" s="284">
        <f t="shared" ca="1" si="210"/>
        <v>0.44104309316791668</v>
      </c>
      <c r="G6766" s="74">
        <v>37.097886548908932</v>
      </c>
      <c r="H6766" s="74">
        <f t="shared" si="211"/>
        <v>3.3965137944235906</v>
      </c>
    </row>
    <row r="6767" spans="5:8" ht="15.6">
      <c r="E6767" s="279" t="s">
        <v>7093</v>
      </c>
      <c r="F6767" s="284">
        <f t="shared" ca="1" si="210"/>
        <v>0.22570114205746372</v>
      </c>
      <c r="G6767" s="74">
        <v>42.695335516172051</v>
      </c>
      <c r="H6767" s="74">
        <f t="shared" si="211"/>
        <v>-2.2009351728395288</v>
      </c>
    </row>
    <row r="6768" spans="5:8" ht="15.6">
      <c r="E6768" s="279" t="s">
        <v>7094</v>
      </c>
      <c r="F6768" s="284">
        <f t="shared" ca="1" si="210"/>
        <v>0.63114455924843249</v>
      </c>
      <c r="G6768" s="74">
        <v>38.170351343505303</v>
      </c>
      <c r="H6768" s="74">
        <f t="shared" si="211"/>
        <v>2.3240489998272196</v>
      </c>
    </row>
    <row r="6769" spans="5:8" ht="15.6">
      <c r="E6769" s="279" t="s">
        <v>7095</v>
      </c>
      <c r="F6769" s="284">
        <f t="shared" ca="1" si="210"/>
        <v>0.53177824597425349</v>
      </c>
      <c r="G6769" s="74">
        <v>39.560100010679079</v>
      </c>
      <c r="H6769" s="74">
        <f t="shared" si="211"/>
        <v>0.93430033265344292</v>
      </c>
    </row>
    <row r="6770" spans="5:8" ht="15.6">
      <c r="E6770" s="279" t="s">
        <v>7096</v>
      </c>
      <c r="F6770" s="284">
        <f t="shared" ca="1" si="210"/>
        <v>0.28224384793500856</v>
      </c>
      <c r="G6770" s="74">
        <v>38.597745570143722</v>
      </c>
      <c r="H6770" s="74">
        <f t="shared" si="211"/>
        <v>1.8966547731887999</v>
      </c>
    </row>
    <row r="6771" spans="5:8" ht="15.6">
      <c r="E6771" s="279" t="s">
        <v>7097</v>
      </c>
      <c r="F6771" s="284">
        <f t="shared" ca="1" si="210"/>
        <v>5.6155252131761757E-2</v>
      </c>
      <c r="G6771" s="74">
        <v>36.775923325337786</v>
      </c>
      <c r="H6771" s="74">
        <f t="shared" si="211"/>
        <v>3.7184770179947364</v>
      </c>
    </row>
    <row r="6772" spans="5:8" ht="15.6">
      <c r="E6772" s="279" t="s">
        <v>7098</v>
      </c>
      <c r="F6772" s="284">
        <f t="shared" ca="1" si="210"/>
        <v>0.15100844146915215</v>
      </c>
      <c r="G6772" s="74">
        <v>41.112164576651566</v>
      </c>
      <c r="H6772" s="74">
        <f t="shared" si="211"/>
        <v>-0.6177642333190434</v>
      </c>
    </row>
    <row r="6773" spans="5:8" ht="15.6">
      <c r="E6773" s="279" t="s">
        <v>7099</v>
      </c>
      <c r="F6773" s="284">
        <f t="shared" ca="1" si="210"/>
        <v>0.48724522698115502</v>
      </c>
      <c r="G6773" s="74">
        <v>41.438046972580345</v>
      </c>
      <c r="H6773" s="74">
        <f t="shared" si="211"/>
        <v>-0.94364662924782294</v>
      </c>
    </row>
    <row r="6774" spans="5:8" ht="15.6">
      <c r="E6774" s="279" t="s">
        <v>7100</v>
      </c>
      <c r="F6774" s="284">
        <f t="shared" ca="1" si="210"/>
        <v>0.89167199111145568</v>
      </c>
      <c r="G6774" s="74">
        <v>38.996898630818443</v>
      </c>
      <c r="H6774" s="74">
        <f t="shared" si="211"/>
        <v>1.4975017125140795</v>
      </c>
    </row>
    <row r="6775" spans="5:8" ht="15.6">
      <c r="E6775" s="279" t="s">
        <v>7101</v>
      </c>
      <c r="F6775" s="284">
        <f t="shared" ca="1" si="210"/>
        <v>0.54539728141413624</v>
      </c>
      <c r="G6775" s="74">
        <v>36.949336842505836</v>
      </c>
      <c r="H6775" s="74">
        <f t="shared" si="211"/>
        <v>3.5450635008266858</v>
      </c>
    </row>
    <row r="6776" spans="5:8" ht="15.6">
      <c r="E6776" s="279" t="s">
        <v>7102</v>
      </c>
      <c r="F6776" s="284">
        <f t="shared" ca="1" si="210"/>
        <v>0.87513173673988287</v>
      </c>
      <c r="G6776" s="74">
        <v>40.944707550205052</v>
      </c>
      <c r="H6776" s="74">
        <f t="shared" si="211"/>
        <v>-0.45030720687253023</v>
      </c>
    </row>
    <row r="6777" spans="5:8" ht="15.6">
      <c r="E6777" s="279" t="s">
        <v>7103</v>
      </c>
      <c r="F6777" s="284">
        <f t="shared" ca="1" si="210"/>
        <v>0.80061958109238951</v>
      </c>
      <c r="G6777" s="74">
        <v>36.749141318185245</v>
      </c>
      <c r="H6777" s="74">
        <f t="shared" si="211"/>
        <v>3.745259025147277</v>
      </c>
    </row>
    <row r="6778" spans="5:8" ht="15.6">
      <c r="E6778" s="279" t="s">
        <v>7104</v>
      </c>
      <c r="F6778" s="284">
        <f t="shared" ca="1" si="210"/>
        <v>3.5726724620437245E-2</v>
      </c>
      <c r="G6778" s="74">
        <v>44.490503382035214</v>
      </c>
      <c r="H6778" s="74">
        <f t="shared" si="211"/>
        <v>-3.9961030387026923</v>
      </c>
    </row>
    <row r="6779" spans="5:8" ht="15.6">
      <c r="E6779" s="279" t="s">
        <v>7105</v>
      </c>
      <c r="F6779" s="284">
        <f t="shared" ca="1" si="210"/>
        <v>0.69720286301559264</v>
      </c>
      <c r="G6779" s="74">
        <v>37.386003451295196</v>
      </c>
      <c r="H6779" s="74">
        <f t="shared" si="211"/>
        <v>3.1083968920373266</v>
      </c>
    </row>
    <row r="6780" spans="5:8" ht="15.6">
      <c r="E6780" s="279" t="s">
        <v>7106</v>
      </c>
      <c r="F6780" s="284">
        <f t="shared" ca="1" si="210"/>
        <v>0.21848660182987956</v>
      </c>
      <c r="G6780" s="74">
        <v>39.493769998787627</v>
      </c>
      <c r="H6780" s="74">
        <f t="shared" si="211"/>
        <v>1.000630344544895</v>
      </c>
    </row>
    <row r="6781" spans="5:8" ht="15.6">
      <c r="E6781" s="279" t="s">
        <v>7107</v>
      </c>
      <c r="F6781" s="284">
        <f t="shared" ca="1" si="210"/>
        <v>0.26226654104885416</v>
      </c>
      <c r="G6781" s="74">
        <v>38.988311446319294</v>
      </c>
      <c r="H6781" s="74">
        <f t="shared" si="211"/>
        <v>1.5060888970132282</v>
      </c>
    </row>
    <row r="6782" spans="5:8" ht="15.6">
      <c r="E6782" s="279" t="s">
        <v>7108</v>
      </c>
      <c r="F6782" s="284">
        <f t="shared" ca="1" si="210"/>
        <v>0.89838610273072561</v>
      </c>
      <c r="G6782" s="74">
        <v>35.334010280298358</v>
      </c>
      <c r="H6782" s="74">
        <f t="shared" si="211"/>
        <v>5.1603900630341641</v>
      </c>
    </row>
    <row r="6783" spans="5:8" ht="15.6">
      <c r="E6783" s="279" t="s">
        <v>7109</v>
      </c>
      <c r="F6783" s="284">
        <f t="shared" ca="1" si="210"/>
        <v>0.43025397290282641</v>
      </c>
      <c r="G6783" s="74">
        <v>45.007980069701787</v>
      </c>
      <c r="H6783" s="74">
        <f t="shared" si="211"/>
        <v>-4.5135797263692652</v>
      </c>
    </row>
    <row r="6784" spans="5:8" ht="15.6">
      <c r="E6784" s="279" t="s">
        <v>7110</v>
      </c>
      <c r="F6784" s="284">
        <f t="shared" ca="1" si="210"/>
        <v>0.14195647615068863</v>
      </c>
      <c r="G6784" s="74">
        <v>36.561508254205215</v>
      </c>
      <c r="H6784" s="74">
        <f t="shared" si="211"/>
        <v>3.9328920891273071</v>
      </c>
    </row>
    <row r="6785" spans="5:8" ht="15.6">
      <c r="E6785" s="279" t="s">
        <v>7111</v>
      </c>
      <c r="F6785" s="284">
        <f t="shared" ca="1" si="210"/>
        <v>0.42679468003344112</v>
      </c>
      <c r="G6785" s="74">
        <v>38.633813070246788</v>
      </c>
      <c r="H6785" s="74">
        <f t="shared" si="211"/>
        <v>1.8605872730857342</v>
      </c>
    </row>
    <row r="6786" spans="5:8" ht="15.6">
      <c r="E6786" s="279" t="s">
        <v>7112</v>
      </c>
      <c r="F6786" s="284">
        <f t="shared" ca="1" si="210"/>
        <v>0.84770853149509962</v>
      </c>
      <c r="G6786" s="74">
        <v>41.533307551943778</v>
      </c>
      <c r="H6786" s="74">
        <f t="shared" si="211"/>
        <v>-1.0389072086112563</v>
      </c>
    </row>
    <row r="6787" spans="5:8" ht="15.6">
      <c r="E6787" s="279" t="s">
        <v>7113</v>
      </c>
      <c r="F6787" s="284">
        <f t="shared" ca="1" si="210"/>
        <v>0.82624297334900865</v>
      </c>
      <c r="G6787" s="74">
        <v>39.950075729589749</v>
      </c>
      <c r="H6787" s="74">
        <f t="shared" si="211"/>
        <v>0.54432461374277352</v>
      </c>
    </row>
    <row r="6788" spans="5:8" ht="15.6">
      <c r="E6788" s="279" t="s">
        <v>7114</v>
      </c>
      <c r="F6788" s="284">
        <f t="shared" ca="1" si="210"/>
        <v>0.89147862857294236</v>
      </c>
      <c r="G6788" s="74">
        <v>35.393093703719565</v>
      </c>
      <c r="H6788" s="74">
        <f t="shared" si="211"/>
        <v>5.1013066396129574</v>
      </c>
    </row>
    <row r="6789" spans="5:8" ht="15.6">
      <c r="E6789" s="279" t="s">
        <v>7115</v>
      </c>
      <c r="F6789" s="284">
        <f t="shared" ca="1" si="210"/>
        <v>0.3685191463907902</v>
      </c>
      <c r="G6789" s="74">
        <v>41.428106396168921</v>
      </c>
      <c r="H6789" s="74">
        <f t="shared" si="211"/>
        <v>-0.93370605283639918</v>
      </c>
    </row>
    <row r="6790" spans="5:8" ht="15.6">
      <c r="E6790" s="279" t="s">
        <v>7116</v>
      </c>
      <c r="F6790" s="284">
        <f t="shared" ca="1" si="210"/>
        <v>0.37592244881524017</v>
      </c>
      <c r="G6790" s="74">
        <v>39.623477942771316</v>
      </c>
      <c r="H6790" s="74">
        <f t="shared" si="211"/>
        <v>0.87092240056120573</v>
      </c>
    </row>
    <row r="6791" spans="5:8" ht="15.6">
      <c r="E6791" s="279" t="s">
        <v>7117</v>
      </c>
      <c r="F6791" s="284">
        <f t="shared" ca="1" si="210"/>
        <v>0.10317536470679245</v>
      </c>
      <c r="G6791" s="74">
        <v>38.247736697916821</v>
      </c>
      <c r="H6791" s="74">
        <f t="shared" si="211"/>
        <v>2.2466636454157012</v>
      </c>
    </row>
    <row r="6792" spans="5:8" ht="15.6">
      <c r="E6792" s="279" t="s">
        <v>7118</v>
      </c>
      <c r="F6792" s="284">
        <f t="shared" ca="1" si="210"/>
        <v>0.98282645798600277</v>
      </c>
      <c r="G6792" s="74">
        <v>36.760909232955555</v>
      </c>
      <c r="H6792" s="74">
        <f t="shared" si="211"/>
        <v>3.733491110376967</v>
      </c>
    </row>
    <row r="6793" spans="5:8" ht="15.6">
      <c r="E6793" s="279" t="s">
        <v>7119</v>
      </c>
      <c r="F6793" s="284">
        <f t="shared" ca="1" si="210"/>
        <v>6.838694765360509E-2</v>
      </c>
      <c r="G6793" s="74">
        <v>41.448058504873117</v>
      </c>
      <c r="H6793" s="74">
        <f t="shared" si="211"/>
        <v>-0.95365816154059502</v>
      </c>
    </row>
    <row r="6794" spans="5:8" ht="15.6">
      <c r="E6794" s="279" t="s">
        <v>7120</v>
      </c>
      <c r="F6794" s="284">
        <f t="shared" ca="1" si="210"/>
        <v>0.90146752514997208</v>
      </c>
      <c r="G6794" s="74">
        <v>35.599650574153031</v>
      </c>
      <c r="H6794" s="74">
        <f t="shared" si="211"/>
        <v>4.8947497691794908</v>
      </c>
    </row>
    <row r="6795" spans="5:8" ht="15.6">
      <c r="E6795" s="279" t="s">
        <v>7121</v>
      </c>
      <c r="F6795" s="284">
        <f t="shared" ca="1" si="210"/>
        <v>4.4781467539175335E-2</v>
      </c>
      <c r="G6795" s="74">
        <v>43.395328039760308</v>
      </c>
      <c r="H6795" s="74">
        <f t="shared" si="211"/>
        <v>-2.9009276964277859</v>
      </c>
    </row>
    <row r="6796" spans="5:8" ht="15.6">
      <c r="E6796" s="279" t="s">
        <v>7122</v>
      </c>
      <c r="F6796" s="284">
        <f t="shared" ref="F6796:F6859" ca="1" si="212">RAND()</f>
        <v>0.41486747410538272</v>
      </c>
      <c r="G6796" s="74">
        <v>44.639914104776111</v>
      </c>
      <c r="H6796" s="74">
        <f t="shared" ref="H6796:H6859" si="213">$D$2-G6796</f>
        <v>-4.1455137614435884</v>
      </c>
    </row>
    <row r="6797" spans="5:8" ht="15.6">
      <c r="E6797" s="279" t="s">
        <v>7123</v>
      </c>
      <c r="F6797" s="284">
        <f t="shared" ca="1" si="212"/>
        <v>0.28719351613489497</v>
      </c>
      <c r="G6797" s="74">
        <v>40.330559239788727</v>
      </c>
      <c r="H6797" s="74">
        <f t="shared" si="213"/>
        <v>0.16384110354379544</v>
      </c>
    </row>
    <row r="6798" spans="5:8" ht="15.6">
      <c r="E6798" s="279" t="s">
        <v>7124</v>
      </c>
      <c r="F6798" s="284">
        <f t="shared" ca="1" si="212"/>
        <v>6.2197511365288838E-2</v>
      </c>
      <c r="G6798" s="74">
        <v>38.990842663575876</v>
      </c>
      <c r="H6798" s="74">
        <f t="shared" si="213"/>
        <v>1.5035576797566463</v>
      </c>
    </row>
    <row r="6799" spans="5:8" ht="15.6">
      <c r="E6799" s="279" t="s">
        <v>7125</v>
      </c>
      <c r="F6799" s="284">
        <f t="shared" ca="1" si="212"/>
        <v>0.82859165299989546</v>
      </c>
      <c r="G6799" s="74">
        <v>38.613954699752853</v>
      </c>
      <c r="H6799" s="74">
        <f t="shared" si="213"/>
        <v>1.8804456435796695</v>
      </c>
    </row>
    <row r="6800" spans="5:8" ht="15.6">
      <c r="E6800" s="279" t="s">
        <v>7126</v>
      </c>
      <c r="F6800" s="284">
        <f t="shared" ca="1" si="212"/>
        <v>0.68040299127052584</v>
      </c>
      <c r="G6800" s="74">
        <v>37.454266029653709</v>
      </c>
      <c r="H6800" s="74">
        <f t="shared" si="213"/>
        <v>3.0401343136788128</v>
      </c>
    </row>
    <row r="6801" spans="5:8" ht="15.6">
      <c r="E6801" s="279" t="s">
        <v>7127</v>
      </c>
      <c r="F6801" s="284">
        <f t="shared" ca="1" si="212"/>
        <v>0.83719712881503139</v>
      </c>
      <c r="G6801" s="74">
        <v>40.555816444423883</v>
      </c>
      <c r="H6801" s="74">
        <f t="shared" si="213"/>
        <v>-6.1416101091360531E-2</v>
      </c>
    </row>
    <row r="6802" spans="5:8" ht="15.6">
      <c r="E6802" s="279" t="s">
        <v>7128</v>
      </c>
      <c r="F6802" s="284">
        <f t="shared" ca="1" si="212"/>
        <v>0.57522716470050672</v>
      </c>
      <c r="G6802" s="74">
        <v>42.130490312715594</v>
      </c>
      <c r="H6802" s="74">
        <f t="shared" si="213"/>
        <v>-1.6360899693830717</v>
      </c>
    </row>
    <row r="6803" spans="5:8" ht="15.6">
      <c r="E6803" s="279" t="s">
        <v>7129</v>
      </c>
      <c r="F6803" s="284">
        <f t="shared" ca="1" si="212"/>
        <v>0.48562693539406154</v>
      </c>
      <c r="G6803" s="74">
        <v>39.707986396802525</v>
      </c>
      <c r="H6803" s="74">
        <f t="shared" si="213"/>
        <v>0.78641394652999708</v>
      </c>
    </row>
    <row r="6804" spans="5:8" ht="15.6">
      <c r="E6804" s="279" t="s">
        <v>7130</v>
      </c>
      <c r="F6804" s="284">
        <f t="shared" ca="1" si="212"/>
        <v>0.39167897686548403</v>
      </c>
      <c r="G6804" s="74">
        <v>35.444759766766069</v>
      </c>
      <c r="H6804" s="74">
        <f t="shared" si="213"/>
        <v>5.0496405765664534</v>
      </c>
    </row>
    <row r="6805" spans="5:8" ht="15.6">
      <c r="E6805" s="279" t="s">
        <v>7131</v>
      </c>
      <c r="F6805" s="284">
        <f t="shared" ca="1" si="212"/>
        <v>0.39180410400769217</v>
      </c>
      <c r="G6805" s="74">
        <v>40.031758808233789</v>
      </c>
      <c r="H6805" s="74">
        <f t="shared" si="213"/>
        <v>0.46264153509873296</v>
      </c>
    </row>
    <row r="6806" spans="5:8" ht="15.6">
      <c r="E6806" s="279" t="s">
        <v>7132</v>
      </c>
      <c r="F6806" s="284">
        <f t="shared" ca="1" si="212"/>
        <v>6.8326392470450248E-2</v>
      </c>
      <c r="G6806" s="74">
        <v>45.291773033790946</v>
      </c>
      <c r="H6806" s="74">
        <f t="shared" si="213"/>
        <v>-4.797372690458424</v>
      </c>
    </row>
    <row r="6807" spans="5:8" ht="15.6">
      <c r="E6807" s="279" t="s">
        <v>7133</v>
      </c>
      <c r="F6807" s="284">
        <f t="shared" ca="1" si="212"/>
        <v>0.93048841487989131</v>
      </c>
      <c r="G6807" s="74">
        <v>40.447529529257693</v>
      </c>
      <c r="H6807" s="74">
        <f t="shared" si="213"/>
        <v>4.687081407482907E-2</v>
      </c>
    </row>
    <row r="6808" spans="5:8" ht="15.6">
      <c r="E6808" s="279" t="s">
        <v>7134</v>
      </c>
      <c r="F6808" s="284">
        <f t="shared" ca="1" si="212"/>
        <v>7.53820021297682E-2</v>
      </c>
      <c r="G6808" s="74">
        <v>38.459281771153279</v>
      </c>
      <c r="H6808" s="74">
        <f t="shared" si="213"/>
        <v>2.0351185721792433</v>
      </c>
    </row>
    <row r="6809" spans="5:8" ht="15.6">
      <c r="E6809" s="279" t="s">
        <v>7135</v>
      </c>
      <c r="F6809" s="284">
        <f t="shared" ca="1" si="212"/>
        <v>0.95020391853312924</v>
      </c>
      <c r="G6809" s="74">
        <v>37.763356455827591</v>
      </c>
      <c r="H6809" s="74">
        <f t="shared" si="213"/>
        <v>2.7310438875049314</v>
      </c>
    </row>
    <row r="6810" spans="5:8" ht="15.6">
      <c r="E6810" s="279" t="s">
        <v>7136</v>
      </c>
      <c r="F6810" s="284">
        <f t="shared" ca="1" si="212"/>
        <v>0.50412332588023845</v>
      </c>
      <c r="G6810" s="74">
        <v>38.05868952906981</v>
      </c>
      <c r="H6810" s="74">
        <f t="shared" si="213"/>
        <v>2.4357108142627126</v>
      </c>
    </row>
    <row r="6811" spans="5:8" ht="15.6">
      <c r="E6811" s="279" t="s">
        <v>7137</v>
      </c>
      <c r="F6811" s="284">
        <f t="shared" ca="1" si="212"/>
        <v>0.23012914982452226</v>
      </c>
      <c r="G6811" s="74">
        <v>36.39114639755747</v>
      </c>
      <c r="H6811" s="74">
        <f t="shared" si="213"/>
        <v>4.1032539457750516</v>
      </c>
    </row>
    <row r="6812" spans="5:8" ht="15.6">
      <c r="E6812" s="279" t="s">
        <v>7138</v>
      </c>
      <c r="F6812" s="284">
        <f t="shared" ca="1" si="212"/>
        <v>0.29870092641116541</v>
      </c>
      <c r="G6812" s="74">
        <v>40.191724718777678</v>
      </c>
      <c r="H6812" s="74">
        <f t="shared" si="213"/>
        <v>0.30267562455484409</v>
      </c>
    </row>
    <row r="6813" spans="5:8" ht="15.6">
      <c r="E6813" s="279" t="s">
        <v>7139</v>
      </c>
      <c r="F6813" s="284">
        <f t="shared" ca="1" si="212"/>
        <v>0.30482570300692879</v>
      </c>
      <c r="G6813" s="74">
        <v>41.091607337794599</v>
      </c>
      <c r="H6813" s="74">
        <f t="shared" si="213"/>
        <v>-0.59720699446207703</v>
      </c>
    </row>
    <row r="6814" spans="5:8" ht="15.6">
      <c r="E6814" s="279" t="s">
        <v>7140</v>
      </c>
      <c r="F6814" s="284">
        <f t="shared" ca="1" si="212"/>
        <v>0.16809743023388168</v>
      </c>
      <c r="G6814" s="74">
        <v>34.704432491077341</v>
      </c>
      <c r="H6814" s="74">
        <f t="shared" si="213"/>
        <v>5.789967852255181</v>
      </c>
    </row>
    <row r="6815" spans="5:8" ht="15.6">
      <c r="E6815" s="279" t="s">
        <v>7141</v>
      </c>
      <c r="F6815" s="284">
        <f t="shared" ca="1" si="212"/>
        <v>0.82166946067840052</v>
      </c>
      <c r="G6815" s="74">
        <v>40.108835861064605</v>
      </c>
      <c r="H6815" s="74">
        <f t="shared" si="213"/>
        <v>0.38556448226791673</v>
      </c>
    </row>
    <row r="6816" spans="5:8" ht="15.6">
      <c r="E6816" s="279" t="s">
        <v>7142</v>
      </c>
      <c r="F6816" s="284">
        <f t="shared" ca="1" si="212"/>
        <v>0.38399764617167875</v>
      </c>
      <c r="G6816" s="74">
        <v>38.619640227439703</v>
      </c>
      <c r="H6816" s="74">
        <f t="shared" si="213"/>
        <v>1.8747601158928191</v>
      </c>
    </row>
    <row r="6817" spans="5:8" ht="15.6">
      <c r="E6817" s="279" t="s">
        <v>7143</v>
      </c>
      <c r="F6817" s="284">
        <f t="shared" ca="1" si="212"/>
        <v>0.33529988739404892</v>
      </c>
      <c r="G6817" s="74">
        <v>40.034372733696777</v>
      </c>
      <c r="H6817" s="74">
        <f t="shared" si="213"/>
        <v>0.46002760963574474</v>
      </c>
    </row>
    <row r="6818" spans="5:8" ht="15.6">
      <c r="E6818" s="279" t="s">
        <v>7144</v>
      </c>
      <c r="F6818" s="284">
        <f t="shared" ca="1" si="212"/>
        <v>0.14204453585051002</v>
      </c>
      <c r="G6818" s="74">
        <v>36.434705098983606</v>
      </c>
      <c r="H6818" s="74">
        <f t="shared" si="213"/>
        <v>4.0596952443489158</v>
      </c>
    </row>
    <row r="6819" spans="5:8" ht="15.6">
      <c r="E6819" s="279" t="s">
        <v>7145</v>
      </c>
      <c r="F6819" s="284">
        <f t="shared" ca="1" si="212"/>
        <v>0.32512599010993548</v>
      </c>
      <c r="G6819" s="74">
        <v>37.161972189395584</v>
      </c>
      <c r="H6819" s="74">
        <f t="shared" si="213"/>
        <v>3.332428153936938</v>
      </c>
    </row>
    <row r="6820" spans="5:8" ht="15.6">
      <c r="E6820" s="279" t="s">
        <v>7146</v>
      </c>
      <c r="F6820" s="284">
        <f t="shared" ca="1" si="212"/>
        <v>0.26553013184675667</v>
      </c>
      <c r="G6820" s="74">
        <v>42.529118120943139</v>
      </c>
      <c r="H6820" s="74">
        <f t="shared" si="213"/>
        <v>-2.0347177776106165</v>
      </c>
    </row>
    <row r="6821" spans="5:8" ht="15.6">
      <c r="E6821" s="279" t="s">
        <v>7147</v>
      </c>
      <c r="F6821" s="284">
        <f t="shared" ca="1" si="212"/>
        <v>0.48712463614131873</v>
      </c>
      <c r="G6821" s="74">
        <v>41.814307477639922</v>
      </c>
      <c r="H6821" s="74">
        <f t="shared" si="213"/>
        <v>-1.3199071343073996</v>
      </c>
    </row>
    <row r="6822" spans="5:8" ht="15.6">
      <c r="E6822" s="279" t="s">
        <v>7148</v>
      </c>
      <c r="F6822" s="284">
        <f t="shared" ca="1" si="212"/>
        <v>0.33770310821935479</v>
      </c>
      <c r="G6822" s="74">
        <v>37.328523701759181</v>
      </c>
      <c r="H6822" s="74">
        <f t="shared" si="213"/>
        <v>3.165876641573341</v>
      </c>
    </row>
    <row r="6823" spans="5:8" ht="15.6">
      <c r="E6823" s="279" t="s">
        <v>7149</v>
      </c>
      <c r="F6823" s="284">
        <f t="shared" ca="1" si="212"/>
        <v>0.31392727167053092</v>
      </c>
      <c r="G6823" s="74">
        <v>41.133038774211833</v>
      </c>
      <c r="H6823" s="74">
        <f t="shared" si="213"/>
        <v>-0.63863843087931116</v>
      </c>
    </row>
    <row r="6824" spans="5:8" ht="15.6">
      <c r="E6824" s="279" t="s">
        <v>7150</v>
      </c>
      <c r="F6824" s="284">
        <f t="shared" ca="1" si="212"/>
        <v>0.46976169983780769</v>
      </c>
      <c r="G6824" s="74">
        <v>37.863555133458846</v>
      </c>
      <c r="H6824" s="74">
        <f t="shared" si="213"/>
        <v>2.6308452098736765</v>
      </c>
    </row>
    <row r="6825" spans="5:8" ht="15.6">
      <c r="E6825" s="279" t="s">
        <v>7151</v>
      </c>
      <c r="F6825" s="284">
        <f t="shared" ca="1" si="212"/>
        <v>0.62031759470051395</v>
      </c>
      <c r="G6825" s="74">
        <v>36.664705124848254</v>
      </c>
      <c r="H6825" s="74">
        <f t="shared" si="213"/>
        <v>3.8296952184842681</v>
      </c>
    </row>
    <row r="6826" spans="5:8" ht="15.6">
      <c r="E6826" s="279" t="s">
        <v>7152</v>
      </c>
      <c r="F6826" s="284">
        <f t="shared" ca="1" si="212"/>
        <v>0.54187316070378233</v>
      </c>
      <c r="G6826" s="74">
        <v>39.58579323126763</v>
      </c>
      <c r="H6826" s="74">
        <f t="shared" si="213"/>
        <v>0.90860711206489242</v>
      </c>
    </row>
    <row r="6827" spans="5:8" ht="15.6">
      <c r="E6827" s="279" t="s">
        <v>7153</v>
      </c>
      <c r="F6827" s="284">
        <f t="shared" ca="1" si="212"/>
        <v>0.77015771116808474</v>
      </c>
      <c r="G6827" s="74">
        <v>42.063886758828723</v>
      </c>
      <c r="H6827" s="74">
        <f t="shared" si="213"/>
        <v>-1.5694864154962005</v>
      </c>
    </row>
    <row r="6828" spans="5:8" ht="15.6">
      <c r="E6828" s="279" t="s">
        <v>7154</v>
      </c>
      <c r="F6828" s="284">
        <f t="shared" ca="1" si="212"/>
        <v>0.85617580701345553</v>
      </c>
      <c r="G6828" s="74">
        <v>38.123425030214818</v>
      </c>
      <c r="H6828" s="74">
        <f t="shared" si="213"/>
        <v>2.3709753131177038</v>
      </c>
    </row>
    <row r="6829" spans="5:8" ht="15.6">
      <c r="E6829" s="279" t="s">
        <v>7155</v>
      </c>
      <c r="F6829" s="284">
        <f t="shared" ca="1" si="212"/>
        <v>0.97276433126100248</v>
      </c>
      <c r="G6829" s="74">
        <v>39.612833034986672</v>
      </c>
      <c r="H6829" s="74">
        <f t="shared" si="213"/>
        <v>0.88156730834585062</v>
      </c>
    </row>
    <row r="6830" spans="5:8" ht="15.6">
      <c r="E6830" s="279" t="s">
        <v>7156</v>
      </c>
      <c r="F6830" s="284">
        <f t="shared" ca="1" si="212"/>
        <v>0.12655436886746974</v>
      </c>
      <c r="G6830" s="74">
        <v>37.708007169802769</v>
      </c>
      <c r="H6830" s="74">
        <f t="shared" si="213"/>
        <v>2.7863931735297527</v>
      </c>
    </row>
    <row r="6831" spans="5:8" ht="15.6">
      <c r="E6831" s="279" t="s">
        <v>7157</v>
      </c>
      <c r="F6831" s="284">
        <f t="shared" ca="1" si="212"/>
        <v>0.36166405982654526</v>
      </c>
      <c r="G6831" s="74">
        <v>40.148990961233537</v>
      </c>
      <c r="H6831" s="74">
        <f t="shared" si="213"/>
        <v>0.34540938209898542</v>
      </c>
    </row>
    <row r="6832" spans="5:8" ht="15.6">
      <c r="E6832" s="279" t="s">
        <v>7158</v>
      </c>
      <c r="F6832" s="284">
        <f t="shared" ca="1" si="212"/>
        <v>0.89839944480264844</v>
      </c>
      <c r="G6832" s="74">
        <v>33.473952206239396</v>
      </c>
      <c r="H6832" s="74">
        <f t="shared" si="213"/>
        <v>7.0204481370931262</v>
      </c>
    </row>
    <row r="6833" spans="5:8" ht="15.6">
      <c r="E6833" s="279" t="s">
        <v>7159</v>
      </c>
      <c r="F6833" s="284">
        <f t="shared" ca="1" si="212"/>
        <v>5.5490190491112368E-2</v>
      </c>
      <c r="G6833" s="74">
        <v>39.887126499717205</v>
      </c>
      <c r="H6833" s="74">
        <f t="shared" si="213"/>
        <v>0.60727384361531733</v>
      </c>
    </row>
    <row r="6834" spans="5:8" ht="15.6">
      <c r="E6834" s="279" t="s">
        <v>7160</v>
      </c>
      <c r="F6834" s="284">
        <f t="shared" ca="1" si="212"/>
        <v>0.48051550213380401</v>
      </c>
      <c r="G6834" s="74">
        <v>34.305450803664463</v>
      </c>
      <c r="H6834" s="74">
        <f t="shared" si="213"/>
        <v>6.1889495396680587</v>
      </c>
    </row>
    <row r="6835" spans="5:8" ht="15.6">
      <c r="E6835" s="279" t="s">
        <v>7161</v>
      </c>
      <c r="F6835" s="284">
        <f t="shared" ca="1" si="212"/>
        <v>0.71516698514883337</v>
      </c>
      <c r="G6835" s="74">
        <v>35.429597795537113</v>
      </c>
      <c r="H6835" s="74">
        <f t="shared" si="213"/>
        <v>5.0648025477954093</v>
      </c>
    </row>
    <row r="6836" spans="5:8" ht="15.6">
      <c r="E6836" s="279" t="s">
        <v>7162</v>
      </c>
      <c r="F6836" s="284">
        <f t="shared" ca="1" si="212"/>
        <v>0.80976695630643325</v>
      </c>
      <c r="G6836" s="74">
        <v>36.643661771028789</v>
      </c>
      <c r="H6836" s="74">
        <f t="shared" si="213"/>
        <v>3.8507385723037331</v>
      </c>
    </row>
    <row r="6837" spans="5:8" ht="15.6">
      <c r="E6837" s="279" t="s">
        <v>7163</v>
      </c>
      <c r="F6837" s="284">
        <f t="shared" ca="1" si="212"/>
        <v>0.63587821578189818</v>
      </c>
      <c r="G6837" s="74">
        <v>37.863186874164363</v>
      </c>
      <c r="H6837" s="74">
        <f t="shared" si="213"/>
        <v>2.6312134691681592</v>
      </c>
    </row>
    <row r="6838" spans="5:8" ht="15.6">
      <c r="E6838" s="279" t="s">
        <v>7164</v>
      </c>
      <c r="F6838" s="284">
        <f t="shared" ca="1" si="212"/>
        <v>0.75964576047332266</v>
      </c>
      <c r="G6838" s="74">
        <v>39.661258818570509</v>
      </c>
      <c r="H6838" s="74">
        <f t="shared" si="213"/>
        <v>0.83314152476201286</v>
      </c>
    </row>
    <row r="6839" spans="5:8" ht="15.6">
      <c r="E6839" s="279" t="s">
        <v>7165</v>
      </c>
      <c r="F6839" s="284">
        <f t="shared" ca="1" si="212"/>
        <v>0.18088468784237555</v>
      </c>
      <c r="G6839" s="74">
        <v>36.551484917251564</v>
      </c>
      <c r="H6839" s="74">
        <f t="shared" si="213"/>
        <v>3.9429154260809582</v>
      </c>
    </row>
    <row r="6840" spans="5:8" ht="15.6">
      <c r="E6840" s="279" t="s">
        <v>7166</v>
      </c>
      <c r="F6840" s="284">
        <f t="shared" ca="1" si="212"/>
        <v>0.22025169563270774</v>
      </c>
      <c r="G6840" s="74">
        <v>40.58264162395745</v>
      </c>
      <c r="H6840" s="74">
        <f t="shared" si="213"/>
        <v>-8.8241280624927754E-2</v>
      </c>
    </row>
    <row r="6841" spans="5:8" ht="15.6">
      <c r="E6841" s="279" t="s">
        <v>7167</v>
      </c>
      <c r="F6841" s="284">
        <f t="shared" ca="1" si="212"/>
        <v>0.36020922207785933</v>
      </c>
      <c r="G6841" s="74">
        <v>37.312402889149574</v>
      </c>
      <c r="H6841" s="74">
        <f t="shared" si="213"/>
        <v>3.1819974541829481</v>
      </c>
    </row>
    <row r="6842" spans="5:8" ht="15.6">
      <c r="E6842" s="279" t="s">
        <v>7168</v>
      </c>
      <c r="F6842" s="284">
        <f t="shared" ca="1" si="212"/>
        <v>0.45936873108605658</v>
      </c>
      <c r="G6842" s="74">
        <v>41.25552066295738</v>
      </c>
      <c r="H6842" s="74">
        <f t="shared" si="213"/>
        <v>-0.76112031962485815</v>
      </c>
    </row>
    <row r="6843" spans="5:8" ht="15.6">
      <c r="E6843" s="279" t="s">
        <v>7169</v>
      </c>
      <c r="F6843" s="284">
        <f t="shared" ca="1" si="212"/>
        <v>0.26559886974066793</v>
      </c>
      <c r="G6843" s="74">
        <v>40.175403608086071</v>
      </c>
      <c r="H6843" s="74">
        <f t="shared" si="213"/>
        <v>0.31899673524645067</v>
      </c>
    </row>
    <row r="6844" spans="5:8" ht="15.6">
      <c r="E6844" s="279" t="s">
        <v>7170</v>
      </c>
      <c r="F6844" s="284">
        <f t="shared" ca="1" si="212"/>
        <v>5.4820431553050275E-2</v>
      </c>
      <c r="G6844" s="74">
        <v>36.394103790190243</v>
      </c>
      <c r="H6844" s="74">
        <f t="shared" si="213"/>
        <v>4.1002965531422788</v>
      </c>
    </row>
    <row r="6845" spans="5:8" ht="15.6">
      <c r="E6845" s="279" t="s">
        <v>7171</v>
      </c>
      <c r="F6845" s="284">
        <f t="shared" ca="1" si="212"/>
        <v>0.62474879452637788</v>
      </c>
      <c r="G6845" s="74">
        <v>41.60029582050668</v>
      </c>
      <c r="H6845" s="74">
        <f t="shared" si="213"/>
        <v>-1.1058954771741583</v>
      </c>
    </row>
    <row r="6846" spans="5:8" ht="15.6">
      <c r="E6846" s="279" t="s">
        <v>7172</v>
      </c>
      <c r="F6846" s="284">
        <f t="shared" ca="1" si="212"/>
        <v>0.71557290673737739</v>
      </c>
      <c r="G6846" s="74">
        <v>39.745111729172514</v>
      </c>
      <c r="H6846" s="74">
        <f t="shared" si="213"/>
        <v>0.74928861416000814</v>
      </c>
    </row>
    <row r="6847" spans="5:8" ht="15.6">
      <c r="E6847" s="279" t="s">
        <v>7173</v>
      </c>
      <c r="F6847" s="284">
        <f t="shared" ca="1" si="212"/>
        <v>0.73543500813279028</v>
      </c>
      <c r="G6847" s="74">
        <v>33.559162650636551</v>
      </c>
      <c r="H6847" s="74">
        <f t="shared" si="213"/>
        <v>6.9352376926959707</v>
      </c>
    </row>
    <row r="6848" spans="5:8" ht="15.6">
      <c r="E6848" s="279" t="s">
        <v>7174</v>
      </c>
      <c r="F6848" s="284">
        <f t="shared" ca="1" si="212"/>
        <v>0.71657194176701344</v>
      </c>
      <c r="G6848" s="74">
        <v>38.391352229498693</v>
      </c>
      <c r="H6848" s="74">
        <f t="shared" si="213"/>
        <v>2.1030481138338288</v>
      </c>
    </row>
    <row r="6849" spans="5:8" ht="15.6">
      <c r="E6849" s="279" t="s">
        <v>7175</v>
      </c>
      <c r="F6849" s="284">
        <f t="shared" ca="1" si="212"/>
        <v>8.5155990548807625E-2</v>
      </c>
      <c r="G6849" s="74">
        <v>43.69878713482256</v>
      </c>
      <c r="H6849" s="74">
        <f t="shared" si="213"/>
        <v>-3.2043867914900375</v>
      </c>
    </row>
    <row r="6850" spans="5:8" ht="15.6">
      <c r="E6850" s="279" t="s">
        <v>7176</v>
      </c>
      <c r="F6850" s="284">
        <f t="shared" ca="1" si="212"/>
        <v>0.55400940527223874</v>
      </c>
      <c r="G6850" s="74">
        <v>37.937242311773247</v>
      </c>
      <c r="H6850" s="74">
        <f t="shared" si="213"/>
        <v>2.5571580315592755</v>
      </c>
    </row>
    <row r="6851" spans="5:8" ht="15.6">
      <c r="E6851" s="279" t="s">
        <v>7177</v>
      </c>
      <c r="F6851" s="284">
        <f t="shared" ca="1" si="212"/>
        <v>3.3493014517723019E-2</v>
      </c>
      <c r="G6851" s="74">
        <v>41.05338939400098</v>
      </c>
      <c r="H6851" s="74">
        <f t="shared" si="213"/>
        <v>-0.55898905066845828</v>
      </c>
    </row>
    <row r="6852" spans="5:8" ht="15.6">
      <c r="E6852" s="279" t="s">
        <v>7178</v>
      </c>
      <c r="F6852" s="284">
        <f t="shared" ca="1" si="212"/>
        <v>0.67780773065317668</v>
      </c>
      <c r="G6852" s="74">
        <v>41.374651965189543</v>
      </c>
      <c r="H6852" s="74">
        <f t="shared" si="213"/>
        <v>-0.88025162185702044</v>
      </c>
    </row>
    <row r="6853" spans="5:8" ht="15.6">
      <c r="E6853" s="279" t="s">
        <v>7179</v>
      </c>
      <c r="F6853" s="284">
        <f t="shared" ca="1" si="212"/>
        <v>0.84959745217292004</v>
      </c>
      <c r="G6853" s="74">
        <v>44.574676627976181</v>
      </c>
      <c r="H6853" s="74">
        <f t="shared" si="213"/>
        <v>-4.0802762846436593</v>
      </c>
    </row>
    <row r="6854" spans="5:8" ht="15.6">
      <c r="E6854" s="279" t="s">
        <v>7180</v>
      </c>
      <c r="F6854" s="284">
        <f t="shared" ca="1" si="212"/>
        <v>0.56694967157218801</v>
      </c>
      <c r="G6854" s="74">
        <v>39.116005830276926</v>
      </c>
      <c r="H6854" s="74">
        <f t="shared" si="213"/>
        <v>1.3783945130555963</v>
      </c>
    </row>
    <row r="6855" spans="5:8" ht="15.6">
      <c r="E6855" s="279" t="s">
        <v>7181</v>
      </c>
      <c r="F6855" s="284">
        <f t="shared" ca="1" si="212"/>
        <v>0.55462922904261525</v>
      </c>
      <c r="G6855" s="74">
        <v>37.176766033931273</v>
      </c>
      <c r="H6855" s="74">
        <f t="shared" si="213"/>
        <v>3.3176343094012495</v>
      </c>
    </row>
    <row r="6856" spans="5:8" ht="15.6">
      <c r="E6856" s="279" t="s">
        <v>7182</v>
      </c>
      <c r="F6856" s="284">
        <f t="shared" ca="1" si="212"/>
        <v>0.67032716686854266</v>
      </c>
      <c r="G6856" s="74">
        <v>37.382554736391079</v>
      </c>
      <c r="H6856" s="74">
        <f t="shared" si="213"/>
        <v>3.1118456069414435</v>
      </c>
    </row>
    <row r="6857" spans="5:8" ht="15.6">
      <c r="E6857" s="279" t="s">
        <v>7183</v>
      </c>
      <c r="F6857" s="284">
        <f t="shared" ca="1" si="212"/>
        <v>0.56885607341476563</v>
      </c>
      <c r="G6857" s="74">
        <v>35.043637393828689</v>
      </c>
      <c r="H6857" s="74">
        <f t="shared" si="213"/>
        <v>5.450762949503833</v>
      </c>
    </row>
    <row r="6858" spans="5:8" ht="15.6">
      <c r="E6858" s="279" t="s">
        <v>7184</v>
      </c>
      <c r="F6858" s="284">
        <f t="shared" ca="1" si="212"/>
        <v>0.76860415594402232</v>
      </c>
      <c r="G6858" s="74">
        <v>37.535254158438903</v>
      </c>
      <c r="H6858" s="74">
        <f t="shared" si="213"/>
        <v>2.9591461848936191</v>
      </c>
    </row>
    <row r="6859" spans="5:8" ht="15.6">
      <c r="E6859" s="279" t="s">
        <v>7185</v>
      </c>
      <c r="F6859" s="284">
        <f t="shared" ca="1" si="212"/>
        <v>0.42382779627655587</v>
      </c>
      <c r="G6859" s="74">
        <v>40.876983550070698</v>
      </c>
      <c r="H6859" s="74">
        <f t="shared" si="213"/>
        <v>-0.38258320673817536</v>
      </c>
    </row>
    <row r="6860" spans="5:8" ht="15.6">
      <c r="E6860" s="279" t="s">
        <v>7186</v>
      </c>
      <c r="F6860" s="284">
        <f t="shared" ref="F6860:F6923" ca="1" si="214">RAND()</f>
        <v>9.1025904182784889E-2</v>
      </c>
      <c r="G6860" s="74">
        <v>39.500642673260394</v>
      </c>
      <c r="H6860" s="74">
        <f t="shared" ref="H6860:H6923" si="215">$D$2-G6860</f>
        <v>0.99375767007212801</v>
      </c>
    </row>
    <row r="6861" spans="5:8" ht="15.6">
      <c r="E6861" s="279" t="s">
        <v>7187</v>
      </c>
      <c r="F6861" s="284">
        <f t="shared" ca="1" si="214"/>
        <v>0.35811298147089909</v>
      </c>
      <c r="G6861" s="74">
        <v>36.241664257165283</v>
      </c>
      <c r="H6861" s="74">
        <f t="shared" si="215"/>
        <v>4.2527360861672392</v>
      </c>
    </row>
    <row r="6862" spans="5:8" ht="15.6">
      <c r="E6862" s="279" t="s">
        <v>7188</v>
      </c>
      <c r="F6862" s="284">
        <f t="shared" ca="1" si="214"/>
        <v>0.54969594861797122</v>
      </c>
      <c r="G6862" s="74">
        <v>36.207390306039258</v>
      </c>
      <c r="H6862" s="74">
        <f t="shared" si="215"/>
        <v>4.287010037293264</v>
      </c>
    </row>
    <row r="6863" spans="5:8" ht="15.6">
      <c r="E6863" s="279" t="s">
        <v>7189</v>
      </c>
      <c r="F6863" s="284">
        <f t="shared" ca="1" si="214"/>
        <v>0.4139571269317095</v>
      </c>
      <c r="G6863" s="74">
        <v>37.832643376374428</v>
      </c>
      <c r="H6863" s="74">
        <f t="shared" si="215"/>
        <v>2.6617569669580945</v>
      </c>
    </row>
    <row r="6864" spans="5:8" ht="15.6">
      <c r="E6864" s="279" t="s">
        <v>7190</v>
      </c>
      <c r="F6864" s="284">
        <f t="shared" ca="1" si="214"/>
        <v>0.88321682607011853</v>
      </c>
      <c r="G6864" s="74">
        <v>40.980738218890288</v>
      </c>
      <c r="H6864" s="74">
        <f t="shared" si="215"/>
        <v>-0.48633787555776564</v>
      </c>
    </row>
    <row r="6865" spans="5:8" ht="15.6">
      <c r="E6865" s="279" t="s">
        <v>7191</v>
      </c>
      <c r="F6865" s="284">
        <f t="shared" ca="1" si="214"/>
        <v>0.69698117696236084</v>
      </c>
      <c r="G6865" s="74">
        <v>35.18685016795159</v>
      </c>
      <c r="H6865" s="74">
        <f t="shared" si="215"/>
        <v>5.307550175380932</v>
      </c>
    </row>
    <row r="6866" spans="5:8" ht="15.6">
      <c r="E6866" s="279" t="s">
        <v>7192</v>
      </c>
      <c r="F6866" s="284">
        <f t="shared" ca="1" si="214"/>
        <v>0.83100231393661017</v>
      </c>
      <c r="G6866" s="74">
        <v>40.454159988672089</v>
      </c>
      <c r="H6866" s="74">
        <f t="shared" si="215"/>
        <v>4.0240354660433297E-2</v>
      </c>
    </row>
    <row r="6867" spans="5:8" ht="15.6">
      <c r="E6867" s="279" t="s">
        <v>7193</v>
      </c>
      <c r="F6867" s="284">
        <f t="shared" ca="1" si="214"/>
        <v>0.33490631911447999</v>
      </c>
      <c r="G6867" s="74">
        <v>36.054352483441178</v>
      </c>
      <c r="H6867" s="74">
        <f t="shared" si="215"/>
        <v>4.4400478598913438</v>
      </c>
    </row>
    <row r="6868" spans="5:8" ht="15.6">
      <c r="E6868" s="279" t="s">
        <v>7194</v>
      </c>
      <c r="F6868" s="284">
        <f t="shared" ca="1" si="214"/>
        <v>0.88990081751010797</v>
      </c>
      <c r="G6868" s="74">
        <v>43.371243862224802</v>
      </c>
      <c r="H6868" s="74">
        <f t="shared" si="215"/>
        <v>-2.8768435188922794</v>
      </c>
    </row>
    <row r="6869" spans="5:8" ht="15.6">
      <c r="E6869" s="279" t="s">
        <v>7195</v>
      </c>
      <c r="F6869" s="284">
        <f t="shared" ca="1" si="214"/>
        <v>3.7352379399416824E-2</v>
      </c>
      <c r="G6869" s="74">
        <v>37.985501652015287</v>
      </c>
      <c r="H6869" s="74">
        <f t="shared" si="215"/>
        <v>2.5088986913172349</v>
      </c>
    </row>
    <row r="6870" spans="5:8" ht="15.6">
      <c r="E6870" s="279" t="s">
        <v>7196</v>
      </c>
      <c r="F6870" s="284">
        <f t="shared" ca="1" si="214"/>
        <v>0.44522210416288799</v>
      </c>
      <c r="G6870" s="74">
        <v>38.135839240401054</v>
      </c>
      <c r="H6870" s="74">
        <f t="shared" si="215"/>
        <v>2.3585611029314677</v>
      </c>
    </row>
    <row r="6871" spans="5:8" ht="15.6">
      <c r="E6871" s="279" t="s">
        <v>7197</v>
      </c>
      <c r="F6871" s="284">
        <f t="shared" ca="1" si="214"/>
        <v>0.23303344802666526</v>
      </c>
      <c r="G6871" s="74">
        <v>38.547207229445725</v>
      </c>
      <c r="H6871" s="74">
        <f t="shared" si="215"/>
        <v>1.9471931138867973</v>
      </c>
    </row>
    <row r="6872" spans="5:8" ht="15.6">
      <c r="E6872" s="279" t="s">
        <v>7198</v>
      </c>
      <c r="F6872" s="284">
        <f t="shared" ca="1" si="214"/>
        <v>0.68161415289396354</v>
      </c>
      <c r="G6872" s="74">
        <v>40.883315855204025</v>
      </c>
      <c r="H6872" s="74">
        <f t="shared" si="215"/>
        <v>-0.38891551187150242</v>
      </c>
    </row>
    <row r="6873" spans="5:8" ht="15.6">
      <c r="E6873" s="279" t="s">
        <v>7199</v>
      </c>
      <c r="F6873" s="284">
        <f t="shared" ca="1" si="214"/>
        <v>3.918862812205437E-3</v>
      </c>
      <c r="G6873" s="74">
        <v>37.246855251500854</v>
      </c>
      <c r="H6873" s="74">
        <f t="shared" si="215"/>
        <v>3.2475450918316682</v>
      </c>
    </row>
    <row r="6874" spans="5:8" ht="15.6">
      <c r="E6874" s="279" t="s">
        <v>7200</v>
      </c>
      <c r="F6874" s="284">
        <f t="shared" ca="1" si="214"/>
        <v>0.56248921091586745</v>
      </c>
      <c r="G6874" s="74">
        <v>39.879708988716409</v>
      </c>
      <c r="H6874" s="74">
        <f t="shared" si="215"/>
        <v>0.61469135461611302</v>
      </c>
    </row>
    <row r="6875" spans="5:8" ht="15.6">
      <c r="E6875" s="279" t="s">
        <v>7201</v>
      </c>
      <c r="F6875" s="284">
        <f t="shared" ca="1" si="214"/>
        <v>0.33240946636177415</v>
      </c>
      <c r="G6875" s="74">
        <v>40.004869553502594</v>
      </c>
      <c r="H6875" s="74">
        <f t="shared" si="215"/>
        <v>0.48953078982992793</v>
      </c>
    </row>
    <row r="6876" spans="5:8" ht="15.6">
      <c r="E6876" s="279" t="s">
        <v>7202</v>
      </c>
      <c r="F6876" s="284">
        <f t="shared" ca="1" si="214"/>
        <v>0.88682499103495438</v>
      </c>
      <c r="G6876" s="74">
        <v>38.816196211645831</v>
      </c>
      <c r="H6876" s="74">
        <f t="shared" si="215"/>
        <v>1.6782041316866909</v>
      </c>
    </row>
    <row r="6877" spans="5:8" ht="15.6">
      <c r="E6877" s="279" t="s">
        <v>7203</v>
      </c>
      <c r="F6877" s="284">
        <f t="shared" ca="1" si="214"/>
        <v>0.19454322765524257</v>
      </c>
      <c r="G6877" s="74">
        <v>38.76592872892116</v>
      </c>
      <c r="H6877" s="74">
        <f t="shared" si="215"/>
        <v>1.7284716144113617</v>
      </c>
    </row>
    <row r="6878" spans="5:8" ht="15.6">
      <c r="E6878" s="279" t="s">
        <v>7204</v>
      </c>
      <c r="F6878" s="284">
        <f t="shared" ca="1" si="214"/>
        <v>0.39758405105002381</v>
      </c>
      <c r="G6878" s="74">
        <v>38.712173747141449</v>
      </c>
      <c r="H6878" s="74">
        <f t="shared" si="215"/>
        <v>1.782226596191073</v>
      </c>
    </row>
    <row r="6879" spans="5:8" ht="15.6">
      <c r="E6879" s="279" t="s">
        <v>7205</v>
      </c>
      <c r="F6879" s="284">
        <f t="shared" ca="1" si="214"/>
        <v>0.14261509130193062</v>
      </c>
      <c r="G6879" s="74">
        <v>46.2987458094508</v>
      </c>
      <c r="H6879" s="74">
        <f t="shared" si="215"/>
        <v>-5.8043454661182778</v>
      </c>
    </row>
    <row r="6880" spans="5:8" ht="15.6">
      <c r="E6880" s="279" t="s">
        <v>7206</v>
      </c>
      <c r="F6880" s="284">
        <f t="shared" ca="1" si="214"/>
        <v>0.56445470425303745</v>
      </c>
      <c r="G6880" s="74">
        <v>38.300410738397311</v>
      </c>
      <c r="H6880" s="74">
        <f t="shared" si="215"/>
        <v>2.1939896049352114</v>
      </c>
    </row>
    <row r="6881" spans="5:8" ht="15.6">
      <c r="E6881" s="279" t="s">
        <v>7207</v>
      </c>
      <c r="F6881" s="284">
        <f t="shared" ca="1" si="214"/>
        <v>0.12473235118090709</v>
      </c>
      <c r="G6881" s="74">
        <v>41.114417339447861</v>
      </c>
      <c r="H6881" s="74">
        <f t="shared" si="215"/>
        <v>-0.62001699611533923</v>
      </c>
    </row>
    <row r="6882" spans="5:8" ht="15.6">
      <c r="E6882" s="279" t="s">
        <v>7208</v>
      </c>
      <c r="F6882" s="284">
        <f t="shared" ca="1" si="214"/>
        <v>0.11989532453211826</v>
      </c>
      <c r="G6882" s="74">
        <v>37.984389165241254</v>
      </c>
      <c r="H6882" s="74">
        <f t="shared" si="215"/>
        <v>2.5100111780912684</v>
      </c>
    </row>
    <row r="6883" spans="5:8" ht="15.6">
      <c r="E6883" s="279" t="s">
        <v>7209</v>
      </c>
      <c r="F6883" s="284">
        <f t="shared" ca="1" si="214"/>
        <v>0.6757218974027962</v>
      </c>
      <c r="G6883" s="74">
        <v>41.74722625064009</v>
      </c>
      <c r="H6883" s="74">
        <f t="shared" si="215"/>
        <v>-1.2528259073075674</v>
      </c>
    </row>
    <row r="6884" spans="5:8" ht="15.6">
      <c r="E6884" s="279" t="s">
        <v>7210</v>
      </c>
      <c r="F6884" s="284">
        <f t="shared" ca="1" si="214"/>
        <v>0.63287466638867429</v>
      </c>
      <c r="G6884" s="74">
        <v>35.259260077401365</v>
      </c>
      <c r="H6884" s="74">
        <f t="shared" si="215"/>
        <v>5.2351402659311574</v>
      </c>
    </row>
    <row r="6885" spans="5:8" ht="15.6">
      <c r="E6885" s="279" t="s">
        <v>7211</v>
      </c>
      <c r="F6885" s="284">
        <f t="shared" ca="1" si="214"/>
        <v>0.40584577115486975</v>
      </c>
      <c r="G6885" s="74">
        <v>37.257059589227033</v>
      </c>
      <c r="H6885" s="74">
        <f t="shared" si="215"/>
        <v>3.2373407541054888</v>
      </c>
    </row>
    <row r="6886" spans="5:8" ht="15.6">
      <c r="E6886" s="279" t="s">
        <v>7212</v>
      </c>
      <c r="F6886" s="284">
        <f t="shared" ca="1" si="214"/>
        <v>0.72351289515587169</v>
      </c>
      <c r="G6886" s="74">
        <v>38.344900904541149</v>
      </c>
      <c r="H6886" s="74">
        <f t="shared" si="215"/>
        <v>2.1494994387913735</v>
      </c>
    </row>
    <row r="6887" spans="5:8" ht="15.6">
      <c r="E6887" s="279" t="s">
        <v>7213</v>
      </c>
      <c r="F6887" s="284">
        <f t="shared" ca="1" si="214"/>
        <v>0.22798549071523588</v>
      </c>
      <c r="G6887" s="74">
        <v>38.087048310490111</v>
      </c>
      <c r="H6887" s="74">
        <f t="shared" si="215"/>
        <v>2.4073520328424109</v>
      </c>
    </row>
    <row r="6888" spans="5:8" ht="15.6">
      <c r="E6888" s="279" t="s">
        <v>7214</v>
      </c>
      <c r="F6888" s="284">
        <f t="shared" ca="1" si="214"/>
        <v>0.73621196614060458</v>
      </c>
      <c r="G6888" s="74">
        <v>42.318938764988197</v>
      </c>
      <c r="H6888" s="74">
        <f t="shared" si="215"/>
        <v>-1.8245384216556744</v>
      </c>
    </row>
    <row r="6889" spans="5:8" ht="15.6">
      <c r="E6889" s="279" t="s">
        <v>7215</v>
      </c>
      <c r="F6889" s="284">
        <f t="shared" ca="1" si="214"/>
        <v>0.50393171541569037</v>
      </c>
      <c r="G6889" s="74">
        <v>40.527951078843337</v>
      </c>
      <c r="H6889" s="74">
        <f t="shared" si="215"/>
        <v>-3.3550735510814889E-2</v>
      </c>
    </row>
    <row r="6890" spans="5:8" ht="15.6">
      <c r="E6890" s="279" t="s">
        <v>7216</v>
      </c>
      <c r="F6890" s="284">
        <f t="shared" ca="1" si="214"/>
        <v>0.50166619774626475</v>
      </c>
      <c r="G6890" s="74">
        <v>42.231698943495076</v>
      </c>
      <c r="H6890" s="74">
        <f t="shared" si="215"/>
        <v>-1.7372986001625534</v>
      </c>
    </row>
    <row r="6891" spans="5:8" ht="15.6">
      <c r="E6891" s="279" t="s">
        <v>7217</v>
      </c>
      <c r="F6891" s="284">
        <f t="shared" ca="1" si="214"/>
        <v>0.48125127777632981</v>
      </c>
      <c r="G6891" s="74">
        <v>40.29823394041383</v>
      </c>
      <c r="H6891" s="74">
        <f t="shared" si="215"/>
        <v>0.19616640291869203</v>
      </c>
    </row>
    <row r="6892" spans="5:8" ht="15.6">
      <c r="E6892" s="279" t="s">
        <v>7218</v>
      </c>
      <c r="F6892" s="284">
        <f t="shared" ca="1" si="214"/>
        <v>0.87136359720144296</v>
      </c>
      <c r="G6892" s="74">
        <v>34.835726369431121</v>
      </c>
      <c r="H6892" s="74">
        <f t="shared" si="215"/>
        <v>5.6586739739014007</v>
      </c>
    </row>
    <row r="6893" spans="5:8" ht="15.6">
      <c r="E6893" s="279" t="s">
        <v>7219</v>
      </c>
      <c r="F6893" s="284">
        <f t="shared" ca="1" si="214"/>
        <v>9.3482583616143033E-2</v>
      </c>
      <c r="G6893" s="74">
        <v>39.469483745188434</v>
      </c>
      <c r="H6893" s="74">
        <f t="shared" si="215"/>
        <v>1.0249165981440882</v>
      </c>
    </row>
    <row r="6894" spans="5:8" ht="15.6">
      <c r="E6894" s="279" t="s">
        <v>7220</v>
      </c>
      <c r="F6894" s="284">
        <f t="shared" ca="1" si="214"/>
        <v>0.11190085945715356</v>
      </c>
      <c r="G6894" s="74">
        <v>33.845156146853185</v>
      </c>
      <c r="H6894" s="74">
        <f t="shared" si="215"/>
        <v>6.6492441964793372</v>
      </c>
    </row>
    <row r="6895" spans="5:8" ht="15.6">
      <c r="E6895" s="279" t="s">
        <v>7221</v>
      </c>
      <c r="F6895" s="284">
        <f t="shared" ca="1" si="214"/>
        <v>0.18218916691543408</v>
      </c>
      <c r="G6895" s="74">
        <v>41.118901498933553</v>
      </c>
      <c r="H6895" s="74">
        <f t="shared" si="215"/>
        <v>-0.62450115560103114</v>
      </c>
    </row>
    <row r="6896" spans="5:8" ht="15.6">
      <c r="E6896" s="279" t="s">
        <v>7222</v>
      </c>
      <c r="F6896" s="284">
        <f t="shared" ca="1" si="214"/>
        <v>0.80990916389828871</v>
      </c>
      <c r="G6896" s="74">
        <v>39.550478778297602</v>
      </c>
      <c r="H6896" s="74">
        <f t="shared" si="215"/>
        <v>0.94392156503491975</v>
      </c>
    </row>
    <row r="6897" spans="5:8" ht="15.6">
      <c r="E6897" s="279" t="s">
        <v>7223</v>
      </c>
      <c r="F6897" s="284">
        <f t="shared" ca="1" si="214"/>
        <v>0.74665781005379828</v>
      </c>
      <c r="G6897" s="74">
        <v>48.232318308071136</v>
      </c>
      <c r="H6897" s="74">
        <f t="shared" si="215"/>
        <v>-7.7379179647386138</v>
      </c>
    </row>
    <row r="6898" spans="5:8" ht="15.6">
      <c r="E6898" s="279" t="s">
        <v>7224</v>
      </c>
      <c r="F6898" s="284">
        <f t="shared" ca="1" si="214"/>
        <v>0.5873876877184907</v>
      </c>
      <c r="G6898" s="74">
        <v>39.713380092566034</v>
      </c>
      <c r="H6898" s="74">
        <f t="shared" si="215"/>
        <v>0.78102025076648829</v>
      </c>
    </row>
    <row r="6899" spans="5:8" ht="15.6">
      <c r="E6899" s="279" t="s">
        <v>7225</v>
      </c>
      <c r="F6899" s="284">
        <f t="shared" ca="1" si="214"/>
        <v>0.47329337933605919</v>
      </c>
      <c r="G6899" s="74">
        <v>34.268083010097044</v>
      </c>
      <c r="H6899" s="74">
        <f t="shared" si="215"/>
        <v>6.2263173332354782</v>
      </c>
    </row>
    <row r="6900" spans="5:8" ht="15.6">
      <c r="E6900" s="279" t="s">
        <v>7226</v>
      </c>
      <c r="F6900" s="284">
        <f t="shared" ca="1" si="214"/>
        <v>0.49333687442474594</v>
      </c>
      <c r="G6900" s="74">
        <v>40.30037447093585</v>
      </c>
      <c r="H6900" s="74">
        <f t="shared" si="215"/>
        <v>0.19402587239667213</v>
      </c>
    </row>
    <row r="6901" spans="5:8" ht="15.6">
      <c r="E6901" s="279" t="s">
        <v>7227</v>
      </c>
      <c r="F6901" s="284">
        <f t="shared" ca="1" si="214"/>
        <v>0.90483991791271634</v>
      </c>
      <c r="G6901" s="74">
        <v>36.879031432122609</v>
      </c>
      <c r="H6901" s="74">
        <f t="shared" si="215"/>
        <v>3.615368911209913</v>
      </c>
    </row>
    <row r="6902" spans="5:8" ht="15.6">
      <c r="E6902" s="279" t="s">
        <v>7228</v>
      </c>
      <c r="F6902" s="284">
        <f t="shared" ca="1" si="214"/>
        <v>0.72724873132498902</v>
      </c>
      <c r="G6902" s="74">
        <v>46.693618921627248</v>
      </c>
      <c r="H6902" s="74">
        <f t="shared" si="215"/>
        <v>-6.199218578294726</v>
      </c>
    </row>
    <row r="6903" spans="5:8" ht="15.6">
      <c r="E6903" s="279" t="s">
        <v>7229</v>
      </c>
      <c r="F6903" s="284">
        <f t="shared" ca="1" si="214"/>
        <v>0.69531958511403824</v>
      </c>
      <c r="G6903" s="74">
        <v>38.723797032783736</v>
      </c>
      <c r="H6903" s="74">
        <f t="shared" si="215"/>
        <v>1.7706033105487862</v>
      </c>
    </row>
    <row r="6904" spans="5:8" ht="15.6">
      <c r="E6904" s="279" t="s">
        <v>7230</v>
      </c>
      <c r="F6904" s="284">
        <f t="shared" ca="1" si="214"/>
        <v>0.90001565286860874</v>
      </c>
      <c r="G6904" s="74">
        <v>39.589761338127012</v>
      </c>
      <c r="H6904" s="74">
        <f t="shared" si="215"/>
        <v>0.90463900520551022</v>
      </c>
    </row>
    <row r="6905" spans="5:8" ht="15.6">
      <c r="E6905" s="279" t="s">
        <v>7231</v>
      </c>
      <c r="F6905" s="284">
        <f t="shared" ca="1" si="214"/>
        <v>0.20841358938985488</v>
      </c>
      <c r="G6905" s="74">
        <v>35.844238424942517</v>
      </c>
      <c r="H6905" s="74">
        <f t="shared" si="215"/>
        <v>4.6501619183900047</v>
      </c>
    </row>
    <row r="6906" spans="5:8" ht="15.6">
      <c r="E6906" s="279" t="s">
        <v>7232</v>
      </c>
      <c r="F6906" s="284">
        <f t="shared" ca="1" si="214"/>
        <v>0.87601952841638608</v>
      </c>
      <c r="G6906" s="74">
        <v>48.279090165501636</v>
      </c>
      <c r="H6906" s="74">
        <f t="shared" si="215"/>
        <v>-7.7846898221691134</v>
      </c>
    </row>
    <row r="6907" spans="5:8" ht="15.6">
      <c r="E6907" s="279" t="s">
        <v>7233</v>
      </c>
      <c r="F6907" s="284">
        <f t="shared" ca="1" si="214"/>
        <v>0.46053960815134753</v>
      </c>
      <c r="G6907" s="74">
        <v>42.909979608299807</v>
      </c>
      <c r="H6907" s="74">
        <f t="shared" si="215"/>
        <v>-2.4155792649672847</v>
      </c>
    </row>
    <row r="6908" spans="5:8" ht="15.6">
      <c r="E6908" s="279" t="s">
        <v>7234</v>
      </c>
      <c r="F6908" s="284">
        <f t="shared" ca="1" si="214"/>
        <v>0.7806114247666075</v>
      </c>
      <c r="G6908" s="74">
        <v>39.85693253559122</v>
      </c>
      <c r="H6908" s="74">
        <f t="shared" si="215"/>
        <v>0.63746780774130229</v>
      </c>
    </row>
    <row r="6909" spans="5:8" ht="15.6">
      <c r="E6909" s="279" t="s">
        <v>7235</v>
      </c>
      <c r="F6909" s="284">
        <f t="shared" ca="1" si="214"/>
        <v>0.72616364643382625</v>
      </c>
      <c r="G6909" s="74">
        <v>41.49579963529515</v>
      </c>
      <c r="H6909" s="74">
        <f t="shared" si="215"/>
        <v>-1.0013992919626276</v>
      </c>
    </row>
    <row r="6910" spans="5:8" ht="15.6">
      <c r="E6910" s="279" t="s">
        <v>7236</v>
      </c>
      <c r="F6910" s="284">
        <f t="shared" ca="1" si="214"/>
        <v>0.74413195635634199</v>
      </c>
      <c r="G6910" s="74">
        <v>39.994555268425835</v>
      </c>
      <c r="H6910" s="74">
        <f t="shared" si="215"/>
        <v>0.49984507490668761</v>
      </c>
    </row>
    <row r="6911" spans="5:8" ht="15.6">
      <c r="E6911" s="279" t="s">
        <v>7237</v>
      </c>
      <c r="F6911" s="284">
        <f t="shared" ca="1" si="214"/>
        <v>6.138998535869078E-3</v>
      </c>
      <c r="G6911" s="74">
        <v>39.218902382143497</v>
      </c>
      <c r="H6911" s="74">
        <f t="shared" si="215"/>
        <v>1.2754979611890249</v>
      </c>
    </row>
    <row r="6912" spans="5:8" ht="15.6">
      <c r="E6912" s="279" t="s">
        <v>7238</v>
      </c>
      <c r="F6912" s="284">
        <f t="shared" ca="1" si="214"/>
        <v>0.30548521969737197</v>
      </c>
      <c r="G6912" s="74">
        <v>36.455875794957592</v>
      </c>
      <c r="H6912" s="74">
        <f t="shared" si="215"/>
        <v>4.0385245483749301</v>
      </c>
    </row>
    <row r="6913" spans="5:8" ht="15.6">
      <c r="E6913" s="279" t="s">
        <v>7239</v>
      </c>
      <c r="F6913" s="284">
        <f t="shared" ca="1" si="214"/>
        <v>9.2999988602684436E-3</v>
      </c>
      <c r="G6913" s="74">
        <v>38.173816143794191</v>
      </c>
      <c r="H6913" s="74">
        <f t="shared" si="215"/>
        <v>2.3205841995383309</v>
      </c>
    </row>
    <row r="6914" spans="5:8" ht="15.6">
      <c r="E6914" s="279" t="s">
        <v>7240</v>
      </c>
      <c r="F6914" s="284">
        <f t="shared" ca="1" si="214"/>
        <v>0.61822809062706585</v>
      </c>
      <c r="G6914" s="74">
        <v>39.257987136183722</v>
      </c>
      <c r="H6914" s="74">
        <f t="shared" si="215"/>
        <v>1.2364132071488001</v>
      </c>
    </row>
    <row r="6915" spans="5:8" ht="15.6">
      <c r="E6915" s="279" t="s">
        <v>7241</v>
      </c>
      <c r="F6915" s="284">
        <f t="shared" ca="1" si="214"/>
        <v>0.2698878908958855</v>
      </c>
      <c r="G6915" s="74">
        <v>46.560049080399921</v>
      </c>
      <c r="H6915" s="74">
        <f t="shared" si="215"/>
        <v>-6.0656487370673986</v>
      </c>
    </row>
    <row r="6916" spans="5:8" ht="15.6">
      <c r="E6916" s="279" t="s">
        <v>7242</v>
      </c>
      <c r="F6916" s="284">
        <f t="shared" ca="1" si="214"/>
        <v>0.36128907242763175</v>
      </c>
      <c r="G6916" s="74">
        <v>41.841037932072858</v>
      </c>
      <c r="H6916" s="74">
        <f t="shared" si="215"/>
        <v>-1.3466375887403359</v>
      </c>
    </row>
    <row r="6917" spans="5:8" ht="15.6">
      <c r="E6917" s="279" t="s">
        <v>7243</v>
      </c>
      <c r="F6917" s="284">
        <f t="shared" ca="1" si="214"/>
        <v>0.84748940972170317</v>
      </c>
      <c r="G6917" s="74">
        <v>38.831310073835567</v>
      </c>
      <c r="H6917" s="74">
        <f t="shared" si="215"/>
        <v>1.6630902694969549</v>
      </c>
    </row>
    <row r="6918" spans="5:8" ht="15.6">
      <c r="E6918" s="279" t="s">
        <v>7244</v>
      </c>
      <c r="F6918" s="284">
        <f t="shared" ca="1" si="214"/>
        <v>0.13760444759671708</v>
      </c>
      <c r="G6918" s="74">
        <v>38.922808927819986</v>
      </c>
      <c r="H6918" s="74">
        <f t="shared" si="215"/>
        <v>1.5715914155125361</v>
      </c>
    </row>
    <row r="6919" spans="5:8" ht="15.6">
      <c r="E6919" s="279" t="s">
        <v>7245</v>
      </c>
      <c r="F6919" s="284">
        <f t="shared" ca="1" si="214"/>
        <v>0.86002167123845574</v>
      </c>
      <c r="G6919" s="74">
        <v>40.739708721956703</v>
      </c>
      <c r="H6919" s="74">
        <f t="shared" si="215"/>
        <v>-0.24530837862418053</v>
      </c>
    </row>
    <row r="6920" spans="5:8" ht="15.6">
      <c r="E6920" s="279" t="s">
        <v>7246</v>
      </c>
      <c r="F6920" s="284">
        <f t="shared" ca="1" si="214"/>
        <v>0.38426534787115119</v>
      </c>
      <c r="G6920" s="74">
        <v>36.870420489991439</v>
      </c>
      <c r="H6920" s="74">
        <f t="shared" si="215"/>
        <v>3.6239798533410834</v>
      </c>
    </row>
    <row r="6921" spans="5:8" ht="15.6">
      <c r="E6921" s="279" t="s">
        <v>7247</v>
      </c>
      <c r="F6921" s="284">
        <f t="shared" ca="1" si="214"/>
        <v>0.32506413401580903</v>
      </c>
      <c r="G6921" s="74">
        <v>37.724601031416256</v>
      </c>
      <c r="H6921" s="74">
        <f t="shared" si="215"/>
        <v>2.769799311916266</v>
      </c>
    </row>
    <row r="6922" spans="5:8" ht="15.6">
      <c r="E6922" s="279" t="s">
        <v>7248</v>
      </c>
      <c r="F6922" s="284">
        <f t="shared" ca="1" si="214"/>
        <v>0.20834795389648963</v>
      </c>
      <c r="G6922" s="74">
        <v>38.92859826321444</v>
      </c>
      <c r="H6922" s="74">
        <f t="shared" si="215"/>
        <v>1.5658020801180825</v>
      </c>
    </row>
    <row r="6923" spans="5:8" ht="15.6">
      <c r="E6923" s="279" t="s">
        <v>7249</v>
      </c>
      <c r="F6923" s="284">
        <f t="shared" ca="1" si="214"/>
        <v>0.66750274949696842</v>
      </c>
      <c r="G6923" s="74">
        <v>41.030893898212462</v>
      </c>
      <c r="H6923" s="74">
        <f t="shared" si="215"/>
        <v>-0.53649355487993944</v>
      </c>
    </row>
    <row r="6924" spans="5:8" ht="15.6">
      <c r="E6924" s="279" t="s">
        <v>7250</v>
      </c>
      <c r="F6924" s="284">
        <f t="shared" ref="F6924:F6987" ca="1" si="216">RAND()</f>
        <v>0.24555877831842232</v>
      </c>
      <c r="G6924" s="74">
        <v>39.099377327295606</v>
      </c>
      <c r="H6924" s="74">
        <f t="shared" ref="H6924:H6987" si="217">$D$2-G6924</f>
        <v>1.3950230160369159</v>
      </c>
    </row>
    <row r="6925" spans="5:8" ht="15.6">
      <c r="E6925" s="279" t="s">
        <v>7251</v>
      </c>
      <c r="F6925" s="284">
        <f t="shared" ca="1" si="216"/>
        <v>0.12000194143398879</v>
      </c>
      <c r="G6925" s="74">
        <v>38.346022042316335</v>
      </c>
      <c r="H6925" s="74">
        <f t="shared" si="217"/>
        <v>2.1483783010161872</v>
      </c>
    </row>
    <row r="6926" spans="5:8" ht="15.6">
      <c r="E6926" s="279" t="s">
        <v>7252</v>
      </c>
      <c r="F6926" s="284">
        <f t="shared" ca="1" si="216"/>
        <v>0.80663856640001108</v>
      </c>
      <c r="G6926" s="74">
        <v>40.373807405684133</v>
      </c>
      <c r="H6926" s="74">
        <f t="shared" si="217"/>
        <v>0.12059293764838941</v>
      </c>
    </row>
    <row r="6927" spans="5:8" ht="15.6">
      <c r="E6927" s="279" t="s">
        <v>7253</v>
      </c>
      <c r="F6927" s="284">
        <f t="shared" ca="1" si="216"/>
        <v>0.93725382642992472</v>
      </c>
      <c r="G6927" s="74">
        <v>42.811700199945058</v>
      </c>
      <c r="H6927" s="74">
        <f t="shared" si="217"/>
        <v>-2.3172998566125358</v>
      </c>
    </row>
    <row r="6928" spans="5:8" ht="15.6">
      <c r="E6928" s="279" t="s">
        <v>7254</v>
      </c>
      <c r="F6928" s="284">
        <f t="shared" ca="1" si="216"/>
        <v>0.27739201984190187</v>
      </c>
      <c r="G6928" s="74">
        <v>36.67516997480368</v>
      </c>
      <c r="H6928" s="74">
        <f t="shared" si="217"/>
        <v>3.8192303685288422</v>
      </c>
    </row>
    <row r="6929" spans="5:8" ht="15.6">
      <c r="E6929" s="279" t="s">
        <v>7255</v>
      </c>
      <c r="F6929" s="284">
        <f t="shared" ca="1" si="216"/>
        <v>0.38462014194207161</v>
      </c>
      <c r="G6929" s="74">
        <v>38.20450463254469</v>
      </c>
      <c r="H6929" s="74">
        <f t="shared" si="217"/>
        <v>2.2898957107878317</v>
      </c>
    </row>
    <row r="6930" spans="5:8" ht="15.6">
      <c r="E6930" s="279" t="s">
        <v>7256</v>
      </c>
      <c r="F6930" s="284">
        <f t="shared" ca="1" si="216"/>
        <v>0.86503231060315611</v>
      </c>
      <c r="G6930" s="74">
        <v>35.951331777763777</v>
      </c>
      <c r="H6930" s="74">
        <f t="shared" si="217"/>
        <v>4.5430685655687455</v>
      </c>
    </row>
    <row r="6931" spans="5:8" ht="15.6">
      <c r="E6931" s="279" t="s">
        <v>7257</v>
      </c>
      <c r="F6931" s="284">
        <f t="shared" ca="1" si="216"/>
        <v>0.73047414369962571</v>
      </c>
      <c r="G6931" s="74">
        <v>38.291602457297465</v>
      </c>
      <c r="H6931" s="74">
        <f t="shared" si="217"/>
        <v>2.2027978860350572</v>
      </c>
    </row>
    <row r="6932" spans="5:8" ht="15.6">
      <c r="E6932" s="279" t="s">
        <v>7258</v>
      </c>
      <c r="F6932" s="284">
        <f t="shared" ca="1" si="216"/>
        <v>0.49305254174137991</v>
      </c>
      <c r="G6932" s="74">
        <v>41.737678965044452</v>
      </c>
      <c r="H6932" s="74">
        <f t="shared" si="217"/>
        <v>-1.24327862171193</v>
      </c>
    </row>
    <row r="6933" spans="5:8" ht="15.6">
      <c r="E6933" s="279" t="s">
        <v>7259</v>
      </c>
      <c r="F6933" s="284">
        <f t="shared" ca="1" si="216"/>
        <v>0.25616241416075747</v>
      </c>
      <c r="G6933" s="74">
        <v>41.899408124736588</v>
      </c>
      <c r="H6933" s="74">
        <f t="shared" si="217"/>
        <v>-1.4050077814040662</v>
      </c>
    </row>
    <row r="6934" spans="5:8" ht="15.6">
      <c r="E6934" s="279" t="s">
        <v>7260</v>
      </c>
      <c r="F6934" s="284">
        <f t="shared" ca="1" si="216"/>
        <v>0.74895243351156948</v>
      </c>
      <c r="G6934" s="74">
        <v>42.140434197881731</v>
      </c>
      <c r="H6934" s="74">
        <f t="shared" si="217"/>
        <v>-1.6460338545492093</v>
      </c>
    </row>
    <row r="6935" spans="5:8" ht="15.6">
      <c r="E6935" s="279" t="s">
        <v>7261</v>
      </c>
      <c r="F6935" s="284">
        <f t="shared" ca="1" si="216"/>
        <v>0.81354578560513569</v>
      </c>
      <c r="G6935" s="74">
        <v>37.457200644804587</v>
      </c>
      <c r="H6935" s="74">
        <f t="shared" si="217"/>
        <v>3.0371996985279353</v>
      </c>
    </row>
    <row r="6936" spans="5:8" ht="15.6">
      <c r="E6936" s="279" t="s">
        <v>7262</v>
      </c>
      <c r="F6936" s="284">
        <f t="shared" ca="1" si="216"/>
        <v>0.92734601131765149</v>
      </c>
      <c r="G6936" s="74">
        <v>37.256278587424802</v>
      </c>
      <c r="H6936" s="74">
        <f t="shared" si="217"/>
        <v>3.23812175590772</v>
      </c>
    </row>
    <row r="6937" spans="5:8" ht="15.6">
      <c r="E6937" s="279" t="s">
        <v>7263</v>
      </c>
      <c r="F6937" s="284">
        <f t="shared" ca="1" si="216"/>
        <v>0.45517329902765691</v>
      </c>
      <c r="G6937" s="74">
        <v>42.794653037848391</v>
      </c>
      <c r="H6937" s="74">
        <f t="shared" si="217"/>
        <v>-2.3002526945158692</v>
      </c>
    </row>
    <row r="6938" spans="5:8" ht="15.6">
      <c r="E6938" s="279" t="s">
        <v>7264</v>
      </c>
      <c r="F6938" s="284">
        <f t="shared" ca="1" si="216"/>
        <v>0.60735594232602819</v>
      </c>
      <c r="G6938" s="74">
        <v>38.736777252925613</v>
      </c>
      <c r="H6938" s="74">
        <f t="shared" si="217"/>
        <v>1.7576230904069092</v>
      </c>
    </row>
    <row r="6939" spans="5:8" ht="15.6">
      <c r="E6939" s="279" t="s">
        <v>7265</v>
      </c>
      <c r="F6939" s="284">
        <f t="shared" ca="1" si="216"/>
        <v>0.21237497693737872</v>
      </c>
      <c r="G6939" s="74">
        <v>39.808422070618093</v>
      </c>
      <c r="H6939" s="74">
        <f t="shared" si="217"/>
        <v>0.68597827271442924</v>
      </c>
    </row>
    <row r="6940" spans="5:8" ht="15.6">
      <c r="E6940" s="279" t="s">
        <v>7266</v>
      </c>
      <c r="F6940" s="284">
        <f t="shared" ca="1" si="216"/>
        <v>0.63849597814466119</v>
      </c>
      <c r="G6940" s="74">
        <v>41.496216390163895</v>
      </c>
      <c r="H6940" s="74">
        <f t="shared" si="217"/>
        <v>-1.0018160468313724</v>
      </c>
    </row>
    <row r="6941" spans="5:8" ht="15.6">
      <c r="E6941" s="279" t="s">
        <v>7267</v>
      </c>
      <c r="F6941" s="284">
        <f t="shared" ca="1" si="216"/>
        <v>0.45004911008933968</v>
      </c>
      <c r="G6941" s="74">
        <v>37.940266582769056</v>
      </c>
      <c r="H6941" s="74">
        <f t="shared" si="217"/>
        <v>2.5541337605634666</v>
      </c>
    </row>
    <row r="6942" spans="5:8" ht="15.6">
      <c r="E6942" s="279" t="s">
        <v>7268</v>
      </c>
      <c r="F6942" s="284">
        <f t="shared" ca="1" si="216"/>
        <v>0.16849266972841148</v>
      </c>
      <c r="G6942" s="74">
        <v>37.350712190536939</v>
      </c>
      <c r="H6942" s="74">
        <f t="shared" si="217"/>
        <v>3.1436881527955833</v>
      </c>
    </row>
    <row r="6943" spans="5:8" ht="15.6">
      <c r="E6943" s="279" t="s">
        <v>7269</v>
      </c>
      <c r="F6943" s="284">
        <f t="shared" ca="1" si="216"/>
        <v>0.58888532746770661</v>
      </c>
      <c r="G6943" s="74">
        <v>36.741334547738241</v>
      </c>
      <c r="H6943" s="74">
        <f t="shared" si="217"/>
        <v>3.7530657955942814</v>
      </c>
    </row>
    <row r="6944" spans="5:8" ht="15.6">
      <c r="E6944" s="279" t="s">
        <v>7270</v>
      </c>
      <c r="F6944" s="284">
        <f t="shared" ca="1" si="216"/>
        <v>0.22981166494103289</v>
      </c>
      <c r="G6944" s="74">
        <v>38.157583131354677</v>
      </c>
      <c r="H6944" s="74">
        <f t="shared" si="217"/>
        <v>2.336817211977845</v>
      </c>
    </row>
    <row r="6945" spans="5:8" ht="15.6">
      <c r="E6945" s="279" t="s">
        <v>7271</v>
      </c>
      <c r="F6945" s="284">
        <f t="shared" ca="1" si="216"/>
        <v>0.11935414052423443</v>
      </c>
      <c r="G6945" s="74">
        <v>39.944082084964933</v>
      </c>
      <c r="H6945" s="74">
        <f t="shared" si="217"/>
        <v>0.55031825836758941</v>
      </c>
    </row>
    <row r="6946" spans="5:8" ht="15.6">
      <c r="E6946" s="279" t="s">
        <v>7272</v>
      </c>
      <c r="F6946" s="284">
        <f t="shared" ca="1" si="216"/>
        <v>0.38530189246325441</v>
      </c>
      <c r="G6946" s="74">
        <v>38.238889012522755</v>
      </c>
      <c r="H6946" s="74">
        <f t="shared" si="217"/>
        <v>2.2555113308097674</v>
      </c>
    </row>
    <row r="6947" spans="5:8" ht="15.6">
      <c r="E6947" s="279" t="s">
        <v>7273</v>
      </c>
      <c r="F6947" s="284">
        <f t="shared" ca="1" si="216"/>
        <v>0.34171691102352597</v>
      </c>
      <c r="G6947" s="74">
        <v>39.817503865101664</v>
      </c>
      <c r="H6947" s="74">
        <f t="shared" si="217"/>
        <v>0.67689647823085863</v>
      </c>
    </row>
    <row r="6948" spans="5:8" ht="15.6">
      <c r="E6948" s="279" t="s">
        <v>7274</v>
      </c>
      <c r="F6948" s="284">
        <f t="shared" ca="1" si="216"/>
        <v>9.1542441498613569E-2</v>
      </c>
      <c r="G6948" s="74">
        <v>35.672396077130102</v>
      </c>
      <c r="H6948" s="74">
        <f t="shared" si="217"/>
        <v>4.8220042662024198</v>
      </c>
    </row>
    <row r="6949" spans="5:8" ht="15.6">
      <c r="E6949" s="279" t="s">
        <v>7275</v>
      </c>
      <c r="F6949" s="284">
        <f t="shared" ca="1" si="216"/>
        <v>0.2233078120315779</v>
      </c>
      <c r="G6949" s="74">
        <v>41.193675843684815</v>
      </c>
      <c r="H6949" s="74">
        <f t="shared" si="217"/>
        <v>-0.69927550035229302</v>
      </c>
    </row>
    <row r="6950" spans="5:8" ht="15.6">
      <c r="E6950" s="279" t="s">
        <v>7276</v>
      </c>
      <c r="F6950" s="284">
        <f t="shared" ca="1" si="216"/>
        <v>0.36430914217230792</v>
      </c>
      <c r="G6950" s="74">
        <v>42.4496764274339</v>
      </c>
      <c r="H6950" s="74">
        <f t="shared" si="217"/>
        <v>-1.9552760841013779</v>
      </c>
    </row>
    <row r="6951" spans="5:8" ht="15.6">
      <c r="E6951" s="279" t="s">
        <v>7277</v>
      </c>
      <c r="F6951" s="284">
        <f t="shared" ca="1" si="216"/>
        <v>0.18230571620844249</v>
      </c>
      <c r="G6951" s="74">
        <v>41.050735659660269</v>
      </c>
      <c r="H6951" s="74">
        <f t="shared" si="217"/>
        <v>-0.55633531632774691</v>
      </c>
    </row>
    <row r="6952" spans="5:8" ht="15.6">
      <c r="E6952" s="279" t="s">
        <v>7278</v>
      </c>
      <c r="F6952" s="284">
        <f t="shared" ca="1" si="216"/>
        <v>0.84689916980703506</v>
      </c>
      <c r="G6952" s="74">
        <v>35.214103259993244</v>
      </c>
      <c r="H6952" s="74">
        <f t="shared" si="217"/>
        <v>5.2802970833392777</v>
      </c>
    </row>
    <row r="6953" spans="5:8" ht="15.6">
      <c r="E6953" s="279" t="s">
        <v>7279</v>
      </c>
      <c r="F6953" s="284">
        <f t="shared" ca="1" si="216"/>
        <v>0.49838777491909358</v>
      </c>
      <c r="G6953" s="74">
        <v>43.034591253168571</v>
      </c>
      <c r="H6953" s="74">
        <f t="shared" si="217"/>
        <v>-2.5401909098360491</v>
      </c>
    </row>
    <row r="6954" spans="5:8" ht="15.6">
      <c r="E6954" s="279" t="s">
        <v>7280</v>
      </c>
      <c r="F6954" s="284">
        <f t="shared" ca="1" si="216"/>
        <v>0.50823356626414384</v>
      </c>
      <c r="G6954" s="74">
        <v>46.139440382422535</v>
      </c>
      <c r="H6954" s="74">
        <f t="shared" si="217"/>
        <v>-5.6450400390900128</v>
      </c>
    </row>
    <row r="6955" spans="5:8" ht="15.6">
      <c r="E6955" s="279" t="s">
        <v>7281</v>
      </c>
      <c r="F6955" s="284">
        <f t="shared" ca="1" si="216"/>
        <v>0.80327889615381076</v>
      </c>
      <c r="G6955" s="74">
        <v>40.578865575678854</v>
      </c>
      <c r="H6955" s="74">
        <f t="shared" si="217"/>
        <v>-8.4465232346332186E-2</v>
      </c>
    </row>
    <row r="6956" spans="5:8" ht="15.6">
      <c r="E6956" s="279" t="s">
        <v>7282</v>
      </c>
      <c r="F6956" s="284">
        <f t="shared" ca="1" si="216"/>
        <v>4.4015007629435998E-2</v>
      </c>
      <c r="G6956" s="74">
        <v>39.817718506347035</v>
      </c>
      <c r="H6956" s="74">
        <f t="shared" si="217"/>
        <v>0.67668183698548745</v>
      </c>
    </row>
    <row r="6957" spans="5:8" ht="15.6">
      <c r="E6957" s="279" t="s">
        <v>7283</v>
      </c>
      <c r="F6957" s="284">
        <f t="shared" ca="1" si="216"/>
        <v>0.27204059337064213</v>
      </c>
      <c r="G6957" s="74">
        <v>35.280223647472546</v>
      </c>
      <c r="H6957" s="74">
        <f t="shared" si="217"/>
        <v>5.214176695859976</v>
      </c>
    </row>
    <row r="6958" spans="5:8" ht="15.6">
      <c r="E6958" s="279" t="s">
        <v>7284</v>
      </c>
      <c r="F6958" s="284">
        <f t="shared" ca="1" si="216"/>
        <v>0.93835709628317676</v>
      </c>
      <c r="G6958" s="74">
        <v>40.305968372970675</v>
      </c>
      <c r="H6958" s="74">
        <f t="shared" si="217"/>
        <v>0.18843197036184733</v>
      </c>
    </row>
    <row r="6959" spans="5:8" ht="15.6">
      <c r="E6959" s="279" t="s">
        <v>7285</v>
      </c>
      <c r="F6959" s="284">
        <f t="shared" ca="1" si="216"/>
        <v>0.40233086219064207</v>
      </c>
      <c r="G6959" s="74">
        <v>38.028930964728815</v>
      </c>
      <c r="H6959" s="74">
        <f t="shared" si="217"/>
        <v>2.4654693786037072</v>
      </c>
    </row>
    <row r="6960" spans="5:8" ht="15.6">
      <c r="E6960" s="279" t="s">
        <v>7286</v>
      </c>
      <c r="F6960" s="284">
        <f t="shared" ca="1" si="216"/>
        <v>0.52322789217768273</v>
      </c>
      <c r="G6960" s="74">
        <v>41.687528911922968</v>
      </c>
      <c r="H6960" s="74">
        <f t="shared" si="217"/>
        <v>-1.1931285685904456</v>
      </c>
    </row>
    <row r="6961" spans="5:8" ht="15.6">
      <c r="E6961" s="279" t="s">
        <v>7287</v>
      </c>
      <c r="F6961" s="284">
        <f t="shared" ca="1" si="216"/>
        <v>0.5534617234770246</v>
      </c>
      <c r="G6961" s="74">
        <v>40.988366211013144</v>
      </c>
      <c r="H6961" s="74">
        <f t="shared" si="217"/>
        <v>-0.49396586768062178</v>
      </c>
    </row>
    <row r="6962" spans="5:8" ht="15.6">
      <c r="E6962" s="279" t="s">
        <v>7288</v>
      </c>
      <c r="F6962" s="284">
        <f t="shared" ca="1" si="216"/>
        <v>0.24127480327344208</v>
      </c>
      <c r="G6962" s="74">
        <v>37.805977654632528</v>
      </c>
      <c r="H6962" s="74">
        <f t="shared" si="217"/>
        <v>2.688422688699994</v>
      </c>
    </row>
    <row r="6963" spans="5:8" ht="15.6">
      <c r="E6963" s="279" t="s">
        <v>7289</v>
      </c>
      <c r="F6963" s="284">
        <f t="shared" ca="1" si="216"/>
        <v>0.45378268787093001</v>
      </c>
      <c r="G6963" s="74">
        <v>43.585751218761885</v>
      </c>
      <c r="H6963" s="74">
        <f t="shared" si="217"/>
        <v>-3.091350875429363</v>
      </c>
    </row>
    <row r="6964" spans="5:8" ht="15.6">
      <c r="E6964" s="279" t="s">
        <v>7290</v>
      </c>
      <c r="F6964" s="284">
        <f t="shared" ca="1" si="216"/>
        <v>0.99753235596218248</v>
      </c>
      <c r="G6964" s="74">
        <v>43.956263442705229</v>
      </c>
      <c r="H6964" s="74">
        <f t="shared" si="217"/>
        <v>-3.4618630993727066</v>
      </c>
    </row>
    <row r="6965" spans="5:8" ht="15.6">
      <c r="E6965" s="279" t="s">
        <v>7291</v>
      </c>
      <c r="F6965" s="284">
        <f t="shared" ca="1" si="216"/>
        <v>0.64193567414353159</v>
      </c>
      <c r="G6965" s="74">
        <v>36.663507082416835</v>
      </c>
      <c r="H6965" s="74">
        <f t="shared" si="217"/>
        <v>3.8308932609156869</v>
      </c>
    </row>
    <row r="6966" spans="5:8" ht="15.6">
      <c r="E6966" s="279" t="s">
        <v>7292</v>
      </c>
      <c r="F6966" s="284">
        <f t="shared" ca="1" si="216"/>
        <v>0.12679108521925742</v>
      </c>
      <c r="G6966" s="74">
        <v>38.879597713837136</v>
      </c>
      <c r="H6966" s="74">
        <f t="shared" si="217"/>
        <v>1.6148026294953866</v>
      </c>
    </row>
    <row r="6967" spans="5:8" ht="15.6">
      <c r="E6967" s="279" t="s">
        <v>7293</v>
      </c>
      <c r="F6967" s="284">
        <f t="shared" ca="1" si="216"/>
        <v>0.6052574468895775</v>
      </c>
      <c r="G6967" s="74">
        <v>38.851903585850287</v>
      </c>
      <c r="H6967" s="74">
        <f t="shared" si="217"/>
        <v>1.6424967574822347</v>
      </c>
    </row>
    <row r="6968" spans="5:8" ht="15.6">
      <c r="E6968" s="279" t="s">
        <v>7294</v>
      </c>
      <c r="F6968" s="284">
        <f t="shared" ca="1" si="216"/>
        <v>0.5456854019205496</v>
      </c>
      <c r="G6968" s="74">
        <v>41.482914892315598</v>
      </c>
      <c r="H6968" s="74">
        <f t="shared" si="217"/>
        <v>-0.98851454898307622</v>
      </c>
    </row>
    <row r="6969" spans="5:8" ht="15.6">
      <c r="E6969" s="279" t="s">
        <v>7295</v>
      </c>
      <c r="F6969" s="284">
        <f t="shared" ca="1" si="216"/>
        <v>0.65610413967402192</v>
      </c>
      <c r="G6969" s="74">
        <v>41.113035188291171</v>
      </c>
      <c r="H6969" s="74">
        <f t="shared" si="217"/>
        <v>-0.61863484495864896</v>
      </c>
    </row>
    <row r="6970" spans="5:8" ht="15.6">
      <c r="E6970" s="279" t="s">
        <v>7296</v>
      </c>
      <c r="F6970" s="284">
        <f t="shared" ca="1" si="216"/>
        <v>0.16532259906273528</v>
      </c>
      <c r="G6970" s="74">
        <v>42.162443632691193</v>
      </c>
      <c r="H6970" s="74">
        <f t="shared" si="217"/>
        <v>-1.6680432893586712</v>
      </c>
    </row>
    <row r="6971" spans="5:8" ht="15.6">
      <c r="E6971" s="279" t="s">
        <v>7297</v>
      </c>
      <c r="F6971" s="284">
        <f t="shared" ca="1" si="216"/>
        <v>0.34093868287962903</v>
      </c>
      <c r="G6971" s="74">
        <v>39.575294933858871</v>
      </c>
      <c r="H6971" s="74">
        <f t="shared" si="217"/>
        <v>0.91910540947365149</v>
      </c>
    </row>
    <row r="6972" spans="5:8" ht="15.6">
      <c r="E6972" s="279" t="s">
        <v>7298</v>
      </c>
      <c r="F6972" s="284">
        <f t="shared" ca="1" si="216"/>
        <v>0.98010250461272719</v>
      </c>
      <c r="G6972" s="74">
        <v>36.903169527379831</v>
      </c>
      <c r="H6972" s="74">
        <f t="shared" si="217"/>
        <v>3.5912308159526916</v>
      </c>
    </row>
    <row r="6973" spans="5:8" ht="15.6">
      <c r="E6973" s="279" t="s">
        <v>7299</v>
      </c>
      <c r="F6973" s="284">
        <f t="shared" ca="1" si="216"/>
        <v>0.48211030803810973</v>
      </c>
      <c r="G6973" s="74">
        <v>41.809594243370043</v>
      </c>
      <c r="H6973" s="74">
        <f t="shared" si="217"/>
        <v>-1.3151939000375208</v>
      </c>
    </row>
    <row r="6974" spans="5:8" ht="15.6">
      <c r="E6974" s="279" t="s">
        <v>7300</v>
      </c>
      <c r="F6974" s="284">
        <f t="shared" ca="1" si="216"/>
        <v>0.30821411358971473</v>
      </c>
      <c r="G6974" s="74">
        <v>44.800966927683227</v>
      </c>
      <c r="H6974" s="74">
        <f t="shared" si="217"/>
        <v>-4.3065665843507048</v>
      </c>
    </row>
    <row r="6975" spans="5:8" ht="15.6">
      <c r="E6975" s="279" t="s">
        <v>7301</v>
      </c>
      <c r="F6975" s="284">
        <f t="shared" ca="1" si="216"/>
        <v>0.29730079316933156</v>
      </c>
      <c r="G6975" s="74">
        <v>37.12712376796145</v>
      </c>
      <c r="H6975" s="74">
        <f t="shared" si="217"/>
        <v>3.3672765753710721</v>
      </c>
    </row>
    <row r="6976" spans="5:8" ht="15.6">
      <c r="E6976" s="279" t="s">
        <v>7302</v>
      </c>
      <c r="F6976" s="284">
        <f t="shared" ca="1" si="216"/>
        <v>0.27598238781858087</v>
      </c>
      <c r="G6976" s="74">
        <v>39.307238568689904</v>
      </c>
      <c r="H6976" s="74">
        <f t="shared" si="217"/>
        <v>1.1871617746426182</v>
      </c>
    </row>
    <row r="6977" spans="5:8" ht="15.6">
      <c r="E6977" s="279" t="s">
        <v>7303</v>
      </c>
      <c r="F6977" s="284">
        <f t="shared" ca="1" si="216"/>
        <v>0.76906007483423044</v>
      </c>
      <c r="G6977" s="74">
        <v>40.37741583501078</v>
      </c>
      <c r="H6977" s="74">
        <f t="shared" si="217"/>
        <v>0.11698450832174245</v>
      </c>
    </row>
    <row r="6978" spans="5:8" ht="15.6">
      <c r="E6978" s="279" t="s">
        <v>7304</v>
      </c>
      <c r="F6978" s="284">
        <f t="shared" ca="1" si="216"/>
        <v>0.43618251291219678</v>
      </c>
      <c r="G6978" s="74">
        <v>37.15339731801717</v>
      </c>
      <c r="H6978" s="74">
        <f t="shared" si="217"/>
        <v>3.3410030253153522</v>
      </c>
    </row>
    <row r="6979" spans="5:8" ht="15.6">
      <c r="E6979" s="279" t="s">
        <v>7305</v>
      </c>
      <c r="F6979" s="284">
        <f t="shared" ca="1" si="216"/>
        <v>0.73974844953074081</v>
      </c>
      <c r="G6979" s="74">
        <v>41.109095358925686</v>
      </c>
      <c r="H6979" s="74">
        <f t="shared" si="217"/>
        <v>-0.61469501559316342</v>
      </c>
    </row>
    <row r="6980" spans="5:8" ht="15.6">
      <c r="E6980" s="279" t="s">
        <v>7306</v>
      </c>
      <c r="F6980" s="284">
        <f t="shared" ca="1" si="216"/>
        <v>0.16028901462019673</v>
      </c>
      <c r="G6980" s="74">
        <v>36.838380793477647</v>
      </c>
      <c r="H6980" s="74">
        <f t="shared" si="217"/>
        <v>3.6560195498548751</v>
      </c>
    </row>
    <row r="6981" spans="5:8" ht="15.6">
      <c r="E6981" s="279" t="s">
        <v>7307</v>
      </c>
      <c r="F6981" s="284">
        <f t="shared" ca="1" si="216"/>
        <v>0.62115933634164777</v>
      </c>
      <c r="G6981" s="74">
        <v>35.843472701278095</v>
      </c>
      <c r="H6981" s="74">
        <f t="shared" si="217"/>
        <v>4.6509276420544268</v>
      </c>
    </row>
    <row r="6982" spans="5:8" ht="15.6">
      <c r="E6982" s="279" t="s">
        <v>7308</v>
      </c>
      <c r="F6982" s="284">
        <f t="shared" ca="1" si="216"/>
        <v>0.37840891010177768</v>
      </c>
      <c r="G6982" s="74">
        <v>36.800162735284175</v>
      </c>
      <c r="H6982" s="74">
        <f t="shared" si="217"/>
        <v>3.694237608048347</v>
      </c>
    </row>
    <row r="6983" spans="5:8" ht="15.6">
      <c r="E6983" s="279" t="s">
        <v>7309</v>
      </c>
      <c r="F6983" s="284">
        <f t="shared" ca="1" si="216"/>
        <v>4.8796113030763144E-2</v>
      </c>
      <c r="G6983" s="74">
        <v>40.244989745736468</v>
      </c>
      <c r="H6983" s="74">
        <f t="shared" si="217"/>
        <v>0.24941059759605366</v>
      </c>
    </row>
    <row r="6984" spans="5:8" ht="15.6">
      <c r="E6984" s="279" t="s">
        <v>7310</v>
      </c>
      <c r="F6984" s="284">
        <f t="shared" ca="1" si="216"/>
        <v>0.82758819355453528</v>
      </c>
      <c r="G6984" s="74">
        <v>42.256949982694501</v>
      </c>
      <c r="H6984" s="74">
        <f t="shared" si="217"/>
        <v>-1.7625496393619784</v>
      </c>
    </row>
    <row r="6985" spans="5:8" ht="15.6">
      <c r="E6985" s="279" t="s">
        <v>7311</v>
      </c>
      <c r="F6985" s="284">
        <f t="shared" ca="1" si="216"/>
        <v>0.23409763733996702</v>
      </c>
      <c r="G6985" s="74">
        <v>39.487974135005381</v>
      </c>
      <c r="H6985" s="74">
        <f t="shared" si="217"/>
        <v>1.0064262083271416</v>
      </c>
    </row>
    <row r="6986" spans="5:8" ht="15.6">
      <c r="E6986" s="279" t="s">
        <v>7312</v>
      </c>
      <c r="F6986" s="284">
        <f t="shared" ca="1" si="216"/>
        <v>0.81426077821045317</v>
      </c>
      <c r="G6986" s="74">
        <v>42.798912478496995</v>
      </c>
      <c r="H6986" s="74">
        <f t="shared" si="217"/>
        <v>-2.3045121351644724</v>
      </c>
    </row>
    <row r="6987" spans="5:8" ht="15.6">
      <c r="E6987" s="279" t="s">
        <v>7313</v>
      </c>
      <c r="F6987" s="284">
        <f t="shared" ca="1" si="216"/>
        <v>0.11045993030086776</v>
      </c>
      <c r="G6987" s="74">
        <v>36.79623742664198</v>
      </c>
      <c r="H6987" s="74">
        <f t="shared" si="217"/>
        <v>3.6981629166905421</v>
      </c>
    </row>
    <row r="6988" spans="5:8" ht="15.6">
      <c r="E6988" s="279" t="s">
        <v>7314</v>
      </c>
      <c r="F6988" s="284">
        <f t="shared" ref="F6988:F7051" ca="1" si="218">RAND()</f>
        <v>0.20404964850017226</v>
      </c>
      <c r="G6988" s="74">
        <v>41.493289218909105</v>
      </c>
      <c r="H6988" s="74">
        <f t="shared" ref="H6988:H7051" si="219">$D$2-G6988</f>
        <v>-0.99888887557658279</v>
      </c>
    </row>
    <row r="6989" spans="5:8" ht="15.6">
      <c r="E6989" s="279" t="s">
        <v>7315</v>
      </c>
      <c r="F6989" s="284">
        <f t="shared" ca="1" si="218"/>
        <v>0.34999565958560808</v>
      </c>
      <c r="G6989" s="74">
        <v>40.512303386699557</v>
      </c>
      <c r="H6989" s="74">
        <f t="shared" si="219"/>
        <v>-1.7903043367034854E-2</v>
      </c>
    </row>
    <row r="6990" spans="5:8" ht="15.6">
      <c r="E6990" s="279" t="s">
        <v>7316</v>
      </c>
      <c r="F6990" s="284">
        <f t="shared" ca="1" si="218"/>
        <v>0.63024754925853266</v>
      </c>
      <c r="G6990" s="74">
        <v>43.844102100415853</v>
      </c>
      <c r="H6990" s="74">
        <f t="shared" si="219"/>
        <v>-3.3497017570833307</v>
      </c>
    </row>
    <row r="6991" spans="5:8" ht="15.6">
      <c r="E6991" s="279" t="s">
        <v>7317</v>
      </c>
      <c r="F6991" s="284">
        <f t="shared" ca="1" si="218"/>
        <v>0.8327539684074039</v>
      </c>
      <c r="G6991" s="74">
        <v>33.4364619712481</v>
      </c>
      <c r="H6991" s="74">
        <f t="shared" si="219"/>
        <v>7.057938372084422</v>
      </c>
    </row>
    <row r="6992" spans="5:8" ht="15.6">
      <c r="E6992" s="279" t="s">
        <v>7318</v>
      </c>
      <c r="F6992" s="284">
        <f t="shared" ca="1" si="218"/>
        <v>0.33444330169315351</v>
      </c>
      <c r="G6992" s="74">
        <v>43.544655732870467</v>
      </c>
      <c r="H6992" s="74">
        <f t="shared" si="219"/>
        <v>-3.050255389537945</v>
      </c>
    </row>
    <row r="6993" spans="5:8" ht="15.6">
      <c r="E6993" s="279" t="s">
        <v>7319</v>
      </c>
      <c r="F6993" s="284">
        <f t="shared" ca="1" si="218"/>
        <v>0.63491024113579975</v>
      </c>
      <c r="G6993" s="74">
        <v>36.778367590787184</v>
      </c>
      <c r="H6993" s="74">
        <f t="shared" si="219"/>
        <v>3.7160327525453383</v>
      </c>
    </row>
    <row r="6994" spans="5:8" ht="15.6">
      <c r="E6994" s="279" t="s">
        <v>7320</v>
      </c>
      <c r="F6994" s="284">
        <f t="shared" ca="1" si="218"/>
        <v>0.38549967083706227</v>
      </c>
      <c r="G6994" s="74">
        <v>38.887794394853707</v>
      </c>
      <c r="H6994" s="74">
        <f t="shared" si="219"/>
        <v>1.6066059484788155</v>
      </c>
    </row>
    <row r="6995" spans="5:8" ht="15.6">
      <c r="E6995" s="279" t="s">
        <v>7321</v>
      </c>
      <c r="F6995" s="284">
        <f t="shared" ca="1" si="218"/>
        <v>0.4982656399594787</v>
      </c>
      <c r="G6995" s="74">
        <v>43.278078287541732</v>
      </c>
      <c r="H6995" s="74">
        <f t="shared" si="219"/>
        <v>-2.7836779442092094</v>
      </c>
    </row>
    <row r="6996" spans="5:8" ht="15.6">
      <c r="E6996" s="279" t="s">
        <v>7322</v>
      </c>
      <c r="F6996" s="284">
        <f t="shared" ca="1" si="218"/>
        <v>0.7542952145293117</v>
      </c>
      <c r="G6996" s="74">
        <v>43.964936047067397</v>
      </c>
      <c r="H6996" s="74">
        <f t="shared" si="219"/>
        <v>-3.4705357037348747</v>
      </c>
    </row>
    <row r="6997" spans="5:8" ht="15.6">
      <c r="E6997" s="279" t="s">
        <v>7323</v>
      </c>
      <c r="F6997" s="284">
        <f t="shared" ca="1" si="218"/>
        <v>0.31950519163607038</v>
      </c>
      <c r="G6997" s="74">
        <v>39.921840441060368</v>
      </c>
      <c r="H6997" s="74">
        <f t="shared" si="219"/>
        <v>0.57255990227215392</v>
      </c>
    </row>
    <row r="6998" spans="5:8" ht="15.6">
      <c r="E6998" s="279" t="s">
        <v>7324</v>
      </c>
      <c r="F6998" s="284">
        <f t="shared" ca="1" si="218"/>
        <v>5.6941200160072425E-2</v>
      </c>
      <c r="G6998" s="74">
        <v>37.523344929106528</v>
      </c>
      <c r="H6998" s="74">
        <f t="shared" si="219"/>
        <v>2.9710554142259937</v>
      </c>
    </row>
    <row r="6999" spans="5:8" ht="15.6">
      <c r="E6999" s="279" t="s">
        <v>7325</v>
      </c>
      <c r="F6999" s="284">
        <f t="shared" ca="1" si="218"/>
        <v>0.75079807956143341</v>
      </c>
      <c r="G6999" s="74">
        <v>36.56258103604209</v>
      </c>
      <c r="H6999" s="74">
        <f t="shared" si="219"/>
        <v>3.9318193072904322</v>
      </c>
    </row>
    <row r="7000" spans="5:8" ht="15.6">
      <c r="E7000" s="279" t="s">
        <v>7326</v>
      </c>
      <c r="F7000" s="284">
        <f t="shared" ca="1" si="218"/>
        <v>0.32338912717981982</v>
      </c>
      <c r="G7000" s="74">
        <v>44.662441953020128</v>
      </c>
      <c r="H7000" s="74">
        <f t="shared" si="219"/>
        <v>-4.1680416096876058</v>
      </c>
    </row>
    <row r="7001" spans="5:8" ht="15.6">
      <c r="E7001" s="279" t="s">
        <v>7327</v>
      </c>
      <c r="F7001" s="284">
        <f t="shared" ca="1" si="218"/>
        <v>0.8658720755084508</v>
      </c>
      <c r="G7001" s="74">
        <v>34.223599930588144</v>
      </c>
      <c r="H7001" s="74">
        <f t="shared" si="219"/>
        <v>6.2708004127443786</v>
      </c>
    </row>
    <row r="7002" spans="5:8" ht="15.6">
      <c r="E7002" s="279" t="s">
        <v>7328</v>
      </c>
      <c r="F7002" s="284">
        <f t="shared" ca="1" si="218"/>
        <v>0.81825661747767575</v>
      </c>
      <c r="G7002" s="74">
        <v>39.171964410061683</v>
      </c>
      <c r="H7002" s="74">
        <f t="shared" si="219"/>
        <v>1.3224359332708389</v>
      </c>
    </row>
    <row r="7003" spans="5:8" ht="15.6">
      <c r="E7003" s="279" t="s">
        <v>7329</v>
      </c>
      <c r="F7003" s="284">
        <f t="shared" ca="1" si="218"/>
        <v>0.22240125463656235</v>
      </c>
      <c r="G7003" s="74">
        <v>40.538297578296984</v>
      </c>
      <c r="H7003" s="74">
        <f t="shared" si="219"/>
        <v>-4.3897234964461518E-2</v>
      </c>
    </row>
    <row r="7004" spans="5:8" ht="15.6">
      <c r="E7004" s="279" t="s">
        <v>7330</v>
      </c>
      <c r="F7004" s="284">
        <f t="shared" ca="1" si="218"/>
        <v>0.2826869141528765</v>
      </c>
      <c r="G7004" s="74">
        <v>39.365333196029027</v>
      </c>
      <c r="H7004" s="74">
        <f t="shared" si="219"/>
        <v>1.1290671473034948</v>
      </c>
    </row>
    <row r="7005" spans="5:8" ht="15.6">
      <c r="E7005" s="279" t="s">
        <v>7331</v>
      </c>
      <c r="F7005" s="284">
        <f t="shared" ca="1" si="218"/>
        <v>0.77891074004891692</v>
      </c>
      <c r="G7005" s="74">
        <v>39.081104450506103</v>
      </c>
      <c r="H7005" s="74">
        <f t="shared" si="219"/>
        <v>1.4132958928264188</v>
      </c>
    </row>
    <row r="7006" spans="5:8" ht="15.6">
      <c r="E7006" s="279" t="s">
        <v>7332</v>
      </c>
      <c r="F7006" s="284">
        <f t="shared" ca="1" si="218"/>
        <v>0.3654832934401695</v>
      </c>
      <c r="G7006" s="74">
        <v>36.540933705711304</v>
      </c>
      <c r="H7006" s="74">
        <f t="shared" si="219"/>
        <v>3.9534666376212186</v>
      </c>
    </row>
    <row r="7007" spans="5:8" ht="15.6">
      <c r="E7007" s="279" t="s">
        <v>7333</v>
      </c>
      <c r="F7007" s="284">
        <f t="shared" ca="1" si="218"/>
        <v>8.1024363261016474E-2</v>
      </c>
      <c r="G7007" s="74">
        <v>40.200777618075477</v>
      </c>
      <c r="H7007" s="74">
        <f t="shared" si="219"/>
        <v>0.29362272525704469</v>
      </c>
    </row>
    <row r="7008" spans="5:8" ht="15.6">
      <c r="E7008" s="279" t="s">
        <v>7334</v>
      </c>
      <c r="F7008" s="284">
        <f t="shared" ca="1" si="218"/>
        <v>0.11285726117232953</v>
      </c>
      <c r="G7008" s="74">
        <v>38.67910938024076</v>
      </c>
      <c r="H7008" s="74">
        <f t="shared" si="219"/>
        <v>1.815290963091762</v>
      </c>
    </row>
    <row r="7009" spans="5:8" ht="15.6">
      <c r="E7009" s="279" t="s">
        <v>7335</v>
      </c>
      <c r="F7009" s="284">
        <f t="shared" ca="1" si="218"/>
        <v>0.82031945390536221</v>
      </c>
      <c r="G7009" s="74">
        <v>36.631313256024647</v>
      </c>
      <c r="H7009" s="74">
        <f t="shared" si="219"/>
        <v>3.8630870873078749</v>
      </c>
    </row>
    <row r="7010" spans="5:8" ht="15.6">
      <c r="E7010" s="279" t="s">
        <v>7336</v>
      </c>
      <c r="F7010" s="284">
        <f t="shared" ca="1" si="218"/>
        <v>0.50335960468797214</v>
      </c>
      <c r="G7010" s="74">
        <v>35.867500811994489</v>
      </c>
      <c r="H7010" s="74">
        <f t="shared" si="219"/>
        <v>4.626899531338033</v>
      </c>
    </row>
    <row r="7011" spans="5:8" ht="15.6">
      <c r="E7011" s="279" t="s">
        <v>7337</v>
      </c>
      <c r="F7011" s="284">
        <f t="shared" ca="1" si="218"/>
        <v>0.33023359911492922</v>
      </c>
      <c r="G7011" s="74">
        <v>42.957115772010795</v>
      </c>
      <c r="H7011" s="74">
        <f t="shared" si="219"/>
        <v>-2.4627154286782726</v>
      </c>
    </row>
    <row r="7012" spans="5:8" ht="15.6">
      <c r="E7012" s="279" t="s">
        <v>7338</v>
      </c>
      <c r="F7012" s="284">
        <f t="shared" ca="1" si="218"/>
        <v>0.57942233718891734</v>
      </c>
      <c r="G7012" s="74">
        <v>40.952531603416581</v>
      </c>
      <c r="H7012" s="74">
        <f t="shared" si="219"/>
        <v>-0.45813126008405902</v>
      </c>
    </row>
    <row r="7013" spans="5:8" ht="15.6">
      <c r="E7013" s="279" t="s">
        <v>7339</v>
      </c>
      <c r="F7013" s="284">
        <f t="shared" ca="1" si="218"/>
        <v>3.6065561318032735E-3</v>
      </c>
      <c r="G7013" s="74">
        <v>39.686255435221867</v>
      </c>
      <c r="H7013" s="74">
        <f t="shared" si="219"/>
        <v>0.80814490811065554</v>
      </c>
    </row>
    <row r="7014" spans="5:8" ht="15.6">
      <c r="E7014" s="279" t="s">
        <v>7340</v>
      </c>
      <c r="F7014" s="284">
        <f t="shared" ca="1" si="218"/>
        <v>0.23759724988490782</v>
      </c>
      <c r="G7014" s="74">
        <v>41.870982243127266</v>
      </c>
      <c r="H7014" s="74">
        <f t="shared" si="219"/>
        <v>-1.3765818997947434</v>
      </c>
    </row>
    <row r="7015" spans="5:8" ht="15.6">
      <c r="E7015" s="279" t="s">
        <v>7341</v>
      </c>
      <c r="F7015" s="284">
        <f t="shared" ca="1" si="218"/>
        <v>0.13592259636632797</v>
      </c>
      <c r="G7015" s="74">
        <v>43.407352285470871</v>
      </c>
      <c r="H7015" s="74">
        <f t="shared" si="219"/>
        <v>-2.9129519421383492</v>
      </c>
    </row>
    <row r="7016" spans="5:8" ht="15.6">
      <c r="E7016" s="279" t="s">
        <v>7342</v>
      </c>
      <c r="F7016" s="284">
        <f t="shared" ca="1" si="218"/>
        <v>0.57209208974862658</v>
      </c>
      <c r="G7016" s="74">
        <v>39.375897350483804</v>
      </c>
      <c r="H7016" s="74">
        <f t="shared" si="219"/>
        <v>1.1185029928487182</v>
      </c>
    </row>
    <row r="7017" spans="5:8" ht="15.6">
      <c r="E7017" s="279" t="s">
        <v>7343</v>
      </c>
      <c r="F7017" s="284">
        <f t="shared" ca="1" si="218"/>
        <v>0.9197778549960034</v>
      </c>
      <c r="G7017" s="74">
        <v>34.969914885125363</v>
      </c>
      <c r="H7017" s="74">
        <f t="shared" si="219"/>
        <v>5.5244854582071596</v>
      </c>
    </row>
    <row r="7018" spans="5:8" ht="15.6">
      <c r="E7018" s="279" t="s">
        <v>7344</v>
      </c>
      <c r="F7018" s="284">
        <f t="shared" ca="1" si="218"/>
        <v>0.10194568697589901</v>
      </c>
      <c r="G7018" s="74">
        <v>40.284603170134432</v>
      </c>
      <c r="H7018" s="74">
        <f t="shared" si="219"/>
        <v>0.20979717319809055</v>
      </c>
    </row>
    <row r="7019" spans="5:8" ht="15.6">
      <c r="E7019" s="279" t="s">
        <v>7345</v>
      </c>
      <c r="F7019" s="284">
        <f t="shared" ca="1" si="218"/>
        <v>0.64124208503267366</v>
      </c>
      <c r="G7019" s="74">
        <v>38.826023788226493</v>
      </c>
      <c r="H7019" s="74">
        <f t="shared" si="219"/>
        <v>1.668376555106029</v>
      </c>
    </row>
    <row r="7020" spans="5:8" ht="15.6">
      <c r="E7020" s="279" t="s">
        <v>7346</v>
      </c>
      <c r="F7020" s="284">
        <f t="shared" ca="1" si="218"/>
        <v>0.50993004024157496</v>
      </c>
      <c r="G7020" s="74">
        <v>38.499809334522077</v>
      </c>
      <c r="H7020" s="74">
        <f t="shared" si="219"/>
        <v>1.9945910088104455</v>
      </c>
    </row>
    <row r="7021" spans="5:8" ht="15.6">
      <c r="E7021" s="279" t="s">
        <v>7347</v>
      </c>
      <c r="F7021" s="284">
        <f t="shared" ca="1" si="218"/>
        <v>0.76029905658687491</v>
      </c>
      <c r="G7021" s="74">
        <v>32.461313897090953</v>
      </c>
      <c r="H7021" s="74">
        <f t="shared" si="219"/>
        <v>8.033086446241569</v>
      </c>
    </row>
    <row r="7022" spans="5:8" ht="15.6">
      <c r="E7022" s="279" t="s">
        <v>7348</v>
      </c>
      <c r="F7022" s="284">
        <f t="shared" ca="1" si="218"/>
        <v>0.264036131867603</v>
      </c>
      <c r="G7022" s="74">
        <v>40.304366380946959</v>
      </c>
      <c r="H7022" s="74">
        <f t="shared" si="219"/>
        <v>0.19003396238556292</v>
      </c>
    </row>
    <row r="7023" spans="5:8" ht="15.6">
      <c r="E7023" s="279" t="s">
        <v>7349</v>
      </c>
      <c r="F7023" s="284">
        <f t="shared" ca="1" si="218"/>
        <v>5.009256997709266E-2</v>
      </c>
      <c r="G7023" s="74">
        <v>36.485184846980403</v>
      </c>
      <c r="H7023" s="74">
        <f t="shared" si="219"/>
        <v>4.0092154963521196</v>
      </c>
    </row>
    <row r="7024" spans="5:8" ht="15.6">
      <c r="E7024" s="279" t="s">
        <v>7350</v>
      </c>
      <c r="F7024" s="284">
        <f t="shared" ca="1" si="218"/>
        <v>0.82272222835665809</v>
      </c>
      <c r="G7024" s="74">
        <v>37.580476497764195</v>
      </c>
      <c r="H7024" s="74">
        <f t="shared" si="219"/>
        <v>2.913923845568327</v>
      </c>
    </row>
    <row r="7025" spans="5:8" ht="15.6">
      <c r="E7025" s="279" t="s">
        <v>7351</v>
      </c>
      <c r="F7025" s="284">
        <f t="shared" ca="1" si="218"/>
        <v>0.38454531372065093</v>
      </c>
      <c r="G7025" s="74">
        <v>37.385193944319973</v>
      </c>
      <c r="H7025" s="74">
        <f t="shared" si="219"/>
        <v>3.1092063990125496</v>
      </c>
    </row>
    <row r="7026" spans="5:8" ht="15.6">
      <c r="E7026" s="279" t="s">
        <v>7352</v>
      </c>
      <c r="F7026" s="284">
        <f t="shared" ca="1" si="218"/>
        <v>0.63538210523383287</v>
      </c>
      <c r="G7026" s="74">
        <v>39.655209577761092</v>
      </c>
      <c r="H7026" s="74">
        <f t="shared" si="219"/>
        <v>0.83919076557143057</v>
      </c>
    </row>
    <row r="7027" spans="5:8" ht="15.6">
      <c r="E7027" s="279" t="s">
        <v>7353</v>
      </c>
      <c r="F7027" s="284">
        <f t="shared" ca="1" si="218"/>
        <v>0.11342099478655576</v>
      </c>
      <c r="G7027" s="74">
        <v>35.490640579921376</v>
      </c>
      <c r="H7027" s="74">
        <f t="shared" si="219"/>
        <v>5.0037597634111464</v>
      </c>
    </row>
    <row r="7028" spans="5:8" ht="15.6">
      <c r="E7028" s="279" t="s">
        <v>7354</v>
      </c>
      <c r="F7028" s="284">
        <f t="shared" ca="1" si="218"/>
        <v>0.50725859770321269</v>
      </c>
      <c r="G7028" s="74">
        <v>43.476923459785105</v>
      </c>
      <c r="H7028" s="74">
        <f t="shared" si="219"/>
        <v>-2.9825231164525832</v>
      </c>
    </row>
    <row r="7029" spans="5:8" ht="15.6">
      <c r="E7029" s="279" t="s">
        <v>7355</v>
      </c>
      <c r="F7029" s="284">
        <f t="shared" ca="1" si="218"/>
        <v>0.31275522202387351</v>
      </c>
      <c r="G7029" s="74">
        <v>35.266387119832608</v>
      </c>
      <c r="H7029" s="74">
        <f t="shared" si="219"/>
        <v>5.2280132234999144</v>
      </c>
    </row>
    <row r="7030" spans="5:8" ht="15.6">
      <c r="E7030" s="279" t="s">
        <v>7356</v>
      </c>
      <c r="F7030" s="284">
        <f t="shared" ca="1" si="218"/>
        <v>6.27097596760261E-2</v>
      </c>
      <c r="G7030" s="74">
        <v>35.027013880329065</v>
      </c>
      <c r="H7030" s="74">
        <f t="shared" si="219"/>
        <v>5.4673864630034572</v>
      </c>
    </row>
    <row r="7031" spans="5:8" ht="15.6">
      <c r="E7031" s="279" t="s">
        <v>7357</v>
      </c>
      <c r="F7031" s="284">
        <f t="shared" ca="1" si="218"/>
        <v>0.56120819720666004</v>
      </c>
      <c r="G7031" s="74">
        <v>39.469090346553486</v>
      </c>
      <c r="H7031" s="74">
        <f t="shared" si="219"/>
        <v>1.0253099967790362</v>
      </c>
    </row>
    <row r="7032" spans="5:8" ht="15.6">
      <c r="E7032" s="279" t="s">
        <v>7358</v>
      </c>
      <c r="F7032" s="284">
        <f t="shared" ca="1" si="218"/>
        <v>0.35845355671640089</v>
      </c>
      <c r="G7032" s="74">
        <v>39.090684030111866</v>
      </c>
      <c r="H7032" s="74">
        <f t="shared" si="219"/>
        <v>1.4037163132206558</v>
      </c>
    </row>
    <row r="7033" spans="5:8" ht="15.6">
      <c r="E7033" s="279" t="s">
        <v>7359</v>
      </c>
      <c r="F7033" s="284">
        <f t="shared" ca="1" si="218"/>
        <v>0.92022282289029456</v>
      </c>
      <c r="G7033" s="74">
        <v>40.230454717579462</v>
      </c>
      <c r="H7033" s="74">
        <f t="shared" si="219"/>
        <v>0.26394562575305969</v>
      </c>
    </row>
    <row r="7034" spans="5:8" ht="15.6">
      <c r="E7034" s="279" t="s">
        <v>7360</v>
      </c>
      <c r="F7034" s="284">
        <f t="shared" ca="1" si="218"/>
        <v>0.78452336936331202</v>
      </c>
      <c r="G7034" s="74">
        <v>38.413831393796627</v>
      </c>
      <c r="H7034" s="74">
        <f t="shared" si="219"/>
        <v>2.0805689495358948</v>
      </c>
    </row>
    <row r="7035" spans="5:8" ht="15.6">
      <c r="E7035" s="279" t="s">
        <v>7361</v>
      </c>
      <c r="F7035" s="284">
        <f t="shared" ca="1" si="218"/>
        <v>0.80693476792227481</v>
      </c>
      <c r="G7035" s="74">
        <v>47.894959437633837</v>
      </c>
      <c r="H7035" s="74">
        <f t="shared" si="219"/>
        <v>-7.4005590943013146</v>
      </c>
    </row>
    <row r="7036" spans="5:8" ht="15.6">
      <c r="E7036" s="279" t="s">
        <v>7362</v>
      </c>
      <c r="F7036" s="284">
        <f t="shared" ca="1" si="218"/>
        <v>0.74274503241636969</v>
      </c>
      <c r="G7036" s="74">
        <v>40.427938890743143</v>
      </c>
      <c r="H7036" s="74">
        <f t="shared" si="219"/>
        <v>6.6461452589379633E-2</v>
      </c>
    </row>
    <row r="7037" spans="5:8" ht="15.6">
      <c r="E7037" s="279" t="s">
        <v>7363</v>
      </c>
      <c r="F7037" s="284">
        <f t="shared" ca="1" si="218"/>
        <v>0.72013671274451008</v>
      </c>
      <c r="G7037" s="74">
        <v>37.687679604766394</v>
      </c>
      <c r="H7037" s="74">
        <f t="shared" si="219"/>
        <v>2.8067207385661277</v>
      </c>
    </row>
    <row r="7038" spans="5:8" ht="15.6">
      <c r="E7038" s="279" t="s">
        <v>7364</v>
      </c>
      <c r="F7038" s="284">
        <f t="shared" ca="1" si="218"/>
        <v>0.21359035163778761</v>
      </c>
      <c r="G7038" s="74">
        <v>40.377716310577902</v>
      </c>
      <c r="H7038" s="74">
        <f t="shared" si="219"/>
        <v>0.11668403275461969</v>
      </c>
    </row>
    <row r="7039" spans="5:8" ht="15.6">
      <c r="E7039" s="279" t="s">
        <v>7365</v>
      </c>
      <c r="F7039" s="284">
        <f t="shared" ca="1" si="218"/>
        <v>0.28350454731536567</v>
      </c>
      <c r="G7039" s="74">
        <v>38.691429939336395</v>
      </c>
      <c r="H7039" s="74">
        <f t="shared" si="219"/>
        <v>1.8029704039961274</v>
      </c>
    </row>
    <row r="7040" spans="5:8" ht="15.6">
      <c r="E7040" s="279" t="s">
        <v>7366</v>
      </c>
      <c r="F7040" s="284">
        <f t="shared" ca="1" si="218"/>
        <v>0.5382415210300413</v>
      </c>
      <c r="G7040" s="74">
        <v>39.052307592965704</v>
      </c>
      <c r="H7040" s="74">
        <f t="shared" si="219"/>
        <v>1.4420927503668182</v>
      </c>
    </row>
    <row r="7041" spans="5:8" ht="15.6">
      <c r="E7041" s="279" t="s">
        <v>7367</v>
      </c>
      <c r="F7041" s="284">
        <f t="shared" ca="1" si="218"/>
        <v>0.30794357003924466</v>
      </c>
      <c r="G7041" s="74">
        <v>40.192086033351501</v>
      </c>
      <c r="H7041" s="74">
        <f t="shared" si="219"/>
        <v>0.30231430998102127</v>
      </c>
    </row>
    <row r="7042" spans="5:8" ht="15.6">
      <c r="E7042" s="279" t="s">
        <v>7368</v>
      </c>
      <c r="F7042" s="284">
        <f t="shared" ca="1" si="218"/>
        <v>0.96028457689698721</v>
      </c>
      <c r="G7042" s="74">
        <v>38.615523647020517</v>
      </c>
      <c r="H7042" s="74">
        <f t="shared" si="219"/>
        <v>1.8788766963120054</v>
      </c>
    </row>
    <row r="7043" spans="5:8" ht="15.6">
      <c r="E7043" s="279" t="s">
        <v>7369</v>
      </c>
      <c r="F7043" s="284">
        <f t="shared" ca="1" si="218"/>
        <v>0.91849857581676542</v>
      </c>
      <c r="G7043" s="74">
        <v>36.710603380765811</v>
      </c>
      <c r="H7043" s="74">
        <f t="shared" si="219"/>
        <v>3.7837969625667114</v>
      </c>
    </row>
    <row r="7044" spans="5:8" ht="15.6">
      <c r="E7044" s="279" t="s">
        <v>7370</v>
      </c>
      <c r="F7044" s="284">
        <f t="shared" ca="1" si="218"/>
        <v>0.71182801393742712</v>
      </c>
      <c r="G7044" s="74">
        <v>39.101751771789225</v>
      </c>
      <c r="H7044" s="74">
        <f t="shared" si="219"/>
        <v>1.3926485715432975</v>
      </c>
    </row>
    <row r="7045" spans="5:8" ht="15.6">
      <c r="E7045" s="279" t="s">
        <v>7371</v>
      </c>
      <c r="F7045" s="284">
        <f t="shared" ca="1" si="218"/>
        <v>0.85570546851906282</v>
      </c>
      <c r="G7045" s="74">
        <v>41.516114295922883</v>
      </c>
      <c r="H7045" s="74">
        <f t="shared" si="219"/>
        <v>-1.0217139525903605</v>
      </c>
    </row>
    <row r="7046" spans="5:8" ht="15.6">
      <c r="E7046" s="279" t="s">
        <v>7372</v>
      </c>
      <c r="F7046" s="284">
        <f t="shared" ca="1" si="218"/>
        <v>0.13046693609409876</v>
      </c>
      <c r="G7046" s="74">
        <v>38.741145504757718</v>
      </c>
      <c r="H7046" s="74">
        <f t="shared" si="219"/>
        <v>1.7532548385748044</v>
      </c>
    </row>
    <row r="7047" spans="5:8" ht="15.6">
      <c r="E7047" s="279" t="s">
        <v>7373</v>
      </c>
      <c r="F7047" s="284">
        <f t="shared" ca="1" si="218"/>
        <v>9.6099427300984974E-2</v>
      </c>
      <c r="G7047" s="74">
        <v>39.015943677217216</v>
      </c>
      <c r="H7047" s="74">
        <f t="shared" si="219"/>
        <v>1.4784566661153065</v>
      </c>
    </row>
    <row r="7048" spans="5:8" ht="15.6">
      <c r="E7048" s="279" t="s">
        <v>7374</v>
      </c>
      <c r="F7048" s="284">
        <f t="shared" ca="1" si="218"/>
        <v>0.13260902094363702</v>
      </c>
      <c r="G7048" s="74">
        <v>37.037745319283161</v>
      </c>
      <c r="H7048" s="74">
        <f t="shared" si="219"/>
        <v>3.4566550240493612</v>
      </c>
    </row>
    <row r="7049" spans="5:8" ht="15.6">
      <c r="E7049" s="279" t="s">
        <v>7375</v>
      </c>
      <c r="F7049" s="284">
        <f t="shared" ca="1" si="218"/>
        <v>0.41844643970255957</v>
      </c>
      <c r="G7049" s="74">
        <v>43.140351431954862</v>
      </c>
      <c r="H7049" s="74">
        <f t="shared" si="219"/>
        <v>-2.6459510886223399</v>
      </c>
    </row>
    <row r="7050" spans="5:8" ht="15.6">
      <c r="E7050" s="279" t="s">
        <v>7376</v>
      </c>
      <c r="F7050" s="284">
        <f t="shared" ca="1" si="218"/>
        <v>0.35339348964256923</v>
      </c>
      <c r="G7050" s="74">
        <v>37.46145870653573</v>
      </c>
      <c r="H7050" s="74">
        <f t="shared" si="219"/>
        <v>3.0329416367967923</v>
      </c>
    </row>
    <row r="7051" spans="5:8" ht="15.6">
      <c r="E7051" s="279" t="s">
        <v>7377</v>
      </c>
      <c r="F7051" s="284">
        <f t="shared" ca="1" si="218"/>
        <v>0.8132112760176291</v>
      </c>
      <c r="G7051" s="74">
        <v>38.204677355565416</v>
      </c>
      <c r="H7051" s="74">
        <f t="shared" si="219"/>
        <v>2.2897229877671066</v>
      </c>
    </row>
    <row r="7052" spans="5:8" ht="15.6">
      <c r="E7052" s="279" t="s">
        <v>7378</v>
      </c>
      <c r="F7052" s="284">
        <f t="shared" ref="F7052:F7115" ca="1" si="220">RAND()</f>
        <v>0.15324856182399238</v>
      </c>
      <c r="G7052" s="74">
        <v>34.948649559220108</v>
      </c>
      <c r="H7052" s="74">
        <f t="shared" ref="H7052:H7115" si="221">$D$2-G7052</f>
        <v>5.5457507841124141</v>
      </c>
    </row>
    <row r="7053" spans="5:8" ht="15.6">
      <c r="E7053" s="279" t="s">
        <v>7379</v>
      </c>
      <c r="F7053" s="284">
        <f t="shared" ca="1" si="220"/>
        <v>0.83426747099254339</v>
      </c>
      <c r="G7053" s="74">
        <v>46.584223950736401</v>
      </c>
      <c r="H7053" s="74">
        <f t="shared" si="221"/>
        <v>-6.0898236074038792</v>
      </c>
    </row>
    <row r="7054" spans="5:8" ht="15.6">
      <c r="E7054" s="279" t="s">
        <v>7380</v>
      </c>
      <c r="F7054" s="284">
        <f t="shared" ca="1" si="220"/>
        <v>0.98916257603388091</v>
      </c>
      <c r="G7054" s="74">
        <v>36.241695133605894</v>
      </c>
      <c r="H7054" s="74">
        <f t="shared" si="221"/>
        <v>4.2527052097266278</v>
      </c>
    </row>
    <row r="7055" spans="5:8" ht="15.6">
      <c r="E7055" s="279" t="s">
        <v>7381</v>
      </c>
      <c r="F7055" s="284">
        <f t="shared" ca="1" si="220"/>
        <v>0.23165520954096164</v>
      </c>
      <c r="G7055" s="74">
        <v>32.891191291776522</v>
      </c>
      <c r="H7055" s="74">
        <f t="shared" si="221"/>
        <v>7.603209051556</v>
      </c>
    </row>
    <row r="7056" spans="5:8" ht="15.6">
      <c r="E7056" s="279" t="s">
        <v>7382</v>
      </c>
      <c r="F7056" s="284">
        <f t="shared" ca="1" si="220"/>
        <v>5.8300006652738046E-2</v>
      </c>
      <c r="G7056" s="74">
        <v>37.905564611491606</v>
      </c>
      <c r="H7056" s="74">
        <f t="shared" si="221"/>
        <v>2.5888357318409163</v>
      </c>
    </row>
    <row r="7057" spans="5:8" ht="15.6">
      <c r="E7057" s="279" t="s">
        <v>7383</v>
      </c>
      <c r="F7057" s="284">
        <f t="shared" ca="1" si="220"/>
        <v>0.34843726744171122</v>
      </c>
      <c r="G7057" s="74">
        <v>43.417822327235207</v>
      </c>
      <c r="H7057" s="74">
        <f t="shared" si="221"/>
        <v>-2.9234219839026849</v>
      </c>
    </row>
    <row r="7058" spans="5:8" ht="15.6">
      <c r="E7058" s="279" t="s">
        <v>7384</v>
      </c>
      <c r="F7058" s="284">
        <f t="shared" ca="1" si="220"/>
        <v>0.91484455964378386</v>
      </c>
      <c r="G7058" s="74">
        <v>35.587866814979996</v>
      </c>
      <c r="H7058" s="74">
        <f t="shared" si="221"/>
        <v>4.9065335283525258</v>
      </c>
    </row>
    <row r="7059" spans="5:8" ht="15.6">
      <c r="E7059" s="279" t="s">
        <v>7385</v>
      </c>
      <c r="F7059" s="284">
        <f t="shared" ca="1" si="220"/>
        <v>0.48971756585848236</v>
      </c>
      <c r="G7059" s="74">
        <v>43.660518124817983</v>
      </c>
      <c r="H7059" s="74">
        <f t="shared" si="221"/>
        <v>-3.1661177814854611</v>
      </c>
    </row>
    <row r="7060" spans="5:8" ht="15.6">
      <c r="E7060" s="279" t="s">
        <v>7386</v>
      </c>
      <c r="F7060" s="284">
        <f t="shared" ca="1" si="220"/>
        <v>0.75657005003952393</v>
      </c>
      <c r="G7060" s="74">
        <v>40.964620332087073</v>
      </c>
      <c r="H7060" s="74">
        <f t="shared" si="221"/>
        <v>-0.4702199887545504</v>
      </c>
    </row>
    <row r="7061" spans="5:8" ht="15.6">
      <c r="E7061" s="279" t="s">
        <v>7387</v>
      </c>
      <c r="F7061" s="284">
        <f t="shared" ca="1" si="220"/>
        <v>0.38969461323070287</v>
      </c>
      <c r="G7061" s="74">
        <v>42.107362412839407</v>
      </c>
      <c r="H7061" s="74">
        <f t="shared" si="221"/>
        <v>-1.6129620695068851</v>
      </c>
    </row>
    <row r="7062" spans="5:8" ht="15.6">
      <c r="E7062" s="279" t="s">
        <v>7388</v>
      </c>
      <c r="F7062" s="284">
        <f t="shared" ca="1" si="220"/>
        <v>0.68674225354092633</v>
      </c>
      <c r="G7062" s="74">
        <v>42.964767680795127</v>
      </c>
      <c r="H7062" s="74">
        <f t="shared" si="221"/>
        <v>-2.470367337462605</v>
      </c>
    </row>
    <row r="7063" spans="5:8" ht="15.6">
      <c r="E7063" s="279" t="s">
        <v>7389</v>
      </c>
      <c r="F7063" s="284">
        <f t="shared" ca="1" si="220"/>
        <v>0.20887095744927864</v>
      </c>
      <c r="G7063" s="74">
        <v>40.141665390619522</v>
      </c>
      <c r="H7063" s="74">
        <f t="shared" si="221"/>
        <v>0.35273495271299993</v>
      </c>
    </row>
    <row r="7064" spans="5:8" ht="15.6">
      <c r="E7064" s="279" t="s">
        <v>7390</v>
      </c>
      <c r="F7064" s="284">
        <f t="shared" ca="1" si="220"/>
        <v>0.86725210269522435</v>
      </c>
      <c r="G7064" s="74">
        <v>38.147696911879557</v>
      </c>
      <c r="H7064" s="74">
        <f t="shared" si="221"/>
        <v>2.3467034314529656</v>
      </c>
    </row>
    <row r="7065" spans="5:8" ht="15.6">
      <c r="E7065" s="279" t="s">
        <v>7391</v>
      </c>
      <c r="F7065" s="284">
        <f t="shared" ca="1" si="220"/>
        <v>0.71451115150171263</v>
      </c>
      <c r="G7065" s="74">
        <v>40.263714433200285</v>
      </c>
      <c r="H7065" s="74">
        <f t="shared" si="221"/>
        <v>0.23068591013223738</v>
      </c>
    </row>
    <row r="7066" spans="5:8" ht="15.6">
      <c r="E7066" s="279" t="s">
        <v>7392</v>
      </c>
      <c r="F7066" s="284">
        <f t="shared" ca="1" si="220"/>
        <v>0.35761007080720841</v>
      </c>
      <c r="G7066" s="74">
        <v>41.040836309130903</v>
      </c>
      <c r="H7066" s="74">
        <f t="shared" si="221"/>
        <v>-0.54643596579838061</v>
      </c>
    </row>
    <row r="7067" spans="5:8" ht="15.6">
      <c r="E7067" s="279" t="s">
        <v>7393</v>
      </c>
      <c r="F7067" s="284">
        <f t="shared" ca="1" si="220"/>
        <v>0.51098004988814638</v>
      </c>
      <c r="G7067" s="74">
        <v>41.677467081151249</v>
      </c>
      <c r="H7067" s="74">
        <f t="shared" si="221"/>
        <v>-1.1830667378187272</v>
      </c>
    </row>
    <row r="7068" spans="5:8" ht="15.6">
      <c r="E7068" s="279" t="s">
        <v>7394</v>
      </c>
      <c r="F7068" s="284">
        <f t="shared" ca="1" si="220"/>
        <v>0.24853338604552722</v>
      </c>
      <c r="G7068" s="74">
        <v>39.643691496685072</v>
      </c>
      <c r="H7068" s="74">
        <f t="shared" si="221"/>
        <v>0.85070884664744995</v>
      </c>
    </row>
    <row r="7069" spans="5:8" ht="15.6">
      <c r="E7069" s="279" t="s">
        <v>7395</v>
      </c>
      <c r="F7069" s="284">
        <f t="shared" ca="1" si="220"/>
        <v>0.57473094923435608</v>
      </c>
      <c r="G7069" s="74">
        <v>39.642822236854819</v>
      </c>
      <c r="H7069" s="74">
        <f t="shared" si="221"/>
        <v>0.85157810647770305</v>
      </c>
    </row>
    <row r="7070" spans="5:8" ht="15.6">
      <c r="E7070" s="279" t="s">
        <v>7396</v>
      </c>
      <c r="F7070" s="284">
        <f t="shared" ca="1" si="220"/>
        <v>0.96689378067776155</v>
      </c>
      <c r="G7070" s="74">
        <v>40.026740732744571</v>
      </c>
      <c r="H7070" s="74">
        <f t="shared" si="221"/>
        <v>0.46765961058795114</v>
      </c>
    </row>
    <row r="7071" spans="5:8" ht="15.6">
      <c r="E7071" s="279" t="s">
        <v>7397</v>
      </c>
      <c r="F7071" s="284">
        <f t="shared" ca="1" si="220"/>
        <v>0.14862577781660069</v>
      </c>
      <c r="G7071" s="74">
        <v>38.968762662723115</v>
      </c>
      <c r="H7071" s="74">
        <f t="shared" si="221"/>
        <v>1.5256376806094067</v>
      </c>
    </row>
    <row r="7072" spans="5:8" ht="15.6">
      <c r="E7072" s="279" t="s">
        <v>7398</v>
      </c>
      <c r="F7072" s="284">
        <f t="shared" ca="1" si="220"/>
        <v>0.2466715060325525</v>
      </c>
      <c r="G7072" s="74">
        <v>40.513801317186257</v>
      </c>
      <c r="H7072" s="74">
        <f t="shared" si="221"/>
        <v>-1.9400973853734627E-2</v>
      </c>
    </row>
    <row r="7073" spans="5:8" ht="15.6">
      <c r="E7073" s="279" t="s">
        <v>7399</v>
      </c>
      <c r="F7073" s="284">
        <f t="shared" ca="1" si="220"/>
        <v>0.10876831663074715</v>
      </c>
      <c r="G7073" s="74">
        <v>39.719844174742803</v>
      </c>
      <c r="H7073" s="74">
        <f t="shared" si="221"/>
        <v>0.77455616858971865</v>
      </c>
    </row>
    <row r="7074" spans="5:8" ht="15.6">
      <c r="E7074" s="279" t="s">
        <v>7400</v>
      </c>
      <c r="F7074" s="284">
        <f t="shared" ca="1" si="220"/>
        <v>0.56625270789116977</v>
      </c>
      <c r="G7074" s="74">
        <v>39.932890475865044</v>
      </c>
      <c r="H7074" s="74">
        <f t="shared" si="221"/>
        <v>0.56150986746747833</v>
      </c>
    </row>
    <row r="7075" spans="5:8" ht="15.6">
      <c r="E7075" s="279" t="s">
        <v>7401</v>
      </c>
      <c r="F7075" s="284">
        <f t="shared" ca="1" si="220"/>
        <v>0.10129788149930918</v>
      </c>
      <c r="G7075" s="74">
        <v>41.927999130568722</v>
      </c>
      <c r="H7075" s="74">
        <f t="shared" si="221"/>
        <v>-1.4335987872361997</v>
      </c>
    </row>
    <row r="7076" spans="5:8" ht="15.6">
      <c r="E7076" s="279" t="s">
        <v>7402</v>
      </c>
      <c r="F7076" s="284">
        <f t="shared" ca="1" si="220"/>
        <v>0.889916654975483</v>
      </c>
      <c r="G7076" s="74">
        <v>45.35656442848834</v>
      </c>
      <c r="H7076" s="74">
        <f t="shared" si="221"/>
        <v>-4.8621640851558183</v>
      </c>
    </row>
    <row r="7077" spans="5:8" ht="15.6">
      <c r="E7077" s="279" t="s">
        <v>7403</v>
      </c>
      <c r="F7077" s="284">
        <f t="shared" ca="1" si="220"/>
        <v>0.40233077925319094</v>
      </c>
      <c r="G7077" s="74">
        <v>40.386686194567552</v>
      </c>
      <c r="H7077" s="74">
        <f t="shared" si="221"/>
        <v>0.10771414876496976</v>
      </c>
    </row>
    <row r="7078" spans="5:8" ht="15.6">
      <c r="E7078" s="279" t="s">
        <v>7404</v>
      </c>
      <c r="F7078" s="284">
        <f t="shared" ca="1" si="220"/>
        <v>0.49152992748480306</v>
      </c>
      <c r="G7078" s="74">
        <v>41.929135611349466</v>
      </c>
      <c r="H7078" s="74">
        <f t="shared" si="221"/>
        <v>-1.4347352680169436</v>
      </c>
    </row>
    <row r="7079" spans="5:8" ht="15.6">
      <c r="E7079" s="279" t="s">
        <v>7405</v>
      </c>
      <c r="F7079" s="284">
        <f t="shared" ca="1" si="220"/>
        <v>0.90711371607713975</v>
      </c>
      <c r="G7079" s="74">
        <v>40.663049378687717</v>
      </c>
      <c r="H7079" s="74">
        <f t="shared" si="221"/>
        <v>-0.1686490353551946</v>
      </c>
    </row>
    <row r="7080" spans="5:8" ht="15.6">
      <c r="E7080" s="279" t="s">
        <v>7406</v>
      </c>
      <c r="F7080" s="284">
        <f t="shared" ca="1" si="220"/>
        <v>0.19455221349517804</v>
      </c>
      <c r="G7080" s="74">
        <v>35.57404875861311</v>
      </c>
      <c r="H7080" s="74">
        <f t="shared" si="221"/>
        <v>4.9203515847194126</v>
      </c>
    </row>
    <row r="7081" spans="5:8" ht="15.6">
      <c r="E7081" s="279" t="s">
        <v>7407</v>
      </c>
      <c r="F7081" s="284">
        <f t="shared" ca="1" si="220"/>
        <v>0.51101557125199137</v>
      </c>
      <c r="G7081" s="74">
        <v>34.780039145388209</v>
      </c>
      <c r="H7081" s="74">
        <f t="shared" si="221"/>
        <v>5.7143611979443136</v>
      </c>
    </row>
    <row r="7082" spans="5:8" ht="15.6">
      <c r="E7082" s="279" t="s">
        <v>7408</v>
      </c>
      <c r="F7082" s="284">
        <f t="shared" ca="1" si="220"/>
        <v>0.27930841620016145</v>
      </c>
      <c r="G7082" s="74">
        <v>36.859972422924116</v>
      </c>
      <c r="H7082" s="74">
        <f t="shared" si="221"/>
        <v>3.634427920408406</v>
      </c>
    </row>
    <row r="7083" spans="5:8" ht="15.6">
      <c r="E7083" s="279" t="s">
        <v>7409</v>
      </c>
      <c r="F7083" s="284">
        <f t="shared" ca="1" si="220"/>
        <v>0.6925997039433488</v>
      </c>
      <c r="G7083" s="74">
        <v>39.481975244087131</v>
      </c>
      <c r="H7083" s="74">
        <f t="shared" si="221"/>
        <v>1.0124250992453909</v>
      </c>
    </row>
    <row r="7084" spans="5:8" ht="15.6">
      <c r="E7084" s="279" t="s">
        <v>7410</v>
      </c>
      <c r="F7084" s="284">
        <f t="shared" ca="1" si="220"/>
        <v>0.16439894534876576</v>
      </c>
      <c r="G7084" s="74">
        <v>35.292060865368882</v>
      </c>
      <c r="H7084" s="74">
        <f t="shared" si="221"/>
        <v>5.2023394779636405</v>
      </c>
    </row>
    <row r="7085" spans="5:8" ht="15.6">
      <c r="E7085" s="279" t="s">
        <v>7411</v>
      </c>
      <c r="F7085" s="284">
        <f t="shared" ca="1" si="220"/>
        <v>0.94370190775087837</v>
      </c>
      <c r="G7085" s="74">
        <v>42.489232628972786</v>
      </c>
      <c r="H7085" s="74">
        <f t="shared" si="221"/>
        <v>-1.994832285640264</v>
      </c>
    </row>
    <row r="7086" spans="5:8" ht="15.6">
      <c r="E7086" s="279" t="s">
        <v>7412</v>
      </c>
      <c r="F7086" s="284">
        <f t="shared" ca="1" si="220"/>
        <v>0.14097613771553641</v>
      </c>
      <c r="G7086" s="74">
        <v>38.852993322697053</v>
      </c>
      <c r="H7086" s="74">
        <f t="shared" si="221"/>
        <v>1.6414070206354694</v>
      </c>
    </row>
    <row r="7087" spans="5:8" ht="15.6">
      <c r="E7087" s="279" t="s">
        <v>7413</v>
      </c>
      <c r="F7087" s="284">
        <f t="shared" ca="1" si="220"/>
        <v>2.9455404620704062E-3</v>
      </c>
      <c r="G7087" s="74">
        <v>39.971767396557617</v>
      </c>
      <c r="H7087" s="74">
        <f t="shared" si="221"/>
        <v>0.52263294677490535</v>
      </c>
    </row>
    <row r="7088" spans="5:8" ht="15.6">
      <c r="E7088" s="279" t="s">
        <v>7414</v>
      </c>
      <c r="F7088" s="284">
        <f t="shared" ca="1" si="220"/>
        <v>0.4792605711415352</v>
      </c>
      <c r="G7088" s="74">
        <v>39.379334391502788</v>
      </c>
      <c r="H7088" s="74">
        <f t="shared" si="221"/>
        <v>1.1150659518297346</v>
      </c>
    </row>
    <row r="7089" spans="5:8" ht="15.6">
      <c r="E7089" s="279" t="s">
        <v>7415</v>
      </c>
      <c r="F7089" s="284">
        <f t="shared" ca="1" si="220"/>
        <v>0.69957596071033823</v>
      </c>
      <c r="G7089" s="74">
        <v>40.57940792145726</v>
      </c>
      <c r="H7089" s="74">
        <f t="shared" si="221"/>
        <v>-8.5007578124738359E-2</v>
      </c>
    </row>
    <row r="7090" spans="5:8" ht="15.6">
      <c r="E7090" s="279" t="s">
        <v>7416</v>
      </c>
      <c r="F7090" s="284">
        <f t="shared" ca="1" si="220"/>
        <v>0.56934774741486793</v>
      </c>
      <c r="G7090" s="74">
        <v>37.290442603910307</v>
      </c>
      <c r="H7090" s="74">
        <f t="shared" si="221"/>
        <v>3.203957739422215</v>
      </c>
    </row>
    <row r="7091" spans="5:8" ht="15.6">
      <c r="E7091" s="279" t="s">
        <v>7417</v>
      </c>
      <c r="F7091" s="284">
        <f t="shared" ca="1" si="220"/>
        <v>0.10384342216945508</v>
      </c>
      <c r="G7091" s="74">
        <v>38.13074211607907</v>
      </c>
      <c r="H7091" s="74">
        <f t="shared" si="221"/>
        <v>2.3636582272534525</v>
      </c>
    </row>
    <row r="7092" spans="5:8" ht="15.6">
      <c r="E7092" s="279" t="s">
        <v>7418</v>
      </c>
      <c r="F7092" s="284">
        <f t="shared" ca="1" si="220"/>
        <v>7.7192088898590527E-2</v>
      </c>
      <c r="G7092" s="74">
        <v>35.251576315393365</v>
      </c>
      <c r="H7092" s="74">
        <f t="shared" si="221"/>
        <v>5.2428240279391574</v>
      </c>
    </row>
    <row r="7093" spans="5:8" ht="15.6">
      <c r="E7093" s="279" t="s">
        <v>7419</v>
      </c>
      <c r="F7093" s="284">
        <f t="shared" ca="1" si="220"/>
        <v>0.78117819967917634</v>
      </c>
      <c r="G7093" s="74">
        <v>40.340850309441876</v>
      </c>
      <c r="H7093" s="74">
        <f t="shared" si="221"/>
        <v>0.15355003389064592</v>
      </c>
    </row>
    <row r="7094" spans="5:8" ht="15.6">
      <c r="E7094" s="279" t="s">
        <v>7420</v>
      </c>
      <c r="F7094" s="284">
        <f t="shared" ca="1" si="220"/>
        <v>0.43618057807055977</v>
      </c>
      <c r="G7094" s="74">
        <v>40.200827348209792</v>
      </c>
      <c r="H7094" s="74">
        <f t="shared" si="221"/>
        <v>0.29357299512273016</v>
      </c>
    </row>
    <row r="7095" spans="5:8" ht="15.6">
      <c r="E7095" s="279" t="s">
        <v>7421</v>
      </c>
      <c r="F7095" s="284">
        <f t="shared" ca="1" si="220"/>
        <v>0.43793190368171042</v>
      </c>
      <c r="G7095" s="74">
        <v>39.402537167331758</v>
      </c>
      <c r="H7095" s="74">
        <f t="shared" si="221"/>
        <v>1.0918631760007642</v>
      </c>
    </row>
    <row r="7096" spans="5:8" ht="15.6">
      <c r="E7096" s="279" t="s">
        <v>7422</v>
      </c>
      <c r="F7096" s="284">
        <f t="shared" ca="1" si="220"/>
        <v>0.43293388082515016</v>
      </c>
      <c r="G7096" s="74">
        <v>39.934585676792324</v>
      </c>
      <c r="H7096" s="74">
        <f t="shared" si="221"/>
        <v>0.5598146665401984</v>
      </c>
    </row>
    <row r="7097" spans="5:8" ht="15.6">
      <c r="E7097" s="279" t="s">
        <v>7423</v>
      </c>
      <c r="F7097" s="284">
        <f t="shared" ca="1" si="220"/>
        <v>0.67918914525855811</v>
      </c>
      <c r="G7097" s="74">
        <v>41.045937563151519</v>
      </c>
      <c r="H7097" s="74">
        <f t="shared" si="221"/>
        <v>-0.5515372198189965</v>
      </c>
    </row>
    <row r="7098" spans="5:8" ht="15.6">
      <c r="E7098" s="279" t="s">
        <v>7424</v>
      </c>
      <c r="F7098" s="284">
        <f t="shared" ca="1" si="220"/>
        <v>0.33392856458183184</v>
      </c>
      <c r="G7098" s="74">
        <v>42.486133196460436</v>
      </c>
      <c r="H7098" s="74">
        <f t="shared" si="221"/>
        <v>-1.9917328531279139</v>
      </c>
    </row>
    <row r="7099" spans="5:8" ht="15.6">
      <c r="E7099" s="279" t="s">
        <v>7425</v>
      </c>
      <c r="F7099" s="284">
        <f t="shared" ca="1" si="220"/>
        <v>0.62587596471459739</v>
      </c>
      <c r="G7099" s="74">
        <v>40.002277280401351</v>
      </c>
      <c r="H7099" s="74">
        <f t="shared" si="221"/>
        <v>0.49212306293117081</v>
      </c>
    </row>
    <row r="7100" spans="5:8" ht="15.6">
      <c r="E7100" s="279" t="s">
        <v>7426</v>
      </c>
      <c r="F7100" s="284">
        <f t="shared" ca="1" si="220"/>
        <v>0.56311537506362652</v>
      </c>
      <c r="G7100" s="74">
        <v>39.54379769128785</v>
      </c>
      <c r="H7100" s="74">
        <f t="shared" si="221"/>
        <v>0.95060265204467242</v>
      </c>
    </row>
    <row r="7101" spans="5:8" ht="15.6">
      <c r="E7101" s="279" t="s">
        <v>7427</v>
      </c>
      <c r="F7101" s="284">
        <f t="shared" ca="1" si="220"/>
        <v>4.3102508402486528E-2</v>
      </c>
      <c r="G7101" s="74">
        <v>41.547411475656915</v>
      </c>
      <c r="H7101" s="74">
        <f t="shared" si="221"/>
        <v>-1.0530111323243929</v>
      </c>
    </row>
    <row r="7102" spans="5:8" ht="15.6">
      <c r="E7102" s="279" t="s">
        <v>7428</v>
      </c>
      <c r="F7102" s="284">
        <f t="shared" ca="1" si="220"/>
        <v>0.95875565097147686</v>
      </c>
      <c r="G7102" s="74">
        <v>38.397116769744486</v>
      </c>
      <c r="H7102" s="74">
        <f t="shared" si="221"/>
        <v>2.0972835735880366</v>
      </c>
    </row>
    <row r="7103" spans="5:8" ht="15.6">
      <c r="E7103" s="279" t="s">
        <v>7429</v>
      </c>
      <c r="F7103" s="284">
        <f t="shared" ca="1" si="220"/>
        <v>0.20311036531511084</v>
      </c>
      <c r="G7103" s="74">
        <v>39.170600153348872</v>
      </c>
      <c r="H7103" s="74">
        <f t="shared" si="221"/>
        <v>1.3238001899836505</v>
      </c>
    </row>
    <row r="7104" spans="5:8" ht="15.6">
      <c r="E7104" s="279" t="s">
        <v>7430</v>
      </c>
      <c r="F7104" s="284">
        <f t="shared" ca="1" si="220"/>
        <v>0.15627059195984605</v>
      </c>
      <c r="G7104" s="74">
        <v>40.767393181491414</v>
      </c>
      <c r="H7104" s="74">
        <f t="shared" si="221"/>
        <v>-0.27299283815889197</v>
      </c>
    </row>
    <row r="7105" spans="5:8" ht="15.6">
      <c r="E7105" s="279" t="s">
        <v>7431</v>
      </c>
      <c r="F7105" s="284">
        <f t="shared" ca="1" si="220"/>
        <v>0.40201715087586132</v>
      </c>
      <c r="G7105" s="74">
        <v>39.896554287115222</v>
      </c>
      <c r="H7105" s="74">
        <f t="shared" si="221"/>
        <v>0.5978460562172998</v>
      </c>
    </row>
    <row r="7106" spans="5:8" ht="15.6">
      <c r="E7106" s="279" t="s">
        <v>7432</v>
      </c>
      <c r="F7106" s="284">
        <f t="shared" ca="1" si="220"/>
        <v>0.46134843455215857</v>
      </c>
      <c r="G7106" s="74">
        <v>40.673549380317048</v>
      </c>
      <c r="H7106" s="74">
        <f t="shared" si="221"/>
        <v>-0.17914903698452633</v>
      </c>
    </row>
    <row r="7107" spans="5:8" ht="15.6">
      <c r="E7107" s="279" t="s">
        <v>7433</v>
      </c>
      <c r="F7107" s="284">
        <f t="shared" ca="1" si="220"/>
        <v>0.74746057254219544</v>
      </c>
      <c r="G7107" s="74">
        <v>40.502992254849026</v>
      </c>
      <c r="H7107" s="74">
        <f t="shared" si="221"/>
        <v>-8.5919115165040694E-3</v>
      </c>
    </row>
    <row r="7108" spans="5:8" ht="15.6">
      <c r="E7108" s="279" t="s">
        <v>7434</v>
      </c>
      <c r="F7108" s="284">
        <f t="shared" ca="1" si="220"/>
        <v>0.68729477099356318</v>
      </c>
      <c r="G7108" s="74">
        <v>38.562458505263557</v>
      </c>
      <c r="H7108" s="74">
        <f t="shared" si="221"/>
        <v>1.9319418380689655</v>
      </c>
    </row>
    <row r="7109" spans="5:8" ht="15.6">
      <c r="E7109" s="279" t="s">
        <v>7435</v>
      </c>
      <c r="F7109" s="284">
        <f t="shared" ca="1" si="220"/>
        <v>0.74171961921762319</v>
      </c>
      <c r="G7109" s="74">
        <v>40.217981715542692</v>
      </c>
      <c r="H7109" s="74">
        <f t="shared" si="221"/>
        <v>0.2764186277898304</v>
      </c>
    </row>
    <row r="7110" spans="5:8" ht="15.6">
      <c r="E7110" s="279" t="s">
        <v>7436</v>
      </c>
      <c r="F7110" s="284">
        <f t="shared" ca="1" si="220"/>
        <v>0.15881776739109543</v>
      </c>
      <c r="G7110" s="74">
        <v>42.298201148468621</v>
      </c>
      <c r="H7110" s="74">
        <f t="shared" si="221"/>
        <v>-1.803800805136099</v>
      </c>
    </row>
    <row r="7111" spans="5:8" ht="15.6">
      <c r="E7111" s="279" t="s">
        <v>7437</v>
      </c>
      <c r="F7111" s="284">
        <f t="shared" ca="1" si="220"/>
        <v>0.27240614141275765</v>
      </c>
      <c r="G7111" s="74">
        <v>39.956766063800082</v>
      </c>
      <c r="H7111" s="74">
        <f t="shared" si="221"/>
        <v>0.53763427953244047</v>
      </c>
    </row>
    <row r="7112" spans="5:8" ht="15.6">
      <c r="E7112" s="279" t="s">
        <v>7438</v>
      </c>
      <c r="F7112" s="284">
        <f t="shared" ca="1" si="220"/>
        <v>0.67726941704419774</v>
      </c>
      <c r="G7112" s="74">
        <v>45.925470177780134</v>
      </c>
      <c r="H7112" s="74">
        <f t="shared" si="221"/>
        <v>-5.4310698344476123</v>
      </c>
    </row>
    <row r="7113" spans="5:8" ht="15.6">
      <c r="E7113" s="279" t="s">
        <v>7439</v>
      </c>
      <c r="F7113" s="284">
        <f t="shared" ca="1" si="220"/>
        <v>0.19506303066836372</v>
      </c>
      <c r="G7113" s="74">
        <v>41.533891205070752</v>
      </c>
      <c r="H7113" s="74">
        <f t="shared" si="221"/>
        <v>-1.0394908617382299</v>
      </c>
    </row>
    <row r="7114" spans="5:8" ht="15.6">
      <c r="E7114" s="279" t="s">
        <v>7440</v>
      </c>
      <c r="F7114" s="284">
        <f t="shared" ca="1" si="220"/>
        <v>0.24588317906648449</v>
      </c>
      <c r="G7114" s="74">
        <v>40.799910670762976</v>
      </c>
      <c r="H7114" s="74">
        <f t="shared" si="221"/>
        <v>-0.30551032743045425</v>
      </c>
    </row>
    <row r="7115" spans="5:8" ht="15.6">
      <c r="E7115" s="279" t="s">
        <v>7441</v>
      </c>
      <c r="F7115" s="284">
        <f t="shared" ca="1" si="220"/>
        <v>0.35791263422591224</v>
      </c>
      <c r="G7115" s="74">
        <v>40.277139841035101</v>
      </c>
      <c r="H7115" s="74">
        <f t="shared" si="221"/>
        <v>0.217260502297421</v>
      </c>
    </row>
    <row r="7116" spans="5:8" ht="15.6">
      <c r="E7116" s="279" t="s">
        <v>7442</v>
      </c>
      <c r="F7116" s="284">
        <f t="shared" ref="F7116:F7179" ca="1" si="222">RAND()</f>
        <v>0.41285922649132112</v>
      </c>
      <c r="G7116" s="74">
        <v>37.907075372170006</v>
      </c>
      <c r="H7116" s="74">
        <f t="shared" ref="H7116:H7179" si="223">$D$2-G7116</f>
        <v>2.5873249711625164</v>
      </c>
    </row>
    <row r="7117" spans="5:8" ht="15.6">
      <c r="E7117" s="279" t="s">
        <v>7443</v>
      </c>
      <c r="F7117" s="284">
        <f t="shared" ca="1" si="222"/>
        <v>0.47932386045456021</v>
      </c>
      <c r="G7117" s="74">
        <v>37.436065103784458</v>
      </c>
      <c r="H7117" s="74">
        <f t="shared" si="223"/>
        <v>3.0583352395480645</v>
      </c>
    </row>
    <row r="7118" spans="5:8" ht="15.6">
      <c r="E7118" s="279" t="s">
        <v>7444</v>
      </c>
      <c r="F7118" s="284">
        <f t="shared" ca="1" si="222"/>
        <v>0.34603499156742135</v>
      </c>
      <c r="G7118" s="74">
        <v>35.591461943714108</v>
      </c>
      <c r="H7118" s="74">
        <f t="shared" si="223"/>
        <v>4.9029383996184137</v>
      </c>
    </row>
    <row r="7119" spans="5:8" ht="15.6">
      <c r="E7119" s="279" t="s">
        <v>7445</v>
      </c>
      <c r="F7119" s="284">
        <f t="shared" ca="1" si="222"/>
        <v>0.86499774186106204</v>
      </c>
      <c r="G7119" s="74">
        <v>39.416432199884319</v>
      </c>
      <c r="H7119" s="74">
        <f t="shared" si="223"/>
        <v>1.0779681434482029</v>
      </c>
    </row>
    <row r="7120" spans="5:8" ht="15.6">
      <c r="E7120" s="279" t="s">
        <v>7446</v>
      </c>
      <c r="F7120" s="284">
        <f t="shared" ca="1" si="222"/>
        <v>0.54481901979877767</v>
      </c>
      <c r="G7120" s="74">
        <v>39.666686460853157</v>
      </c>
      <c r="H7120" s="74">
        <f t="shared" si="223"/>
        <v>0.82771388247936528</v>
      </c>
    </row>
    <row r="7121" spans="5:8" ht="15.6">
      <c r="E7121" s="279" t="s">
        <v>7447</v>
      </c>
      <c r="F7121" s="284">
        <f t="shared" ca="1" si="222"/>
        <v>0.66225067760852674</v>
      </c>
      <c r="G7121" s="74">
        <v>36.118842853900134</v>
      </c>
      <c r="H7121" s="74">
        <f t="shared" si="223"/>
        <v>4.3755574894323885</v>
      </c>
    </row>
    <row r="7122" spans="5:8" ht="15.6">
      <c r="E7122" s="279" t="s">
        <v>7448</v>
      </c>
      <c r="F7122" s="284">
        <f t="shared" ca="1" si="222"/>
        <v>0.90927352127726879</v>
      </c>
      <c r="G7122" s="74">
        <v>37.157982269266512</v>
      </c>
      <c r="H7122" s="74">
        <f t="shared" si="223"/>
        <v>3.3364180740660103</v>
      </c>
    </row>
    <row r="7123" spans="5:8" ht="15.6">
      <c r="E7123" s="279" t="s">
        <v>7449</v>
      </c>
      <c r="F7123" s="284">
        <f t="shared" ca="1" si="222"/>
        <v>0.99468511290918671</v>
      </c>
      <c r="G7123" s="74">
        <v>40.069939402189235</v>
      </c>
      <c r="H7123" s="74">
        <f t="shared" si="223"/>
        <v>0.42446094114328758</v>
      </c>
    </row>
    <row r="7124" spans="5:8" ht="15.6">
      <c r="E7124" s="279" t="s">
        <v>7450</v>
      </c>
      <c r="F7124" s="284">
        <f t="shared" ca="1" si="222"/>
        <v>0.95368834086386545</v>
      </c>
      <c r="G7124" s="74">
        <v>35.85546188391185</v>
      </c>
      <c r="H7124" s="74">
        <f t="shared" si="223"/>
        <v>4.6389384594206717</v>
      </c>
    </row>
    <row r="7125" spans="5:8" ht="15.6">
      <c r="E7125" s="279" t="s">
        <v>7451</v>
      </c>
      <c r="F7125" s="284">
        <f t="shared" ca="1" si="222"/>
        <v>0.89128467704971515</v>
      </c>
      <c r="G7125" s="74">
        <v>36.810839717083653</v>
      </c>
      <c r="H7125" s="74">
        <f t="shared" si="223"/>
        <v>3.6835606262488696</v>
      </c>
    </row>
    <row r="7126" spans="5:8" ht="15.6">
      <c r="E7126" s="279" t="s">
        <v>7452</v>
      </c>
      <c r="F7126" s="284">
        <f t="shared" ca="1" si="222"/>
        <v>0.81696466050156158</v>
      </c>
      <c r="G7126" s="74">
        <v>39.072639988016434</v>
      </c>
      <c r="H7126" s="74">
        <f t="shared" si="223"/>
        <v>1.4217603553160885</v>
      </c>
    </row>
    <row r="7127" spans="5:8" ht="15.6">
      <c r="E7127" s="279" t="s">
        <v>7453</v>
      </c>
      <c r="F7127" s="284">
        <f t="shared" ca="1" si="222"/>
        <v>0.53762360466800985</v>
      </c>
      <c r="G7127" s="74">
        <v>40.323637176894167</v>
      </c>
      <c r="H7127" s="74">
        <f t="shared" si="223"/>
        <v>0.17076316643835554</v>
      </c>
    </row>
    <row r="7128" spans="5:8" ht="15.6">
      <c r="E7128" s="279" t="s">
        <v>7454</v>
      </c>
      <c r="F7128" s="284">
        <f t="shared" ca="1" si="222"/>
        <v>0.23089971083760208</v>
      </c>
      <c r="G7128" s="74">
        <v>38.098965849262797</v>
      </c>
      <c r="H7128" s="74">
        <f t="shared" si="223"/>
        <v>2.3954344940697254</v>
      </c>
    </row>
    <row r="7129" spans="5:8" ht="15.6">
      <c r="E7129" s="279" t="s">
        <v>7455</v>
      </c>
      <c r="F7129" s="284">
        <f t="shared" ca="1" si="222"/>
        <v>0.52431434525590515</v>
      </c>
      <c r="G7129" s="74">
        <v>38.689562053987117</v>
      </c>
      <c r="H7129" s="74">
        <f t="shared" si="223"/>
        <v>1.8048382893454047</v>
      </c>
    </row>
    <row r="7130" spans="5:8" ht="15.6">
      <c r="E7130" s="279" t="s">
        <v>7456</v>
      </c>
      <c r="F7130" s="284">
        <f t="shared" ca="1" si="222"/>
        <v>0.70907585984336186</v>
      </c>
      <c r="G7130" s="74">
        <v>38.966601352015694</v>
      </c>
      <c r="H7130" s="74">
        <f t="shared" si="223"/>
        <v>1.5277989913168284</v>
      </c>
    </row>
    <row r="7131" spans="5:8" ht="15.6">
      <c r="E7131" s="279" t="s">
        <v>7457</v>
      </c>
      <c r="F7131" s="284">
        <f t="shared" ca="1" si="222"/>
        <v>0.2466987662201604</v>
      </c>
      <c r="G7131" s="74">
        <v>38.061098297569508</v>
      </c>
      <c r="H7131" s="74">
        <f t="shared" si="223"/>
        <v>2.4333020457630141</v>
      </c>
    </row>
    <row r="7132" spans="5:8" ht="15.6">
      <c r="E7132" s="279" t="s">
        <v>7458</v>
      </c>
      <c r="F7132" s="284">
        <f t="shared" ca="1" si="222"/>
        <v>0.3064774870226199</v>
      </c>
      <c r="G7132" s="74">
        <v>36.279351356164625</v>
      </c>
      <c r="H7132" s="74">
        <f t="shared" si="223"/>
        <v>4.2150489871678971</v>
      </c>
    </row>
    <row r="7133" spans="5:8" ht="15.6">
      <c r="E7133" s="279" t="s">
        <v>7459</v>
      </c>
      <c r="F7133" s="284">
        <f t="shared" ca="1" si="222"/>
        <v>0.32334339028928227</v>
      </c>
      <c r="G7133" s="74">
        <v>36.263822821654088</v>
      </c>
      <c r="H7133" s="74">
        <f t="shared" si="223"/>
        <v>4.230577521678434</v>
      </c>
    </row>
    <row r="7134" spans="5:8" ht="15.6">
      <c r="E7134" s="279" t="s">
        <v>7460</v>
      </c>
      <c r="F7134" s="284">
        <f t="shared" ca="1" si="222"/>
        <v>0.99514471453005282</v>
      </c>
      <c r="G7134" s="74">
        <v>39.887285198192934</v>
      </c>
      <c r="H7134" s="74">
        <f t="shared" si="223"/>
        <v>0.60711514513958775</v>
      </c>
    </row>
    <row r="7135" spans="5:8" ht="15.6">
      <c r="E7135" s="279" t="s">
        <v>7461</v>
      </c>
      <c r="F7135" s="284">
        <f t="shared" ca="1" si="222"/>
        <v>0.90609162589723657</v>
      </c>
      <c r="G7135" s="74">
        <v>37.487195289394478</v>
      </c>
      <c r="H7135" s="74">
        <f t="shared" si="223"/>
        <v>3.0072050539380442</v>
      </c>
    </row>
    <row r="7136" spans="5:8" ht="15.6">
      <c r="E7136" s="279" t="s">
        <v>7462</v>
      </c>
      <c r="F7136" s="284">
        <f t="shared" ca="1" si="222"/>
        <v>0.43344448704931071</v>
      </c>
      <c r="G7136" s="74">
        <v>39.689060999450469</v>
      </c>
      <c r="H7136" s="74">
        <f t="shared" si="223"/>
        <v>0.80533934388205353</v>
      </c>
    </row>
    <row r="7137" spans="5:8" ht="15.6">
      <c r="E7137" s="279" t="s">
        <v>7463</v>
      </c>
      <c r="F7137" s="284">
        <f t="shared" ca="1" si="222"/>
        <v>0.86782680725245331</v>
      </c>
      <c r="G7137" s="74">
        <v>33.395347032958995</v>
      </c>
      <c r="H7137" s="74">
        <f t="shared" si="223"/>
        <v>7.0990533103735274</v>
      </c>
    </row>
    <row r="7138" spans="5:8" ht="15.6">
      <c r="E7138" s="279" t="s">
        <v>7464</v>
      </c>
      <c r="F7138" s="284">
        <f t="shared" ca="1" si="222"/>
        <v>0.66340408753651847</v>
      </c>
      <c r="G7138" s="74">
        <v>42.533844816201643</v>
      </c>
      <c r="H7138" s="74">
        <f t="shared" si="223"/>
        <v>-2.0394444728691212</v>
      </c>
    </row>
    <row r="7139" spans="5:8" ht="15.6">
      <c r="E7139" s="279" t="s">
        <v>7465</v>
      </c>
      <c r="F7139" s="284">
        <f t="shared" ca="1" si="222"/>
        <v>0.37331672198825727</v>
      </c>
      <c r="G7139" s="74">
        <v>36.121239418392918</v>
      </c>
      <c r="H7139" s="74">
        <f t="shared" si="223"/>
        <v>4.3731609249396044</v>
      </c>
    </row>
    <row r="7140" spans="5:8" ht="15.6">
      <c r="E7140" s="279" t="s">
        <v>7466</v>
      </c>
      <c r="F7140" s="284">
        <f t="shared" ca="1" si="222"/>
        <v>0.31101478230102475</v>
      </c>
      <c r="G7140" s="74">
        <v>41.165507148978797</v>
      </c>
      <c r="H7140" s="74">
        <f t="shared" si="223"/>
        <v>-0.67110680564627501</v>
      </c>
    </row>
    <row r="7141" spans="5:8" ht="15.6">
      <c r="E7141" s="279" t="s">
        <v>7467</v>
      </c>
      <c r="F7141" s="284">
        <f t="shared" ca="1" si="222"/>
        <v>0.89573002321882111</v>
      </c>
      <c r="G7141" s="74">
        <v>45.385913389637238</v>
      </c>
      <c r="H7141" s="74">
        <f t="shared" si="223"/>
        <v>-4.8915130463047163</v>
      </c>
    </row>
    <row r="7142" spans="5:8" ht="15.6">
      <c r="E7142" s="279" t="s">
        <v>7468</v>
      </c>
      <c r="F7142" s="284">
        <f t="shared" ca="1" si="222"/>
        <v>0.42829335116459655</v>
      </c>
      <c r="G7142" s="74">
        <v>38.869591381797783</v>
      </c>
      <c r="H7142" s="74">
        <f t="shared" si="223"/>
        <v>1.6248089615347396</v>
      </c>
    </row>
    <row r="7143" spans="5:8" ht="15.6">
      <c r="E7143" s="279" t="s">
        <v>7469</v>
      </c>
      <c r="F7143" s="284">
        <f t="shared" ca="1" si="222"/>
        <v>0.13218564006756361</v>
      </c>
      <c r="G7143" s="74">
        <v>36.969109089557804</v>
      </c>
      <c r="H7143" s="74">
        <f t="shared" si="223"/>
        <v>3.5252912537747179</v>
      </c>
    </row>
    <row r="7144" spans="5:8" ht="15.6">
      <c r="E7144" s="279" t="s">
        <v>7470</v>
      </c>
      <c r="F7144" s="284">
        <f t="shared" ca="1" si="222"/>
        <v>0.80203470889947792</v>
      </c>
      <c r="G7144" s="74">
        <v>40.567901731866343</v>
      </c>
      <c r="H7144" s="74">
        <f t="shared" si="223"/>
        <v>-7.3501388533820489E-2</v>
      </c>
    </row>
    <row r="7145" spans="5:8" ht="15.6">
      <c r="E7145" s="279" t="s">
        <v>7471</v>
      </c>
      <c r="F7145" s="284">
        <f t="shared" ca="1" si="222"/>
        <v>0.54870670292343982</v>
      </c>
      <c r="G7145" s="74">
        <v>38.277571934734503</v>
      </c>
      <c r="H7145" s="74">
        <f t="shared" si="223"/>
        <v>2.216828408598019</v>
      </c>
    </row>
    <row r="7146" spans="5:8" ht="15.6">
      <c r="E7146" s="279" t="s">
        <v>7472</v>
      </c>
      <c r="F7146" s="284">
        <f t="shared" ca="1" si="222"/>
        <v>0.50792133724497024</v>
      </c>
      <c r="G7146" s="74">
        <v>44.071684688399316</v>
      </c>
      <c r="H7146" s="74">
        <f t="shared" si="223"/>
        <v>-3.5772843450667935</v>
      </c>
    </row>
    <row r="7147" spans="5:8" ht="15.6">
      <c r="E7147" s="279" t="s">
        <v>7473</v>
      </c>
      <c r="F7147" s="284">
        <f t="shared" ca="1" si="222"/>
        <v>0.49777487003592136</v>
      </c>
      <c r="G7147" s="74">
        <v>38.153027679496162</v>
      </c>
      <c r="H7147" s="74">
        <f t="shared" si="223"/>
        <v>2.3413726638363599</v>
      </c>
    </row>
    <row r="7148" spans="5:8" ht="15.6">
      <c r="E7148" s="279" t="s">
        <v>7474</v>
      </c>
      <c r="F7148" s="284">
        <f t="shared" ca="1" si="222"/>
        <v>0.81266123515023214</v>
      </c>
      <c r="G7148" s="74">
        <v>40.114349115885531</v>
      </c>
      <c r="H7148" s="74">
        <f t="shared" si="223"/>
        <v>0.38005122744699094</v>
      </c>
    </row>
    <row r="7149" spans="5:8" ht="15.6">
      <c r="E7149" s="279" t="s">
        <v>7475</v>
      </c>
      <c r="F7149" s="284">
        <f t="shared" ca="1" si="222"/>
        <v>0.42264845538062945</v>
      </c>
      <c r="G7149" s="74">
        <v>41.197981977335083</v>
      </c>
      <c r="H7149" s="74">
        <f t="shared" si="223"/>
        <v>-0.70358163400256046</v>
      </c>
    </row>
    <row r="7150" spans="5:8" ht="15.6">
      <c r="E7150" s="279" t="s">
        <v>7476</v>
      </c>
      <c r="F7150" s="284">
        <f t="shared" ca="1" si="222"/>
        <v>0.89606803660919998</v>
      </c>
      <c r="G7150" s="74">
        <v>39.652422869658025</v>
      </c>
      <c r="H7150" s="74">
        <f t="shared" si="223"/>
        <v>0.84197747367449693</v>
      </c>
    </row>
    <row r="7151" spans="5:8" ht="15.6">
      <c r="E7151" s="279" t="s">
        <v>7477</v>
      </c>
      <c r="F7151" s="284">
        <f t="shared" ca="1" si="222"/>
        <v>0.58014793031597045</v>
      </c>
      <c r="G7151" s="74">
        <v>38.867841608229007</v>
      </c>
      <c r="H7151" s="74">
        <f t="shared" si="223"/>
        <v>1.6265587351035151</v>
      </c>
    </row>
    <row r="7152" spans="5:8" ht="15.6">
      <c r="E7152" s="279" t="s">
        <v>7478</v>
      </c>
      <c r="F7152" s="284">
        <f t="shared" ca="1" si="222"/>
        <v>0.88129546480653198</v>
      </c>
      <c r="G7152" s="74">
        <v>35.73874640028491</v>
      </c>
      <c r="H7152" s="74">
        <f t="shared" si="223"/>
        <v>4.7556539430476121</v>
      </c>
    </row>
    <row r="7153" spans="5:8" ht="15.6">
      <c r="E7153" s="279" t="s">
        <v>7479</v>
      </c>
      <c r="F7153" s="284">
        <f t="shared" ca="1" si="222"/>
        <v>0.32330184645960691</v>
      </c>
      <c r="G7153" s="74">
        <v>39.494345401349499</v>
      </c>
      <c r="H7153" s="74">
        <f t="shared" si="223"/>
        <v>1.0000549419830236</v>
      </c>
    </row>
    <row r="7154" spans="5:8" ht="15.6">
      <c r="E7154" s="279" t="s">
        <v>7480</v>
      </c>
      <c r="F7154" s="284">
        <f t="shared" ca="1" si="222"/>
        <v>1.9677574881224569E-2</v>
      </c>
      <c r="G7154" s="74">
        <v>37.362776688114693</v>
      </c>
      <c r="H7154" s="74">
        <f t="shared" si="223"/>
        <v>3.1316236552178296</v>
      </c>
    </row>
    <row r="7155" spans="5:8" ht="15.6">
      <c r="E7155" s="279" t="s">
        <v>7481</v>
      </c>
      <c r="F7155" s="284">
        <f t="shared" ca="1" si="222"/>
        <v>0.34949222527233881</v>
      </c>
      <c r="G7155" s="74">
        <v>39.240929654037679</v>
      </c>
      <c r="H7155" s="74">
        <f t="shared" si="223"/>
        <v>1.2534706892948435</v>
      </c>
    </row>
    <row r="7156" spans="5:8" ht="15.6">
      <c r="E7156" s="279" t="s">
        <v>7482</v>
      </c>
      <c r="F7156" s="284">
        <f t="shared" ca="1" si="222"/>
        <v>0.4999319216052287</v>
      </c>
      <c r="G7156" s="74">
        <v>40.476367672494412</v>
      </c>
      <c r="H7156" s="74">
        <f t="shared" si="223"/>
        <v>1.8032670838110221E-2</v>
      </c>
    </row>
    <row r="7157" spans="5:8" ht="15.6">
      <c r="E7157" s="279" t="s">
        <v>7483</v>
      </c>
      <c r="F7157" s="284">
        <f t="shared" ca="1" si="222"/>
        <v>0.99332688812287917</v>
      </c>
      <c r="G7157" s="74">
        <v>40.89871722302815</v>
      </c>
      <c r="H7157" s="74">
        <f t="shared" si="223"/>
        <v>-0.40431687969562802</v>
      </c>
    </row>
    <row r="7158" spans="5:8" ht="15.6">
      <c r="E7158" s="279" t="s">
        <v>7484</v>
      </c>
      <c r="F7158" s="284">
        <f t="shared" ca="1" si="222"/>
        <v>0.24414641630857414</v>
      </c>
      <c r="G7158" s="74">
        <v>38.206285941134524</v>
      </c>
      <c r="H7158" s="74">
        <f t="shared" si="223"/>
        <v>2.2881144021979978</v>
      </c>
    </row>
    <row r="7159" spans="5:8" ht="15.6">
      <c r="E7159" s="279" t="s">
        <v>7485</v>
      </c>
      <c r="F7159" s="284">
        <f t="shared" ca="1" si="222"/>
        <v>0.84849237588603699</v>
      </c>
      <c r="G7159" s="74">
        <v>41.538375472480759</v>
      </c>
      <c r="H7159" s="74">
        <f t="shared" si="223"/>
        <v>-1.0439751291482366</v>
      </c>
    </row>
    <row r="7160" spans="5:8" ht="15.6">
      <c r="E7160" s="279" t="s">
        <v>7486</v>
      </c>
      <c r="F7160" s="284">
        <f t="shared" ca="1" si="222"/>
        <v>0.77939033722016648</v>
      </c>
      <c r="G7160" s="74">
        <v>41.978300365524873</v>
      </c>
      <c r="H7160" s="74">
        <f t="shared" si="223"/>
        <v>-1.4839000221923513</v>
      </c>
    </row>
    <row r="7161" spans="5:8" ht="15.6">
      <c r="E7161" s="279" t="s">
        <v>7487</v>
      </c>
      <c r="F7161" s="284">
        <f t="shared" ca="1" si="222"/>
        <v>0.11294087139274811</v>
      </c>
      <c r="G7161" s="74">
        <v>37.144389139930141</v>
      </c>
      <c r="H7161" s="74">
        <f t="shared" si="223"/>
        <v>3.3500112034023815</v>
      </c>
    </row>
    <row r="7162" spans="5:8" ht="15.6">
      <c r="E7162" s="279" t="s">
        <v>7488</v>
      </c>
      <c r="F7162" s="284">
        <f t="shared" ca="1" si="222"/>
        <v>0.41637334574785778</v>
      </c>
      <c r="G7162" s="74">
        <v>35.986634675567707</v>
      </c>
      <c r="H7162" s="74">
        <f t="shared" si="223"/>
        <v>4.507765667764815</v>
      </c>
    </row>
    <row r="7163" spans="5:8" ht="15.6">
      <c r="E7163" s="279" t="s">
        <v>7489</v>
      </c>
      <c r="F7163" s="284">
        <f t="shared" ca="1" si="222"/>
        <v>7.2856474311501107E-2</v>
      </c>
      <c r="G7163" s="74">
        <v>36.518850579798432</v>
      </c>
      <c r="H7163" s="74">
        <f t="shared" si="223"/>
        <v>3.9755497635340902</v>
      </c>
    </row>
    <row r="7164" spans="5:8" ht="15.6">
      <c r="E7164" s="279" t="s">
        <v>7490</v>
      </c>
      <c r="F7164" s="284">
        <f t="shared" ca="1" si="222"/>
        <v>0.81667420862343931</v>
      </c>
      <c r="G7164" s="74">
        <v>39.898978800590719</v>
      </c>
      <c r="H7164" s="74">
        <f t="shared" si="223"/>
        <v>0.59542154274180348</v>
      </c>
    </row>
    <row r="7165" spans="5:8" ht="15.6">
      <c r="E7165" s="279" t="s">
        <v>7491</v>
      </c>
      <c r="F7165" s="284">
        <f t="shared" ca="1" si="222"/>
        <v>0.48511472030903979</v>
      </c>
      <c r="G7165" s="74">
        <v>43.330244945676085</v>
      </c>
      <c r="H7165" s="74">
        <f t="shared" si="223"/>
        <v>-2.8358446023435633</v>
      </c>
    </row>
    <row r="7166" spans="5:8" ht="15.6">
      <c r="E7166" s="279" t="s">
        <v>7492</v>
      </c>
      <c r="F7166" s="284">
        <f t="shared" ca="1" si="222"/>
        <v>0.84738889989826038</v>
      </c>
      <c r="G7166" s="74">
        <v>36.35149972514894</v>
      </c>
      <c r="H7166" s="74">
        <f t="shared" si="223"/>
        <v>4.1429006181835817</v>
      </c>
    </row>
    <row r="7167" spans="5:8" ht="15.6">
      <c r="E7167" s="279" t="s">
        <v>7493</v>
      </c>
      <c r="F7167" s="284">
        <f t="shared" ca="1" si="222"/>
        <v>0.96417557689708178</v>
      </c>
      <c r="G7167" s="74">
        <v>36.972663197566291</v>
      </c>
      <c r="H7167" s="74">
        <f t="shared" si="223"/>
        <v>3.521737145766231</v>
      </c>
    </row>
    <row r="7168" spans="5:8" ht="15.6">
      <c r="E7168" s="279" t="s">
        <v>7494</v>
      </c>
      <c r="F7168" s="284">
        <f t="shared" ca="1" si="222"/>
        <v>4.9649383310114148E-2</v>
      </c>
      <c r="G7168" s="74">
        <v>36.651018411365598</v>
      </c>
      <c r="H7168" s="74">
        <f t="shared" si="223"/>
        <v>3.843381931966924</v>
      </c>
    </row>
    <row r="7169" spans="5:8" ht="15.6">
      <c r="E7169" s="279" t="s">
        <v>7495</v>
      </c>
      <c r="F7169" s="284">
        <f t="shared" ca="1" si="222"/>
        <v>0.79882463245990087</v>
      </c>
      <c r="G7169" s="74">
        <v>37.411509512081096</v>
      </c>
      <c r="H7169" s="74">
        <f t="shared" si="223"/>
        <v>3.0828908312514258</v>
      </c>
    </row>
    <row r="7170" spans="5:8" ht="15.6">
      <c r="E7170" s="279" t="s">
        <v>7496</v>
      </c>
      <c r="F7170" s="284">
        <f t="shared" ca="1" si="222"/>
        <v>6.5776412337074652E-2</v>
      </c>
      <c r="G7170" s="74">
        <v>38.920813477964003</v>
      </c>
      <c r="H7170" s="74">
        <f t="shared" si="223"/>
        <v>1.5735868653685188</v>
      </c>
    </row>
    <row r="7171" spans="5:8" ht="15.6">
      <c r="E7171" s="279" t="s">
        <v>7497</v>
      </c>
      <c r="F7171" s="284">
        <f t="shared" ca="1" si="222"/>
        <v>0.33342519135543203</v>
      </c>
      <c r="G7171" s="74">
        <v>39.769412893975478</v>
      </c>
      <c r="H7171" s="74">
        <f t="shared" si="223"/>
        <v>0.72498744935704451</v>
      </c>
    </row>
    <row r="7172" spans="5:8" ht="15.6">
      <c r="E7172" s="279" t="s">
        <v>7498</v>
      </c>
      <c r="F7172" s="284">
        <f t="shared" ca="1" si="222"/>
        <v>0.12243536269176736</v>
      </c>
      <c r="G7172" s="74">
        <v>35.227288529950755</v>
      </c>
      <c r="H7172" s="74">
        <f t="shared" si="223"/>
        <v>5.2671118133817671</v>
      </c>
    </row>
    <row r="7173" spans="5:8" ht="15.6">
      <c r="E7173" s="279" t="s">
        <v>7499</v>
      </c>
      <c r="F7173" s="284">
        <f t="shared" ca="1" si="222"/>
        <v>0.69443773320204794</v>
      </c>
      <c r="G7173" s="74">
        <v>41.438818065267135</v>
      </c>
      <c r="H7173" s="74">
        <f t="shared" si="223"/>
        <v>-0.94441772193461304</v>
      </c>
    </row>
    <row r="7174" spans="5:8" ht="15.6">
      <c r="E7174" s="279" t="s">
        <v>7500</v>
      </c>
      <c r="F7174" s="284">
        <f t="shared" ca="1" si="222"/>
        <v>8.5595275297690954E-2</v>
      </c>
      <c r="G7174" s="74">
        <v>38.916608910981587</v>
      </c>
      <c r="H7174" s="74">
        <f t="shared" si="223"/>
        <v>1.577791432350935</v>
      </c>
    </row>
    <row r="7175" spans="5:8" ht="15.6">
      <c r="E7175" s="279" t="s">
        <v>7501</v>
      </c>
      <c r="F7175" s="284">
        <f t="shared" ca="1" si="222"/>
        <v>0.70082525494793457</v>
      </c>
      <c r="G7175" s="74">
        <v>36.101468763409578</v>
      </c>
      <c r="H7175" s="74">
        <f t="shared" si="223"/>
        <v>4.3929315799229443</v>
      </c>
    </row>
    <row r="7176" spans="5:8" ht="15.6">
      <c r="E7176" s="279" t="s">
        <v>7502</v>
      </c>
      <c r="F7176" s="284">
        <f t="shared" ca="1" si="222"/>
        <v>0.5029245416996927</v>
      </c>
      <c r="G7176" s="74">
        <v>37.897208881765962</v>
      </c>
      <c r="H7176" s="74">
        <f t="shared" si="223"/>
        <v>2.5971914615665597</v>
      </c>
    </row>
    <row r="7177" spans="5:8" ht="15.6">
      <c r="E7177" s="279" t="s">
        <v>7503</v>
      </c>
      <c r="F7177" s="284">
        <f t="shared" ca="1" si="222"/>
        <v>0.43773142576099811</v>
      </c>
      <c r="G7177" s="74">
        <v>38.887581981302951</v>
      </c>
      <c r="H7177" s="74">
        <f t="shared" si="223"/>
        <v>1.6068183620295713</v>
      </c>
    </row>
    <row r="7178" spans="5:8" ht="15.6">
      <c r="E7178" s="279" t="s">
        <v>7504</v>
      </c>
      <c r="F7178" s="284">
        <f t="shared" ca="1" si="222"/>
        <v>0.9846107966685248</v>
      </c>
      <c r="G7178" s="74">
        <v>40.498194411778911</v>
      </c>
      <c r="H7178" s="74">
        <f t="shared" si="223"/>
        <v>-3.7940684463890761E-3</v>
      </c>
    </row>
    <row r="7179" spans="5:8" ht="15.6">
      <c r="E7179" s="279" t="s">
        <v>7505</v>
      </c>
      <c r="F7179" s="284">
        <f t="shared" ca="1" si="222"/>
        <v>0.86542690718940918</v>
      </c>
      <c r="G7179" s="74">
        <v>40.712662620146482</v>
      </c>
      <c r="H7179" s="74">
        <f t="shared" si="223"/>
        <v>-0.21826227681395949</v>
      </c>
    </row>
    <row r="7180" spans="5:8" ht="15.6">
      <c r="E7180" s="279" t="s">
        <v>7506</v>
      </c>
      <c r="F7180" s="284">
        <f t="shared" ref="F7180:F7243" ca="1" si="224">RAND()</f>
        <v>0.86088782757839422</v>
      </c>
      <c r="G7180" s="74">
        <v>40.620688662433921</v>
      </c>
      <c r="H7180" s="74">
        <f t="shared" ref="H7180:H7243" si="225">$D$2-G7180</f>
        <v>-0.12628831910139837</v>
      </c>
    </row>
    <row r="7181" spans="5:8" ht="15.6">
      <c r="E7181" s="279" t="s">
        <v>7507</v>
      </c>
      <c r="F7181" s="284">
        <f t="shared" ca="1" si="224"/>
        <v>0.3862682789639359</v>
      </c>
      <c r="G7181" s="74">
        <v>43.61921453200587</v>
      </c>
      <c r="H7181" s="74">
        <f t="shared" si="225"/>
        <v>-3.1248141886733478</v>
      </c>
    </row>
    <row r="7182" spans="5:8" ht="15.6">
      <c r="E7182" s="279" t="s">
        <v>7508</v>
      </c>
      <c r="F7182" s="284">
        <f t="shared" ca="1" si="224"/>
        <v>0.32583978923193946</v>
      </c>
      <c r="G7182" s="74">
        <v>41.684144168965751</v>
      </c>
      <c r="H7182" s="74">
        <f t="shared" si="225"/>
        <v>-1.1897438256332293</v>
      </c>
    </row>
    <row r="7183" spans="5:8" ht="15.6">
      <c r="E7183" s="279" t="s">
        <v>7509</v>
      </c>
      <c r="F7183" s="284">
        <f t="shared" ca="1" si="224"/>
        <v>0.81182234877339376</v>
      </c>
      <c r="G7183" s="74">
        <v>41.961761090446025</v>
      </c>
      <c r="H7183" s="74">
        <f t="shared" si="225"/>
        <v>-1.4673607471135028</v>
      </c>
    </row>
    <row r="7184" spans="5:8" ht="15.6">
      <c r="E7184" s="279" t="s">
        <v>7510</v>
      </c>
      <c r="F7184" s="284">
        <f t="shared" ca="1" si="224"/>
        <v>0.92013995999176434</v>
      </c>
      <c r="G7184" s="74">
        <v>41.914237513956017</v>
      </c>
      <c r="H7184" s="74">
        <f t="shared" si="225"/>
        <v>-1.4198371706234951</v>
      </c>
    </row>
    <row r="7185" spans="5:8" ht="15.6">
      <c r="E7185" s="279" t="s">
        <v>7511</v>
      </c>
      <c r="F7185" s="284">
        <f t="shared" ca="1" si="224"/>
        <v>0.35478660786377458</v>
      </c>
      <c r="G7185" s="74">
        <v>37.985112609120996</v>
      </c>
      <c r="H7185" s="74">
        <f t="shared" si="225"/>
        <v>2.5092877342115258</v>
      </c>
    </row>
    <row r="7186" spans="5:8" ht="15.6">
      <c r="E7186" s="279" t="s">
        <v>7512</v>
      </c>
      <c r="F7186" s="284">
        <f t="shared" ca="1" si="224"/>
        <v>8.9007136269153242E-2</v>
      </c>
      <c r="G7186" s="74">
        <v>33.923353381567125</v>
      </c>
      <c r="H7186" s="74">
        <f t="shared" si="225"/>
        <v>6.571046961765397</v>
      </c>
    </row>
    <row r="7187" spans="5:8" ht="15.6">
      <c r="E7187" s="279" t="s">
        <v>7513</v>
      </c>
      <c r="F7187" s="284">
        <f t="shared" ca="1" si="224"/>
        <v>0.72486621971628107</v>
      </c>
      <c r="G7187" s="74">
        <v>40.230722334633889</v>
      </c>
      <c r="H7187" s="74">
        <f t="shared" si="225"/>
        <v>0.26367800869863345</v>
      </c>
    </row>
    <row r="7188" spans="5:8" ht="15.6">
      <c r="E7188" s="279" t="s">
        <v>7514</v>
      </c>
      <c r="F7188" s="284">
        <f t="shared" ca="1" si="224"/>
        <v>0.98926239088030343</v>
      </c>
      <c r="G7188" s="74">
        <v>40.302190596501646</v>
      </c>
      <c r="H7188" s="74">
        <f t="shared" si="225"/>
        <v>0.19220974683087633</v>
      </c>
    </row>
    <row r="7189" spans="5:8" ht="15.6">
      <c r="E7189" s="279" t="s">
        <v>7515</v>
      </c>
      <c r="F7189" s="284">
        <f t="shared" ca="1" si="224"/>
        <v>0.7066900861437081</v>
      </c>
      <c r="G7189" s="74">
        <v>34.462503944670672</v>
      </c>
      <c r="H7189" s="74">
        <f t="shared" si="225"/>
        <v>6.0318963986618499</v>
      </c>
    </row>
    <row r="7190" spans="5:8" ht="15.6">
      <c r="E7190" s="279" t="s">
        <v>7516</v>
      </c>
      <c r="F7190" s="284">
        <f t="shared" ca="1" si="224"/>
        <v>0.42219043352970143</v>
      </c>
      <c r="G7190" s="74">
        <v>38.446908378175344</v>
      </c>
      <c r="H7190" s="74">
        <f t="shared" si="225"/>
        <v>2.0474919651571781</v>
      </c>
    </row>
    <row r="7191" spans="5:8" ht="15.6">
      <c r="E7191" s="279" t="s">
        <v>7517</v>
      </c>
      <c r="F7191" s="284">
        <f t="shared" ca="1" si="224"/>
        <v>0.56192817293264952</v>
      </c>
      <c r="G7191" s="74">
        <v>38.969990550867138</v>
      </c>
      <c r="H7191" s="74">
        <f t="shared" si="225"/>
        <v>1.5244097924653843</v>
      </c>
    </row>
    <row r="7192" spans="5:8" ht="15.6">
      <c r="E7192" s="279" t="s">
        <v>7518</v>
      </c>
      <c r="F7192" s="284">
        <f t="shared" ca="1" si="224"/>
        <v>2.2703188802950414E-2</v>
      </c>
      <c r="G7192" s="74">
        <v>34.743909782689705</v>
      </c>
      <c r="H7192" s="74">
        <f t="shared" si="225"/>
        <v>5.7504905606428167</v>
      </c>
    </row>
    <row r="7193" spans="5:8" ht="15.6">
      <c r="E7193" s="279" t="s">
        <v>7519</v>
      </c>
      <c r="F7193" s="284">
        <f t="shared" ca="1" si="224"/>
        <v>0.66638676403308117</v>
      </c>
      <c r="G7193" s="74">
        <v>39.103607908112821</v>
      </c>
      <c r="H7193" s="74">
        <f t="shared" si="225"/>
        <v>1.3907924352197014</v>
      </c>
    </row>
    <row r="7194" spans="5:8" ht="15.6">
      <c r="E7194" s="279" t="s">
        <v>7520</v>
      </c>
      <c r="F7194" s="284">
        <f t="shared" ca="1" si="224"/>
        <v>0.16900696794173176</v>
      </c>
      <c r="G7194" s="74">
        <v>34.916854691419381</v>
      </c>
      <c r="H7194" s="74">
        <f t="shared" si="225"/>
        <v>5.577545651913141</v>
      </c>
    </row>
    <row r="7195" spans="5:8" ht="15.6">
      <c r="E7195" s="279" t="s">
        <v>7521</v>
      </c>
      <c r="F7195" s="284">
        <f t="shared" ca="1" si="224"/>
        <v>0.54583342053875439</v>
      </c>
      <c r="G7195" s="74">
        <v>36.768564556170062</v>
      </c>
      <c r="H7195" s="74">
        <f t="shared" si="225"/>
        <v>3.7258357871624597</v>
      </c>
    </row>
    <row r="7196" spans="5:8" ht="15.6">
      <c r="E7196" s="279" t="s">
        <v>7522</v>
      </c>
      <c r="F7196" s="284">
        <f t="shared" ca="1" si="224"/>
        <v>0.82735972088378162</v>
      </c>
      <c r="G7196" s="74">
        <v>35.802217093687872</v>
      </c>
      <c r="H7196" s="74">
        <f t="shared" si="225"/>
        <v>4.6921832496446498</v>
      </c>
    </row>
    <row r="7197" spans="5:8" ht="15.6">
      <c r="E7197" s="279" t="s">
        <v>7523</v>
      </c>
      <c r="F7197" s="284">
        <f t="shared" ca="1" si="224"/>
        <v>4.7739181961395705E-2</v>
      </c>
      <c r="G7197" s="74">
        <v>38.804641729904688</v>
      </c>
      <c r="H7197" s="74">
        <f t="shared" si="225"/>
        <v>1.6897586134278342</v>
      </c>
    </row>
    <row r="7198" spans="5:8" ht="15.6">
      <c r="E7198" s="279" t="s">
        <v>7524</v>
      </c>
      <c r="F7198" s="284">
        <f t="shared" ca="1" si="224"/>
        <v>1.8408623558117232E-2</v>
      </c>
      <c r="G7198" s="74">
        <v>34.592128921230859</v>
      </c>
      <c r="H7198" s="74">
        <f t="shared" si="225"/>
        <v>5.9022714221016628</v>
      </c>
    </row>
    <row r="7199" spans="5:8" ht="15.6">
      <c r="E7199" s="279" t="s">
        <v>7525</v>
      </c>
      <c r="F7199" s="284">
        <f t="shared" ca="1" si="224"/>
        <v>0.91635493159818526</v>
      </c>
      <c r="G7199" s="74">
        <v>34.777564018526405</v>
      </c>
      <c r="H7199" s="74">
        <f t="shared" si="225"/>
        <v>5.7168363248061169</v>
      </c>
    </row>
    <row r="7200" spans="5:8" ht="15.6">
      <c r="E7200" s="279" t="s">
        <v>7526</v>
      </c>
      <c r="F7200" s="284">
        <f t="shared" ca="1" si="224"/>
        <v>0.12659216962439623</v>
      </c>
      <c r="G7200" s="74">
        <v>35.049182783695116</v>
      </c>
      <c r="H7200" s="74">
        <f t="shared" si="225"/>
        <v>5.4452175596374062</v>
      </c>
    </row>
    <row r="7201" spans="5:8" ht="15.6">
      <c r="E7201" s="279" t="s">
        <v>7527</v>
      </c>
      <c r="F7201" s="284">
        <f t="shared" ca="1" si="224"/>
        <v>0.81705447599879655</v>
      </c>
      <c r="G7201" s="74">
        <v>41.150913211262349</v>
      </c>
      <c r="H7201" s="74">
        <f t="shared" si="225"/>
        <v>-0.65651286792982688</v>
      </c>
    </row>
    <row r="7202" spans="5:8" ht="15.6">
      <c r="E7202" s="279" t="s">
        <v>7528</v>
      </c>
      <c r="F7202" s="284">
        <f t="shared" ca="1" si="224"/>
        <v>3.6207302130426888E-2</v>
      </c>
      <c r="G7202" s="74">
        <v>39.217814032274376</v>
      </c>
      <c r="H7202" s="74">
        <f t="shared" si="225"/>
        <v>1.2765863110581464</v>
      </c>
    </row>
    <row r="7203" spans="5:8" ht="15.6">
      <c r="E7203" s="279" t="s">
        <v>7529</v>
      </c>
      <c r="F7203" s="284">
        <f t="shared" ca="1" si="224"/>
        <v>0.31628476119965854</v>
      </c>
      <c r="G7203" s="74">
        <v>40.376941431876467</v>
      </c>
      <c r="H7203" s="74">
        <f t="shared" si="225"/>
        <v>0.11745891145605469</v>
      </c>
    </row>
    <row r="7204" spans="5:8" ht="15.6">
      <c r="E7204" s="279" t="s">
        <v>7530</v>
      </c>
      <c r="F7204" s="284">
        <f t="shared" ca="1" si="224"/>
        <v>0.41737219036418927</v>
      </c>
      <c r="G7204" s="74">
        <v>41.251827863215937</v>
      </c>
      <c r="H7204" s="74">
        <f t="shared" si="225"/>
        <v>-0.75742751988341439</v>
      </c>
    </row>
    <row r="7205" spans="5:8" ht="15.6">
      <c r="E7205" s="279" t="s">
        <v>7531</v>
      </c>
      <c r="F7205" s="284">
        <f t="shared" ca="1" si="224"/>
        <v>8.051744608595135E-2</v>
      </c>
      <c r="G7205" s="74">
        <v>38.597115402585374</v>
      </c>
      <c r="H7205" s="74">
        <f t="shared" si="225"/>
        <v>1.8972849407471486</v>
      </c>
    </row>
    <row r="7206" spans="5:8" ht="15.6">
      <c r="E7206" s="279" t="s">
        <v>7532</v>
      </c>
      <c r="F7206" s="284">
        <f t="shared" ca="1" si="224"/>
        <v>0.89711680342485467</v>
      </c>
      <c r="G7206" s="74">
        <v>33.160179759010575</v>
      </c>
      <c r="H7206" s="74">
        <f t="shared" si="225"/>
        <v>7.3342205843219475</v>
      </c>
    </row>
    <row r="7207" spans="5:8" ht="15.6">
      <c r="E7207" s="279" t="s">
        <v>7533</v>
      </c>
      <c r="F7207" s="284">
        <f t="shared" ca="1" si="224"/>
        <v>0.65722801174411372</v>
      </c>
      <c r="G7207" s="74">
        <v>41.100848921015995</v>
      </c>
      <c r="H7207" s="74">
        <f t="shared" si="225"/>
        <v>-0.60644857768347293</v>
      </c>
    </row>
    <row r="7208" spans="5:8" ht="15.6">
      <c r="E7208" s="279" t="s">
        <v>7534</v>
      </c>
      <c r="F7208" s="284">
        <f t="shared" ca="1" si="224"/>
        <v>0.18061829534223339</v>
      </c>
      <c r="G7208" s="74">
        <v>37.837810430990849</v>
      </c>
      <c r="H7208" s="74">
        <f t="shared" si="225"/>
        <v>2.6565899123416727</v>
      </c>
    </row>
    <row r="7209" spans="5:8" ht="15.6">
      <c r="E7209" s="279" t="s">
        <v>7535</v>
      </c>
      <c r="F7209" s="284">
        <f t="shared" ca="1" si="224"/>
        <v>0.60291669947573945</v>
      </c>
      <c r="G7209" s="74">
        <v>40.236594287110641</v>
      </c>
      <c r="H7209" s="74">
        <f t="shared" si="225"/>
        <v>0.25780605622188091</v>
      </c>
    </row>
    <row r="7210" spans="5:8" ht="15.6">
      <c r="E7210" s="279" t="s">
        <v>7536</v>
      </c>
      <c r="F7210" s="284">
        <f t="shared" ca="1" si="224"/>
        <v>0.5399018036239529</v>
      </c>
      <c r="G7210" s="74">
        <v>37.227684786519298</v>
      </c>
      <c r="H7210" s="74">
        <f t="shared" si="225"/>
        <v>3.2667155568132245</v>
      </c>
    </row>
    <row r="7211" spans="5:8" ht="15.6">
      <c r="E7211" s="279" t="s">
        <v>7537</v>
      </c>
      <c r="F7211" s="284">
        <f t="shared" ca="1" si="224"/>
        <v>0.45637913824075782</v>
      </c>
      <c r="G7211" s="74">
        <v>40.267301479914487</v>
      </c>
      <c r="H7211" s="74">
        <f t="shared" si="225"/>
        <v>0.22709886341803553</v>
      </c>
    </row>
    <row r="7212" spans="5:8" ht="15.6">
      <c r="E7212" s="279" t="s">
        <v>7538</v>
      </c>
      <c r="F7212" s="284">
        <f t="shared" ca="1" si="224"/>
        <v>0.65665754366116491</v>
      </c>
      <c r="G7212" s="74">
        <v>40.666621140733177</v>
      </c>
      <c r="H7212" s="74">
        <f t="shared" si="225"/>
        <v>-0.1722207974006551</v>
      </c>
    </row>
    <row r="7213" spans="5:8" ht="15.6">
      <c r="E7213" s="279" t="s">
        <v>7539</v>
      </c>
      <c r="F7213" s="284">
        <f t="shared" ca="1" si="224"/>
        <v>6.1001272444600185E-2</v>
      </c>
      <c r="G7213" s="74">
        <v>39.883694170729044</v>
      </c>
      <c r="H7213" s="74">
        <f t="shared" si="225"/>
        <v>0.61070617260347859</v>
      </c>
    </row>
    <row r="7214" spans="5:8" ht="15.6">
      <c r="E7214" s="279" t="s">
        <v>7540</v>
      </c>
      <c r="F7214" s="284">
        <f t="shared" ca="1" si="224"/>
        <v>0.74727963167600564</v>
      </c>
      <c r="G7214" s="74">
        <v>36.92443188418946</v>
      </c>
      <c r="H7214" s="74">
        <f t="shared" si="225"/>
        <v>3.5699684591430625</v>
      </c>
    </row>
    <row r="7215" spans="5:8" ht="15.6">
      <c r="E7215" s="279" t="s">
        <v>7541</v>
      </c>
      <c r="F7215" s="284">
        <f t="shared" ca="1" si="224"/>
        <v>0.40583241783875268</v>
      </c>
      <c r="G7215" s="74">
        <v>36.248215855692713</v>
      </c>
      <c r="H7215" s="74">
        <f t="shared" si="225"/>
        <v>4.2461844876398089</v>
      </c>
    </row>
    <row r="7216" spans="5:8" ht="15.6">
      <c r="E7216" s="279" t="s">
        <v>7542</v>
      </c>
      <c r="F7216" s="284">
        <f t="shared" ca="1" si="224"/>
        <v>0.9113091337546545</v>
      </c>
      <c r="G7216" s="74">
        <v>43.158284273889926</v>
      </c>
      <c r="H7216" s="74">
        <f t="shared" si="225"/>
        <v>-2.6638839305574038</v>
      </c>
    </row>
    <row r="7217" spans="5:8" ht="15.6">
      <c r="E7217" s="279" t="s">
        <v>7543</v>
      </c>
      <c r="F7217" s="284">
        <f t="shared" ca="1" si="224"/>
        <v>0.96629111320057437</v>
      </c>
      <c r="G7217" s="74">
        <v>42.199192676677072</v>
      </c>
      <c r="H7217" s="74">
        <f t="shared" si="225"/>
        <v>-1.7047923333445496</v>
      </c>
    </row>
    <row r="7218" spans="5:8" ht="15.6">
      <c r="E7218" s="279" t="s">
        <v>7544</v>
      </c>
      <c r="F7218" s="284">
        <f t="shared" ca="1" si="224"/>
        <v>0.26446379204311199</v>
      </c>
      <c r="G7218" s="74">
        <v>38.864781494960901</v>
      </c>
      <c r="H7218" s="74">
        <f t="shared" si="225"/>
        <v>1.6296188483716207</v>
      </c>
    </row>
    <row r="7219" spans="5:8" ht="15.6">
      <c r="E7219" s="279" t="s">
        <v>7545</v>
      </c>
      <c r="F7219" s="284">
        <f t="shared" ca="1" si="224"/>
        <v>1.1423362682871141E-2</v>
      </c>
      <c r="G7219" s="74">
        <v>33.058308744005522</v>
      </c>
      <c r="H7219" s="74">
        <f t="shared" si="225"/>
        <v>7.4360915993269998</v>
      </c>
    </row>
    <row r="7220" spans="5:8" ht="15.6">
      <c r="E7220" s="279" t="s">
        <v>7546</v>
      </c>
      <c r="F7220" s="284">
        <f t="shared" ca="1" si="224"/>
        <v>0.70401170842011973</v>
      </c>
      <c r="G7220" s="74">
        <v>40.696431864070441</v>
      </c>
      <c r="H7220" s="74">
        <f t="shared" si="225"/>
        <v>-0.20203152073791841</v>
      </c>
    </row>
    <row r="7221" spans="5:8" ht="15.6">
      <c r="E7221" s="279" t="s">
        <v>7547</v>
      </c>
      <c r="F7221" s="284">
        <f t="shared" ca="1" si="224"/>
        <v>0.42132100339090728</v>
      </c>
      <c r="G7221" s="74">
        <v>39.346431123614963</v>
      </c>
      <c r="H7221" s="74">
        <f t="shared" si="225"/>
        <v>1.1479692197175595</v>
      </c>
    </row>
    <row r="7222" spans="5:8" ht="15.6">
      <c r="E7222" s="279" t="s">
        <v>7548</v>
      </c>
      <c r="F7222" s="284">
        <f t="shared" ca="1" si="224"/>
        <v>0.43996885214988313</v>
      </c>
      <c r="G7222" s="74">
        <v>34.343980439903063</v>
      </c>
      <c r="H7222" s="74">
        <f t="shared" si="225"/>
        <v>6.1504199034294587</v>
      </c>
    </row>
    <row r="7223" spans="5:8" ht="15.6">
      <c r="E7223" s="279" t="s">
        <v>7549</v>
      </c>
      <c r="F7223" s="284">
        <f t="shared" ca="1" si="224"/>
        <v>2.5908852782237313E-2</v>
      </c>
      <c r="G7223" s="74">
        <v>38.986420477766501</v>
      </c>
      <c r="H7223" s="74">
        <f t="shared" si="225"/>
        <v>1.5079798655660213</v>
      </c>
    </row>
    <row r="7224" spans="5:8" ht="15.6">
      <c r="E7224" s="279" t="s">
        <v>7550</v>
      </c>
      <c r="F7224" s="284">
        <f t="shared" ca="1" si="224"/>
        <v>0.39712097211246444</v>
      </c>
      <c r="G7224" s="74">
        <v>35.815778479563761</v>
      </c>
      <c r="H7224" s="74">
        <f t="shared" si="225"/>
        <v>4.6786218637687611</v>
      </c>
    </row>
    <row r="7225" spans="5:8" ht="15.6">
      <c r="E7225" s="279" t="s">
        <v>7551</v>
      </c>
      <c r="F7225" s="284">
        <f t="shared" ca="1" si="224"/>
        <v>0.13789034015444601</v>
      </c>
      <c r="G7225" s="74">
        <v>39.570454859768951</v>
      </c>
      <c r="H7225" s="74">
        <f t="shared" si="225"/>
        <v>0.9239454835635712</v>
      </c>
    </row>
    <row r="7226" spans="5:8" ht="15.6">
      <c r="E7226" s="279" t="s">
        <v>7552</v>
      </c>
      <c r="F7226" s="284">
        <f t="shared" ca="1" si="224"/>
        <v>0.4857632498785901</v>
      </c>
      <c r="G7226" s="74">
        <v>36.448914219358727</v>
      </c>
      <c r="H7226" s="74">
        <f t="shared" si="225"/>
        <v>4.0454861239737951</v>
      </c>
    </row>
    <row r="7227" spans="5:8" ht="15.6">
      <c r="E7227" s="279" t="s">
        <v>7553</v>
      </c>
      <c r="F7227" s="284">
        <f t="shared" ca="1" si="224"/>
        <v>6.7554206642074788E-2</v>
      </c>
      <c r="G7227" s="74">
        <v>40.718645729395185</v>
      </c>
      <c r="H7227" s="74">
        <f t="shared" si="225"/>
        <v>-0.22424538606266253</v>
      </c>
    </row>
    <row r="7228" spans="5:8" ht="15.6">
      <c r="E7228" s="279" t="s">
        <v>7554</v>
      </c>
      <c r="F7228" s="284">
        <f t="shared" ca="1" si="224"/>
        <v>0.60308422528010508</v>
      </c>
      <c r="G7228" s="74">
        <v>39.630778172132914</v>
      </c>
      <c r="H7228" s="74">
        <f t="shared" si="225"/>
        <v>0.8636221711996086</v>
      </c>
    </row>
    <row r="7229" spans="5:8" ht="15.6">
      <c r="E7229" s="279" t="s">
        <v>7555</v>
      </c>
      <c r="F7229" s="284">
        <f t="shared" ca="1" si="224"/>
        <v>0.51999379680512869</v>
      </c>
      <c r="G7229" s="74">
        <v>38.825574452341641</v>
      </c>
      <c r="H7229" s="74">
        <f t="shared" si="225"/>
        <v>1.6688258909908811</v>
      </c>
    </row>
    <row r="7230" spans="5:8" ht="15.6">
      <c r="E7230" s="279" t="s">
        <v>7556</v>
      </c>
      <c r="F7230" s="284">
        <f t="shared" ca="1" si="224"/>
        <v>0.15025661162480142</v>
      </c>
      <c r="G7230" s="74">
        <v>38.619638747072642</v>
      </c>
      <c r="H7230" s="74">
        <f t="shared" si="225"/>
        <v>1.87476159625988</v>
      </c>
    </row>
    <row r="7231" spans="5:8" ht="15.6">
      <c r="E7231" s="279" t="s">
        <v>7557</v>
      </c>
      <c r="F7231" s="284">
        <f t="shared" ca="1" si="224"/>
        <v>0.9859792334217895</v>
      </c>
      <c r="G7231" s="74">
        <v>41.99656133582738</v>
      </c>
      <c r="H7231" s="74">
        <f t="shared" si="225"/>
        <v>-1.5021609924948578</v>
      </c>
    </row>
    <row r="7232" spans="5:8" ht="15.6">
      <c r="E7232" s="279" t="s">
        <v>7558</v>
      </c>
      <c r="F7232" s="284">
        <f t="shared" ca="1" si="224"/>
        <v>0.55277428159345543</v>
      </c>
      <c r="G7232" s="74">
        <v>36.143083720800043</v>
      </c>
      <c r="H7232" s="74">
        <f t="shared" si="225"/>
        <v>4.3513166225324795</v>
      </c>
    </row>
    <row r="7233" spans="5:8" ht="15.6">
      <c r="E7233" s="279" t="s">
        <v>7559</v>
      </c>
      <c r="F7233" s="284">
        <f t="shared" ca="1" si="224"/>
        <v>0.46313753896078358</v>
      </c>
      <c r="G7233" s="74">
        <v>40.79697359918805</v>
      </c>
      <c r="H7233" s="74">
        <f t="shared" si="225"/>
        <v>-0.30257325585552763</v>
      </c>
    </row>
    <row r="7234" spans="5:8" ht="15.6">
      <c r="E7234" s="279" t="s">
        <v>7560</v>
      </c>
      <c r="F7234" s="284">
        <f t="shared" ca="1" si="224"/>
        <v>6.2577867801061449E-2</v>
      </c>
      <c r="G7234" s="74">
        <v>38.706480819253258</v>
      </c>
      <c r="H7234" s="74">
        <f t="shared" si="225"/>
        <v>1.787919524079264</v>
      </c>
    </row>
    <row r="7235" spans="5:8" ht="15.6">
      <c r="E7235" s="279" t="s">
        <v>7561</v>
      </c>
      <c r="F7235" s="284">
        <f t="shared" ca="1" si="224"/>
        <v>0.64214294793079185</v>
      </c>
      <c r="G7235" s="74">
        <v>38.5882060160978</v>
      </c>
      <c r="H7235" s="74">
        <f t="shared" si="225"/>
        <v>1.9061943272347222</v>
      </c>
    </row>
    <row r="7236" spans="5:8" ht="15.6">
      <c r="E7236" s="279" t="s">
        <v>7562</v>
      </c>
      <c r="F7236" s="284">
        <f t="shared" ca="1" si="224"/>
        <v>0.68335857639669861</v>
      </c>
      <c r="G7236" s="74">
        <v>38.538509409757857</v>
      </c>
      <c r="H7236" s="74">
        <f t="shared" si="225"/>
        <v>1.9558909335746648</v>
      </c>
    </row>
    <row r="7237" spans="5:8" ht="15.6">
      <c r="E7237" s="279" t="s">
        <v>7563</v>
      </c>
      <c r="F7237" s="284">
        <f t="shared" ca="1" si="224"/>
        <v>0.42280918248276411</v>
      </c>
      <c r="G7237" s="74">
        <v>38.734936584740879</v>
      </c>
      <c r="H7237" s="74">
        <f t="shared" si="225"/>
        <v>1.7594637585916431</v>
      </c>
    </row>
    <row r="7238" spans="5:8" ht="15.6">
      <c r="E7238" s="279" t="s">
        <v>7564</v>
      </c>
      <c r="F7238" s="284">
        <f t="shared" ca="1" si="224"/>
        <v>0.64939983223787778</v>
      </c>
      <c r="G7238" s="74">
        <v>41.982292377365738</v>
      </c>
      <c r="H7238" s="74">
        <f t="shared" si="225"/>
        <v>-1.4878920340332158</v>
      </c>
    </row>
    <row r="7239" spans="5:8" ht="15.6">
      <c r="E7239" s="279" t="s">
        <v>7565</v>
      </c>
      <c r="F7239" s="284">
        <f t="shared" ca="1" si="224"/>
        <v>0.85390189907608471</v>
      </c>
      <c r="G7239" s="74">
        <v>38.668042427070262</v>
      </c>
      <c r="H7239" s="74">
        <f t="shared" si="225"/>
        <v>1.8263579162622605</v>
      </c>
    </row>
    <row r="7240" spans="5:8" ht="15.6">
      <c r="E7240" s="279" t="s">
        <v>7566</v>
      </c>
      <c r="F7240" s="284">
        <f t="shared" ca="1" si="224"/>
        <v>0.86154712220299134</v>
      </c>
      <c r="G7240" s="74">
        <v>37.870354438678895</v>
      </c>
      <c r="H7240" s="74">
        <f t="shared" si="225"/>
        <v>2.6240459046536273</v>
      </c>
    </row>
    <row r="7241" spans="5:8" ht="15.6">
      <c r="E7241" s="279" t="s">
        <v>7567</v>
      </c>
      <c r="F7241" s="284">
        <f t="shared" ca="1" si="224"/>
        <v>0.16004649312891905</v>
      </c>
      <c r="G7241" s="74">
        <v>36.044956142140649</v>
      </c>
      <c r="H7241" s="74">
        <f t="shared" si="225"/>
        <v>4.4494442011918736</v>
      </c>
    </row>
    <row r="7242" spans="5:8" ht="15.6">
      <c r="E7242" s="279" t="s">
        <v>7568</v>
      </c>
      <c r="F7242" s="284">
        <f t="shared" ca="1" si="224"/>
        <v>0.51044702490809613</v>
      </c>
      <c r="G7242" s="74">
        <v>38.176511826363125</v>
      </c>
      <c r="H7242" s="74">
        <f t="shared" si="225"/>
        <v>2.317888516969397</v>
      </c>
    </row>
    <row r="7243" spans="5:8" ht="15.6">
      <c r="E7243" s="279" t="s">
        <v>7569</v>
      </c>
      <c r="F7243" s="284">
        <f t="shared" ca="1" si="224"/>
        <v>0.15683611881558135</v>
      </c>
      <c r="G7243" s="74">
        <v>41.907949204026565</v>
      </c>
      <c r="H7243" s="74">
        <f t="shared" si="225"/>
        <v>-1.4135488606940427</v>
      </c>
    </row>
    <row r="7244" spans="5:8" ht="15.6">
      <c r="E7244" s="279" t="s">
        <v>7570</v>
      </c>
      <c r="F7244" s="284">
        <f t="shared" ref="F7244:F7307" ca="1" si="226">RAND()</f>
        <v>0.70035770561866473</v>
      </c>
      <c r="G7244" s="74">
        <v>40.85940024804416</v>
      </c>
      <c r="H7244" s="74">
        <f t="shared" ref="H7244:H7307" si="227">$D$2-G7244</f>
        <v>-0.36499990471163812</v>
      </c>
    </row>
    <row r="7245" spans="5:8" ht="15.6">
      <c r="E7245" s="279" t="s">
        <v>7571</v>
      </c>
      <c r="F7245" s="284">
        <f t="shared" ca="1" si="226"/>
        <v>9.2987284983082397E-2</v>
      </c>
      <c r="G7245" s="74">
        <v>39.230200047990763</v>
      </c>
      <c r="H7245" s="74">
        <f t="shared" si="227"/>
        <v>1.2642002953417588</v>
      </c>
    </row>
    <row r="7246" spans="5:8" ht="15.6">
      <c r="E7246" s="279" t="s">
        <v>7572</v>
      </c>
      <c r="F7246" s="284">
        <f t="shared" ca="1" si="226"/>
        <v>0.76615895259762434</v>
      </c>
      <c r="G7246" s="74">
        <v>38.053188321351065</v>
      </c>
      <c r="H7246" s="74">
        <f t="shared" si="227"/>
        <v>2.4412120219814568</v>
      </c>
    </row>
    <row r="7247" spans="5:8" ht="15.6">
      <c r="E7247" s="279" t="s">
        <v>7573</v>
      </c>
      <c r="F7247" s="284">
        <f t="shared" ca="1" si="226"/>
        <v>0.29565597548786071</v>
      </c>
      <c r="G7247" s="74">
        <v>37.699357846600677</v>
      </c>
      <c r="H7247" s="74">
        <f t="shared" si="227"/>
        <v>2.7950424967318455</v>
      </c>
    </row>
    <row r="7248" spans="5:8" ht="15.6">
      <c r="E7248" s="279" t="s">
        <v>7574</v>
      </c>
      <c r="F7248" s="284">
        <f t="shared" ca="1" si="226"/>
        <v>0.8351961003311319</v>
      </c>
      <c r="G7248" s="74">
        <v>42.14782873810298</v>
      </c>
      <c r="H7248" s="74">
        <f t="shared" si="227"/>
        <v>-1.653428394770458</v>
      </c>
    </row>
    <row r="7249" spans="5:8" ht="15.6">
      <c r="E7249" s="279" t="s">
        <v>7575</v>
      </c>
      <c r="F7249" s="284">
        <f t="shared" ca="1" si="226"/>
        <v>0.78768327196673871</v>
      </c>
      <c r="G7249" s="74">
        <v>39.384219165049032</v>
      </c>
      <c r="H7249" s="74">
        <f t="shared" si="227"/>
        <v>1.1101811782834901</v>
      </c>
    </row>
    <row r="7250" spans="5:8" ht="15.6">
      <c r="E7250" s="279" t="s">
        <v>7576</v>
      </c>
      <c r="F7250" s="284">
        <f t="shared" ca="1" si="226"/>
        <v>0.26553353795252888</v>
      </c>
      <c r="G7250" s="74">
        <v>47.454095762735477</v>
      </c>
      <c r="H7250" s="74">
        <f t="shared" si="227"/>
        <v>-6.959695419402955</v>
      </c>
    </row>
    <row r="7251" spans="5:8" ht="15.6">
      <c r="E7251" s="279" t="s">
        <v>7577</v>
      </c>
      <c r="F7251" s="284">
        <f t="shared" ca="1" si="226"/>
        <v>0.13152373450126087</v>
      </c>
      <c r="G7251" s="74">
        <v>42.155490924259425</v>
      </c>
      <c r="H7251" s="74">
        <f t="shared" si="227"/>
        <v>-1.6610905809269028</v>
      </c>
    </row>
    <row r="7252" spans="5:8" ht="15.6">
      <c r="E7252" s="279" t="s">
        <v>7578</v>
      </c>
      <c r="F7252" s="284">
        <f t="shared" ca="1" si="226"/>
        <v>5.2875352180762891E-2</v>
      </c>
      <c r="G7252" s="74">
        <v>42.347852574966161</v>
      </c>
      <c r="H7252" s="74">
        <f t="shared" si="227"/>
        <v>-1.8534522316336393</v>
      </c>
    </row>
    <row r="7253" spans="5:8" ht="15.6">
      <c r="E7253" s="279" t="s">
        <v>7579</v>
      </c>
      <c r="F7253" s="284">
        <f t="shared" ca="1" si="226"/>
        <v>0.85239474788588554</v>
      </c>
      <c r="G7253" s="74">
        <v>40.852395298703691</v>
      </c>
      <c r="H7253" s="74">
        <f t="shared" si="227"/>
        <v>-0.35799495537116854</v>
      </c>
    </row>
    <row r="7254" spans="5:8" ht="15.6">
      <c r="E7254" s="279" t="s">
        <v>7580</v>
      </c>
      <c r="F7254" s="284">
        <f t="shared" ca="1" si="226"/>
        <v>3.8208198221579837E-2</v>
      </c>
      <c r="G7254" s="74">
        <v>45.790559757739231</v>
      </c>
      <c r="H7254" s="74">
        <f t="shared" si="227"/>
        <v>-5.2961594144067092</v>
      </c>
    </row>
    <row r="7255" spans="5:8" ht="15.6">
      <c r="E7255" s="279" t="s">
        <v>7581</v>
      </c>
      <c r="F7255" s="284">
        <f t="shared" ca="1" si="226"/>
        <v>0.879678066816177</v>
      </c>
      <c r="G7255" s="74">
        <v>39.766698181036304</v>
      </c>
      <c r="H7255" s="74">
        <f t="shared" si="227"/>
        <v>0.72770216229621809</v>
      </c>
    </row>
    <row r="7256" spans="5:8" ht="15.6">
      <c r="E7256" s="279" t="s">
        <v>7582</v>
      </c>
      <c r="F7256" s="284">
        <f t="shared" ca="1" si="226"/>
        <v>0.15659142471365206</v>
      </c>
      <c r="G7256" s="74">
        <v>37.828481444897839</v>
      </c>
      <c r="H7256" s="74">
        <f t="shared" si="227"/>
        <v>2.6659188984346827</v>
      </c>
    </row>
    <row r="7257" spans="5:8" ht="15.6">
      <c r="E7257" s="279" t="s">
        <v>7583</v>
      </c>
      <c r="F7257" s="284">
        <f t="shared" ca="1" si="226"/>
        <v>0.23433597107435966</v>
      </c>
      <c r="G7257" s="74">
        <v>38.937041379455394</v>
      </c>
      <c r="H7257" s="74">
        <f t="shared" si="227"/>
        <v>1.5573589638771281</v>
      </c>
    </row>
    <row r="7258" spans="5:8" ht="15.6">
      <c r="E7258" s="279" t="s">
        <v>7584</v>
      </c>
      <c r="F7258" s="284">
        <f t="shared" ca="1" si="226"/>
        <v>0.29148470096095902</v>
      </c>
      <c r="G7258" s="74">
        <v>40.016543431227454</v>
      </c>
      <c r="H7258" s="74">
        <f t="shared" si="227"/>
        <v>0.47785691210506798</v>
      </c>
    </row>
    <row r="7259" spans="5:8" ht="15.6">
      <c r="E7259" s="279" t="s">
        <v>7585</v>
      </c>
      <c r="F7259" s="284">
        <f t="shared" ca="1" si="226"/>
        <v>6.7678645303747231E-2</v>
      </c>
      <c r="G7259" s="74">
        <v>44.049328936659904</v>
      </c>
      <c r="H7259" s="74">
        <f t="shared" si="227"/>
        <v>-3.5549285933273822</v>
      </c>
    </row>
    <row r="7260" spans="5:8" ht="15.6">
      <c r="E7260" s="279" t="s">
        <v>7586</v>
      </c>
      <c r="F7260" s="284">
        <f t="shared" ca="1" si="226"/>
        <v>0.97501006495731335</v>
      </c>
      <c r="G7260" s="74">
        <v>41.989681030379572</v>
      </c>
      <c r="H7260" s="74">
        <f t="shared" si="227"/>
        <v>-1.4952806870470496</v>
      </c>
    </row>
    <row r="7261" spans="5:8" ht="15.6">
      <c r="E7261" s="279" t="s">
        <v>7587</v>
      </c>
      <c r="F7261" s="284">
        <f t="shared" ca="1" si="226"/>
        <v>0.7447701090267097</v>
      </c>
      <c r="G7261" s="74">
        <v>38.215067092323267</v>
      </c>
      <c r="H7261" s="74">
        <f t="shared" si="227"/>
        <v>2.2793332510092554</v>
      </c>
    </row>
    <row r="7262" spans="5:8" ht="15.6">
      <c r="E7262" s="279" t="s">
        <v>7588</v>
      </c>
      <c r="F7262" s="284">
        <f t="shared" ca="1" si="226"/>
        <v>0.91009819215403875</v>
      </c>
      <c r="G7262" s="74">
        <v>37.328288341070916</v>
      </c>
      <c r="H7262" s="74">
        <f t="shared" si="227"/>
        <v>3.1661120022616061</v>
      </c>
    </row>
    <row r="7263" spans="5:8" ht="15.6">
      <c r="E7263" s="279" t="s">
        <v>7589</v>
      </c>
      <c r="F7263" s="284">
        <f t="shared" ca="1" si="226"/>
        <v>0.74934062225136921</v>
      </c>
      <c r="G7263" s="74">
        <v>40.311034121688571</v>
      </c>
      <c r="H7263" s="74">
        <f t="shared" si="227"/>
        <v>0.18336622164395067</v>
      </c>
    </row>
    <row r="7264" spans="5:8" ht="15.6">
      <c r="E7264" s="279" t="s">
        <v>7590</v>
      </c>
      <c r="F7264" s="284">
        <f t="shared" ca="1" si="226"/>
        <v>0.9090891357275982</v>
      </c>
      <c r="G7264" s="74">
        <v>35.288888984214452</v>
      </c>
      <c r="H7264" s="74">
        <f t="shared" si="227"/>
        <v>5.2055113591180699</v>
      </c>
    </row>
    <row r="7265" spans="5:8" ht="15.6">
      <c r="E7265" s="279" t="s">
        <v>7591</v>
      </c>
      <c r="F7265" s="284">
        <f t="shared" ca="1" si="226"/>
        <v>0.93888092262197498</v>
      </c>
      <c r="G7265" s="74">
        <v>37.283482640321942</v>
      </c>
      <c r="H7265" s="74">
        <f t="shared" si="227"/>
        <v>3.2109177030105798</v>
      </c>
    </row>
    <row r="7266" spans="5:8" ht="15.6">
      <c r="E7266" s="279" t="s">
        <v>7592</v>
      </c>
      <c r="F7266" s="284">
        <f t="shared" ca="1" si="226"/>
        <v>0.80678517578518405</v>
      </c>
      <c r="G7266" s="74">
        <v>36.947638963147455</v>
      </c>
      <c r="H7266" s="74">
        <f t="shared" si="227"/>
        <v>3.5467613801850675</v>
      </c>
    </row>
    <row r="7267" spans="5:8" ht="15.6">
      <c r="E7267" s="279" t="s">
        <v>7593</v>
      </c>
      <c r="F7267" s="284">
        <f t="shared" ca="1" si="226"/>
        <v>0.38969138254875735</v>
      </c>
      <c r="G7267" s="74">
        <v>41.107595228284282</v>
      </c>
      <c r="H7267" s="74">
        <f t="shared" si="227"/>
        <v>-0.61319488495175989</v>
      </c>
    </row>
    <row r="7268" spans="5:8" ht="15.6">
      <c r="E7268" s="279" t="s">
        <v>7594</v>
      </c>
      <c r="F7268" s="284">
        <f t="shared" ca="1" si="226"/>
        <v>0.82764715425587698</v>
      </c>
      <c r="G7268" s="74">
        <v>40.902278535969792</v>
      </c>
      <c r="H7268" s="74">
        <f t="shared" si="227"/>
        <v>-0.40787819263726988</v>
      </c>
    </row>
    <row r="7269" spans="5:8" ht="15.6">
      <c r="E7269" s="279" t="s">
        <v>7595</v>
      </c>
      <c r="F7269" s="284">
        <f t="shared" ca="1" si="226"/>
        <v>0.43612536065038809</v>
      </c>
      <c r="G7269" s="74">
        <v>42.556928962385925</v>
      </c>
      <c r="H7269" s="74">
        <f t="shared" si="227"/>
        <v>-2.0625286190534027</v>
      </c>
    </row>
    <row r="7270" spans="5:8" ht="15.6">
      <c r="E7270" s="279" t="s">
        <v>7596</v>
      </c>
      <c r="F7270" s="284">
        <f t="shared" ca="1" si="226"/>
        <v>0.90087345003781694</v>
      </c>
      <c r="G7270" s="74">
        <v>39.560969543929048</v>
      </c>
      <c r="H7270" s="74">
        <f t="shared" si="227"/>
        <v>0.93343079940347451</v>
      </c>
    </row>
    <row r="7271" spans="5:8" ht="15.6">
      <c r="E7271" s="279" t="s">
        <v>7597</v>
      </c>
      <c r="F7271" s="284">
        <f t="shared" ca="1" si="226"/>
        <v>0.81152314952060123</v>
      </c>
      <c r="G7271" s="74">
        <v>39.951296190452737</v>
      </c>
      <c r="H7271" s="74">
        <f t="shared" si="227"/>
        <v>0.54310415287978486</v>
      </c>
    </row>
    <row r="7272" spans="5:8" ht="15.6">
      <c r="E7272" s="279" t="s">
        <v>7598</v>
      </c>
      <c r="F7272" s="284">
        <f t="shared" ca="1" si="226"/>
        <v>0.47149062002825748</v>
      </c>
      <c r="G7272" s="74">
        <v>37.82431645141552</v>
      </c>
      <c r="H7272" s="74">
        <f t="shared" si="227"/>
        <v>2.6700838919170025</v>
      </c>
    </row>
    <row r="7273" spans="5:8" ht="15.6">
      <c r="E7273" s="279" t="s">
        <v>7599</v>
      </c>
      <c r="F7273" s="284">
        <f t="shared" ca="1" si="226"/>
        <v>7.2829713680220398E-2</v>
      </c>
      <c r="G7273" s="74">
        <v>36.455650464093964</v>
      </c>
      <c r="H7273" s="74">
        <f t="shared" si="227"/>
        <v>4.0387498792385585</v>
      </c>
    </row>
    <row r="7274" spans="5:8" ht="15.6">
      <c r="E7274" s="279" t="s">
        <v>7600</v>
      </c>
      <c r="F7274" s="284">
        <f t="shared" ca="1" si="226"/>
        <v>0.17938692167582238</v>
      </c>
      <c r="G7274" s="74">
        <v>40.354650640373293</v>
      </c>
      <c r="H7274" s="74">
        <f t="shared" si="227"/>
        <v>0.13974970295922873</v>
      </c>
    </row>
    <row r="7275" spans="5:8" ht="15.6">
      <c r="E7275" s="279" t="s">
        <v>7601</v>
      </c>
      <c r="F7275" s="284">
        <f t="shared" ca="1" si="226"/>
        <v>8.0811055463396619E-2</v>
      </c>
      <c r="G7275" s="74">
        <v>39.681846864043955</v>
      </c>
      <c r="H7275" s="74">
        <f t="shared" si="227"/>
        <v>0.81255347928856736</v>
      </c>
    </row>
    <row r="7276" spans="5:8" ht="15.6">
      <c r="E7276" s="279" t="s">
        <v>7602</v>
      </c>
      <c r="F7276" s="284">
        <f t="shared" ca="1" si="226"/>
        <v>0.6294742958403915</v>
      </c>
      <c r="G7276" s="74">
        <v>38.207403149258958</v>
      </c>
      <c r="H7276" s="74">
        <f t="shared" si="227"/>
        <v>2.2869971940735638</v>
      </c>
    </row>
    <row r="7277" spans="5:8" ht="15.6">
      <c r="E7277" s="279" t="s">
        <v>7603</v>
      </c>
      <c r="F7277" s="284">
        <f t="shared" ca="1" si="226"/>
        <v>5.9000398707773294E-2</v>
      </c>
      <c r="G7277" s="74">
        <v>38.561321216600881</v>
      </c>
      <c r="H7277" s="74">
        <f t="shared" si="227"/>
        <v>1.9330791267316414</v>
      </c>
    </row>
    <row r="7278" spans="5:8" ht="15.6">
      <c r="E7278" s="279" t="s">
        <v>7604</v>
      </c>
      <c r="F7278" s="284">
        <f t="shared" ca="1" si="226"/>
        <v>0.95495642470597797</v>
      </c>
      <c r="G7278" s="74">
        <v>40.302578760675196</v>
      </c>
      <c r="H7278" s="74">
        <f t="shared" si="227"/>
        <v>0.19182158265732596</v>
      </c>
    </row>
    <row r="7279" spans="5:8" ht="15.6">
      <c r="E7279" s="279" t="s">
        <v>7605</v>
      </c>
      <c r="F7279" s="284">
        <f t="shared" ca="1" si="226"/>
        <v>0.11068944198286601</v>
      </c>
      <c r="G7279" s="74">
        <v>40.687644911659781</v>
      </c>
      <c r="H7279" s="74">
        <f t="shared" si="227"/>
        <v>-0.193244568327259</v>
      </c>
    </row>
    <row r="7280" spans="5:8" ht="15.6">
      <c r="E7280" s="279" t="s">
        <v>7606</v>
      </c>
      <c r="F7280" s="284">
        <f t="shared" ca="1" si="226"/>
        <v>0.84840199190945909</v>
      </c>
      <c r="G7280" s="74">
        <v>38.900621356406504</v>
      </c>
      <c r="H7280" s="74">
        <f t="shared" si="227"/>
        <v>1.5937789869260186</v>
      </c>
    </row>
    <row r="7281" spans="5:8" ht="15.6">
      <c r="E7281" s="279" t="s">
        <v>7607</v>
      </c>
      <c r="F7281" s="284">
        <f t="shared" ca="1" si="226"/>
        <v>4.8376442515818407E-2</v>
      </c>
      <c r="G7281" s="74">
        <v>36.315994117284774</v>
      </c>
      <c r="H7281" s="74">
        <f t="shared" si="227"/>
        <v>4.1784062260477484</v>
      </c>
    </row>
    <row r="7282" spans="5:8" ht="15.6">
      <c r="E7282" s="279" t="s">
        <v>7608</v>
      </c>
      <c r="F7282" s="284">
        <f t="shared" ca="1" si="226"/>
        <v>0.58531200955543472</v>
      </c>
      <c r="G7282" s="74">
        <v>44.916088333865289</v>
      </c>
      <c r="H7282" s="74">
        <f t="shared" si="227"/>
        <v>-4.4216879905327673</v>
      </c>
    </row>
    <row r="7283" spans="5:8" ht="15.6">
      <c r="E7283" s="279" t="s">
        <v>7609</v>
      </c>
      <c r="F7283" s="284">
        <f t="shared" ca="1" si="226"/>
        <v>0.67357874867941747</v>
      </c>
      <c r="G7283" s="74">
        <v>37.320929958042569</v>
      </c>
      <c r="H7283" s="74">
        <f t="shared" si="227"/>
        <v>3.1734703852899528</v>
      </c>
    </row>
    <row r="7284" spans="5:8" ht="15.6">
      <c r="E7284" s="279" t="s">
        <v>7610</v>
      </c>
      <c r="F7284" s="284">
        <f t="shared" ca="1" si="226"/>
        <v>5.6295894491540044E-2</v>
      </c>
      <c r="G7284" s="74">
        <v>35.988724326185775</v>
      </c>
      <c r="H7284" s="74">
        <f t="shared" si="227"/>
        <v>4.5056760171467474</v>
      </c>
    </row>
    <row r="7285" spans="5:8" ht="15.6">
      <c r="E7285" s="279" t="s">
        <v>7611</v>
      </c>
      <c r="F7285" s="284">
        <f t="shared" ca="1" si="226"/>
        <v>0.48298357679314496</v>
      </c>
      <c r="G7285" s="74">
        <v>37.907222305455498</v>
      </c>
      <c r="H7285" s="74">
        <f t="shared" si="227"/>
        <v>2.5871780378770239</v>
      </c>
    </row>
    <row r="7286" spans="5:8" ht="15.6">
      <c r="E7286" s="279" t="s">
        <v>7612</v>
      </c>
      <c r="F7286" s="284">
        <f t="shared" ca="1" si="226"/>
        <v>0.97386758724678102</v>
      </c>
      <c r="G7286" s="74">
        <v>38.612613326221101</v>
      </c>
      <c r="H7286" s="74">
        <f t="shared" si="227"/>
        <v>1.8817870171114208</v>
      </c>
    </row>
    <row r="7287" spans="5:8" ht="15.6">
      <c r="E7287" s="279" t="s">
        <v>7613</v>
      </c>
      <c r="F7287" s="284">
        <f t="shared" ca="1" si="226"/>
        <v>0.35183308372396882</v>
      </c>
      <c r="G7287" s="74">
        <v>37.252661426552606</v>
      </c>
      <c r="H7287" s="74">
        <f t="shared" si="227"/>
        <v>3.2417389167799158</v>
      </c>
    </row>
    <row r="7288" spans="5:8" ht="15.6">
      <c r="E7288" s="279" t="s">
        <v>7614</v>
      </c>
      <c r="F7288" s="284">
        <f t="shared" ca="1" si="226"/>
        <v>0.41679581510779296</v>
      </c>
      <c r="G7288" s="74">
        <v>37.21514683491344</v>
      </c>
      <c r="H7288" s="74">
        <f t="shared" si="227"/>
        <v>3.2792535084190817</v>
      </c>
    </row>
    <row r="7289" spans="5:8" ht="15.6">
      <c r="E7289" s="279" t="s">
        <v>7615</v>
      </c>
      <c r="F7289" s="284">
        <f t="shared" ca="1" si="226"/>
        <v>3.6637455711610589E-2</v>
      </c>
      <c r="G7289" s="74">
        <v>41.30282199559138</v>
      </c>
      <c r="H7289" s="74">
        <f t="shared" si="227"/>
        <v>-0.80842165225885765</v>
      </c>
    </row>
    <row r="7290" spans="5:8" ht="15.6">
      <c r="E7290" s="279" t="s">
        <v>7616</v>
      </c>
      <c r="F7290" s="284">
        <f t="shared" ca="1" si="226"/>
        <v>0.49419029407511927</v>
      </c>
      <c r="G7290" s="74">
        <v>39.832179128315872</v>
      </c>
      <c r="H7290" s="74">
        <f t="shared" si="227"/>
        <v>0.66222121501665043</v>
      </c>
    </row>
    <row r="7291" spans="5:8" ht="15.6">
      <c r="E7291" s="279" t="s">
        <v>7617</v>
      </c>
      <c r="F7291" s="284">
        <f t="shared" ca="1" si="226"/>
        <v>5.3117164037016051E-2</v>
      </c>
      <c r="G7291" s="74">
        <v>37.240647873263796</v>
      </c>
      <c r="H7291" s="74">
        <f t="shared" si="227"/>
        <v>3.2537524700687257</v>
      </c>
    </row>
    <row r="7292" spans="5:8" ht="15.6">
      <c r="E7292" s="279" t="s">
        <v>7618</v>
      </c>
      <c r="F7292" s="284">
        <f t="shared" ca="1" si="226"/>
        <v>0.9991385688459129</v>
      </c>
      <c r="G7292" s="74">
        <v>39.962851026354819</v>
      </c>
      <c r="H7292" s="74">
        <f t="shared" si="227"/>
        <v>0.5315493169777028</v>
      </c>
    </row>
    <row r="7293" spans="5:8" ht="15.6">
      <c r="E7293" s="279" t="s">
        <v>7619</v>
      </c>
      <c r="F7293" s="284">
        <f t="shared" ca="1" si="226"/>
        <v>0.80292179529943786</v>
      </c>
      <c r="G7293" s="74">
        <v>38.411092054956612</v>
      </c>
      <c r="H7293" s="74">
        <f t="shared" si="227"/>
        <v>2.0833082883759104</v>
      </c>
    </row>
    <row r="7294" spans="5:8" ht="15.6">
      <c r="E7294" s="279" t="s">
        <v>7620</v>
      </c>
      <c r="F7294" s="284">
        <f t="shared" ca="1" si="226"/>
        <v>5.9554020725278045E-2</v>
      </c>
      <c r="G7294" s="74">
        <v>42.032943341897678</v>
      </c>
      <c r="H7294" s="74">
        <f t="shared" si="227"/>
        <v>-1.5385429985651555</v>
      </c>
    </row>
    <row r="7295" spans="5:8" ht="15.6">
      <c r="E7295" s="279" t="s">
        <v>7621</v>
      </c>
      <c r="F7295" s="284">
        <f t="shared" ca="1" si="226"/>
        <v>0.17793425867749058</v>
      </c>
      <c r="G7295" s="74">
        <v>37.342955314578433</v>
      </c>
      <c r="H7295" s="74">
        <f t="shared" si="227"/>
        <v>3.1514450287540896</v>
      </c>
    </row>
    <row r="7296" spans="5:8" ht="15.6">
      <c r="E7296" s="279" t="s">
        <v>7622</v>
      </c>
      <c r="F7296" s="284">
        <f t="shared" ca="1" si="226"/>
        <v>0.62994388467413398</v>
      </c>
      <c r="G7296" s="74">
        <v>37.605211571948473</v>
      </c>
      <c r="H7296" s="74">
        <f t="shared" si="227"/>
        <v>2.8891887713840489</v>
      </c>
    </row>
    <row r="7297" spans="5:8" ht="15.6">
      <c r="E7297" s="279" t="s">
        <v>7623</v>
      </c>
      <c r="F7297" s="284">
        <f t="shared" ca="1" si="226"/>
        <v>0.2118655759072241</v>
      </c>
      <c r="G7297" s="74">
        <v>37.853999994904491</v>
      </c>
      <c r="H7297" s="74">
        <f t="shared" si="227"/>
        <v>2.640400348428031</v>
      </c>
    </row>
    <row r="7298" spans="5:8" ht="15.6">
      <c r="E7298" s="279" t="s">
        <v>7624</v>
      </c>
      <c r="F7298" s="284">
        <f t="shared" ca="1" si="226"/>
        <v>0.83510962075893225</v>
      </c>
      <c r="G7298" s="74">
        <v>40.48475702772101</v>
      </c>
      <c r="H7298" s="74">
        <f t="shared" si="227"/>
        <v>9.6433156115125485E-3</v>
      </c>
    </row>
    <row r="7299" spans="5:8" ht="15.6">
      <c r="E7299" s="279" t="s">
        <v>7625</v>
      </c>
      <c r="F7299" s="284">
        <f t="shared" ca="1" si="226"/>
        <v>0.48826800343243282</v>
      </c>
      <c r="G7299" s="74">
        <v>41.272178312695196</v>
      </c>
      <c r="H7299" s="74">
        <f t="shared" si="227"/>
        <v>-0.77777796936267407</v>
      </c>
    </row>
    <row r="7300" spans="5:8" ht="15.6">
      <c r="E7300" s="279" t="s">
        <v>7626</v>
      </c>
      <c r="F7300" s="284">
        <f t="shared" ca="1" si="226"/>
        <v>8.7445268022694367E-2</v>
      </c>
      <c r="G7300" s="74">
        <v>38.952112893526881</v>
      </c>
      <c r="H7300" s="74">
        <f t="shared" si="227"/>
        <v>1.5422874498056416</v>
      </c>
    </row>
    <row r="7301" spans="5:8" ht="15.6">
      <c r="E7301" s="279" t="s">
        <v>7627</v>
      </c>
      <c r="F7301" s="284">
        <f t="shared" ca="1" si="226"/>
        <v>0.66662711668975161</v>
      </c>
      <c r="G7301" s="74">
        <v>40.524198039449054</v>
      </c>
      <c r="H7301" s="74">
        <f t="shared" si="227"/>
        <v>-2.9797696116531824E-2</v>
      </c>
    </row>
    <row r="7302" spans="5:8" ht="15.6">
      <c r="E7302" s="279" t="s">
        <v>7628</v>
      </c>
      <c r="F7302" s="284">
        <f t="shared" ca="1" si="226"/>
        <v>0.16638902720344151</v>
      </c>
      <c r="G7302" s="74">
        <v>37.461626932952299</v>
      </c>
      <c r="H7302" s="74">
        <f t="shared" si="227"/>
        <v>3.0327734103802229</v>
      </c>
    </row>
    <row r="7303" spans="5:8" ht="15.6">
      <c r="E7303" s="279" t="s">
        <v>7629</v>
      </c>
      <c r="F7303" s="284">
        <f t="shared" ca="1" si="226"/>
        <v>0.12848697429266254</v>
      </c>
      <c r="G7303" s="74">
        <v>39.885877227394886</v>
      </c>
      <c r="H7303" s="74">
        <f t="shared" si="227"/>
        <v>0.60852311593763631</v>
      </c>
    </row>
    <row r="7304" spans="5:8" ht="15.6">
      <c r="E7304" s="279" t="s">
        <v>7630</v>
      </c>
      <c r="F7304" s="284">
        <f t="shared" ca="1" si="226"/>
        <v>0.96592371668768962</v>
      </c>
      <c r="G7304" s="74">
        <v>34.73702473886248</v>
      </c>
      <c r="H7304" s="74">
        <f t="shared" si="227"/>
        <v>5.7573756044700417</v>
      </c>
    </row>
    <row r="7305" spans="5:8" ht="15.6">
      <c r="E7305" s="279" t="s">
        <v>7631</v>
      </c>
      <c r="F7305" s="284">
        <f t="shared" ca="1" si="226"/>
        <v>0.29598171330405276</v>
      </c>
      <c r="G7305" s="74">
        <v>40.721046872894185</v>
      </c>
      <c r="H7305" s="74">
        <f t="shared" si="227"/>
        <v>-0.22664652956166265</v>
      </c>
    </row>
    <row r="7306" spans="5:8" ht="15.6">
      <c r="E7306" s="279" t="s">
        <v>7632</v>
      </c>
      <c r="F7306" s="284">
        <f t="shared" ca="1" si="226"/>
        <v>0.86540323042774048</v>
      </c>
      <c r="G7306" s="74">
        <v>40.918201268652062</v>
      </c>
      <c r="H7306" s="74">
        <f t="shared" si="227"/>
        <v>-0.42380092531954006</v>
      </c>
    </row>
    <row r="7307" spans="5:8" ht="15.6">
      <c r="E7307" s="279" t="s">
        <v>7633</v>
      </c>
      <c r="F7307" s="284">
        <f t="shared" ca="1" si="226"/>
        <v>0.39605169378267158</v>
      </c>
      <c r="G7307" s="74">
        <v>37.834765021917647</v>
      </c>
      <c r="H7307" s="74">
        <f t="shared" si="227"/>
        <v>2.6596353214148749</v>
      </c>
    </row>
    <row r="7308" spans="5:8" ht="15.6">
      <c r="E7308" s="279" t="s">
        <v>7634</v>
      </c>
      <c r="F7308" s="284">
        <f t="shared" ref="F7308:F7371" ca="1" si="228">RAND()</f>
        <v>8.5625630134153363E-2</v>
      </c>
      <c r="G7308" s="74">
        <v>40.391994899523034</v>
      </c>
      <c r="H7308" s="74">
        <f t="shared" ref="H7308:H7371" si="229">$D$2-G7308</f>
        <v>0.10240544380948791</v>
      </c>
    </row>
    <row r="7309" spans="5:8" ht="15.6">
      <c r="E7309" s="279" t="s">
        <v>7635</v>
      </c>
      <c r="F7309" s="284">
        <f t="shared" ca="1" si="228"/>
        <v>0.86096844870330247</v>
      </c>
      <c r="G7309" s="74">
        <v>38.390941036623751</v>
      </c>
      <c r="H7309" s="74">
        <f t="shared" si="229"/>
        <v>2.1034593067087712</v>
      </c>
    </row>
    <row r="7310" spans="5:8" ht="15.6">
      <c r="E7310" s="279" t="s">
        <v>7636</v>
      </c>
      <c r="F7310" s="284">
        <f t="shared" ca="1" si="228"/>
        <v>0.36753918027310761</v>
      </c>
      <c r="G7310" s="74">
        <v>35.257674897752111</v>
      </c>
      <c r="H7310" s="74">
        <f t="shared" si="229"/>
        <v>5.2367254455804115</v>
      </c>
    </row>
    <row r="7311" spans="5:8" ht="15.6">
      <c r="E7311" s="279" t="s">
        <v>7637</v>
      </c>
      <c r="F7311" s="284">
        <f t="shared" ca="1" si="228"/>
        <v>0.49357252313479061</v>
      </c>
      <c r="G7311" s="74">
        <v>41.673399031438805</v>
      </c>
      <c r="H7311" s="74">
        <f t="shared" si="229"/>
        <v>-1.1789986881062831</v>
      </c>
    </row>
    <row r="7312" spans="5:8" ht="15.6">
      <c r="E7312" s="279" t="s">
        <v>7638</v>
      </c>
      <c r="F7312" s="284">
        <f t="shared" ca="1" si="228"/>
        <v>0.24942679606261797</v>
      </c>
      <c r="G7312" s="74">
        <v>42.131555149249017</v>
      </c>
      <c r="H7312" s="74">
        <f t="shared" si="229"/>
        <v>-1.6371548059164951</v>
      </c>
    </row>
    <row r="7313" spans="5:8" ht="15.6">
      <c r="E7313" s="279" t="s">
        <v>7639</v>
      </c>
      <c r="F7313" s="284">
        <f t="shared" ca="1" si="228"/>
        <v>0.87489293407474589</v>
      </c>
      <c r="G7313" s="74">
        <v>38.031570335913834</v>
      </c>
      <c r="H7313" s="74">
        <f t="shared" si="229"/>
        <v>2.4628300074186882</v>
      </c>
    </row>
    <row r="7314" spans="5:8" ht="15.6">
      <c r="E7314" s="279" t="s">
        <v>7640</v>
      </c>
      <c r="F7314" s="284">
        <f t="shared" ca="1" si="228"/>
        <v>0.13584625393176097</v>
      </c>
      <c r="G7314" s="74">
        <v>38.231560209884826</v>
      </c>
      <c r="H7314" s="74">
        <f t="shared" si="229"/>
        <v>2.2628401334476962</v>
      </c>
    </row>
    <row r="7315" spans="5:8" ht="15.6">
      <c r="E7315" s="279" t="s">
        <v>7641</v>
      </c>
      <c r="F7315" s="284">
        <f t="shared" ca="1" si="228"/>
        <v>9.7663531102465284E-2</v>
      </c>
      <c r="G7315" s="74">
        <v>42.606398020469008</v>
      </c>
      <c r="H7315" s="74">
        <f t="shared" si="229"/>
        <v>-2.1119976771364861</v>
      </c>
    </row>
    <row r="7316" spans="5:8" ht="15.6">
      <c r="E7316" s="279" t="s">
        <v>7642</v>
      </c>
      <c r="F7316" s="284">
        <f t="shared" ca="1" si="228"/>
        <v>0.1333455920415062</v>
      </c>
      <c r="G7316" s="74">
        <v>39.020248280369401</v>
      </c>
      <c r="H7316" s="74">
        <f t="shared" si="229"/>
        <v>1.4741520629631211</v>
      </c>
    </row>
    <row r="7317" spans="5:8" ht="15.6">
      <c r="E7317" s="279" t="s">
        <v>7643</v>
      </c>
      <c r="F7317" s="284">
        <f t="shared" ca="1" si="228"/>
        <v>0.18862771171931558</v>
      </c>
      <c r="G7317" s="74">
        <v>37.342453311596088</v>
      </c>
      <c r="H7317" s="74">
        <f t="shared" si="229"/>
        <v>3.1519470317364338</v>
      </c>
    </row>
    <row r="7318" spans="5:8" ht="15.6">
      <c r="E7318" s="279" t="s">
        <v>7644</v>
      </c>
      <c r="F7318" s="284">
        <f t="shared" ca="1" si="228"/>
        <v>0.93981949281590116</v>
      </c>
      <c r="G7318" s="74">
        <v>39.282653133854424</v>
      </c>
      <c r="H7318" s="74">
        <f t="shared" si="229"/>
        <v>1.2117472094780979</v>
      </c>
    </row>
    <row r="7319" spans="5:8" ht="15.6">
      <c r="E7319" s="279" t="s">
        <v>7645</v>
      </c>
      <c r="F7319" s="284">
        <f t="shared" ca="1" si="228"/>
        <v>0.89357872778264136</v>
      </c>
      <c r="G7319" s="74">
        <v>41.707871138994058</v>
      </c>
      <c r="H7319" s="74">
        <f t="shared" si="229"/>
        <v>-1.2134707956615358</v>
      </c>
    </row>
    <row r="7320" spans="5:8" ht="15.6">
      <c r="E7320" s="279" t="s">
        <v>7646</v>
      </c>
      <c r="F7320" s="284">
        <f t="shared" ca="1" si="228"/>
        <v>0.65456621010259242</v>
      </c>
      <c r="G7320" s="74">
        <v>35.428135633217494</v>
      </c>
      <c r="H7320" s="74">
        <f t="shared" si="229"/>
        <v>5.0662647101150284</v>
      </c>
    </row>
    <row r="7321" spans="5:8" ht="15.6">
      <c r="E7321" s="279" t="s">
        <v>7647</v>
      </c>
      <c r="F7321" s="284">
        <f t="shared" ca="1" si="228"/>
        <v>0.90422448564112912</v>
      </c>
      <c r="G7321" s="74">
        <v>39.498354664905094</v>
      </c>
      <c r="H7321" s="74">
        <f t="shared" si="229"/>
        <v>0.99604567842742853</v>
      </c>
    </row>
    <row r="7322" spans="5:8" ht="15.6">
      <c r="E7322" s="279" t="s">
        <v>7648</v>
      </c>
      <c r="F7322" s="284">
        <f t="shared" ca="1" si="228"/>
        <v>0.34894256124357093</v>
      </c>
      <c r="G7322" s="74">
        <v>40.201020183582507</v>
      </c>
      <c r="H7322" s="74">
        <f t="shared" si="229"/>
        <v>0.29338015975001497</v>
      </c>
    </row>
    <row r="7323" spans="5:8" ht="15.6">
      <c r="E7323" s="279" t="s">
        <v>7649</v>
      </c>
      <c r="F7323" s="284">
        <f t="shared" ca="1" si="228"/>
        <v>0.66661994267847091</v>
      </c>
      <c r="G7323" s="74">
        <v>40.919255591750691</v>
      </c>
      <c r="H7323" s="74">
        <f t="shared" si="229"/>
        <v>-0.42485524841816869</v>
      </c>
    </row>
    <row r="7324" spans="5:8" ht="15.6">
      <c r="E7324" s="279" t="s">
        <v>7650</v>
      </c>
      <c r="F7324" s="284">
        <f t="shared" ca="1" si="228"/>
        <v>0.61071272329431803</v>
      </c>
      <c r="G7324" s="74">
        <v>38.83243093641466</v>
      </c>
      <c r="H7324" s="74">
        <f t="shared" si="229"/>
        <v>1.6619694069178621</v>
      </c>
    </row>
    <row r="7325" spans="5:8" ht="15.6">
      <c r="E7325" s="279" t="s">
        <v>7651</v>
      </c>
      <c r="F7325" s="284">
        <f t="shared" ca="1" si="228"/>
        <v>0.12600220687852404</v>
      </c>
      <c r="G7325" s="74">
        <v>39.879543362760977</v>
      </c>
      <c r="H7325" s="74">
        <f t="shared" si="229"/>
        <v>0.61485698057154536</v>
      </c>
    </row>
    <row r="7326" spans="5:8" ht="15.6">
      <c r="E7326" s="279" t="s">
        <v>7652</v>
      </c>
      <c r="F7326" s="284">
        <f t="shared" ca="1" si="228"/>
        <v>0.30587904232475516</v>
      </c>
      <c r="G7326" s="74">
        <v>41.166862283361212</v>
      </c>
      <c r="H7326" s="74">
        <f t="shared" si="229"/>
        <v>-0.67246194002868975</v>
      </c>
    </row>
    <row r="7327" spans="5:8" ht="15.6">
      <c r="E7327" s="279" t="s">
        <v>7653</v>
      </c>
      <c r="F7327" s="284">
        <f t="shared" ca="1" si="228"/>
        <v>0.76766339373280312</v>
      </c>
      <c r="G7327" s="74">
        <v>36.72974160151027</v>
      </c>
      <c r="H7327" s="74">
        <f t="shared" si="229"/>
        <v>3.7646587418222524</v>
      </c>
    </row>
    <row r="7328" spans="5:8" ht="15.6">
      <c r="E7328" s="279" t="s">
        <v>7654</v>
      </c>
      <c r="F7328" s="284">
        <f t="shared" ca="1" si="228"/>
        <v>0.23308628820177724</v>
      </c>
      <c r="G7328" s="74">
        <v>36.738013291607054</v>
      </c>
      <c r="H7328" s="74">
        <f t="shared" si="229"/>
        <v>3.7563870517254685</v>
      </c>
    </row>
    <row r="7329" spans="5:8" ht="15.6">
      <c r="E7329" s="279" t="s">
        <v>7655</v>
      </c>
      <c r="F7329" s="284">
        <f t="shared" ca="1" si="228"/>
        <v>0.99195381641793146</v>
      </c>
      <c r="G7329" s="74">
        <v>39.598426104498756</v>
      </c>
      <c r="H7329" s="74">
        <f t="shared" si="229"/>
        <v>0.89597423883376592</v>
      </c>
    </row>
    <row r="7330" spans="5:8" ht="15.6">
      <c r="E7330" s="279" t="s">
        <v>7656</v>
      </c>
      <c r="F7330" s="284">
        <f t="shared" ca="1" si="228"/>
        <v>2.8728765059953032E-2</v>
      </c>
      <c r="G7330" s="74">
        <v>35.305874919537601</v>
      </c>
      <c r="H7330" s="74">
        <f t="shared" si="229"/>
        <v>5.1885254237949212</v>
      </c>
    </row>
    <row r="7331" spans="5:8" ht="15.6">
      <c r="E7331" s="279" t="s">
        <v>7657</v>
      </c>
      <c r="F7331" s="284">
        <f t="shared" ca="1" si="228"/>
        <v>2.6511312803586207E-2</v>
      </c>
      <c r="G7331" s="74">
        <v>37.347328734564186</v>
      </c>
      <c r="H7331" s="74">
        <f t="shared" si="229"/>
        <v>3.1470716087683357</v>
      </c>
    </row>
    <row r="7332" spans="5:8" ht="15.6">
      <c r="E7332" s="279" t="s">
        <v>7658</v>
      </c>
      <c r="F7332" s="284">
        <f t="shared" ca="1" si="228"/>
        <v>0.94121192241702045</v>
      </c>
      <c r="G7332" s="74">
        <v>41.451017856849496</v>
      </c>
      <c r="H7332" s="74">
        <f t="shared" si="229"/>
        <v>-0.95661751351697433</v>
      </c>
    </row>
    <row r="7333" spans="5:8" ht="15.6">
      <c r="E7333" s="279" t="s">
        <v>7659</v>
      </c>
      <c r="F7333" s="284">
        <f t="shared" ca="1" si="228"/>
        <v>0.28957856924063108</v>
      </c>
      <c r="G7333" s="74">
        <v>40.153499385361776</v>
      </c>
      <c r="H7333" s="74">
        <f t="shared" si="229"/>
        <v>0.34090095797074582</v>
      </c>
    </row>
    <row r="7334" spans="5:8" ht="15.6">
      <c r="E7334" s="279" t="s">
        <v>7660</v>
      </c>
      <c r="F7334" s="284">
        <f t="shared" ca="1" si="228"/>
        <v>0.82574370500460703</v>
      </c>
      <c r="G7334" s="74">
        <v>42.885018080408308</v>
      </c>
      <c r="H7334" s="74">
        <f t="shared" si="229"/>
        <v>-2.390617737075786</v>
      </c>
    </row>
    <row r="7335" spans="5:8" ht="15.6">
      <c r="E7335" s="279" t="s">
        <v>7661</v>
      </c>
      <c r="F7335" s="284">
        <f t="shared" ca="1" si="228"/>
        <v>0.7332465822050831</v>
      </c>
      <c r="G7335" s="74">
        <v>38.532540141360812</v>
      </c>
      <c r="H7335" s="74">
        <f t="shared" si="229"/>
        <v>1.9618602019717102</v>
      </c>
    </row>
    <row r="7336" spans="5:8" ht="15.6">
      <c r="E7336" s="279" t="s">
        <v>7662</v>
      </c>
      <c r="F7336" s="284">
        <f t="shared" ca="1" si="228"/>
        <v>0.45102932042324428</v>
      </c>
      <c r="G7336" s="74">
        <v>45.132006009278982</v>
      </c>
      <c r="H7336" s="74">
        <f t="shared" si="229"/>
        <v>-4.6376056659464595</v>
      </c>
    </row>
    <row r="7337" spans="5:8" ht="15.6">
      <c r="E7337" s="279" t="s">
        <v>7663</v>
      </c>
      <c r="F7337" s="284">
        <f t="shared" ca="1" si="228"/>
        <v>0.93603321945831874</v>
      </c>
      <c r="G7337" s="74">
        <v>37.764996438658258</v>
      </c>
      <c r="H7337" s="74">
        <f t="shared" si="229"/>
        <v>2.729403904674264</v>
      </c>
    </row>
    <row r="7338" spans="5:8" ht="15.6">
      <c r="E7338" s="279" t="s">
        <v>7664</v>
      </c>
      <c r="F7338" s="284">
        <f t="shared" ca="1" si="228"/>
        <v>0.36673906022779923</v>
      </c>
      <c r="G7338" s="74">
        <v>37.953712460921338</v>
      </c>
      <c r="H7338" s="74">
        <f t="shared" si="229"/>
        <v>2.5406878824111843</v>
      </c>
    </row>
    <row r="7339" spans="5:8" ht="15.6">
      <c r="E7339" s="279" t="s">
        <v>7665</v>
      </c>
      <c r="F7339" s="284">
        <f t="shared" ca="1" si="228"/>
        <v>0.72429925185535282</v>
      </c>
      <c r="G7339" s="74">
        <v>35.670805840386258</v>
      </c>
      <c r="H7339" s="74">
        <f t="shared" si="229"/>
        <v>4.8235945029462641</v>
      </c>
    </row>
    <row r="7340" spans="5:8" ht="15.6">
      <c r="E7340" s="279" t="s">
        <v>7666</v>
      </c>
      <c r="F7340" s="284">
        <f t="shared" ca="1" si="228"/>
        <v>0.61826279131321482</v>
      </c>
      <c r="G7340" s="74">
        <v>37.537527087183435</v>
      </c>
      <c r="H7340" s="74">
        <f t="shared" si="229"/>
        <v>2.9568732561490876</v>
      </c>
    </row>
    <row r="7341" spans="5:8" ht="15.6">
      <c r="E7341" s="279" t="s">
        <v>7667</v>
      </c>
      <c r="F7341" s="284">
        <f t="shared" ca="1" si="228"/>
        <v>0.17575052161317639</v>
      </c>
      <c r="G7341" s="74">
        <v>42.818752759858462</v>
      </c>
      <c r="H7341" s="74">
        <f t="shared" si="229"/>
        <v>-2.3243524165259402</v>
      </c>
    </row>
    <row r="7342" spans="5:8" ht="15.6">
      <c r="E7342" s="279" t="s">
        <v>7668</v>
      </c>
      <c r="F7342" s="284">
        <f t="shared" ca="1" si="228"/>
        <v>0.10954861514370029</v>
      </c>
      <c r="G7342" s="74">
        <v>43.393926331747956</v>
      </c>
      <c r="H7342" s="74">
        <f t="shared" si="229"/>
        <v>-2.8995259884154336</v>
      </c>
    </row>
    <row r="7343" spans="5:8" ht="15.6">
      <c r="E7343" s="279" t="s">
        <v>7669</v>
      </c>
      <c r="F7343" s="284">
        <f t="shared" ca="1" si="228"/>
        <v>0.72763296616130835</v>
      </c>
      <c r="G7343" s="74">
        <v>39.647367930304469</v>
      </c>
      <c r="H7343" s="74">
        <f t="shared" si="229"/>
        <v>0.8470324130280531</v>
      </c>
    </row>
    <row r="7344" spans="5:8" ht="15.6">
      <c r="E7344" s="279" t="s">
        <v>7670</v>
      </c>
      <c r="F7344" s="284">
        <f t="shared" ca="1" si="228"/>
        <v>0.88911779255286927</v>
      </c>
      <c r="G7344" s="74">
        <v>37.536619083341868</v>
      </c>
      <c r="H7344" s="74">
        <f t="shared" si="229"/>
        <v>2.9577812599906537</v>
      </c>
    </row>
    <row r="7345" spans="5:8" ht="15.6">
      <c r="E7345" s="279" t="s">
        <v>7671</v>
      </c>
      <c r="F7345" s="284">
        <f t="shared" ca="1" si="228"/>
        <v>0.59085589126254789</v>
      </c>
      <c r="G7345" s="74">
        <v>36.923020685464031</v>
      </c>
      <c r="H7345" s="74">
        <f t="shared" si="229"/>
        <v>3.5713796578684907</v>
      </c>
    </row>
    <row r="7346" spans="5:8" ht="15.6">
      <c r="E7346" s="279" t="s">
        <v>7672</v>
      </c>
      <c r="F7346" s="284">
        <f t="shared" ca="1" si="228"/>
        <v>0.29511457217231907</v>
      </c>
      <c r="G7346" s="74">
        <v>39.173567919621888</v>
      </c>
      <c r="H7346" s="74">
        <f t="shared" si="229"/>
        <v>1.3208324237106339</v>
      </c>
    </row>
    <row r="7347" spans="5:8" ht="15.6">
      <c r="E7347" s="279" t="s">
        <v>7673</v>
      </c>
      <c r="F7347" s="284">
        <f t="shared" ca="1" si="228"/>
        <v>0.97279858241547845</v>
      </c>
      <c r="G7347" s="74">
        <v>38.437990761126635</v>
      </c>
      <c r="H7347" s="74">
        <f t="shared" si="229"/>
        <v>2.0564095822058874</v>
      </c>
    </row>
    <row r="7348" spans="5:8" ht="15.6">
      <c r="E7348" s="279" t="s">
        <v>7674</v>
      </c>
      <c r="F7348" s="284">
        <f t="shared" ca="1" si="228"/>
        <v>2.0088456835849033E-2</v>
      </c>
      <c r="G7348" s="74">
        <v>40.906206211169561</v>
      </c>
      <c r="H7348" s="74">
        <f t="shared" si="229"/>
        <v>-0.41180586783703887</v>
      </c>
    </row>
    <row r="7349" spans="5:8" ht="15.6">
      <c r="E7349" s="279" t="s">
        <v>7675</v>
      </c>
      <c r="F7349" s="284">
        <f t="shared" ca="1" si="228"/>
        <v>0.49533541043001061</v>
      </c>
      <c r="G7349" s="74">
        <v>41.327490500960074</v>
      </c>
      <c r="H7349" s="74">
        <f t="shared" si="229"/>
        <v>-0.83309015762755223</v>
      </c>
    </row>
    <row r="7350" spans="5:8" ht="15.6">
      <c r="E7350" s="279" t="s">
        <v>7676</v>
      </c>
      <c r="F7350" s="284">
        <f t="shared" ca="1" si="228"/>
        <v>9.1590705303982833E-2</v>
      </c>
      <c r="G7350" s="74">
        <v>36.899095271018403</v>
      </c>
      <c r="H7350" s="74">
        <f t="shared" si="229"/>
        <v>3.5953050723141189</v>
      </c>
    </row>
    <row r="7351" spans="5:8" ht="15.6">
      <c r="E7351" s="279" t="s">
        <v>7677</v>
      </c>
      <c r="F7351" s="284">
        <f t="shared" ca="1" si="228"/>
        <v>0.94289598166404121</v>
      </c>
      <c r="G7351" s="74">
        <v>40.994146569720904</v>
      </c>
      <c r="H7351" s="74">
        <f t="shared" si="229"/>
        <v>-0.49974622638838184</v>
      </c>
    </row>
    <row r="7352" spans="5:8" ht="15.6">
      <c r="E7352" s="279" t="s">
        <v>7678</v>
      </c>
      <c r="F7352" s="284">
        <f t="shared" ca="1" si="228"/>
        <v>0.26453537769505586</v>
      </c>
      <c r="G7352" s="74">
        <v>37.27535056520734</v>
      </c>
      <c r="H7352" s="74">
        <f t="shared" si="229"/>
        <v>3.2190497781251821</v>
      </c>
    </row>
    <row r="7353" spans="5:8" ht="15.6">
      <c r="E7353" s="279" t="s">
        <v>7679</v>
      </c>
      <c r="F7353" s="284">
        <f t="shared" ca="1" si="228"/>
        <v>0.82863136371295398</v>
      </c>
      <c r="G7353" s="74">
        <v>37.537589982143885</v>
      </c>
      <c r="H7353" s="74">
        <f t="shared" si="229"/>
        <v>2.9568103611886372</v>
      </c>
    </row>
    <row r="7354" spans="5:8" ht="15.6">
      <c r="E7354" s="279" t="s">
        <v>7680</v>
      </c>
      <c r="F7354" s="284">
        <f t="shared" ca="1" si="228"/>
        <v>0.47562199893167101</v>
      </c>
      <c r="G7354" s="74">
        <v>35.458529543546291</v>
      </c>
      <c r="H7354" s="74">
        <f t="shared" si="229"/>
        <v>5.0358707997862311</v>
      </c>
    </row>
    <row r="7355" spans="5:8" ht="15.6">
      <c r="E7355" s="279" t="s">
        <v>7681</v>
      </c>
      <c r="F7355" s="284">
        <f t="shared" ca="1" si="228"/>
        <v>0.47361884222274919</v>
      </c>
      <c r="G7355" s="74">
        <v>35.952952306050506</v>
      </c>
      <c r="H7355" s="74">
        <f t="shared" si="229"/>
        <v>4.5414480372820165</v>
      </c>
    </row>
    <row r="7356" spans="5:8" ht="15.6">
      <c r="E7356" s="279" t="s">
        <v>7682</v>
      </c>
      <c r="F7356" s="284">
        <f t="shared" ca="1" si="228"/>
        <v>0.64566516231276561</v>
      </c>
      <c r="G7356" s="74">
        <v>37.785093536011551</v>
      </c>
      <c r="H7356" s="74">
        <f t="shared" si="229"/>
        <v>2.7093068073209707</v>
      </c>
    </row>
    <row r="7357" spans="5:8" ht="15.6">
      <c r="E7357" s="279" t="s">
        <v>7683</v>
      </c>
      <c r="F7357" s="284">
        <f t="shared" ca="1" si="228"/>
        <v>0.46741468999996527</v>
      </c>
      <c r="G7357" s="74">
        <v>40.769384132861937</v>
      </c>
      <c r="H7357" s="74">
        <f t="shared" si="229"/>
        <v>-0.27498378952941493</v>
      </c>
    </row>
    <row r="7358" spans="5:8" ht="15.6">
      <c r="E7358" s="279" t="s">
        <v>7684</v>
      </c>
      <c r="F7358" s="284">
        <f t="shared" ca="1" si="228"/>
        <v>3.4605896013300885E-2</v>
      </c>
      <c r="G7358" s="74">
        <v>40.044629317486191</v>
      </c>
      <c r="H7358" s="74">
        <f t="shared" si="229"/>
        <v>0.44977102584633144</v>
      </c>
    </row>
    <row r="7359" spans="5:8" ht="15.6">
      <c r="E7359" s="279" t="s">
        <v>7685</v>
      </c>
      <c r="F7359" s="284">
        <f t="shared" ca="1" si="228"/>
        <v>0.649452617840244</v>
      </c>
      <c r="G7359" s="74">
        <v>43.198828391123392</v>
      </c>
      <c r="H7359" s="74">
        <f t="shared" si="229"/>
        <v>-2.70442804779087</v>
      </c>
    </row>
    <row r="7360" spans="5:8" ht="15.6">
      <c r="E7360" s="279" t="s">
        <v>7686</v>
      </c>
      <c r="F7360" s="284">
        <f t="shared" ca="1" si="228"/>
        <v>0.96012146464582748</v>
      </c>
      <c r="G7360" s="74">
        <v>44.531927636111256</v>
      </c>
      <c r="H7360" s="74">
        <f t="shared" si="229"/>
        <v>-4.0375272927787336</v>
      </c>
    </row>
    <row r="7361" spans="5:8" ht="15.6">
      <c r="E7361" s="279" t="s">
        <v>7687</v>
      </c>
      <c r="F7361" s="284">
        <f t="shared" ca="1" si="228"/>
        <v>0.95129235722607774</v>
      </c>
      <c r="G7361" s="74">
        <v>38.813943332711133</v>
      </c>
      <c r="H7361" s="74">
        <f t="shared" si="229"/>
        <v>1.6804570106213887</v>
      </c>
    </row>
    <row r="7362" spans="5:8" ht="15.6">
      <c r="E7362" s="279" t="s">
        <v>7688</v>
      </c>
      <c r="F7362" s="284">
        <f t="shared" ca="1" si="228"/>
        <v>0.96154603041089537</v>
      </c>
      <c r="G7362" s="74">
        <v>35.132888843421981</v>
      </c>
      <c r="H7362" s="74">
        <f t="shared" si="229"/>
        <v>5.3615114999105415</v>
      </c>
    </row>
    <row r="7363" spans="5:8" ht="15.6">
      <c r="E7363" s="279" t="s">
        <v>7689</v>
      </c>
      <c r="F7363" s="284">
        <f t="shared" ca="1" si="228"/>
        <v>0.83778765528200128</v>
      </c>
      <c r="G7363" s="74">
        <v>41.383560824970623</v>
      </c>
      <c r="H7363" s="74">
        <f t="shared" si="229"/>
        <v>-0.88916048163810046</v>
      </c>
    </row>
    <row r="7364" spans="5:8" ht="15.6">
      <c r="E7364" s="279" t="s">
        <v>7690</v>
      </c>
      <c r="F7364" s="284">
        <f t="shared" ca="1" si="228"/>
        <v>0.39844550520648081</v>
      </c>
      <c r="G7364" s="74">
        <v>40.446395922375117</v>
      </c>
      <c r="H7364" s="74">
        <f t="shared" si="229"/>
        <v>4.8004420957404648E-2</v>
      </c>
    </row>
    <row r="7365" spans="5:8" ht="15.6">
      <c r="E7365" s="279" t="s">
        <v>7691</v>
      </c>
      <c r="F7365" s="284">
        <f t="shared" ca="1" si="228"/>
        <v>0.41975693658083435</v>
      </c>
      <c r="G7365" s="74">
        <v>40.86385027515459</v>
      </c>
      <c r="H7365" s="74">
        <f t="shared" si="229"/>
        <v>-0.36944993182206787</v>
      </c>
    </row>
    <row r="7366" spans="5:8" ht="15.6">
      <c r="E7366" s="279" t="s">
        <v>7692</v>
      </c>
      <c r="F7366" s="284">
        <f t="shared" ca="1" si="228"/>
        <v>0.41425610346468456</v>
      </c>
      <c r="G7366" s="74">
        <v>38.749626809163836</v>
      </c>
      <c r="H7366" s="74">
        <f t="shared" si="229"/>
        <v>1.7447735341686865</v>
      </c>
    </row>
    <row r="7367" spans="5:8" ht="15.6">
      <c r="E7367" s="279" t="s">
        <v>7693</v>
      </c>
      <c r="F7367" s="284">
        <f t="shared" ca="1" si="228"/>
        <v>0.82192809846461712</v>
      </c>
      <c r="G7367" s="74">
        <v>36.305226050090937</v>
      </c>
      <c r="H7367" s="74">
        <f t="shared" si="229"/>
        <v>4.1891742932415852</v>
      </c>
    </row>
    <row r="7368" spans="5:8" ht="15.6">
      <c r="E7368" s="279" t="s">
        <v>7694</v>
      </c>
      <c r="F7368" s="284">
        <f t="shared" ca="1" si="228"/>
        <v>0.47966094192977815</v>
      </c>
      <c r="G7368" s="74">
        <v>40.062455993509239</v>
      </c>
      <c r="H7368" s="74">
        <f t="shared" si="229"/>
        <v>0.43194434982328289</v>
      </c>
    </row>
    <row r="7369" spans="5:8" ht="15.6">
      <c r="E7369" s="279" t="s">
        <v>7695</v>
      </c>
      <c r="F7369" s="284">
        <f t="shared" ca="1" si="228"/>
        <v>8.3988188809821618E-2</v>
      </c>
      <c r="G7369" s="74">
        <v>39.324855125313391</v>
      </c>
      <c r="H7369" s="74">
        <f t="shared" si="229"/>
        <v>1.169545218019131</v>
      </c>
    </row>
    <row r="7370" spans="5:8" ht="15.6">
      <c r="E7370" s="279" t="s">
        <v>7696</v>
      </c>
      <c r="F7370" s="284">
        <f t="shared" ca="1" si="228"/>
        <v>0.20859487459420312</v>
      </c>
      <c r="G7370" s="74">
        <v>42.31067215220552</v>
      </c>
      <c r="H7370" s="74">
        <f t="shared" si="229"/>
        <v>-1.8162718088729974</v>
      </c>
    </row>
    <row r="7371" spans="5:8" ht="15.6">
      <c r="E7371" s="279" t="s">
        <v>7697</v>
      </c>
      <c r="F7371" s="284">
        <f t="shared" ca="1" si="228"/>
        <v>0.26304213889736339</v>
      </c>
      <c r="G7371" s="74">
        <v>39.720846929823161</v>
      </c>
      <c r="H7371" s="74">
        <f t="shared" si="229"/>
        <v>0.77355341350936158</v>
      </c>
    </row>
    <row r="7372" spans="5:8" ht="15.6">
      <c r="E7372" s="279" t="s">
        <v>7698</v>
      </c>
      <c r="F7372" s="284">
        <f t="shared" ref="F7372:F7435" ca="1" si="230">RAND()</f>
        <v>0.98808642511575873</v>
      </c>
      <c r="G7372" s="74">
        <v>35.874251056524436</v>
      </c>
      <c r="H7372" s="74">
        <f t="shared" ref="H7372:H7435" si="231">$D$2-G7372</f>
        <v>4.6201492868080862</v>
      </c>
    </row>
    <row r="7373" spans="5:8" ht="15.6">
      <c r="E7373" s="279" t="s">
        <v>7699</v>
      </c>
      <c r="F7373" s="284">
        <f t="shared" ca="1" si="230"/>
        <v>0.32750656432726921</v>
      </c>
      <c r="G7373" s="74">
        <v>40.434268332458601</v>
      </c>
      <c r="H7373" s="74">
        <f t="shared" si="231"/>
        <v>6.0132010873921615E-2</v>
      </c>
    </row>
    <row r="7374" spans="5:8" ht="15.6">
      <c r="E7374" s="279" t="s">
        <v>7700</v>
      </c>
      <c r="F7374" s="284">
        <f t="shared" ca="1" si="230"/>
        <v>0.94459075067142173</v>
      </c>
      <c r="G7374" s="74">
        <v>37.667983228681841</v>
      </c>
      <c r="H7374" s="74">
        <f t="shared" si="231"/>
        <v>2.8264171146506811</v>
      </c>
    </row>
    <row r="7375" spans="5:8" ht="15.6">
      <c r="E7375" s="279" t="s">
        <v>7701</v>
      </c>
      <c r="F7375" s="284">
        <f t="shared" ca="1" si="230"/>
        <v>2.6155215388266262E-2</v>
      </c>
      <c r="G7375" s="74">
        <v>40.192430305638432</v>
      </c>
      <c r="H7375" s="74">
        <f t="shared" si="231"/>
        <v>0.30197003769409037</v>
      </c>
    </row>
    <row r="7376" spans="5:8" ht="15.6">
      <c r="E7376" s="279" t="s">
        <v>7702</v>
      </c>
      <c r="F7376" s="284">
        <f t="shared" ca="1" si="230"/>
        <v>0.12522809045609751</v>
      </c>
      <c r="G7376" s="74">
        <v>43.798885938838268</v>
      </c>
      <c r="H7376" s="74">
        <f t="shared" si="231"/>
        <v>-3.3044855955057457</v>
      </c>
    </row>
    <row r="7377" spans="5:8" ht="15.6">
      <c r="E7377" s="279" t="s">
        <v>7703</v>
      </c>
      <c r="F7377" s="284">
        <f t="shared" ca="1" si="230"/>
        <v>0.38043871218502268</v>
      </c>
      <c r="G7377" s="74">
        <v>38.215763644084284</v>
      </c>
      <c r="H7377" s="74">
        <f t="shared" si="231"/>
        <v>2.2786366992482385</v>
      </c>
    </row>
    <row r="7378" spans="5:8" ht="15.6">
      <c r="E7378" s="279" t="s">
        <v>7704</v>
      </c>
      <c r="F7378" s="284">
        <f t="shared" ca="1" si="230"/>
        <v>0.83259641546759455</v>
      </c>
      <c r="G7378" s="74">
        <v>46.854683398818231</v>
      </c>
      <c r="H7378" s="74">
        <f t="shared" si="231"/>
        <v>-6.3602830554857093</v>
      </c>
    </row>
    <row r="7379" spans="5:8" ht="15.6">
      <c r="E7379" s="279" t="s">
        <v>7705</v>
      </c>
      <c r="F7379" s="284">
        <f t="shared" ca="1" si="230"/>
        <v>0.93606513843199624</v>
      </c>
      <c r="G7379" s="74">
        <v>40.249603958159462</v>
      </c>
      <c r="H7379" s="74">
        <f t="shared" si="231"/>
        <v>0.24479638517306057</v>
      </c>
    </row>
    <row r="7380" spans="5:8" ht="15.6">
      <c r="E7380" s="279" t="s">
        <v>7706</v>
      </c>
      <c r="F7380" s="284">
        <f t="shared" ca="1" si="230"/>
        <v>0.77871788901606853</v>
      </c>
      <c r="G7380" s="74">
        <v>42.084371807371021</v>
      </c>
      <c r="H7380" s="74">
        <f t="shared" si="231"/>
        <v>-1.5899714640384985</v>
      </c>
    </row>
    <row r="7381" spans="5:8" ht="15.6">
      <c r="E7381" s="279" t="s">
        <v>7707</v>
      </c>
      <c r="F7381" s="284">
        <f t="shared" ca="1" si="230"/>
        <v>0.31259792440262479</v>
      </c>
      <c r="G7381" s="74">
        <v>42.028989237870185</v>
      </c>
      <c r="H7381" s="74">
        <f t="shared" si="231"/>
        <v>-1.5345888945376629</v>
      </c>
    </row>
    <row r="7382" spans="5:8" ht="15.6">
      <c r="E7382" s="279" t="s">
        <v>7708</v>
      </c>
      <c r="F7382" s="284">
        <f t="shared" ca="1" si="230"/>
        <v>0.37103766692510021</v>
      </c>
      <c r="G7382" s="74">
        <v>39.034247024832148</v>
      </c>
      <c r="H7382" s="74">
        <f t="shared" si="231"/>
        <v>1.4601533185003746</v>
      </c>
    </row>
    <row r="7383" spans="5:8" ht="15.6">
      <c r="E7383" s="279" t="s">
        <v>7709</v>
      </c>
      <c r="F7383" s="284">
        <f t="shared" ca="1" si="230"/>
        <v>0.31786053519222657</v>
      </c>
      <c r="G7383" s="74">
        <v>35.241266505630868</v>
      </c>
      <c r="H7383" s="74">
        <f t="shared" si="231"/>
        <v>5.2531338377016539</v>
      </c>
    </row>
    <row r="7384" spans="5:8" ht="15.6">
      <c r="E7384" s="279" t="s">
        <v>7710</v>
      </c>
      <c r="F7384" s="284">
        <f t="shared" ca="1" si="230"/>
        <v>0.71679248881893343</v>
      </c>
      <c r="G7384" s="74">
        <v>38.031720176970701</v>
      </c>
      <c r="H7384" s="74">
        <f t="shared" si="231"/>
        <v>2.462680166361821</v>
      </c>
    </row>
    <row r="7385" spans="5:8" ht="15.6">
      <c r="E7385" s="279" t="s">
        <v>7711</v>
      </c>
      <c r="F7385" s="284">
        <f t="shared" ca="1" si="230"/>
        <v>0.15888310453862475</v>
      </c>
      <c r="G7385" s="74">
        <v>32.850662226579566</v>
      </c>
      <c r="H7385" s="74">
        <f t="shared" si="231"/>
        <v>7.6437381167529566</v>
      </c>
    </row>
    <row r="7386" spans="5:8" ht="15.6">
      <c r="E7386" s="279" t="s">
        <v>7712</v>
      </c>
      <c r="F7386" s="284">
        <f t="shared" ca="1" si="230"/>
        <v>0.13442639055777938</v>
      </c>
      <c r="G7386" s="74">
        <v>39.915610545604771</v>
      </c>
      <c r="H7386" s="74">
        <f t="shared" si="231"/>
        <v>0.57878979772775097</v>
      </c>
    </row>
    <row r="7387" spans="5:8" ht="15.6">
      <c r="E7387" s="279" t="s">
        <v>7713</v>
      </c>
      <c r="F7387" s="284">
        <f t="shared" ca="1" si="230"/>
        <v>0.40164821914923299</v>
      </c>
      <c r="G7387" s="74">
        <v>38.298812513188551</v>
      </c>
      <c r="H7387" s="74">
        <f t="shared" si="231"/>
        <v>2.1955878301439711</v>
      </c>
    </row>
    <row r="7388" spans="5:8" ht="15.6">
      <c r="E7388" s="279" t="s">
        <v>7714</v>
      </c>
      <c r="F7388" s="284">
        <f t="shared" ca="1" si="230"/>
        <v>0.22208273033466464</v>
      </c>
      <c r="G7388" s="74">
        <v>39.912572699786814</v>
      </c>
      <c r="H7388" s="74">
        <f t="shared" si="231"/>
        <v>0.58182764354570793</v>
      </c>
    </row>
    <row r="7389" spans="5:8" ht="15.6">
      <c r="E7389" s="279" t="s">
        <v>7715</v>
      </c>
      <c r="F7389" s="284">
        <f t="shared" ca="1" si="230"/>
        <v>0.19015080687501118</v>
      </c>
      <c r="G7389" s="74">
        <v>41.03327039166038</v>
      </c>
      <c r="H7389" s="74">
        <f t="shared" si="231"/>
        <v>-0.53887004832785834</v>
      </c>
    </row>
    <row r="7390" spans="5:8" ht="15.6">
      <c r="E7390" s="279" t="s">
        <v>7716</v>
      </c>
      <c r="F7390" s="284">
        <f t="shared" ca="1" si="230"/>
        <v>0.8687475946729567</v>
      </c>
      <c r="G7390" s="74">
        <v>38.452166778923988</v>
      </c>
      <c r="H7390" s="74">
        <f t="shared" si="231"/>
        <v>2.0422335644085337</v>
      </c>
    </row>
    <row r="7391" spans="5:8" ht="15.6">
      <c r="E7391" s="279" t="s">
        <v>7717</v>
      </c>
      <c r="F7391" s="284">
        <f t="shared" ca="1" si="230"/>
        <v>0.71147392034510937</v>
      </c>
      <c r="G7391" s="74">
        <v>40.41640044523227</v>
      </c>
      <c r="H7391" s="74">
        <f t="shared" si="231"/>
        <v>7.7999898100252096E-2</v>
      </c>
    </row>
    <row r="7392" spans="5:8" ht="15.6">
      <c r="E7392" s="279" t="s">
        <v>7718</v>
      </c>
      <c r="F7392" s="284">
        <f t="shared" ca="1" si="230"/>
        <v>5.5575961056501311E-2</v>
      </c>
      <c r="G7392" s="74">
        <v>35.666196054270863</v>
      </c>
      <c r="H7392" s="74">
        <f t="shared" si="231"/>
        <v>4.8282042890616594</v>
      </c>
    </row>
    <row r="7393" spans="5:8" ht="15.6">
      <c r="E7393" s="279" t="s">
        <v>7719</v>
      </c>
      <c r="F7393" s="284">
        <f t="shared" ca="1" si="230"/>
        <v>0.28642878453982401</v>
      </c>
      <c r="G7393" s="74">
        <v>44.132445840918386</v>
      </c>
      <c r="H7393" s="74">
        <f t="shared" si="231"/>
        <v>-3.638045497585864</v>
      </c>
    </row>
    <row r="7394" spans="5:8" ht="15.6">
      <c r="E7394" s="279" t="s">
        <v>7720</v>
      </c>
      <c r="F7394" s="284">
        <f t="shared" ca="1" si="230"/>
        <v>0.74762428658752444</v>
      </c>
      <c r="G7394" s="74">
        <v>41.194870971646608</v>
      </c>
      <c r="H7394" s="74">
        <f t="shared" si="231"/>
        <v>-0.70047062831408624</v>
      </c>
    </row>
    <row r="7395" spans="5:8" ht="15.6">
      <c r="E7395" s="279" t="s">
        <v>7721</v>
      </c>
      <c r="F7395" s="284">
        <f t="shared" ca="1" si="230"/>
        <v>0.71032069495815353</v>
      </c>
      <c r="G7395" s="74">
        <v>36.842128100992959</v>
      </c>
      <c r="H7395" s="74">
        <f t="shared" si="231"/>
        <v>3.6522722423395635</v>
      </c>
    </row>
    <row r="7396" spans="5:8" ht="15.6">
      <c r="E7396" s="279" t="s">
        <v>7722</v>
      </c>
      <c r="F7396" s="284">
        <f t="shared" ca="1" si="230"/>
        <v>0.38144454709946529</v>
      </c>
      <c r="G7396" s="74">
        <v>44.471123389003004</v>
      </c>
      <c r="H7396" s="74">
        <f t="shared" si="231"/>
        <v>-3.9767230456704823</v>
      </c>
    </row>
    <row r="7397" spans="5:8" ht="15.6">
      <c r="E7397" s="279" t="s">
        <v>7723</v>
      </c>
      <c r="F7397" s="284">
        <f t="shared" ca="1" si="230"/>
        <v>0.92169074772717952</v>
      </c>
      <c r="G7397" s="74">
        <v>40.184685845989947</v>
      </c>
      <c r="H7397" s="74">
        <f t="shared" si="231"/>
        <v>0.30971449734257561</v>
      </c>
    </row>
    <row r="7398" spans="5:8" ht="15.6">
      <c r="E7398" s="279" t="s">
        <v>7724</v>
      </c>
      <c r="F7398" s="284">
        <f t="shared" ca="1" si="230"/>
        <v>0.19612079388555559</v>
      </c>
      <c r="G7398" s="74">
        <v>40.955492294157864</v>
      </c>
      <c r="H7398" s="74">
        <f t="shared" si="231"/>
        <v>-0.46109195082534171</v>
      </c>
    </row>
    <row r="7399" spans="5:8" ht="15.6">
      <c r="E7399" s="279" t="s">
        <v>7725</v>
      </c>
      <c r="F7399" s="284">
        <f t="shared" ca="1" si="230"/>
        <v>0.1832649635810587</v>
      </c>
      <c r="G7399" s="74">
        <v>42.881630552134624</v>
      </c>
      <c r="H7399" s="74">
        <f t="shared" si="231"/>
        <v>-2.3872302088021016</v>
      </c>
    </row>
    <row r="7400" spans="5:8" ht="15.6">
      <c r="E7400" s="279" t="s">
        <v>7726</v>
      </c>
      <c r="F7400" s="284">
        <f t="shared" ca="1" si="230"/>
        <v>0.27297275308720259</v>
      </c>
      <c r="G7400" s="74">
        <v>39.858675572087947</v>
      </c>
      <c r="H7400" s="74">
        <f t="shared" si="231"/>
        <v>0.63572477124457549</v>
      </c>
    </row>
    <row r="7401" spans="5:8" ht="15.6">
      <c r="E7401" s="279" t="s">
        <v>7727</v>
      </c>
      <c r="F7401" s="284">
        <f t="shared" ca="1" si="230"/>
        <v>0.47512305185648374</v>
      </c>
      <c r="G7401" s="74">
        <v>33.457753185816038</v>
      </c>
      <c r="H7401" s="74">
        <f t="shared" si="231"/>
        <v>7.0366471575164837</v>
      </c>
    </row>
    <row r="7402" spans="5:8" ht="15.6">
      <c r="E7402" s="279" t="s">
        <v>7728</v>
      </c>
      <c r="F7402" s="284">
        <f t="shared" ca="1" si="230"/>
        <v>0.10880106521480126</v>
      </c>
      <c r="G7402" s="74">
        <v>36.509167179916822</v>
      </c>
      <c r="H7402" s="74">
        <f t="shared" si="231"/>
        <v>3.9852331634156997</v>
      </c>
    </row>
    <row r="7403" spans="5:8" ht="15.6">
      <c r="E7403" s="279" t="s">
        <v>7729</v>
      </c>
      <c r="F7403" s="284">
        <f t="shared" ca="1" si="230"/>
        <v>2.4861458367932965E-3</v>
      </c>
      <c r="G7403" s="74">
        <v>42.224047662305075</v>
      </c>
      <c r="H7403" s="74">
        <f t="shared" si="231"/>
        <v>-1.7296473189725532</v>
      </c>
    </row>
    <row r="7404" spans="5:8" ht="15.6">
      <c r="E7404" s="279" t="s">
        <v>7730</v>
      </c>
      <c r="F7404" s="284">
        <f t="shared" ca="1" si="230"/>
        <v>0.92817835924493974</v>
      </c>
      <c r="G7404" s="74">
        <v>39.005753622224731</v>
      </c>
      <c r="H7404" s="74">
        <f t="shared" si="231"/>
        <v>1.4886467211077914</v>
      </c>
    </row>
    <row r="7405" spans="5:8" ht="15.6">
      <c r="E7405" s="279" t="s">
        <v>7731</v>
      </c>
      <c r="F7405" s="284">
        <f t="shared" ca="1" si="230"/>
        <v>0.95302996348363933</v>
      </c>
      <c r="G7405" s="74">
        <v>45.37854841784317</v>
      </c>
      <c r="H7405" s="74">
        <f t="shared" si="231"/>
        <v>-4.884148074510648</v>
      </c>
    </row>
    <row r="7406" spans="5:8" ht="15.6">
      <c r="E7406" s="279" t="s">
        <v>7732</v>
      </c>
      <c r="F7406" s="284">
        <f t="shared" ca="1" si="230"/>
        <v>0.53234588878767464</v>
      </c>
      <c r="G7406" s="74">
        <v>41.965263405810298</v>
      </c>
      <c r="H7406" s="74">
        <f t="shared" si="231"/>
        <v>-1.4708630624777754</v>
      </c>
    </row>
    <row r="7407" spans="5:8" ht="15.6">
      <c r="E7407" s="279" t="s">
        <v>7733</v>
      </c>
      <c r="F7407" s="284">
        <f t="shared" ca="1" si="230"/>
        <v>0.97510148049178447</v>
      </c>
      <c r="G7407" s="74">
        <v>37.081386029460482</v>
      </c>
      <c r="H7407" s="74">
        <f t="shared" si="231"/>
        <v>3.4130143138720399</v>
      </c>
    </row>
    <row r="7408" spans="5:8" ht="15.6">
      <c r="E7408" s="279" t="s">
        <v>7734</v>
      </c>
      <c r="F7408" s="284">
        <f t="shared" ca="1" si="230"/>
        <v>0.1075604323733983</v>
      </c>
      <c r="G7408" s="74">
        <v>39.331486811384387</v>
      </c>
      <c r="H7408" s="74">
        <f t="shared" si="231"/>
        <v>1.162913531948135</v>
      </c>
    </row>
    <row r="7409" spans="5:8" ht="15.6">
      <c r="E7409" s="279" t="s">
        <v>7735</v>
      </c>
      <c r="F7409" s="284">
        <f t="shared" ca="1" si="230"/>
        <v>0.87204872811400214</v>
      </c>
      <c r="G7409" s="74">
        <v>36.926186354569928</v>
      </c>
      <c r="H7409" s="74">
        <f t="shared" si="231"/>
        <v>3.5682139887625937</v>
      </c>
    </row>
    <row r="7410" spans="5:8" ht="15.6">
      <c r="E7410" s="279" t="s">
        <v>7736</v>
      </c>
      <c r="F7410" s="284">
        <f t="shared" ca="1" si="230"/>
        <v>0.43836078187385719</v>
      </c>
      <c r="G7410" s="74">
        <v>39.100440644602095</v>
      </c>
      <c r="H7410" s="74">
        <f t="shared" si="231"/>
        <v>1.393959698730427</v>
      </c>
    </row>
    <row r="7411" spans="5:8" ht="15.6">
      <c r="E7411" s="279" t="s">
        <v>7737</v>
      </c>
      <c r="F7411" s="284">
        <f t="shared" ca="1" si="230"/>
        <v>0.52868590529972737</v>
      </c>
      <c r="G7411" s="74">
        <v>41.620883614384468</v>
      </c>
      <c r="H7411" s="74">
        <f t="shared" si="231"/>
        <v>-1.1264832710519457</v>
      </c>
    </row>
    <row r="7412" spans="5:8" ht="15.6">
      <c r="E7412" s="279" t="s">
        <v>7738</v>
      </c>
      <c r="F7412" s="284">
        <f t="shared" ca="1" si="230"/>
        <v>0.55994698450972935</v>
      </c>
      <c r="G7412" s="74">
        <v>40.36020137193907</v>
      </c>
      <c r="H7412" s="74">
        <f t="shared" si="231"/>
        <v>0.13419897139345238</v>
      </c>
    </row>
    <row r="7413" spans="5:8" ht="15.6">
      <c r="E7413" s="279" t="s">
        <v>7739</v>
      </c>
      <c r="F7413" s="284">
        <f t="shared" ca="1" si="230"/>
        <v>0.43400696657748628</v>
      </c>
      <c r="G7413" s="74">
        <v>44.210048058575914</v>
      </c>
      <c r="H7413" s="74">
        <f t="shared" si="231"/>
        <v>-3.7156477152433922</v>
      </c>
    </row>
    <row r="7414" spans="5:8" ht="15.6">
      <c r="E7414" s="279" t="s">
        <v>7740</v>
      </c>
      <c r="F7414" s="284">
        <f t="shared" ca="1" si="230"/>
        <v>0.77665069493280714</v>
      </c>
      <c r="G7414" s="74">
        <v>35.23954760664823</v>
      </c>
      <c r="H7414" s="74">
        <f t="shared" si="231"/>
        <v>5.2548527366842919</v>
      </c>
    </row>
    <row r="7415" spans="5:8" ht="15.6">
      <c r="E7415" s="279" t="s">
        <v>7741</v>
      </c>
      <c r="F7415" s="284">
        <f t="shared" ca="1" si="230"/>
        <v>5.9603343899277128E-3</v>
      </c>
      <c r="G7415" s="74">
        <v>38.074615465100123</v>
      </c>
      <c r="H7415" s="74">
        <f t="shared" si="231"/>
        <v>2.4197848782323987</v>
      </c>
    </row>
    <row r="7416" spans="5:8" ht="15.6">
      <c r="E7416" s="279" t="s">
        <v>7742</v>
      </c>
      <c r="F7416" s="284">
        <f t="shared" ca="1" si="230"/>
        <v>0.27587855954209684</v>
      </c>
      <c r="G7416" s="74">
        <v>35.804600855161254</v>
      </c>
      <c r="H7416" s="74">
        <f t="shared" si="231"/>
        <v>4.6897994881712677</v>
      </c>
    </row>
    <row r="7417" spans="5:8" ht="15.6">
      <c r="E7417" s="279" t="s">
        <v>7743</v>
      </c>
      <c r="F7417" s="284">
        <f t="shared" ca="1" si="230"/>
        <v>0.13043952803050884</v>
      </c>
      <c r="G7417" s="74">
        <v>39.046268776427716</v>
      </c>
      <c r="H7417" s="74">
        <f t="shared" si="231"/>
        <v>1.4481315669048058</v>
      </c>
    </row>
    <row r="7418" spans="5:8" ht="15.6">
      <c r="E7418" s="279" t="s">
        <v>7744</v>
      </c>
      <c r="F7418" s="284">
        <f t="shared" ca="1" si="230"/>
        <v>0.7443962642369133</v>
      </c>
      <c r="G7418" s="74">
        <v>40.457219764972521</v>
      </c>
      <c r="H7418" s="74">
        <f t="shared" si="231"/>
        <v>3.7180578360000993E-2</v>
      </c>
    </row>
    <row r="7419" spans="5:8" ht="15.6">
      <c r="E7419" s="279" t="s">
        <v>7745</v>
      </c>
      <c r="F7419" s="284">
        <f t="shared" ca="1" si="230"/>
        <v>0.85538976672281519</v>
      </c>
      <c r="G7419" s="74">
        <v>39.647639531031309</v>
      </c>
      <c r="H7419" s="74">
        <f t="shared" si="231"/>
        <v>0.8467608123012127</v>
      </c>
    </row>
    <row r="7420" spans="5:8" ht="15.6">
      <c r="E7420" s="279" t="s">
        <v>7746</v>
      </c>
      <c r="F7420" s="284">
        <f t="shared" ca="1" si="230"/>
        <v>0.29010110994505367</v>
      </c>
      <c r="G7420" s="74">
        <v>41.506423502650811</v>
      </c>
      <c r="H7420" s="74">
        <f t="shared" si="231"/>
        <v>-1.0120231593182893</v>
      </c>
    </row>
    <row r="7421" spans="5:8" ht="15.6">
      <c r="E7421" s="279" t="s">
        <v>7747</v>
      </c>
      <c r="F7421" s="284">
        <f t="shared" ca="1" si="230"/>
        <v>2.2744764230786862E-2</v>
      </c>
      <c r="G7421" s="74">
        <v>35.142787248599582</v>
      </c>
      <c r="H7421" s="74">
        <f t="shared" si="231"/>
        <v>5.3516130947329401</v>
      </c>
    </row>
    <row r="7422" spans="5:8" ht="15.6">
      <c r="E7422" s="279" t="s">
        <v>7748</v>
      </c>
      <c r="F7422" s="284">
        <f t="shared" ca="1" si="230"/>
        <v>0.73521699408616326</v>
      </c>
      <c r="G7422" s="74">
        <v>41.149063354041793</v>
      </c>
      <c r="H7422" s="74">
        <f t="shared" si="231"/>
        <v>-0.65466301070927102</v>
      </c>
    </row>
    <row r="7423" spans="5:8" ht="15.6">
      <c r="E7423" s="279" t="s">
        <v>7749</v>
      </c>
      <c r="F7423" s="284">
        <f t="shared" ca="1" si="230"/>
        <v>0.31954798461842093</v>
      </c>
      <c r="G7423" s="74">
        <v>40.847048244142421</v>
      </c>
      <c r="H7423" s="74">
        <f t="shared" si="231"/>
        <v>-0.35264790080989883</v>
      </c>
    </row>
    <row r="7424" spans="5:8" ht="15.6">
      <c r="E7424" s="279" t="s">
        <v>7750</v>
      </c>
      <c r="F7424" s="284">
        <f t="shared" ca="1" si="230"/>
        <v>0.17202329173488673</v>
      </c>
      <c r="G7424" s="74">
        <v>39.227398650718719</v>
      </c>
      <c r="H7424" s="74">
        <f t="shared" si="231"/>
        <v>1.2670016926138032</v>
      </c>
    </row>
    <row r="7425" spans="5:8" ht="15.6">
      <c r="E7425" s="279" t="s">
        <v>7751</v>
      </c>
      <c r="F7425" s="284">
        <f t="shared" ca="1" si="230"/>
        <v>0.69751042936638008</v>
      </c>
      <c r="G7425" s="74">
        <v>39.893060629919198</v>
      </c>
      <c r="H7425" s="74">
        <f t="shared" si="231"/>
        <v>0.60133971341332426</v>
      </c>
    </row>
    <row r="7426" spans="5:8" ht="15.6">
      <c r="E7426" s="279" t="s">
        <v>7752</v>
      </c>
      <c r="F7426" s="284">
        <f t="shared" ca="1" si="230"/>
        <v>0.95962402539691638</v>
      </c>
      <c r="G7426" s="74">
        <v>39.607783124542678</v>
      </c>
      <c r="H7426" s="74">
        <f t="shared" si="231"/>
        <v>0.88661721878984423</v>
      </c>
    </row>
    <row r="7427" spans="5:8" ht="15.6">
      <c r="E7427" s="279" t="s">
        <v>7753</v>
      </c>
      <c r="F7427" s="284">
        <f t="shared" ca="1" si="230"/>
        <v>0.17768901287096195</v>
      </c>
      <c r="G7427" s="74">
        <v>38.636494863899692</v>
      </c>
      <c r="H7427" s="74">
        <f t="shared" si="231"/>
        <v>1.85790547943283</v>
      </c>
    </row>
    <row r="7428" spans="5:8" ht="15.6">
      <c r="E7428" s="279" t="s">
        <v>7754</v>
      </c>
      <c r="F7428" s="284">
        <f t="shared" ca="1" si="230"/>
        <v>0.39121829555988863</v>
      </c>
      <c r="G7428" s="74">
        <v>41.115355813970723</v>
      </c>
      <c r="H7428" s="74">
        <f t="shared" si="231"/>
        <v>-0.62095547063820078</v>
      </c>
    </row>
    <row r="7429" spans="5:8" ht="15.6">
      <c r="E7429" s="279" t="s">
        <v>7755</v>
      </c>
      <c r="F7429" s="284">
        <f t="shared" ca="1" si="230"/>
        <v>0.58266889438920833</v>
      </c>
      <c r="G7429" s="74">
        <v>39.882699021466983</v>
      </c>
      <c r="H7429" s="74">
        <f t="shared" si="231"/>
        <v>0.61170132186553872</v>
      </c>
    </row>
    <row r="7430" spans="5:8" ht="15.6">
      <c r="E7430" s="279" t="s">
        <v>7756</v>
      </c>
      <c r="F7430" s="284">
        <f t="shared" ca="1" si="230"/>
        <v>0.41659061863111335</v>
      </c>
      <c r="G7430" s="74">
        <v>38.157572615549185</v>
      </c>
      <c r="H7430" s="74">
        <f t="shared" si="231"/>
        <v>2.3368277277833371</v>
      </c>
    </row>
    <row r="7431" spans="5:8" ht="15.6">
      <c r="E7431" s="279" t="s">
        <v>7757</v>
      </c>
      <c r="F7431" s="284">
        <f t="shared" ca="1" si="230"/>
        <v>0.37912753291275114</v>
      </c>
      <c r="G7431" s="74">
        <v>40.827774691041412</v>
      </c>
      <c r="H7431" s="74">
        <f t="shared" si="231"/>
        <v>-0.33337434770889018</v>
      </c>
    </row>
    <row r="7432" spans="5:8" ht="15.6">
      <c r="E7432" s="279" t="s">
        <v>7758</v>
      </c>
      <c r="F7432" s="284">
        <f t="shared" ca="1" si="230"/>
        <v>0.72355323451371922</v>
      </c>
      <c r="G7432" s="74">
        <v>39.96150412765769</v>
      </c>
      <c r="H7432" s="74">
        <f t="shared" si="231"/>
        <v>0.53289621567483181</v>
      </c>
    </row>
    <row r="7433" spans="5:8" ht="15.6">
      <c r="E7433" s="279" t="s">
        <v>7759</v>
      </c>
      <c r="F7433" s="284">
        <f t="shared" ca="1" si="230"/>
        <v>0.6535095529458016</v>
      </c>
      <c r="G7433" s="74">
        <v>37.395730896223391</v>
      </c>
      <c r="H7433" s="74">
        <f t="shared" si="231"/>
        <v>3.0986694471091312</v>
      </c>
    </row>
    <row r="7434" spans="5:8" ht="15.6">
      <c r="E7434" s="279" t="s">
        <v>7760</v>
      </c>
      <c r="F7434" s="284">
        <f t="shared" ca="1" si="230"/>
        <v>0.88585511580966392</v>
      </c>
      <c r="G7434" s="74">
        <v>38.108542240332881</v>
      </c>
      <c r="H7434" s="74">
        <f t="shared" si="231"/>
        <v>2.3858581029996415</v>
      </c>
    </row>
    <row r="7435" spans="5:8" ht="15.6">
      <c r="E7435" s="279" t="s">
        <v>7761</v>
      </c>
      <c r="F7435" s="284">
        <f t="shared" ca="1" si="230"/>
        <v>0.68196784551312006</v>
      </c>
      <c r="G7435" s="74">
        <v>41.854671730001499</v>
      </c>
      <c r="H7435" s="74">
        <f t="shared" si="231"/>
        <v>-1.3602713866689768</v>
      </c>
    </row>
    <row r="7436" spans="5:8" ht="15.6">
      <c r="E7436" s="279" t="s">
        <v>7762</v>
      </c>
      <c r="F7436" s="284">
        <f t="shared" ref="F7436:F7499" ca="1" si="232">RAND()</f>
        <v>0.31960034957022088</v>
      </c>
      <c r="G7436" s="74">
        <v>41.104941156886049</v>
      </c>
      <c r="H7436" s="74">
        <f t="shared" ref="H7436:H7499" si="233">$D$2-G7436</f>
        <v>-0.61054081355352707</v>
      </c>
    </row>
    <row r="7437" spans="5:8" ht="15.6">
      <c r="E7437" s="279" t="s">
        <v>7763</v>
      </c>
      <c r="F7437" s="284">
        <f t="shared" ca="1" si="232"/>
        <v>0.99952237628669627</v>
      </c>
      <c r="G7437" s="74">
        <v>44.834902070844393</v>
      </c>
      <c r="H7437" s="74">
        <f t="shared" si="233"/>
        <v>-4.3405017275118709</v>
      </c>
    </row>
    <row r="7438" spans="5:8" ht="15.6">
      <c r="E7438" s="279" t="s">
        <v>7764</v>
      </c>
      <c r="F7438" s="284">
        <f t="shared" ca="1" si="232"/>
        <v>0.82185555520009024</v>
      </c>
      <c r="G7438" s="74">
        <v>36.481913018325052</v>
      </c>
      <c r="H7438" s="74">
        <f t="shared" si="233"/>
        <v>4.01248732500747</v>
      </c>
    </row>
    <row r="7439" spans="5:8" ht="15.6">
      <c r="E7439" s="279" t="s">
        <v>7765</v>
      </c>
      <c r="F7439" s="284">
        <f t="shared" ca="1" si="232"/>
        <v>0.65551872577710557</v>
      </c>
      <c r="G7439" s="74">
        <v>42.983904471197896</v>
      </c>
      <c r="H7439" s="74">
        <f t="shared" si="233"/>
        <v>-2.4895041278653736</v>
      </c>
    </row>
    <row r="7440" spans="5:8" ht="15.6">
      <c r="E7440" s="279" t="s">
        <v>7766</v>
      </c>
      <c r="F7440" s="284">
        <f t="shared" ca="1" si="232"/>
        <v>0.59714282441082089</v>
      </c>
      <c r="G7440" s="74">
        <v>42.592798811934159</v>
      </c>
      <c r="H7440" s="74">
        <f t="shared" si="233"/>
        <v>-2.098398468601637</v>
      </c>
    </row>
    <row r="7441" spans="5:8" ht="15.6">
      <c r="E7441" s="279" t="s">
        <v>7767</v>
      </c>
      <c r="F7441" s="284">
        <f t="shared" ca="1" si="232"/>
        <v>0.54640202021485995</v>
      </c>
      <c r="G7441" s="74">
        <v>41.911362169444715</v>
      </c>
      <c r="H7441" s="74">
        <f t="shared" si="233"/>
        <v>-1.4169618261121926</v>
      </c>
    </row>
    <row r="7442" spans="5:8" ht="15.6">
      <c r="E7442" s="279" t="s">
        <v>7768</v>
      </c>
      <c r="F7442" s="284">
        <f t="shared" ca="1" si="232"/>
        <v>0.5763067656732016</v>
      </c>
      <c r="G7442" s="74">
        <v>39.483582363301423</v>
      </c>
      <c r="H7442" s="74">
        <f t="shared" si="233"/>
        <v>1.0108179800310992</v>
      </c>
    </row>
    <row r="7443" spans="5:8" ht="15.6">
      <c r="E7443" s="279" t="s">
        <v>7769</v>
      </c>
      <c r="F7443" s="284">
        <f t="shared" ca="1" si="232"/>
        <v>0.35732549198155661</v>
      </c>
      <c r="G7443" s="74">
        <v>36.92408181421802</v>
      </c>
      <c r="H7443" s="74">
        <f t="shared" si="233"/>
        <v>3.5703185291145019</v>
      </c>
    </row>
    <row r="7444" spans="5:8" ht="15.6">
      <c r="E7444" s="279" t="s">
        <v>7770</v>
      </c>
      <c r="F7444" s="284">
        <f t="shared" ca="1" si="232"/>
        <v>0.4337967659563986</v>
      </c>
      <c r="G7444" s="74">
        <v>35.775079269152869</v>
      </c>
      <c r="H7444" s="74">
        <f t="shared" si="233"/>
        <v>4.7193210741796534</v>
      </c>
    </row>
    <row r="7445" spans="5:8" ht="15.6">
      <c r="E7445" s="279" t="s">
        <v>7771</v>
      </c>
      <c r="F7445" s="284">
        <f t="shared" ca="1" si="232"/>
        <v>0.62541155655596636</v>
      </c>
      <c r="G7445" s="74">
        <v>43.09610253165075</v>
      </c>
      <c r="H7445" s="74">
        <f t="shared" si="233"/>
        <v>-2.6017021883182281</v>
      </c>
    </row>
    <row r="7446" spans="5:8" ht="15.6">
      <c r="E7446" s="279" t="s">
        <v>7772</v>
      </c>
      <c r="F7446" s="284">
        <f t="shared" ca="1" si="232"/>
        <v>0.16896628870281039</v>
      </c>
      <c r="G7446" s="74">
        <v>38.432863137175637</v>
      </c>
      <c r="H7446" s="74">
        <f t="shared" si="233"/>
        <v>2.0615372061568848</v>
      </c>
    </row>
    <row r="7447" spans="5:8" ht="15.6">
      <c r="E7447" s="279" t="s">
        <v>7773</v>
      </c>
      <c r="F7447" s="284">
        <f t="shared" ca="1" si="232"/>
        <v>0.75337432915403313</v>
      </c>
      <c r="G7447" s="74">
        <v>39.702174979434417</v>
      </c>
      <c r="H7447" s="74">
        <f t="shared" si="233"/>
        <v>0.79222536389810472</v>
      </c>
    </row>
    <row r="7448" spans="5:8" ht="15.6">
      <c r="E7448" s="279" t="s">
        <v>7774</v>
      </c>
      <c r="F7448" s="284">
        <f t="shared" ca="1" si="232"/>
        <v>0.81041571613090335</v>
      </c>
      <c r="G7448" s="74">
        <v>40.039840871076812</v>
      </c>
      <c r="H7448" s="74">
        <f t="shared" si="233"/>
        <v>0.45455947225570981</v>
      </c>
    </row>
    <row r="7449" spans="5:8" ht="15.6">
      <c r="E7449" s="279" t="s">
        <v>7775</v>
      </c>
      <c r="F7449" s="284">
        <f t="shared" ca="1" si="232"/>
        <v>0.80120467323590805</v>
      </c>
      <c r="G7449" s="74">
        <v>37.732328020752924</v>
      </c>
      <c r="H7449" s="74">
        <f t="shared" si="233"/>
        <v>2.7620723225795984</v>
      </c>
    </row>
    <row r="7450" spans="5:8" ht="15.6">
      <c r="E7450" s="279" t="s">
        <v>7776</v>
      </c>
      <c r="F7450" s="284">
        <f t="shared" ca="1" si="232"/>
        <v>0.39216361846564862</v>
      </c>
      <c r="G7450" s="74">
        <v>38.752183308255745</v>
      </c>
      <c r="H7450" s="74">
        <f t="shared" si="233"/>
        <v>1.7422170350767772</v>
      </c>
    </row>
    <row r="7451" spans="5:8" ht="15.6">
      <c r="E7451" s="279" t="s">
        <v>7777</v>
      </c>
      <c r="F7451" s="284">
        <f t="shared" ca="1" si="232"/>
        <v>0.64672465359644105</v>
      </c>
      <c r="G7451" s="74">
        <v>41.188414222565157</v>
      </c>
      <c r="H7451" s="74">
        <f t="shared" si="233"/>
        <v>-0.69401387923263513</v>
      </c>
    </row>
    <row r="7452" spans="5:8" ht="15.6">
      <c r="E7452" s="279" t="s">
        <v>7778</v>
      </c>
      <c r="F7452" s="284">
        <f t="shared" ca="1" si="232"/>
        <v>0.24221988198218014</v>
      </c>
      <c r="G7452" s="74">
        <v>40.908158351172283</v>
      </c>
      <c r="H7452" s="74">
        <f t="shared" si="233"/>
        <v>-0.41375800783976047</v>
      </c>
    </row>
    <row r="7453" spans="5:8" ht="15.6">
      <c r="E7453" s="279" t="s">
        <v>7779</v>
      </c>
      <c r="F7453" s="284">
        <f t="shared" ca="1" si="232"/>
        <v>0.22420593832237246</v>
      </c>
      <c r="G7453" s="74">
        <v>44.042836358640095</v>
      </c>
      <c r="H7453" s="74">
        <f t="shared" si="233"/>
        <v>-3.5484360153075727</v>
      </c>
    </row>
    <row r="7454" spans="5:8" ht="15.6">
      <c r="E7454" s="279" t="s">
        <v>7780</v>
      </c>
      <c r="F7454" s="284">
        <f t="shared" ca="1" si="232"/>
        <v>0.42899027491500763</v>
      </c>
      <c r="G7454" s="74">
        <v>35.217469034168026</v>
      </c>
      <c r="H7454" s="74">
        <f t="shared" si="233"/>
        <v>5.276931309164496</v>
      </c>
    </row>
    <row r="7455" spans="5:8" ht="15.6">
      <c r="E7455" s="279" t="s">
        <v>7781</v>
      </c>
      <c r="F7455" s="284">
        <f t="shared" ca="1" si="232"/>
        <v>0.28864296593359484</v>
      </c>
      <c r="G7455" s="74">
        <v>34.945452198887992</v>
      </c>
      <c r="H7455" s="74">
        <f t="shared" si="233"/>
        <v>5.5489481444445303</v>
      </c>
    </row>
    <row r="7456" spans="5:8" ht="15.6">
      <c r="E7456" s="279" t="s">
        <v>7782</v>
      </c>
      <c r="F7456" s="284">
        <f t="shared" ca="1" si="232"/>
        <v>5.9454651078654108E-2</v>
      </c>
      <c r="G7456" s="74">
        <v>45.337947001016445</v>
      </c>
      <c r="H7456" s="74">
        <f t="shared" si="233"/>
        <v>-4.8435466576839232</v>
      </c>
    </row>
    <row r="7457" spans="5:8" ht="15.6">
      <c r="E7457" s="279" t="s">
        <v>7783</v>
      </c>
      <c r="F7457" s="284">
        <f t="shared" ca="1" si="232"/>
        <v>0.18379787901308609</v>
      </c>
      <c r="G7457" s="74">
        <v>37.785287609192004</v>
      </c>
      <c r="H7457" s="74">
        <f t="shared" si="233"/>
        <v>2.7091127341405183</v>
      </c>
    </row>
    <row r="7458" spans="5:8" ht="15.6">
      <c r="E7458" s="279" t="s">
        <v>7784</v>
      </c>
      <c r="F7458" s="284">
        <f t="shared" ca="1" si="232"/>
        <v>0.41632913230573199</v>
      </c>
      <c r="G7458" s="74">
        <v>39.61181862730281</v>
      </c>
      <c r="H7458" s="74">
        <f t="shared" si="233"/>
        <v>0.88258171602971203</v>
      </c>
    </row>
    <row r="7459" spans="5:8" ht="15.6">
      <c r="E7459" s="279" t="s">
        <v>7785</v>
      </c>
      <c r="F7459" s="284">
        <f t="shared" ca="1" si="232"/>
        <v>0.56671043483534544</v>
      </c>
      <c r="G7459" s="74">
        <v>41.603675756278058</v>
      </c>
      <c r="H7459" s="74">
        <f t="shared" si="233"/>
        <v>-1.1092754129455358</v>
      </c>
    </row>
    <row r="7460" spans="5:8" ht="15.6">
      <c r="E7460" s="279" t="s">
        <v>7786</v>
      </c>
      <c r="F7460" s="284">
        <f t="shared" ca="1" si="232"/>
        <v>0.9792728462376834</v>
      </c>
      <c r="G7460" s="74">
        <v>38.942292180406575</v>
      </c>
      <c r="H7460" s="74">
        <f t="shared" si="233"/>
        <v>1.552108162925947</v>
      </c>
    </row>
    <row r="7461" spans="5:8" ht="15.6">
      <c r="E7461" s="279" t="s">
        <v>7787</v>
      </c>
      <c r="F7461" s="284">
        <f t="shared" ca="1" si="232"/>
        <v>1.1625930148991492E-2</v>
      </c>
      <c r="G7461" s="74">
        <v>39.217499313490137</v>
      </c>
      <c r="H7461" s="74">
        <f t="shared" si="233"/>
        <v>1.2769010298423851</v>
      </c>
    </row>
    <row r="7462" spans="5:8" ht="15.6">
      <c r="E7462" s="279" t="s">
        <v>7788</v>
      </c>
      <c r="F7462" s="284">
        <f t="shared" ca="1" si="232"/>
        <v>0.96688890248505466</v>
      </c>
      <c r="G7462" s="74">
        <v>39.833144906603827</v>
      </c>
      <c r="H7462" s="74">
        <f t="shared" si="233"/>
        <v>0.66125543672869469</v>
      </c>
    </row>
    <row r="7463" spans="5:8" ht="15.6">
      <c r="E7463" s="279" t="s">
        <v>7789</v>
      </c>
      <c r="F7463" s="284">
        <f t="shared" ca="1" si="232"/>
        <v>0.36160626423661835</v>
      </c>
      <c r="G7463" s="74">
        <v>40.196671102234923</v>
      </c>
      <c r="H7463" s="74">
        <f t="shared" si="233"/>
        <v>0.29772924109759913</v>
      </c>
    </row>
    <row r="7464" spans="5:8" ht="15.6">
      <c r="E7464" s="279" t="s">
        <v>7790</v>
      </c>
      <c r="F7464" s="284">
        <f t="shared" ca="1" si="232"/>
        <v>0.92806753601558845</v>
      </c>
      <c r="G7464" s="74">
        <v>42.51156027096102</v>
      </c>
      <c r="H7464" s="74">
        <f t="shared" si="233"/>
        <v>-2.0171599276284979</v>
      </c>
    </row>
    <row r="7465" spans="5:8" ht="15.6">
      <c r="E7465" s="279" t="s">
        <v>7791</v>
      </c>
      <c r="F7465" s="284">
        <f t="shared" ca="1" si="232"/>
        <v>0.68283415847831186</v>
      </c>
      <c r="G7465" s="74">
        <v>33.254370512313976</v>
      </c>
      <c r="H7465" s="74">
        <f t="shared" si="233"/>
        <v>7.2400298310185462</v>
      </c>
    </row>
    <row r="7466" spans="5:8" ht="15.6">
      <c r="E7466" s="279" t="s">
        <v>7792</v>
      </c>
      <c r="F7466" s="284">
        <f t="shared" ca="1" si="232"/>
        <v>0.88388782444595271</v>
      </c>
      <c r="G7466" s="74">
        <v>39.609564551670474</v>
      </c>
      <c r="H7466" s="74">
        <f t="shared" si="233"/>
        <v>0.88483579166204862</v>
      </c>
    </row>
    <row r="7467" spans="5:8" ht="15.6">
      <c r="E7467" s="279" t="s">
        <v>7793</v>
      </c>
      <c r="F7467" s="284">
        <f t="shared" ca="1" si="232"/>
        <v>0.98734746002577733</v>
      </c>
      <c r="G7467" s="74">
        <v>44.071641239314381</v>
      </c>
      <c r="H7467" s="74">
        <f t="shared" si="233"/>
        <v>-3.5772408959818591</v>
      </c>
    </row>
    <row r="7468" spans="5:8" ht="15.6">
      <c r="E7468" s="279" t="s">
        <v>7794</v>
      </c>
      <c r="F7468" s="284">
        <f t="shared" ca="1" si="232"/>
        <v>0.35004702461308279</v>
      </c>
      <c r="G7468" s="74">
        <v>40.249900917736497</v>
      </c>
      <c r="H7468" s="74">
        <f t="shared" si="233"/>
        <v>0.24449942559602533</v>
      </c>
    </row>
    <row r="7469" spans="5:8" ht="15.6">
      <c r="E7469" s="279" t="s">
        <v>7795</v>
      </c>
      <c r="F7469" s="284">
        <f t="shared" ca="1" si="232"/>
        <v>0.45305158167711934</v>
      </c>
      <c r="G7469" s="74">
        <v>44.357386903485342</v>
      </c>
      <c r="H7469" s="74">
        <f t="shared" si="233"/>
        <v>-3.8629865601528195</v>
      </c>
    </row>
    <row r="7470" spans="5:8" ht="15.6">
      <c r="E7470" s="279" t="s">
        <v>7796</v>
      </c>
      <c r="F7470" s="284">
        <f t="shared" ca="1" si="232"/>
        <v>0.4418820201283914</v>
      </c>
      <c r="G7470" s="74">
        <v>37.254399270305228</v>
      </c>
      <c r="H7470" s="74">
        <f t="shared" si="233"/>
        <v>3.2400010730272939</v>
      </c>
    </row>
    <row r="7471" spans="5:8" ht="15.6">
      <c r="E7471" s="279" t="s">
        <v>7797</v>
      </c>
      <c r="F7471" s="284">
        <f t="shared" ca="1" si="232"/>
        <v>0.81634492936895142</v>
      </c>
      <c r="G7471" s="74">
        <v>40.354608749891227</v>
      </c>
      <c r="H7471" s="74">
        <f t="shared" si="233"/>
        <v>0.13979159344129499</v>
      </c>
    </row>
    <row r="7472" spans="5:8" ht="15.6">
      <c r="E7472" s="279" t="s">
        <v>7798</v>
      </c>
      <c r="F7472" s="284">
        <f t="shared" ca="1" si="232"/>
        <v>0.13730188154532663</v>
      </c>
      <c r="G7472" s="74">
        <v>40.708463313824787</v>
      </c>
      <c r="H7472" s="74">
        <f t="shared" si="233"/>
        <v>-0.21406297049226453</v>
      </c>
    </row>
    <row r="7473" spans="5:8" ht="15.6">
      <c r="E7473" s="279" t="s">
        <v>7799</v>
      </c>
      <c r="F7473" s="284">
        <f t="shared" ca="1" si="232"/>
        <v>0.32619120377912958</v>
      </c>
      <c r="G7473" s="74">
        <v>41.570735184309349</v>
      </c>
      <c r="H7473" s="74">
        <f t="shared" si="233"/>
        <v>-1.076334840976827</v>
      </c>
    </row>
    <row r="7474" spans="5:8" ht="15.6">
      <c r="E7474" s="279" t="s">
        <v>7800</v>
      </c>
      <c r="F7474" s="284">
        <f t="shared" ca="1" si="232"/>
        <v>0.36880429444207719</v>
      </c>
      <c r="G7474" s="74">
        <v>39.010332753047237</v>
      </c>
      <c r="H7474" s="74">
        <f t="shared" si="233"/>
        <v>1.4840675902852851</v>
      </c>
    </row>
    <row r="7475" spans="5:8" ht="15.6">
      <c r="E7475" s="279" t="s">
        <v>7801</v>
      </c>
      <c r="F7475" s="284">
        <f t="shared" ca="1" si="232"/>
        <v>0.49628863840605231</v>
      </c>
      <c r="G7475" s="74">
        <v>39.28341582649405</v>
      </c>
      <c r="H7475" s="74">
        <f t="shared" si="233"/>
        <v>1.2109845168384723</v>
      </c>
    </row>
    <row r="7476" spans="5:8" ht="15.6">
      <c r="E7476" s="279" t="s">
        <v>7802</v>
      </c>
      <c r="F7476" s="284">
        <f t="shared" ca="1" si="232"/>
        <v>0.69458380684325871</v>
      </c>
      <c r="G7476" s="74">
        <v>38.787185507325788</v>
      </c>
      <c r="H7476" s="74">
        <f t="shared" si="233"/>
        <v>1.7072148360067345</v>
      </c>
    </row>
    <row r="7477" spans="5:8" ht="15.6">
      <c r="E7477" s="279" t="s">
        <v>7803</v>
      </c>
      <c r="F7477" s="284">
        <f t="shared" ca="1" si="232"/>
        <v>0.68917454229647868</v>
      </c>
      <c r="G7477" s="74">
        <v>39.586158388285838</v>
      </c>
      <c r="H7477" s="74">
        <f t="shared" si="233"/>
        <v>0.90824195504668381</v>
      </c>
    </row>
    <row r="7478" spans="5:8" ht="15.6">
      <c r="E7478" s="279" t="s">
        <v>7804</v>
      </c>
      <c r="F7478" s="284">
        <f t="shared" ca="1" si="232"/>
        <v>0.5482152422295985</v>
      </c>
      <c r="G7478" s="74">
        <v>41.524845036251712</v>
      </c>
      <c r="H7478" s="74">
        <f t="shared" si="233"/>
        <v>-1.0304446929191897</v>
      </c>
    </row>
    <row r="7479" spans="5:8" ht="15.6">
      <c r="E7479" s="279" t="s">
        <v>7805</v>
      </c>
      <c r="F7479" s="284">
        <f t="shared" ca="1" si="232"/>
        <v>0.67400084489900391</v>
      </c>
      <c r="G7479" s="74">
        <v>36.585372466264289</v>
      </c>
      <c r="H7479" s="74">
        <f t="shared" si="233"/>
        <v>3.9090278770682332</v>
      </c>
    </row>
    <row r="7480" spans="5:8" ht="15.6">
      <c r="E7480" s="279" t="s">
        <v>7806</v>
      </c>
      <c r="F7480" s="284">
        <f t="shared" ca="1" si="232"/>
        <v>0.43503135319343078</v>
      </c>
      <c r="G7480" s="74">
        <v>39.563282182523736</v>
      </c>
      <c r="H7480" s="74">
        <f t="shared" si="233"/>
        <v>0.9311181608087864</v>
      </c>
    </row>
    <row r="7481" spans="5:8" ht="15.6">
      <c r="E7481" s="279" t="s">
        <v>7807</v>
      </c>
      <c r="F7481" s="284">
        <f t="shared" ca="1" si="232"/>
        <v>0.18835365118918745</v>
      </c>
      <c r="G7481" s="74">
        <v>42.246470844274235</v>
      </c>
      <c r="H7481" s="74">
        <f t="shared" si="233"/>
        <v>-1.7520705009417128</v>
      </c>
    </row>
    <row r="7482" spans="5:8" ht="15.6">
      <c r="E7482" s="279" t="s">
        <v>7808</v>
      </c>
      <c r="F7482" s="284">
        <f t="shared" ca="1" si="232"/>
        <v>0.66652290645220147</v>
      </c>
      <c r="G7482" s="74">
        <v>40.170721626526465</v>
      </c>
      <c r="H7482" s="74">
        <f t="shared" si="233"/>
        <v>0.32367871680605731</v>
      </c>
    </row>
    <row r="7483" spans="5:8" ht="15.6">
      <c r="E7483" s="279" t="s">
        <v>7809</v>
      </c>
      <c r="F7483" s="284">
        <f t="shared" ca="1" si="232"/>
        <v>0.36124931162132978</v>
      </c>
      <c r="G7483" s="74">
        <v>44.118051866798169</v>
      </c>
      <c r="H7483" s="74">
        <f t="shared" si="233"/>
        <v>-3.6236515234656466</v>
      </c>
    </row>
    <row r="7484" spans="5:8" ht="15.6">
      <c r="E7484" s="279" t="s">
        <v>7810</v>
      </c>
      <c r="F7484" s="284">
        <f t="shared" ca="1" si="232"/>
        <v>0.21641055468971215</v>
      </c>
      <c r="G7484" s="74">
        <v>33.658995677044132</v>
      </c>
      <c r="H7484" s="74">
        <f t="shared" si="233"/>
        <v>6.8354046662883903</v>
      </c>
    </row>
    <row r="7485" spans="5:8" ht="15.6">
      <c r="E7485" s="279" t="s">
        <v>7811</v>
      </c>
      <c r="F7485" s="284">
        <f t="shared" ca="1" si="232"/>
        <v>0.90258550110416147</v>
      </c>
      <c r="G7485" s="74">
        <v>44.40610259465214</v>
      </c>
      <c r="H7485" s="74">
        <f t="shared" si="233"/>
        <v>-3.9117022513196176</v>
      </c>
    </row>
    <row r="7486" spans="5:8" ht="15.6">
      <c r="E7486" s="279" t="s">
        <v>7812</v>
      </c>
      <c r="F7486" s="284">
        <f t="shared" ca="1" si="232"/>
        <v>0.29847323278432392</v>
      </c>
      <c r="G7486" s="74">
        <v>37.486434255829387</v>
      </c>
      <c r="H7486" s="74">
        <f t="shared" si="233"/>
        <v>3.0079660875031351</v>
      </c>
    </row>
    <row r="7487" spans="5:8" ht="15.6">
      <c r="E7487" s="279" t="s">
        <v>7813</v>
      </c>
      <c r="F7487" s="284">
        <f t="shared" ca="1" si="232"/>
        <v>4.890508292174911E-2</v>
      </c>
      <c r="G7487" s="74">
        <v>43.459046508886942</v>
      </c>
      <c r="H7487" s="74">
        <f t="shared" si="233"/>
        <v>-2.9646461655544201</v>
      </c>
    </row>
    <row r="7488" spans="5:8" ht="15.6">
      <c r="E7488" s="279" t="s">
        <v>7814</v>
      </c>
      <c r="F7488" s="284">
        <f t="shared" ca="1" si="232"/>
        <v>0.68517217941325825</v>
      </c>
      <c r="G7488" s="74">
        <v>44.005557789001145</v>
      </c>
      <c r="H7488" s="74">
        <f t="shared" si="233"/>
        <v>-3.5111574456686228</v>
      </c>
    </row>
    <row r="7489" spans="5:8" ht="15.6">
      <c r="E7489" s="279" t="s">
        <v>7815</v>
      </c>
      <c r="F7489" s="284">
        <f t="shared" ca="1" si="232"/>
        <v>0.62576995111272182</v>
      </c>
      <c r="G7489" s="74">
        <v>35.646981921168525</v>
      </c>
      <c r="H7489" s="74">
        <f t="shared" si="233"/>
        <v>4.8474184221639973</v>
      </c>
    </row>
    <row r="7490" spans="5:8" ht="15.6">
      <c r="E7490" s="279" t="s">
        <v>7816</v>
      </c>
      <c r="F7490" s="284">
        <f t="shared" ca="1" si="232"/>
        <v>0.88872673488295539</v>
      </c>
      <c r="G7490" s="74">
        <v>38.567741249901133</v>
      </c>
      <c r="H7490" s="74">
        <f t="shared" si="233"/>
        <v>1.9266590934313896</v>
      </c>
    </row>
    <row r="7491" spans="5:8" ht="15.6">
      <c r="E7491" s="279" t="s">
        <v>7817</v>
      </c>
      <c r="F7491" s="284">
        <f t="shared" ca="1" si="232"/>
        <v>6.5608938012721052E-2</v>
      </c>
      <c r="G7491" s="74">
        <v>34.438745355373015</v>
      </c>
      <c r="H7491" s="74">
        <f t="shared" si="233"/>
        <v>6.0556549879595067</v>
      </c>
    </row>
    <row r="7492" spans="5:8" ht="15.6">
      <c r="E7492" s="279" t="s">
        <v>7818</v>
      </c>
      <c r="F7492" s="284">
        <f t="shared" ca="1" si="232"/>
        <v>0.33911782423607095</v>
      </c>
      <c r="G7492" s="74">
        <v>41.762117924741588</v>
      </c>
      <c r="H7492" s="74">
        <f t="shared" si="233"/>
        <v>-1.267717581409066</v>
      </c>
    </row>
    <row r="7493" spans="5:8" ht="15.6">
      <c r="E7493" s="279" t="s">
        <v>7819</v>
      </c>
      <c r="F7493" s="284">
        <f t="shared" ca="1" si="232"/>
        <v>7.5759893987047411E-2</v>
      </c>
      <c r="G7493" s="74">
        <v>40.707214977026055</v>
      </c>
      <c r="H7493" s="74">
        <f t="shared" si="233"/>
        <v>-0.21281463369353304</v>
      </c>
    </row>
    <row r="7494" spans="5:8" ht="15.6">
      <c r="E7494" s="279" t="s">
        <v>7820</v>
      </c>
      <c r="F7494" s="284">
        <f t="shared" ca="1" si="232"/>
        <v>0.41019443965454605</v>
      </c>
      <c r="G7494" s="74">
        <v>45.95218104030873</v>
      </c>
      <c r="H7494" s="74">
        <f t="shared" si="233"/>
        <v>-5.4577806969762079</v>
      </c>
    </row>
    <row r="7495" spans="5:8" ht="15.6">
      <c r="E7495" s="279" t="s">
        <v>7821</v>
      </c>
      <c r="F7495" s="284">
        <f t="shared" ca="1" si="232"/>
        <v>7.3178211424173467E-2</v>
      </c>
      <c r="G7495" s="74">
        <v>38.063973839627913</v>
      </c>
      <c r="H7495" s="74">
        <f t="shared" si="233"/>
        <v>2.4304265037046093</v>
      </c>
    </row>
    <row r="7496" spans="5:8" ht="15.6">
      <c r="E7496" s="279" t="s">
        <v>7822</v>
      </c>
      <c r="F7496" s="284">
        <f t="shared" ca="1" si="232"/>
        <v>0.72366364595008448</v>
      </c>
      <c r="G7496" s="74">
        <v>36.913435795330599</v>
      </c>
      <c r="H7496" s="74">
        <f t="shared" si="233"/>
        <v>3.5809645480019228</v>
      </c>
    </row>
    <row r="7497" spans="5:8" ht="15.6">
      <c r="E7497" s="279" t="s">
        <v>7823</v>
      </c>
      <c r="F7497" s="284">
        <f t="shared" ca="1" si="232"/>
        <v>0.66873660312084937</v>
      </c>
      <c r="G7497" s="74">
        <v>37.594174383241018</v>
      </c>
      <c r="H7497" s="74">
        <f t="shared" si="233"/>
        <v>2.9002259600915039</v>
      </c>
    </row>
    <row r="7498" spans="5:8" ht="15.6">
      <c r="E7498" s="279" t="s">
        <v>7824</v>
      </c>
      <c r="F7498" s="284">
        <f t="shared" ca="1" si="232"/>
        <v>0.69662605744389006</v>
      </c>
      <c r="G7498" s="74">
        <v>40.763687584506656</v>
      </c>
      <c r="H7498" s="74">
        <f t="shared" si="233"/>
        <v>-0.26928724117413338</v>
      </c>
    </row>
    <row r="7499" spans="5:8" ht="15.6">
      <c r="E7499" s="279" t="s">
        <v>7825</v>
      </c>
      <c r="F7499" s="284">
        <f t="shared" ca="1" si="232"/>
        <v>0.28397541991370878</v>
      </c>
      <c r="G7499" s="74">
        <v>42.363990221567398</v>
      </c>
      <c r="H7499" s="74">
        <f t="shared" si="233"/>
        <v>-1.8695898782348763</v>
      </c>
    </row>
    <row r="7500" spans="5:8" ht="15.6">
      <c r="E7500" s="279" t="s">
        <v>7826</v>
      </c>
      <c r="F7500" s="284">
        <f t="shared" ref="F7500:F7563" ca="1" si="234">RAND()</f>
        <v>0.47523553624000903</v>
      </c>
      <c r="G7500" s="74">
        <v>39.995912142288098</v>
      </c>
      <c r="H7500" s="74">
        <f t="shared" ref="H7500:H7563" si="235">$D$2-G7500</f>
        <v>0.49848820104442382</v>
      </c>
    </row>
    <row r="7501" spans="5:8" ht="15.6">
      <c r="E7501" s="279" t="s">
        <v>7827</v>
      </c>
      <c r="F7501" s="284">
        <f t="shared" ca="1" si="234"/>
        <v>0.19315899746033405</v>
      </c>
      <c r="G7501" s="74">
        <v>41.672642516837556</v>
      </c>
      <c r="H7501" s="74">
        <f t="shared" si="235"/>
        <v>-1.1782421735050335</v>
      </c>
    </row>
    <row r="7502" spans="5:8" ht="15.6">
      <c r="E7502" s="279" t="s">
        <v>7828</v>
      </c>
      <c r="F7502" s="284">
        <f t="shared" ca="1" si="234"/>
        <v>0.91285097027896434</v>
      </c>
      <c r="G7502" s="74">
        <v>35.10249322992415</v>
      </c>
      <c r="H7502" s="74">
        <f t="shared" si="235"/>
        <v>5.3919071134083723</v>
      </c>
    </row>
    <row r="7503" spans="5:8" ht="15.6">
      <c r="E7503" s="279" t="s">
        <v>7829</v>
      </c>
      <c r="F7503" s="284">
        <f t="shared" ca="1" si="234"/>
        <v>0.23218894608768592</v>
      </c>
      <c r="G7503" s="74">
        <v>39.798081590099862</v>
      </c>
      <c r="H7503" s="74">
        <f t="shared" si="235"/>
        <v>0.69631875323266001</v>
      </c>
    </row>
    <row r="7504" spans="5:8" ht="15.6">
      <c r="E7504" s="279" t="s">
        <v>7830</v>
      </c>
      <c r="F7504" s="284">
        <f t="shared" ca="1" si="234"/>
        <v>0.83418718735677655</v>
      </c>
      <c r="G7504" s="74">
        <v>43.91049095335952</v>
      </c>
      <c r="H7504" s="74">
        <f t="shared" si="235"/>
        <v>-3.4160906100269983</v>
      </c>
    </row>
    <row r="7505" spans="5:8" ht="15.6">
      <c r="E7505" s="279" t="s">
        <v>7831</v>
      </c>
      <c r="F7505" s="284">
        <f t="shared" ca="1" si="234"/>
        <v>0.22561730484023834</v>
      </c>
      <c r="G7505" s="74">
        <v>36.978825307018894</v>
      </c>
      <c r="H7505" s="74">
        <f t="shared" si="235"/>
        <v>3.5155750363136278</v>
      </c>
    </row>
    <row r="7506" spans="5:8" ht="15.6">
      <c r="E7506" s="279" t="s">
        <v>7832</v>
      </c>
      <c r="F7506" s="284">
        <f t="shared" ca="1" si="234"/>
        <v>0.22146861540791951</v>
      </c>
      <c r="G7506" s="74">
        <v>46.302475161947157</v>
      </c>
      <c r="H7506" s="74">
        <f t="shared" si="235"/>
        <v>-5.8080748186146351</v>
      </c>
    </row>
    <row r="7507" spans="5:8" ht="15.6">
      <c r="E7507" s="279" t="s">
        <v>7833</v>
      </c>
      <c r="F7507" s="284">
        <f t="shared" ca="1" si="234"/>
        <v>0.97846940837946217</v>
      </c>
      <c r="G7507" s="74">
        <v>41.272970923785522</v>
      </c>
      <c r="H7507" s="74">
        <f t="shared" si="235"/>
        <v>-0.77857058045299965</v>
      </c>
    </row>
    <row r="7508" spans="5:8" ht="15.6">
      <c r="E7508" s="279" t="s">
        <v>7834</v>
      </c>
      <c r="F7508" s="284">
        <f t="shared" ca="1" si="234"/>
        <v>0.20478003123901545</v>
      </c>
      <c r="G7508" s="74">
        <v>38.771674216467865</v>
      </c>
      <c r="H7508" s="74">
        <f t="shared" si="235"/>
        <v>1.7227261268646572</v>
      </c>
    </row>
    <row r="7509" spans="5:8" ht="15.6">
      <c r="E7509" s="279" t="s">
        <v>7835</v>
      </c>
      <c r="F7509" s="284">
        <f t="shared" ca="1" si="234"/>
        <v>0.25002764226129859</v>
      </c>
      <c r="G7509" s="74">
        <v>42.216996531550151</v>
      </c>
      <c r="H7509" s="74">
        <f t="shared" si="235"/>
        <v>-1.7225961882176293</v>
      </c>
    </row>
    <row r="7510" spans="5:8" ht="15.6">
      <c r="E7510" s="279" t="s">
        <v>7836</v>
      </c>
      <c r="F7510" s="284">
        <f t="shared" ca="1" si="234"/>
        <v>5.5400530158944417E-4</v>
      </c>
      <c r="G7510" s="74">
        <v>39.171562762721031</v>
      </c>
      <c r="H7510" s="74">
        <f t="shared" si="235"/>
        <v>1.3228375806114911</v>
      </c>
    </row>
    <row r="7511" spans="5:8" ht="15.6">
      <c r="E7511" s="279" t="s">
        <v>7837</v>
      </c>
      <c r="F7511" s="284">
        <f t="shared" ca="1" si="234"/>
        <v>0.57862950395753077</v>
      </c>
      <c r="G7511" s="74">
        <v>40.400768858260655</v>
      </c>
      <c r="H7511" s="74">
        <f t="shared" si="235"/>
        <v>9.363148507186736E-2</v>
      </c>
    </row>
    <row r="7512" spans="5:8" ht="15.6">
      <c r="E7512" s="279" t="s">
        <v>7838</v>
      </c>
      <c r="F7512" s="284">
        <f t="shared" ca="1" si="234"/>
        <v>0.26501663544767828</v>
      </c>
      <c r="G7512" s="74">
        <v>37.72637342369832</v>
      </c>
      <c r="H7512" s="74">
        <f t="shared" si="235"/>
        <v>2.7680269196342024</v>
      </c>
    </row>
    <row r="7513" spans="5:8" ht="15.6">
      <c r="E7513" s="279" t="s">
        <v>7839</v>
      </c>
      <c r="F7513" s="284">
        <f t="shared" ca="1" si="234"/>
        <v>4.7548830373529638E-2</v>
      </c>
      <c r="G7513" s="74">
        <v>35.153999909856701</v>
      </c>
      <c r="H7513" s="74">
        <f t="shared" si="235"/>
        <v>5.3404004334758213</v>
      </c>
    </row>
    <row r="7514" spans="5:8" ht="15.6">
      <c r="E7514" s="279" t="s">
        <v>7840</v>
      </c>
      <c r="F7514" s="284">
        <f t="shared" ca="1" si="234"/>
        <v>0.64946540961539356</v>
      </c>
      <c r="G7514" s="74">
        <v>36.565730607180562</v>
      </c>
      <c r="H7514" s="74">
        <f t="shared" si="235"/>
        <v>3.92866973615196</v>
      </c>
    </row>
    <row r="7515" spans="5:8" ht="15.6">
      <c r="E7515" s="279" t="s">
        <v>7841</v>
      </c>
      <c r="F7515" s="284">
        <f t="shared" ca="1" si="234"/>
        <v>0.23044511049785066</v>
      </c>
      <c r="G7515" s="74">
        <v>42.092212227962541</v>
      </c>
      <c r="H7515" s="74">
        <f t="shared" si="235"/>
        <v>-1.5978118846300191</v>
      </c>
    </row>
    <row r="7516" spans="5:8" ht="15.6">
      <c r="E7516" s="279" t="s">
        <v>7842</v>
      </c>
      <c r="F7516" s="284">
        <f t="shared" ca="1" si="234"/>
        <v>2.6685423250261131E-4</v>
      </c>
      <c r="G7516" s="74">
        <v>40.905664338484314</v>
      </c>
      <c r="H7516" s="74">
        <f t="shared" si="235"/>
        <v>-0.41126399515179202</v>
      </c>
    </row>
    <row r="7517" spans="5:8" ht="15.6">
      <c r="E7517" s="279" t="s">
        <v>7843</v>
      </c>
      <c r="F7517" s="284">
        <f t="shared" ca="1" si="234"/>
        <v>2.1604065553856522E-2</v>
      </c>
      <c r="G7517" s="74">
        <v>39.272565046739224</v>
      </c>
      <c r="H7517" s="74">
        <f t="shared" si="235"/>
        <v>1.2218352965932979</v>
      </c>
    </row>
    <row r="7518" spans="5:8" ht="15.6">
      <c r="E7518" s="279" t="s">
        <v>7844</v>
      </c>
      <c r="F7518" s="284">
        <f t="shared" ca="1" si="234"/>
        <v>0.7234884332839342</v>
      </c>
      <c r="G7518" s="74">
        <v>37.716185239928194</v>
      </c>
      <c r="H7518" s="74">
        <f t="shared" si="235"/>
        <v>2.7782151034043281</v>
      </c>
    </row>
    <row r="7519" spans="5:8" ht="15.6">
      <c r="E7519" s="279" t="s">
        <v>7845</v>
      </c>
      <c r="F7519" s="284">
        <f t="shared" ca="1" si="234"/>
        <v>3.2596320864000439E-2</v>
      </c>
      <c r="G7519" s="74">
        <v>35.489479607431619</v>
      </c>
      <c r="H7519" s="74">
        <f t="shared" si="235"/>
        <v>5.0049207359009031</v>
      </c>
    </row>
    <row r="7520" spans="5:8" ht="15.6">
      <c r="E7520" s="279" t="s">
        <v>7846</v>
      </c>
      <c r="F7520" s="284">
        <f t="shared" ca="1" si="234"/>
        <v>0.67004915122114106</v>
      </c>
      <c r="G7520" s="74">
        <v>39.433504414210049</v>
      </c>
      <c r="H7520" s="74">
        <f t="shared" si="235"/>
        <v>1.0608959291224735</v>
      </c>
    </row>
    <row r="7521" spans="5:8" ht="15.6">
      <c r="E7521" s="279" t="s">
        <v>7847</v>
      </c>
      <c r="F7521" s="284">
        <f t="shared" ca="1" si="234"/>
        <v>0.67282130364236736</v>
      </c>
      <c r="G7521" s="74">
        <v>42.379535542785128</v>
      </c>
      <c r="H7521" s="74">
        <f t="shared" si="235"/>
        <v>-1.8851351994526055</v>
      </c>
    </row>
    <row r="7522" spans="5:8" ht="15.6">
      <c r="E7522" s="279" t="s">
        <v>7848</v>
      </c>
      <c r="F7522" s="284">
        <f t="shared" ca="1" si="234"/>
        <v>0.36214699787773075</v>
      </c>
      <c r="G7522" s="74">
        <v>43.063235366831407</v>
      </c>
      <c r="H7522" s="74">
        <f t="shared" si="235"/>
        <v>-2.5688350234988846</v>
      </c>
    </row>
    <row r="7523" spans="5:8" ht="15.6">
      <c r="E7523" s="279" t="s">
        <v>7849</v>
      </c>
      <c r="F7523" s="284">
        <f t="shared" ca="1" si="234"/>
        <v>0.72081930823059925</v>
      </c>
      <c r="G7523" s="74">
        <v>38.490254186487959</v>
      </c>
      <c r="H7523" s="74">
        <f t="shared" si="235"/>
        <v>2.0041461568445627</v>
      </c>
    </row>
    <row r="7524" spans="5:8" ht="15.6">
      <c r="E7524" s="279" t="s">
        <v>7850</v>
      </c>
      <c r="F7524" s="284">
        <f t="shared" ca="1" si="234"/>
        <v>0.61792742617111784</v>
      </c>
      <c r="G7524" s="74">
        <v>42.676485760289211</v>
      </c>
      <c r="H7524" s="74">
        <f t="shared" si="235"/>
        <v>-2.1820854169566886</v>
      </c>
    </row>
    <row r="7525" spans="5:8" ht="15.6">
      <c r="E7525" s="279" t="s">
        <v>7851</v>
      </c>
      <c r="F7525" s="284">
        <f t="shared" ca="1" si="234"/>
        <v>0.37334521643070873</v>
      </c>
      <c r="G7525" s="74">
        <v>37.265341152084517</v>
      </c>
      <c r="H7525" s="74">
        <f t="shared" si="235"/>
        <v>3.2290591912480053</v>
      </c>
    </row>
    <row r="7526" spans="5:8" ht="15.6">
      <c r="E7526" s="279" t="s">
        <v>7852</v>
      </c>
      <c r="F7526" s="284">
        <f t="shared" ca="1" si="234"/>
        <v>6.2360150453723007E-3</v>
      </c>
      <c r="G7526" s="74">
        <v>43.784951074311998</v>
      </c>
      <c r="H7526" s="74">
        <f t="shared" si="235"/>
        <v>-3.2905507309794757</v>
      </c>
    </row>
    <row r="7527" spans="5:8" ht="15.6">
      <c r="E7527" s="279" t="s">
        <v>7853</v>
      </c>
      <c r="F7527" s="284">
        <f t="shared" ca="1" si="234"/>
        <v>0.42041260437640293</v>
      </c>
      <c r="G7527" s="74">
        <v>34.106063070312814</v>
      </c>
      <c r="H7527" s="74">
        <f t="shared" si="235"/>
        <v>6.3883372730197081</v>
      </c>
    </row>
    <row r="7528" spans="5:8" ht="15.6">
      <c r="E7528" s="279" t="s">
        <v>7854</v>
      </c>
      <c r="F7528" s="284">
        <f t="shared" ca="1" si="234"/>
        <v>0.74854797380520766</v>
      </c>
      <c r="G7528" s="74">
        <v>36.786137452279561</v>
      </c>
      <c r="H7528" s="74">
        <f t="shared" si="235"/>
        <v>3.7082628910529607</v>
      </c>
    </row>
    <row r="7529" spans="5:8" ht="15.6">
      <c r="E7529" s="279" t="s">
        <v>7855</v>
      </c>
      <c r="F7529" s="284">
        <f t="shared" ca="1" si="234"/>
        <v>0.34876782856571031</v>
      </c>
      <c r="G7529" s="74">
        <v>40.976724373420772</v>
      </c>
      <c r="H7529" s="74">
        <f t="shared" si="235"/>
        <v>-0.48232403008825031</v>
      </c>
    </row>
    <row r="7530" spans="5:8" ht="15.6">
      <c r="E7530" s="279" t="s">
        <v>7856</v>
      </c>
      <c r="F7530" s="284">
        <f t="shared" ca="1" si="234"/>
        <v>0.60150245017450255</v>
      </c>
      <c r="G7530" s="74">
        <v>40.723994378108664</v>
      </c>
      <c r="H7530" s="74">
        <f t="shared" si="235"/>
        <v>-0.2295940347761416</v>
      </c>
    </row>
    <row r="7531" spans="5:8" ht="15.6">
      <c r="E7531" s="279" t="s">
        <v>7857</v>
      </c>
      <c r="F7531" s="284">
        <f t="shared" ca="1" si="234"/>
        <v>0.82887802881953709</v>
      </c>
      <c r="G7531" s="74">
        <v>40.787988352975795</v>
      </c>
      <c r="H7531" s="74">
        <f t="shared" si="235"/>
        <v>-0.29358800964327258</v>
      </c>
    </row>
    <row r="7532" spans="5:8" ht="15.6">
      <c r="E7532" s="279" t="s">
        <v>7858</v>
      </c>
      <c r="F7532" s="284">
        <f t="shared" ca="1" si="234"/>
        <v>0.59799242869352742</v>
      </c>
      <c r="G7532" s="74">
        <v>38.452488555114002</v>
      </c>
      <c r="H7532" s="74">
        <f t="shared" si="235"/>
        <v>2.0419117882185205</v>
      </c>
    </row>
    <row r="7533" spans="5:8" ht="15.6">
      <c r="E7533" s="279" t="s">
        <v>7859</v>
      </c>
      <c r="F7533" s="284">
        <f t="shared" ca="1" si="234"/>
        <v>0.17611108223524863</v>
      </c>
      <c r="G7533" s="74">
        <v>41.079739070934096</v>
      </c>
      <c r="H7533" s="74">
        <f t="shared" si="235"/>
        <v>-0.58533872760157379</v>
      </c>
    </row>
    <row r="7534" spans="5:8" ht="15.6">
      <c r="E7534" s="279" t="s">
        <v>7860</v>
      </c>
      <c r="F7534" s="284">
        <f t="shared" ca="1" si="234"/>
        <v>0.98387432506279959</v>
      </c>
      <c r="G7534" s="74">
        <v>36.285120034855971</v>
      </c>
      <c r="H7534" s="74">
        <f t="shared" si="235"/>
        <v>4.2092803084765507</v>
      </c>
    </row>
    <row r="7535" spans="5:8" ht="15.6">
      <c r="E7535" s="279" t="s">
        <v>7861</v>
      </c>
      <c r="F7535" s="284">
        <f t="shared" ca="1" si="234"/>
        <v>0.91714466684482321</v>
      </c>
      <c r="G7535" s="74">
        <v>39.535944003265456</v>
      </c>
      <c r="H7535" s="74">
        <f t="shared" si="235"/>
        <v>0.95845634006706604</v>
      </c>
    </row>
    <row r="7536" spans="5:8" ht="15.6">
      <c r="E7536" s="279" t="s">
        <v>7862</v>
      </c>
      <c r="F7536" s="284">
        <f t="shared" ca="1" si="234"/>
        <v>0.65534506770706724</v>
      </c>
      <c r="G7536" s="74">
        <v>42.870864575685864</v>
      </c>
      <c r="H7536" s="74">
        <f t="shared" si="235"/>
        <v>-2.3764642323533423</v>
      </c>
    </row>
    <row r="7537" spans="5:8" ht="15.6">
      <c r="E7537" s="279" t="s">
        <v>7863</v>
      </c>
      <c r="F7537" s="284">
        <f t="shared" ca="1" si="234"/>
        <v>0.46177293463153701</v>
      </c>
      <c r="G7537" s="74">
        <v>34.531302308631894</v>
      </c>
      <c r="H7537" s="74">
        <f t="shared" si="235"/>
        <v>5.9630980347006286</v>
      </c>
    </row>
    <row r="7538" spans="5:8" ht="15.6">
      <c r="E7538" s="279" t="s">
        <v>7864</v>
      </c>
      <c r="F7538" s="284">
        <f t="shared" ca="1" si="234"/>
        <v>0.21282808670196718</v>
      </c>
      <c r="G7538" s="74">
        <v>40.439263612782163</v>
      </c>
      <c r="H7538" s="74">
        <f t="shared" si="235"/>
        <v>5.5136730550358948E-2</v>
      </c>
    </row>
    <row r="7539" spans="5:8" ht="15.6">
      <c r="E7539" s="279" t="s">
        <v>7865</v>
      </c>
      <c r="F7539" s="284">
        <f t="shared" ca="1" si="234"/>
        <v>0.35649569161558248</v>
      </c>
      <c r="G7539" s="74">
        <v>39.906675591001274</v>
      </c>
      <c r="H7539" s="74">
        <f t="shared" si="235"/>
        <v>0.58772475233124766</v>
      </c>
    </row>
    <row r="7540" spans="5:8" ht="15.6">
      <c r="E7540" s="279" t="s">
        <v>7866</v>
      </c>
      <c r="F7540" s="284">
        <f t="shared" ca="1" si="234"/>
        <v>0.34422933136709222</v>
      </c>
      <c r="G7540" s="74">
        <v>38.065135194127365</v>
      </c>
      <c r="H7540" s="74">
        <f t="shared" si="235"/>
        <v>2.4292651492051576</v>
      </c>
    </row>
    <row r="7541" spans="5:8" ht="15.6">
      <c r="E7541" s="279" t="s">
        <v>7867</v>
      </c>
      <c r="F7541" s="284">
        <f t="shared" ca="1" si="234"/>
        <v>0.73229853127794475</v>
      </c>
      <c r="G7541" s="74">
        <v>39.909900816307406</v>
      </c>
      <c r="H7541" s="74">
        <f t="shared" si="235"/>
        <v>0.58449952702511609</v>
      </c>
    </row>
    <row r="7542" spans="5:8" ht="15.6">
      <c r="E7542" s="279" t="s">
        <v>7868</v>
      </c>
      <c r="F7542" s="284">
        <f t="shared" ca="1" si="234"/>
        <v>0.95139773438516007</v>
      </c>
      <c r="G7542" s="74">
        <v>39.188302274077131</v>
      </c>
      <c r="H7542" s="74">
        <f t="shared" si="235"/>
        <v>1.3060980692553912</v>
      </c>
    </row>
    <row r="7543" spans="5:8" ht="15.6">
      <c r="E7543" s="279" t="s">
        <v>7869</v>
      </c>
      <c r="F7543" s="284">
        <f t="shared" ca="1" si="234"/>
        <v>0.43196296867922368</v>
      </c>
      <c r="G7543" s="74">
        <v>40.980663090217853</v>
      </c>
      <c r="H7543" s="74">
        <f t="shared" si="235"/>
        <v>-0.48626274688533044</v>
      </c>
    </row>
    <row r="7544" spans="5:8" ht="15.6">
      <c r="E7544" s="279" t="s">
        <v>7870</v>
      </c>
      <c r="F7544" s="284">
        <f t="shared" ca="1" si="234"/>
        <v>7.3780969880680058E-2</v>
      </c>
      <c r="G7544" s="74">
        <v>40.358342899981402</v>
      </c>
      <c r="H7544" s="74">
        <f t="shared" si="235"/>
        <v>0.13605744335112036</v>
      </c>
    </row>
    <row r="7545" spans="5:8" ht="15.6">
      <c r="E7545" s="279" t="s">
        <v>7871</v>
      </c>
      <c r="F7545" s="284">
        <f t="shared" ca="1" si="234"/>
        <v>0.52025860357000286</v>
      </c>
      <c r="G7545" s="74">
        <v>45.74149359102681</v>
      </c>
      <c r="H7545" s="74">
        <f t="shared" si="235"/>
        <v>-5.2470932476942878</v>
      </c>
    </row>
    <row r="7546" spans="5:8" ht="15.6">
      <c r="E7546" s="279" t="s">
        <v>7872</v>
      </c>
      <c r="F7546" s="284">
        <f t="shared" ca="1" si="234"/>
        <v>8.682985111715269E-2</v>
      </c>
      <c r="G7546" s="74">
        <v>36.319107729128696</v>
      </c>
      <c r="H7546" s="74">
        <f t="shared" si="235"/>
        <v>4.1752926142038262</v>
      </c>
    </row>
    <row r="7547" spans="5:8" ht="15.6">
      <c r="E7547" s="279" t="s">
        <v>7873</v>
      </c>
      <c r="F7547" s="284">
        <f t="shared" ca="1" si="234"/>
        <v>0.60149843652568824</v>
      </c>
      <c r="G7547" s="74">
        <v>37.592441584648412</v>
      </c>
      <c r="H7547" s="74">
        <f t="shared" si="235"/>
        <v>2.9019587586841098</v>
      </c>
    </row>
    <row r="7548" spans="5:8" ht="15.6">
      <c r="E7548" s="279" t="s">
        <v>7874</v>
      </c>
      <c r="F7548" s="284">
        <f t="shared" ca="1" si="234"/>
        <v>0.3525735707807478</v>
      </c>
      <c r="G7548" s="74">
        <v>36.726851306970936</v>
      </c>
      <c r="H7548" s="74">
        <f t="shared" si="235"/>
        <v>3.7675490363615864</v>
      </c>
    </row>
    <row r="7549" spans="5:8" ht="15.6">
      <c r="E7549" s="279" t="s">
        <v>7875</v>
      </c>
      <c r="F7549" s="284">
        <f t="shared" ca="1" si="234"/>
        <v>0.11373009804694856</v>
      </c>
      <c r="G7549" s="74">
        <v>40.334554703875241</v>
      </c>
      <c r="H7549" s="74">
        <f t="shared" si="235"/>
        <v>0.1598456394572807</v>
      </c>
    </row>
    <row r="7550" spans="5:8" ht="15.6">
      <c r="E7550" s="279" t="s">
        <v>7876</v>
      </c>
      <c r="F7550" s="284">
        <f t="shared" ca="1" si="234"/>
        <v>0.93757187782136775</v>
      </c>
      <c r="G7550" s="74">
        <v>39.67202070064009</v>
      </c>
      <c r="H7550" s="74">
        <f t="shared" si="235"/>
        <v>0.82237964269243236</v>
      </c>
    </row>
    <row r="7551" spans="5:8" ht="15.6">
      <c r="E7551" s="279" t="s">
        <v>7877</v>
      </c>
      <c r="F7551" s="284">
        <f t="shared" ca="1" si="234"/>
        <v>0.74566900006828885</v>
      </c>
      <c r="G7551" s="74">
        <v>42.100746601403635</v>
      </c>
      <c r="H7551" s="74">
        <f t="shared" si="235"/>
        <v>-1.6063462580711132</v>
      </c>
    </row>
    <row r="7552" spans="5:8" ht="15.6">
      <c r="E7552" s="279" t="s">
        <v>7878</v>
      </c>
      <c r="F7552" s="284">
        <f t="shared" ca="1" si="234"/>
        <v>0.37419461105265228</v>
      </c>
      <c r="G7552" s="74">
        <v>39.908621235907837</v>
      </c>
      <c r="H7552" s="74">
        <f t="shared" si="235"/>
        <v>0.58577910742468475</v>
      </c>
    </row>
    <row r="7553" spans="5:8" ht="15.6">
      <c r="E7553" s="279" t="s">
        <v>7879</v>
      </c>
      <c r="F7553" s="284">
        <f t="shared" ca="1" si="234"/>
        <v>0.11722738734683014</v>
      </c>
      <c r="G7553" s="74">
        <v>36.808196873463579</v>
      </c>
      <c r="H7553" s="74">
        <f t="shared" si="235"/>
        <v>3.6862034698689428</v>
      </c>
    </row>
    <row r="7554" spans="5:8" ht="15.6">
      <c r="E7554" s="279" t="s">
        <v>7880</v>
      </c>
      <c r="F7554" s="284">
        <f t="shared" ca="1" si="234"/>
        <v>0.67965782990441892</v>
      </c>
      <c r="G7554" s="74">
        <v>38.313708328708536</v>
      </c>
      <c r="H7554" s="74">
        <f t="shared" si="235"/>
        <v>2.1806920146239861</v>
      </c>
    </row>
    <row r="7555" spans="5:8" ht="15.6">
      <c r="E7555" s="279" t="s">
        <v>7881</v>
      </c>
      <c r="F7555" s="284">
        <f t="shared" ca="1" si="234"/>
        <v>0.82243669888007576</v>
      </c>
      <c r="G7555" s="74">
        <v>41.684208232381579</v>
      </c>
      <c r="H7555" s="74">
        <f t="shared" si="235"/>
        <v>-1.1898078890490567</v>
      </c>
    </row>
    <row r="7556" spans="5:8" ht="15.6">
      <c r="E7556" s="279" t="s">
        <v>7882</v>
      </c>
      <c r="F7556" s="284">
        <f t="shared" ca="1" si="234"/>
        <v>0.61370175657829229</v>
      </c>
      <c r="G7556" s="74">
        <v>40.100726347108321</v>
      </c>
      <c r="H7556" s="74">
        <f t="shared" si="235"/>
        <v>0.39367399622420152</v>
      </c>
    </row>
    <row r="7557" spans="5:8" ht="15.6">
      <c r="E7557" s="279" t="s">
        <v>7883</v>
      </c>
      <c r="F7557" s="284">
        <f t="shared" ca="1" si="234"/>
        <v>0.48130497114616655</v>
      </c>
      <c r="G7557" s="74">
        <v>39.001507193648671</v>
      </c>
      <c r="H7557" s="74">
        <f t="shared" si="235"/>
        <v>1.4928931496838516</v>
      </c>
    </row>
    <row r="7558" spans="5:8" ht="15.6">
      <c r="E7558" s="279" t="s">
        <v>7884</v>
      </c>
      <c r="F7558" s="284">
        <f t="shared" ca="1" si="234"/>
        <v>0.10938252986059682</v>
      </c>
      <c r="G7558" s="74">
        <v>36.682409278778763</v>
      </c>
      <c r="H7558" s="74">
        <f t="shared" si="235"/>
        <v>3.8119910645537587</v>
      </c>
    </row>
    <row r="7559" spans="5:8" ht="15.6">
      <c r="E7559" s="279" t="s">
        <v>7885</v>
      </c>
      <c r="F7559" s="284">
        <f t="shared" ca="1" si="234"/>
        <v>0.25033163098364208</v>
      </c>
      <c r="G7559" s="74">
        <v>43.578956371807458</v>
      </c>
      <c r="H7559" s="74">
        <f t="shared" si="235"/>
        <v>-3.0845560284749354</v>
      </c>
    </row>
    <row r="7560" spans="5:8" ht="15.6">
      <c r="E7560" s="279" t="s">
        <v>7886</v>
      </c>
      <c r="F7560" s="284">
        <f t="shared" ca="1" si="234"/>
        <v>0.56956261219389792</v>
      </c>
      <c r="G7560" s="74">
        <v>39.630192841558383</v>
      </c>
      <c r="H7560" s="74">
        <f t="shared" si="235"/>
        <v>0.86420750177413908</v>
      </c>
    </row>
    <row r="7561" spans="5:8" ht="15.6">
      <c r="E7561" s="279" t="s">
        <v>7887</v>
      </c>
      <c r="F7561" s="284">
        <f t="shared" ca="1" si="234"/>
        <v>0.50072463278796464</v>
      </c>
      <c r="G7561" s="74">
        <v>41.947361014444915</v>
      </c>
      <c r="H7561" s="74">
        <f t="shared" si="235"/>
        <v>-1.4529606711123932</v>
      </c>
    </row>
    <row r="7562" spans="5:8" ht="15.6">
      <c r="E7562" s="279" t="s">
        <v>7888</v>
      </c>
      <c r="F7562" s="284">
        <f t="shared" ca="1" si="234"/>
        <v>1.6056423504101636E-3</v>
      </c>
      <c r="G7562" s="74">
        <v>36.619715299749011</v>
      </c>
      <c r="H7562" s="74">
        <f t="shared" si="235"/>
        <v>3.8746850435835114</v>
      </c>
    </row>
    <row r="7563" spans="5:8" ht="15.6">
      <c r="E7563" s="279" t="s">
        <v>7889</v>
      </c>
      <c r="F7563" s="284">
        <f t="shared" ca="1" si="234"/>
        <v>0.87571494186084575</v>
      </c>
      <c r="G7563" s="74">
        <v>39.748633580655365</v>
      </c>
      <c r="H7563" s="74">
        <f t="shared" si="235"/>
        <v>0.74576676267715669</v>
      </c>
    </row>
    <row r="7564" spans="5:8" ht="15.6">
      <c r="E7564" s="279" t="s">
        <v>7890</v>
      </c>
      <c r="F7564" s="284">
        <f t="shared" ref="F7564:F7627" ca="1" si="236">RAND()</f>
        <v>0.30712568157597109</v>
      </c>
      <c r="G7564" s="74">
        <v>41.038339462483705</v>
      </c>
      <c r="H7564" s="74">
        <f t="shared" ref="H7564:H7627" si="237">$D$2-G7564</f>
        <v>-0.54393911915118309</v>
      </c>
    </row>
    <row r="7565" spans="5:8" ht="15.6">
      <c r="E7565" s="279" t="s">
        <v>7891</v>
      </c>
      <c r="F7565" s="284">
        <f t="shared" ca="1" si="236"/>
        <v>7.2808797214998555E-2</v>
      </c>
      <c r="G7565" s="74">
        <v>42.392874153961515</v>
      </c>
      <c r="H7565" s="74">
        <f t="shared" si="237"/>
        <v>-1.8984738106289925</v>
      </c>
    </row>
    <row r="7566" spans="5:8" ht="15.6">
      <c r="E7566" s="279" t="s">
        <v>7892</v>
      </c>
      <c r="F7566" s="284">
        <f t="shared" ca="1" si="236"/>
        <v>7.8939110658954648E-2</v>
      </c>
      <c r="G7566" s="74">
        <v>41.671479196531664</v>
      </c>
      <c r="H7566" s="74">
        <f t="shared" si="237"/>
        <v>-1.1770788531991414</v>
      </c>
    </row>
    <row r="7567" spans="5:8" ht="15.6">
      <c r="E7567" s="279" t="s">
        <v>7893</v>
      </c>
      <c r="F7567" s="284">
        <f t="shared" ca="1" si="236"/>
        <v>0.99386256803659268</v>
      </c>
      <c r="G7567" s="74">
        <v>42.804069207923902</v>
      </c>
      <c r="H7567" s="74">
        <f t="shared" si="237"/>
        <v>-2.3096688645913801</v>
      </c>
    </row>
    <row r="7568" spans="5:8" ht="15.6">
      <c r="E7568" s="279" t="s">
        <v>7894</v>
      </c>
      <c r="F7568" s="284">
        <f t="shared" ca="1" si="236"/>
        <v>0.51525269057401069</v>
      </c>
      <c r="G7568" s="74">
        <v>36.975375770993089</v>
      </c>
      <c r="H7568" s="74">
        <f t="shared" si="237"/>
        <v>3.5190245723394327</v>
      </c>
    </row>
    <row r="7569" spans="5:8" ht="15.6">
      <c r="E7569" s="279" t="s">
        <v>7895</v>
      </c>
      <c r="F7569" s="284">
        <f t="shared" ca="1" si="236"/>
        <v>0.98476977277705491</v>
      </c>
      <c r="G7569" s="74">
        <v>41.445471198316525</v>
      </c>
      <c r="H7569" s="74">
        <f t="shared" si="237"/>
        <v>-0.95107085498400323</v>
      </c>
    </row>
    <row r="7570" spans="5:8" ht="15.6">
      <c r="E7570" s="279" t="s">
        <v>7896</v>
      </c>
      <c r="F7570" s="284">
        <f t="shared" ca="1" si="236"/>
        <v>0.57881484705411235</v>
      </c>
      <c r="G7570" s="74">
        <v>38.252701915370665</v>
      </c>
      <c r="H7570" s="74">
        <f t="shared" si="237"/>
        <v>2.2416984279618575</v>
      </c>
    </row>
    <row r="7571" spans="5:8" ht="15.6">
      <c r="E7571" s="279" t="s">
        <v>7897</v>
      </c>
      <c r="F7571" s="284">
        <f t="shared" ca="1" si="236"/>
        <v>8.7743418789855254E-2</v>
      </c>
      <c r="G7571" s="74">
        <v>39.112515587827659</v>
      </c>
      <c r="H7571" s="74">
        <f t="shared" si="237"/>
        <v>1.3818847555048634</v>
      </c>
    </row>
    <row r="7572" spans="5:8" ht="15.6">
      <c r="E7572" s="279" t="s">
        <v>7898</v>
      </c>
      <c r="F7572" s="284">
        <f t="shared" ca="1" si="236"/>
        <v>0.90958621314150268</v>
      </c>
      <c r="G7572" s="74">
        <v>37.956329682497056</v>
      </c>
      <c r="H7572" s="74">
        <f t="shared" si="237"/>
        <v>2.5380706608354657</v>
      </c>
    </row>
    <row r="7573" spans="5:8" ht="15.6">
      <c r="E7573" s="279" t="s">
        <v>7899</v>
      </c>
      <c r="F7573" s="284">
        <f t="shared" ca="1" si="236"/>
        <v>0.49523533046567747</v>
      </c>
      <c r="G7573" s="74">
        <v>35.873569177133533</v>
      </c>
      <c r="H7573" s="74">
        <f t="shared" si="237"/>
        <v>4.6208311661989896</v>
      </c>
    </row>
    <row r="7574" spans="5:8" ht="15.6">
      <c r="E7574" s="279" t="s">
        <v>7900</v>
      </c>
      <c r="F7574" s="284">
        <f t="shared" ca="1" si="236"/>
        <v>9.2060860740831307E-2</v>
      </c>
      <c r="G7574" s="74">
        <v>40.026430125753528</v>
      </c>
      <c r="H7574" s="74">
        <f t="shared" si="237"/>
        <v>0.46797021757899415</v>
      </c>
    </row>
    <row r="7575" spans="5:8" ht="15.6">
      <c r="E7575" s="279" t="s">
        <v>7901</v>
      </c>
      <c r="F7575" s="284">
        <f t="shared" ca="1" si="236"/>
        <v>0.957023583072516</v>
      </c>
      <c r="G7575" s="74">
        <v>40.592516522351978</v>
      </c>
      <c r="H7575" s="74">
        <f t="shared" si="237"/>
        <v>-9.811617901945624E-2</v>
      </c>
    </row>
    <row r="7576" spans="5:8" ht="15.6">
      <c r="E7576" s="279" t="s">
        <v>7902</v>
      </c>
      <c r="F7576" s="284">
        <f t="shared" ca="1" si="236"/>
        <v>0.71212912574653719</v>
      </c>
      <c r="G7576" s="74">
        <v>38.049923635206234</v>
      </c>
      <c r="H7576" s="74">
        <f t="shared" si="237"/>
        <v>2.4444767081262881</v>
      </c>
    </row>
    <row r="7577" spans="5:8" ht="15.6">
      <c r="E7577" s="279" t="s">
        <v>7903</v>
      </c>
      <c r="F7577" s="284">
        <f t="shared" ca="1" si="236"/>
        <v>3.734428487148389E-2</v>
      </c>
      <c r="G7577" s="74">
        <v>41.276562252259772</v>
      </c>
      <c r="H7577" s="74">
        <f t="shared" si="237"/>
        <v>-0.78216190892725024</v>
      </c>
    </row>
    <row r="7578" spans="5:8" ht="15.6">
      <c r="E7578" s="279" t="s">
        <v>7904</v>
      </c>
      <c r="F7578" s="284">
        <f t="shared" ca="1" si="236"/>
        <v>0.12436287004136271</v>
      </c>
      <c r="G7578" s="74">
        <v>39.80042457289143</v>
      </c>
      <c r="H7578" s="74">
        <f t="shared" si="237"/>
        <v>0.69397577044109227</v>
      </c>
    </row>
    <row r="7579" spans="5:8" ht="15.6">
      <c r="E7579" s="279" t="s">
        <v>7905</v>
      </c>
      <c r="F7579" s="284">
        <f t="shared" ca="1" si="236"/>
        <v>0.40454869352938172</v>
      </c>
      <c r="G7579" s="74">
        <v>41.894366492204377</v>
      </c>
      <c r="H7579" s="74">
        <f t="shared" si="237"/>
        <v>-1.3999661488718544</v>
      </c>
    </row>
    <row r="7580" spans="5:8" ht="15.6">
      <c r="E7580" s="279" t="s">
        <v>7906</v>
      </c>
      <c r="F7580" s="284">
        <f t="shared" ca="1" si="236"/>
        <v>0.69068740588422417</v>
      </c>
      <c r="G7580" s="74">
        <v>37.710906173987063</v>
      </c>
      <c r="H7580" s="74">
        <f t="shared" si="237"/>
        <v>2.7834941693454596</v>
      </c>
    </row>
    <row r="7581" spans="5:8" ht="15.6">
      <c r="E7581" s="279" t="s">
        <v>7907</v>
      </c>
      <c r="F7581" s="284">
        <f t="shared" ca="1" si="236"/>
        <v>0.22254646943030942</v>
      </c>
      <c r="G7581" s="74">
        <v>37.721861694242499</v>
      </c>
      <c r="H7581" s="74">
        <f t="shared" si="237"/>
        <v>2.7725386490900235</v>
      </c>
    </row>
    <row r="7582" spans="5:8" ht="15.6">
      <c r="E7582" s="279" t="s">
        <v>7908</v>
      </c>
      <c r="F7582" s="284">
        <f t="shared" ca="1" si="236"/>
        <v>5.1292203047891838E-2</v>
      </c>
      <c r="G7582" s="74">
        <v>38.568086243729411</v>
      </c>
      <c r="H7582" s="74">
        <f t="shared" si="237"/>
        <v>1.9263140996031112</v>
      </c>
    </row>
    <row r="7583" spans="5:8" ht="15.6">
      <c r="E7583" s="279" t="s">
        <v>7909</v>
      </c>
      <c r="F7583" s="284">
        <f t="shared" ca="1" si="236"/>
        <v>0.86168851902158861</v>
      </c>
      <c r="G7583" s="74">
        <v>35.01448734965436</v>
      </c>
      <c r="H7583" s="74">
        <f t="shared" si="237"/>
        <v>5.4799129936781625</v>
      </c>
    </row>
    <row r="7584" spans="5:8" ht="15.6">
      <c r="E7584" s="279" t="s">
        <v>7910</v>
      </c>
      <c r="F7584" s="284">
        <f t="shared" ca="1" si="236"/>
        <v>6.9525379121858411E-2</v>
      </c>
      <c r="G7584" s="74">
        <v>43.567172439956678</v>
      </c>
      <c r="H7584" s="74">
        <f t="shared" si="237"/>
        <v>-3.0727720966241563</v>
      </c>
    </row>
    <row r="7585" spans="5:8" ht="15.6">
      <c r="E7585" s="279" t="s">
        <v>7911</v>
      </c>
      <c r="F7585" s="284">
        <f t="shared" ca="1" si="236"/>
        <v>0.88178524201492792</v>
      </c>
      <c r="G7585" s="74">
        <v>40.376289842427077</v>
      </c>
      <c r="H7585" s="74">
        <f t="shared" si="237"/>
        <v>0.11811050090544484</v>
      </c>
    </row>
    <row r="7586" spans="5:8" ht="15.6">
      <c r="E7586" s="279" t="s">
        <v>7912</v>
      </c>
      <c r="F7586" s="284">
        <f t="shared" ca="1" si="236"/>
        <v>0.77996181442192214</v>
      </c>
      <c r="G7586" s="74">
        <v>37.4547248626222</v>
      </c>
      <c r="H7586" s="74">
        <f t="shared" si="237"/>
        <v>3.0396754807103221</v>
      </c>
    </row>
    <row r="7587" spans="5:8" ht="15.6">
      <c r="E7587" s="279" t="s">
        <v>7913</v>
      </c>
      <c r="F7587" s="284">
        <f t="shared" ca="1" si="236"/>
        <v>0.31551456405240486</v>
      </c>
      <c r="G7587" s="74">
        <v>41.077345908775996</v>
      </c>
      <c r="H7587" s="74">
        <f t="shared" si="237"/>
        <v>-0.58294556544347387</v>
      </c>
    </row>
    <row r="7588" spans="5:8" ht="15.6">
      <c r="E7588" s="279" t="s">
        <v>7914</v>
      </c>
      <c r="F7588" s="284">
        <f t="shared" ca="1" si="236"/>
        <v>0.12912900471364963</v>
      </c>
      <c r="G7588" s="74">
        <v>37.489418658246592</v>
      </c>
      <c r="H7588" s="74">
        <f t="shared" si="237"/>
        <v>3.0049816850859301</v>
      </c>
    </row>
    <row r="7589" spans="5:8" ht="15.6">
      <c r="E7589" s="279" t="s">
        <v>7915</v>
      </c>
      <c r="F7589" s="284">
        <f t="shared" ca="1" si="236"/>
        <v>0.40027527904339266</v>
      </c>
      <c r="G7589" s="74">
        <v>39.55376485751362</v>
      </c>
      <c r="H7589" s="74">
        <f t="shared" si="237"/>
        <v>0.94063548581890188</v>
      </c>
    </row>
    <row r="7590" spans="5:8" ht="15.6">
      <c r="E7590" s="279" t="s">
        <v>7916</v>
      </c>
      <c r="F7590" s="284">
        <f t="shared" ca="1" si="236"/>
        <v>3.6652438620669026E-3</v>
      </c>
      <c r="G7590" s="74">
        <v>37.508610549215284</v>
      </c>
      <c r="H7590" s="74">
        <f t="shared" si="237"/>
        <v>2.9857897941172382</v>
      </c>
    </row>
    <row r="7591" spans="5:8" ht="15.6">
      <c r="E7591" s="279" t="s">
        <v>7917</v>
      </c>
      <c r="F7591" s="284">
        <f t="shared" ca="1" si="236"/>
        <v>0.6735844888462067</v>
      </c>
      <c r="G7591" s="74">
        <v>40.027846811654399</v>
      </c>
      <c r="H7591" s="74">
        <f t="shared" si="237"/>
        <v>0.46655353167812308</v>
      </c>
    </row>
    <row r="7592" spans="5:8" ht="15.6">
      <c r="E7592" s="279" t="s">
        <v>7918</v>
      </c>
      <c r="F7592" s="284">
        <f t="shared" ca="1" si="236"/>
        <v>0.194951173957431</v>
      </c>
      <c r="G7592" s="74">
        <v>41.56975166361191</v>
      </c>
      <c r="H7592" s="74">
        <f t="shared" si="237"/>
        <v>-1.0753513202793883</v>
      </c>
    </row>
    <row r="7593" spans="5:8" ht="15.6">
      <c r="E7593" s="279" t="s">
        <v>7919</v>
      </c>
      <c r="F7593" s="284">
        <f t="shared" ca="1" si="236"/>
        <v>0.30633455910482665</v>
      </c>
      <c r="G7593" s="74">
        <v>37.818045939620177</v>
      </c>
      <c r="H7593" s="74">
        <f t="shared" si="237"/>
        <v>2.6763544037123452</v>
      </c>
    </row>
    <row r="7594" spans="5:8" ht="15.6">
      <c r="E7594" s="279" t="s">
        <v>7920</v>
      </c>
      <c r="F7594" s="284">
        <f t="shared" ca="1" si="236"/>
        <v>0.94554214238934309</v>
      </c>
      <c r="G7594" s="74">
        <v>40.735546422221169</v>
      </c>
      <c r="H7594" s="74">
        <f t="shared" si="237"/>
        <v>-0.24114607888864725</v>
      </c>
    </row>
    <row r="7595" spans="5:8" ht="15.6">
      <c r="E7595" s="279" t="s">
        <v>7921</v>
      </c>
      <c r="F7595" s="284">
        <f t="shared" ca="1" si="236"/>
        <v>0.55405708213941374</v>
      </c>
      <c r="G7595" s="74">
        <v>34.74384405830817</v>
      </c>
      <c r="H7595" s="74">
        <f t="shared" si="237"/>
        <v>5.7505562850243521</v>
      </c>
    </row>
    <row r="7596" spans="5:8" ht="15.6">
      <c r="E7596" s="279" t="s">
        <v>7922</v>
      </c>
      <c r="F7596" s="284">
        <f t="shared" ca="1" si="236"/>
        <v>0.71325913364871052</v>
      </c>
      <c r="G7596" s="74">
        <v>37.518019456656035</v>
      </c>
      <c r="H7596" s="74">
        <f t="shared" si="237"/>
        <v>2.9763808866764876</v>
      </c>
    </row>
    <row r="7597" spans="5:8" ht="15.6">
      <c r="E7597" s="279" t="s">
        <v>7923</v>
      </c>
      <c r="F7597" s="284">
        <f t="shared" ca="1" si="236"/>
        <v>0.80396874610044899</v>
      </c>
      <c r="G7597" s="74">
        <v>42.497161316134324</v>
      </c>
      <c r="H7597" s="74">
        <f t="shared" si="237"/>
        <v>-2.0027609728018021</v>
      </c>
    </row>
    <row r="7598" spans="5:8" ht="15.6">
      <c r="E7598" s="279" t="s">
        <v>7924</v>
      </c>
      <c r="F7598" s="284">
        <f t="shared" ca="1" si="236"/>
        <v>5.5059366781930352E-2</v>
      </c>
      <c r="G7598" s="74">
        <v>37.68740473414136</v>
      </c>
      <c r="H7598" s="74">
        <f t="shared" si="237"/>
        <v>2.8069956091911621</v>
      </c>
    </row>
    <row r="7599" spans="5:8" ht="15.6">
      <c r="E7599" s="279" t="s">
        <v>7925</v>
      </c>
      <c r="F7599" s="284">
        <f t="shared" ca="1" si="236"/>
        <v>0.48281607731589793</v>
      </c>
      <c r="G7599" s="74">
        <v>36.512788293761453</v>
      </c>
      <c r="H7599" s="74">
        <f t="shared" si="237"/>
        <v>3.9816120495710692</v>
      </c>
    </row>
    <row r="7600" spans="5:8" ht="15.6">
      <c r="E7600" s="279" t="s">
        <v>7926</v>
      </c>
      <c r="F7600" s="284">
        <f t="shared" ca="1" si="236"/>
        <v>0.94353009374880958</v>
      </c>
      <c r="G7600" s="74">
        <v>40.063266338595632</v>
      </c>
      <c r="H7600" s="74">
        <f t="shared" si="237"/>
        <v>0.43113400473689012</v>
      </c>
    </row>
    <row r="7601" spans="5:8" ht="15.6">
      <c r="E7601" s="279" t="s">
        <v>7927</v>
      </c>
      <c r="F7601" s="284">
        <f t="shared" ca="1" si="236"/>
        <v>0.10018462381679993</v>
      </c>
      <c r="G7601" s="74">
        <v>34.102141600308777</v>
      </c>
      <c r="H7601" s="74">
        <f t="shared" si="237"/>
        <v>6.3922587430237456</v>
      </c>
    </row>
    <row r="7602" spans="5:8" ht="15.6">
      <c r="E7602" s="279" t="s">
        <v>7928</v>
      </c>
      <c r="F7602" s="284">
        <f t="shared" ca="1" si="236"/>
        <v>0.93433464097855923</v>
      </c>
      <c r="G7602" s="74">
        <v>37.558351785931769</v>
      </c>
      <c r="H7602" s="74">
        <f t="shared" si="237"/>
        <v>2.9360485574007527</v>
      </c>
    </row>
    <row r="7603" spans="5:8" ht="15.6">
      <c r="E7603" s="279" t="s">
        <v>7929</v>
      </c>
      <c r="F7603" s="284">
        <f t="shared" ca="1" si="236"/>
        <v>8.4215101936839454E-2</v>
      </c>
      <c r="G7603" s="74">
        <v>39.486996998734611</v>
      </c>
      <c r="H7603" s="74">
        <f t="shared" si="237"/>
        <v>1.0074033445979111</v>
      </c>
    </row>
    <row r="7604" spans="5:8" ht="15.6">
      <c r="E7604" s="279" t="s">
        <v>7930</v>
      </c>
      <c r="F7604" s="284">
        <f t="shared" ca="1" si="236"/>
        <v>0.11694315860737026</v>
      </c>
      <c r="G7604" s="74">
        <v>39.403300736768799</v>
      </c>
      <c r="H7604" s="74">
        <f t="shared" si="237"/>
        <v>1.0910996065637235</v>
      </c>
    </row>
    <row r="7605" spans="5:8" ht="15.6">
      <c r="E7605" s="279" t="s">
        <v>7931</v>
      </c>
      <c r="F7605" s="284">
        <f t="shared" ca="1" si="236"/>
        <v>0.9024055333163169</v>
      </c>
      <c r="G7605" s="74">
        <v>39.977536208762643</v>
      </c>
      <c r="H7605" s="74">
        <f t="shared" si="237"/>
        <v>0.51686413456987879</v>
      </c>
    </row>
    <row r="7606" spans="5:8" ht="15.6">
      <c r="E7606" s="279" t="s">
        <v>7932</v>
      </c>
      <c r="F7606" s="284">
        <f t="shared" ca="1" si="236"/>
        <v>0.93017654456042032</v>
      </c>
      <c r="G7606" s="74">
        <v>46.263061082391147</v>
      </c>
      <c r="H7606" s="74">
        <f t="shared" si="237"/>
        <v>-5.7686607390586246</v>
      </c>
    </row>
    <row r="7607" spans="5:8" ht="15.6">
      <c r="E7607" s="279" t="s">
        <v>7933</v>
      </c>
      <c r="F7607" s="284">
        <f t="shared" ca="1" si="236"/>
        <v>0.10862904586553379</v>
      </c>
      <c r="G7607" s="74">
        <v>46.337096495070782</v>
      </c>
      <c r="H7607" s="74">
        <f t="shared" si="237"/>
        <v>-5.8426961517382594</v>
      </c>
    </row>
    <row r="7608" spans="5:8" ht="15.6">
      <c r="E7608" s="279" t="s">
        <v>7934</v>
      </c>
      <c r="F7608" s="284">
        <f t="shared" ca="1" si="236"/>
        <v>0.65590056171652256</v>
      </c>
      <c r="G7608" s="74">
        <v>37.556698836046387</v>
      </c>
      <c r="H7608" s="74">
        <f t="shared" si="237"/>
        <v>2.9377015072861354</v>
      </c>
    </row>
    <row r="7609" spans="5:8" ht="15.6">
      <c r="E7609" s="279" t="s">
        <v>7935</v>
      </c>
      <c r="F7609" s="284">
        <f t="shared" ca="1" si="236"/>
        <v>0.50227870512497796</v>
      </c>
      <c r="G7609" s="74">
        <v>39.254140262480973</v>
      </c>
      <c r="H7609" s="74">
        <f t="shared" si="237"/>
        <v>1.2402600808515487</v>
      </c>
    </row>
    <row r="7610" spans="5:8" ht="15.6">
      <c r="E7610" s="279" t="s">
        <v>7936</v>
      </c>
      <c r="F7610" s="284">
        <f t="shared" ca="1" si="236"/>
        <v>0.30842186552553286</v>
      </c>
      <c r="G7610" s="74">
        <v>40.459924975228503</v>
      </c>
      <c r="H7610" s="74">
        <f t="shared" si="237"/>
        <v>3.4475368104018855E-2</v>
      </c>
    </row>
    <row r="7611" spans="5:8" ht="15.6">
      <c r="E7611" s="279" t="s">
        <v>7937</v>
      </c>
      <c r="F7611" s="284">
        <f t="shared" ca="1" si="236"/>
        <v>0.8867988432479037</v>
      </c>
      <c r="G7611" s="74">
        <v>43.45463148686985</v>
      </c>
      <c r="H7611" s="74">
        <f t="shared" si="237"/>
        <v>-2.9602311435373281</v>
      </c>
    </row>
    <row r="7612" spans="5:8" ht="15.6">
      <c r="E7612" s="279" t="s">
        <v>7938</v>
      </c>
      <c r="F7612" s="284">
        <f t="shared" ca="1" si="236"/>
        <v>0.73154114469814235</v>
      </c>
      <c r="G7612" s="74">
        <v>36.628757976579614</v>
      </c>
      <c r="H7612" s="74">
        <f t="shared" si="237"/>
        <v>3.8656423667529083</v>
      </c>
    </row>
    <row r="7613" spans="5:8" ht="15.6">
      <c r="E7613" s="279" t="s">
        <v>7939</v>
      </c>
      <c r="F7613" s="284">
        <f t="shared" ca="1" si="236"/>
        <v>0.40774627174779643</v>
      </c>
      <c r="G7613" s="74">
        <v>41.31635628997708</v>
      </c>
      <c r="H7613" s="74">
        <f t="shared" si="237"/>
        <v>-0.8219559466445574</v>
      </c>
    </row>
    <row r="7614" spans="5:8" ht="15.6">
      <c r="E7614" s="279" t="s">
        <v>7940</v>
      </c>
      <c r="F7614" s="284">
        <f t="shared" ca="1" si="236"/>
        <v>0.23696345604940894</v>
      </c>
      <c r="G7614" s="74">
        <v>35.741633322400318</v>
      </c>
      <c r="H7614" s="74">
        <f t="shared" si="237"/>
        <v>4.7527670209322039</v>
      </c>
    </row>
    <row r="7615" spans="5:8" ht="15.6">
      <c r="E7615" s="279" t="s">
        <v>7941</v>
      </c>
      <c r="F7615" s="284">
        <f t="shared" ca="1" si="236"/>
        <v>0.2202546705780275</v>
      </c>
      <c r="G7615" s="74">
        <v>39.1726954077469</v>
      </c>
      <c r="H7615" s="74">
        <f t="shared" si="237"/>
        <v>1.3217049355856219</v>
      </c>
    </row>
    <row r="7616" spans="5:8" ht="15.6">
      <c r="E7616" s="279" t="s">
        <v>7942</v>
      </c>
      <c r="F7616" s="284">
        <f t="shared" ca="1" si="236"/>
        <v>0.1321095605313013</v>
      </c>
      <c r="G7616" s="74">
        <v>39.46329195426096</v>
      </c>
      <c r="H7616" s="74">
        <f t="shared" si="237"/>
        <v>1.0311083890715622</v>
      </c>
    </row>
    <row r="7617" spans="5:8" ht="15.6">
      <c r="E7617" s="279" t="s">
        <v>7943</v>
      </c>
      <c r="F7617" s="284">
        <f t="shared" ca="1" si="236"/>
        <v>0.50173556820974274</v>
      </c>
      <c r="G7617" s="74">
        <v>40.13723399075409</v>
      </c>
      <c r="H7617" s="74">
        <f t="shared" si="237"/>
        <v>0.35716635257843166</v>
      </c>
    </row>
    <row r="7618" spans="5:8" ht="15.6">
      <c r="E7618" s="279" t="s">
        <v>7944</v>
      </c>
      <c r="F7618" s="284">
        <f t="shared" ca="1" si="236"/>
        <v>0.64914624288711531</v>
      </c>
      <c r="G7618" s="74">
        <v>39.349338768963833</v>
      </c>
      <c r="H7618" s="74">
        <f t="shared" si="237"/>
        <v>1.1450615743686896</v>
      </c>
    </row>
    <row r="7619" spans="5:8" ht="15.6">
      <c r="E7619" s="279" t="s">
        <v>7945</v>
      </c>
      <c r="F7619" s="284">
        <f t="shared" ca="1" si="236"/>
        <v>0.51109962646153706</v>
      </c>
      <c r="G7619" s="74">
        <v>38.653383548032757</v>
      </c>
      <c r="H7619" s="74">
        <f t="shared" si="237"/>
        <v>1.8410167952997654</v>
      </c>
    </row>
    <row r="7620" spans="5:8" ht="15.6">
      <c r="E7620" s="279" t="s">
        <v>7946</v>
      </c>
      <c r="F7620" s="284">
        <f t="shared" ca="1" si="236"/>
        <v>0.9626634570395457</v>
      </c>
      <c r="G7620" s="74">
        <v>41.18650828711165</v>
      </c>
      <c r="H7620" s="74">
        <f t="shared" si="237"/>
        <v>-0.69210794377912777</v>
      </c>
    </row>
    <row r="7621" spans="5:8" ht="15.6">
      <c r="E7621" s="279" t="s">
        <v>7947</v>
      </c>
      <c r="F7621" s="284">
        <f t="shared" ca="1" si="236"/>
        <v>0.29340411538963751</v>
      </c>
      <c r="G7621" s="74">
        <v>42.387018726511201</v>
      </c>
      <c r="H7621" s="74">
        <f t="shared" si="237"/>
        <v>-1.8926183831786787</v>
      </c>
    </row>
    <row r="7622" spans="5:8" ht="15.6">
      <c r="E7622" s="279" t="s">
        <v>7948</v>
      </c>
      <c r="F7622" s="284">
        <f t="shared" ca="1" si="236"/>
        <v>0.85427267700122733</v>
      </c>
      <c r="G7622" s="74">
        <v>34.777146002131559</v>
      </c>
      <c r="H7622" s="74">
        <f t="shared" si="237"/>
        <v>5.7172543412009631</v>
      </c>
    </row>
    <row r="7623" spans="5:8" ht="15.6">
      <c r="E7623" s="279" t="s">
        <v>7949</v>
      </c>
      <c r="F7623" s="284">
        <f t="shared" ca="1" si="236"/>
        <v>0.15234674303124118</v>
      </c>
      <c r="G7623" s="74">
        <v>36.938344345692215</v>
      </c>
      <c r="H7623" s="74">
        <f t="shared" si="237"/>
        <v>3.556055997640307</v>
      </c>
    </row>
    <row r="7624" spans="5:8" ht="15.6">
      <c r="E7624" s="279" t="s">
        <v>7950</v>
      </c>
      <c r="F7624" s="284">
        <f t="shared" ca="1" si="236"/>
        <v>0.15458166722988331</v>
      </c>
      <c r="G7624" s="74">
        <v>39.322802674370664</v>
      </c>
      <c r="H7624" s="74">
        <f t="shared" si="237"/>
        <v>1.1715976689618586</v>
      </c>
    </row>
    <row r="7625" spans="5:8" ht="15.6">
      <c r="E7625" s="279" t="s">
        <v>7951</v>
      </c>
      <c r="F7625" s="284">
        <f t="shared" ca="1" si="236"/>
        <v>0.70805940546938317</v>
      </c>
      <c r="G7625" s="74">
        <v>42.985159527737963</v>
      </c>
      <c r="H7625" s="74">
        <f t="shared" si="237"/>
        <v>-2.4907591844054409</v>
      </c>
    </row>
    <row r="7626" spans="5:8" ht="15.6">
      <c r="E7626" s="279" t="s">
        <v>7952</v>
      </c>
      <c r="F7626" s="284">
        <f t="shared" ca="1" si="236"/>
        <v>0.43256383046145819</v>
      </c>
      <c r="G7626" s="74">
        <v>34.936594725792922</v>
      </c>
      <c r="H7626" s="74">
        <f t="shared" si="237"/>
        <v>5.5578056175396</v>
      </c>
    </row>
    <row r="7627" spans="5:8" ht="15.6">
      <c r="E7627" s="279" t="s">
        <v>7953</v>
      </c>
      <c r="F7627" s="284">
        <f t="shared" ca="1" si="236"/>
        <v>0.91296569341938261</v>
      </c>
      <c r="G7627" s="74">
        <v>42.278554128239463</v>
      </c>
      <c r="H7627" s="74">
        <f t="shared" si="237"/>
        <v>-1.7841537849069411</v>
      </c>
    </row>
    <row r="7628" spans="5:8" ht="15.6">
      <c r="E7628" s="279" t="s">
        <v>7954</v>
      </c>
      <c r="F7628" s="284">
        <f t="shared" ref="F7628:F7691" ca="1" si="238">RAND()</f>
        <v>0.64233304525556967</v>
      </c>
      <c r="G7628" s="74">
        <v>38.100079574410735</v>
      </c>
      <c r="H7628" s="74">
        <f t="shared" ref="H7628:H7691" si="239">$D$2-G7628</f>
        <v>2.3943207689217871</v>
      </c>
    </row>
    <row r="7629" spans="5:8" ht="15.6">
      <c r="E7629" s="279" t="s">
        <v>7955</v>
      </c>
      <c r="F7629" s="284">
        <f t="shared" ca="1" si="238"/>
        <v>0.62951336014781578</v>
      </c>
      <c r="G7629" s="74">
        <v>36.682253510340495</v>
      </c>
      <c r="H7629" s="74">
        <f t="shared" si="239"/>
        <v>3.8121468329920276</v>
      </c>
    </row>
    <row r="7630" spans="5:8" ht="15.6">
      <c r="E7630" s="279" t="s">
        <v>7956</v>
      </c>
      <c r="F7630" s="284">
        <f t="shared" ca="1" si="238"/>
        <v>0.92506721492093091</v>
      </c>
      <c r="G7630" s="74">
        <v>41.138212419644795</v>
      </c>
      <c r="H7630" s="74">
        <f t="shared" si="239"/>
        <v>-0.64381207631227255</v>
      </c>
    </row>
    <row r="7631" spans="5:8" ht="15.6">
      <c r="E7631" s="279" t="s">
        <v>7957</v>
      </c>
      <c r="F7631" s="284">
        <f t="shared" ca="1" si="238"/>
        <v>0.29364754598227782</v>
      </c>
      <c r="G7631" s="74">
        <v>38.23896137967894</v>
      </c>
      <c r="H7631" s="74">
        <f t="shared" si="239"/>
        <v>2.2554389636535817</v>
      </c>
    </row>
    <row r="7632" spans="5:8" ht="15.6">
      <c r="E7632" s="279" t="s">
        <v>7958</v>
      </c>
      <c r="F7632" s="284">
        <f t="shared" ca="1" si="238"/>
        <v>0.72859984772187081</v>
      </c>
      <c r="G7632" s="74">
        <v>40.154229105849659</v>
      </c>
      <c r="H7632" s="74">
        <f t="shared" si="239"/>
        <v>0.34017123748286338</v>
      </c>
    </row>
    <row r="7633" spans="5:8" ht="15.6">
      <c r="E7633" s="279" t="s">
        <v>7959</v>
      </c>
      <c r="F7633" s="284">
        <f t="shared" ca="1" si="238"/>
        <v>6.4109694205399803E-2</v>
      </c>
      <c r="G7633" s="74">
        <v>40.541313973350285</v>
      </c>
      <c r="H7633" s="74">
        <f t="shared" si="239"/>
        <v>-4.6913630017762387E-2</v>
      </c>
    </row>
    <row r="7634" spans="5:8" ht="15.6">
      <c r="E7634" s="279" t="s">
        <v>7960</v>
      </c>
      <c r="F7634" s="284">
        <f t="shared" ca="1" si="238"/>
        <v>0.90019163243112632</v>
      </c>
      <c r="G7634" s="74">
        <v>37.289434245049527</v>
      </c>
      <c r="H7634" s="74">
        <f t="shared" si="239"/>
        <v>3.2049660982829948</v>
      </c>
    </row>
    <row r="7635" spans="5:8" ht="15.6">
      <c r="E7635" s="279" t="s">
        <v>7961</v>
      </c>
      <c r="F7635" s="284">
        <f t="shared" ca="1" si="238"/>
        <v>0.76955893478432202</v>
      </c>
      <c r="G7635" s="74">
        <v>36.838985225502888</v>
      </c>
      <c r="H7635" s="74">
        <f t="shared" si="239"/>
        <v>3.6554151178296337</v>
      </c>
    </row>
    <row r="7636" spans="5:8" ht="15.6">
      <c r="E7636" s="279" t="s">
        <v>7962</v>
      </c>
      <c r="F7636" s="284">
        <f t="shared" ca="1" si="238"/>
        <v>0.35871076131519897</v>
      </c>
      <c r="G7636" s="74">
        <v>39.798133164620992</v>
      </c>
      <c r="H7636" s="74">
        <f t="shared" si="239"/>
        <v>0.69626717871152977</v>
      </c>
    </row>
    <row r="7637" spans="5:8" ht="15.6">
      <c r="E7637" s="279" t="s">
        <v>7963</v>
      </c>
      <c r="F7637" s="284">
        <f t="shared" ca="1" si="238"/>
        <v>0.38039798231260802</v>
      </c>
      <c r="G7637" s="74">
        <v>40.244280651122359</v>
      </c>
      <c r="H7637" s="74">
        <f t="shared" si="239"/>
        <v>0.25011969221016273</v>
      </c>
    </row>
    <row r="7638" spans="5:8" ht="15.6">
      <c r="E7638" s="279" t="s">
        <v>7964</v>
      </c>
      <c r="F7638" s="284">
        <f t="shared" ca="1" si="238"/>
        <v>1.1120180785661793E-2</v>
      </c>
      <c r="G7638" s="74">
        <v>39.194730609770019</v>
      </c>
      <c r="H7638" s="74">
        <f t="shared" si="239"/>
        <v>1.2996697335625029</v>
      </c>
    </row>
    <row r="7639" spans="5:8" ht="15.6">
      <c r="E7639" s="279" t="s">
        <v>7965</v>
      </c>
      <c r="F7639" s="284">
        <f t="shared" ca="1" si="238"/>
        <v>0.31923261448343465</v>
      </c>
      <c r="G7639" s="74">
        <v>38.284965273457225</v>
      </c>
      <c r="H7639" s="74">
        <f t="shared" si="239"/>
        <v>2.2094350698752976</v>
      </c>
    </row>
    <row r="7640" spans="5:8" ht="15.6">
      <c r="E7640" s="279" t="s">
        <v>7966</v>
      </c>
      <c r="F7640" s="284">
        <f t="shared" ca="1" si="238"/>
        <v>0.88333214416694505</v>
      </c>
      <c r="G7640" s="74">
        <v>42.986891097410904</v>
      </c>
      <c r="H7640" s="74">
        <f t="shared" si="239"/>
        <v>-2.4924907540783821</v>
      </c>
    </row>
    <row r="7641" spans="5:8" ht="15.6">
      <c r="E7641" s="279" t="s">
        <v>7967</v>
      </c>
      <c r="F7641" s="284">
        <f t="shared" ca="1" si="238"/>
        <v>1.3816092614437059E-3</v>
      </c>
      <c r="G7641" s="74">
        <v>38.715017355077691</v>
      </c>
      <c r="H7641" s="74">
        <f t="shared" si="239"/>
        <v>1.7793829882548309</v>
      </c>
    </row>
    <row r="7642" spans="5:8" ht="15.6">
      <c r="E7642" s="279" t="s">
        <v>7968</v>
      </c>
      <c r="F7642" s="284">
        <f t="shared" ca="1" si="238"/>
        <v>0.8107727159700524</v>
      </c>
      <c r="G7642" s="74">
        <v>35.783791737312676</v>
      </c>
      <c r="H7642" s="74">
        <f t="shared" si="239"/>
        <v>4.7106086060198464</v>
      </c>
    </row>
    <row r="7643" spans="5:8" ht="15.6">
      <c r="E7643" s="279" t="s">
        <v>7969</v>
      </c>
      <c r="F7643" s="284">
        <f t="shared" ca="1" si="238"/>
        <v>8.7951042015999015E-2</v>
      </c>
      <c r="G7643" s="74">
        <v>38.015979872537677</v>
      </c>
      <c r="H7643" s="74">
        <f t="shared" si="239"/>
        <v>2.4784204707948447</v>
      </c>
    </row>
    <row r="7644" spans="5:8" ht="15.6">
      <c r="E7644" s="279" t="s">
        <v>7970</v>
      </c>
      <c r="F7644" s="284">
        <f t="shared" ca="1" si="238"/>
        <v>0.7560387927645531</v>
      </c>
      <c r="G7644" s="74">
        <v>36.643668920350379</v>
      </c>
      <c r="H7644" s="74">
        <f t="shared" si="239"/>
        <v>3.8507314229821432</v>
      </c>
    </row>
    <row r="7645" spans="5:8" ht="15.6">
      <c r="E7645" s="279" t="s">
        <v>7971</v>
      </c>
      <c r="F7645" s="284">
        <f t="shared" ca="1" si="238"/>
        <v>0.52529654922533731</v>
      </c>
      <c r="G7645" s="74">
        <v>43.981905302595955</v>
      </c>
      <c r="H7645" s="74">
        <f t="shared" si="239"/>
        <v>-3.4875049592634326</v>
      </c>
    </row>
    <row r="7646" spans="5:8" ht="15.6">
      <c r="E7646" s="279" t="s">
        <v>7972</v>
      </c>
      <c r="F7646" s="284">
        <f t="shared" ca="1" si="238"/>
        <v>0.87053099384844679</v>
      </c>
      <c r="G7646" s="74">
        <v>38.483385870642941</v>
      </c>
      <c r="H7646" s="74">
        <f t="shared" si="239"/>
        <v>2.0110144726895811</v>
      </c>
    </row>
    <row r="7647" spans="5:8" ht="15.6">
      <c r="E7647" s="279" t="s">
        <v>7973</v>
      </c>
      <c r="F7647" s="284">
        <f t="shared" ca="1" si="238"/>
        <v>0.18281416217962354</v>
      </c>
      <c r="G7647" s="74">
        <v>42.514797776704256</v>
      </c>
      <c r="H7647" s="74">
        <f t="shared" si="239"/>
        <v>-2.0203974333717341</v>
      </c>
    </row>
    <row r="7648" spans="5:8" ht="15.6">
      <c r="E7648" s="279" t="s">
        <v>7974</v>
      </c>
      <c r="F7648" s="284">
        <f t="shared" ca="1" si="238"/>
        <v>5.3609375525456193E-2</v>
      </c>
      <c r="G7648" s="74">
        <v>38.140555389183362</v>
      </c>
      <c r="H7648" s="74">
        <f t="shared" si="239"/>
        <v>2.3538449541491602</v>
      </c>
    </row>
    <row r="7649" spans="5:8" ht="15.6">
      <c r="E7649" s="279" t="s">
        <v>7975</v>
      </c>
      <c r="F7649" s="284">
        <f t="shared" ca="1" si="238"/>
        <v>0.12848747147687267</v>
      </c>
      <c r="G7649" s="74">
        <v>38.361976591279046</v>
      </c>
      <c r="H7649" s="74">
        <f t="shared" si="239"/>
        <v>2.1324237520534766</v>
      </c>
    </row>
    <row r="7650" spans="5:8" ht="15.6">
      <c r="E7650" s="279" t="s">
        <v>7976</v>
      </c>
      <c r="F7650" s="284">
        <f t="shared" ca="1" si="238"/>
        <v>0.43138896182330699</v>
      </c>
      <c r="G7650" s="74">
        <v>41.717631912371658</v>
      </c>
      <c r="H7650" s="74">
        <f t="shared" si="239"/>
        <v>-1.223231569039136</v>
      </c>
    </row>
    <row r="7651" spans="5:8" ht="15.6">
      <c r="E7651" s="279" t="s">
        <v>7977</v>
      </c>
      <c r="F7651" s="284">
        <f t="shared" ca="1" si="238"/>
        <v>0.57499950248256482</v>
      </c>
      <c r="G7651" s="74">
        <v>42.136579149752606</v>
      </c>
      <c r="H7651" s="74">
        <f t="shared" si="239"/>
        <v>-1.642178806420084</v>
      </c>
    </row>
    <row r="7652" spans="5:8" ht="15.6">
      <c r="E7652" s="279" t="s">
        <v>7978</v>
      </c>
      <c r="F7652" s="284">
        <f t="shared" ca="1" si="238"/>
        <v>0.72139439786715243</v>
      </c>
      <c r="G7652" s="74">
        <v>39.951914706839034</v>
      </c>
      <c r="H7652" s="74">
        <f t="shared" si="239"/>
        <v>0.54248563649348824</v>
      </c>
    </row>
    <row r="7653" spans="5:8" ht="15.6">
      <c r="E7653" s="279" t="s">
        <v>7979</v>
      </c>
      <c r="F7653" s="284">
        <f t="shared" ca="1" si="238"/>
        <v>0.18115581436347472</v>
      </c>
      <c r="G7653" s="74">
        <v>40.530660307192903</v>
      </c>
      <c r="H7653" s="74">
        <f t="shared" si="239"/>
        <v>-3.6259963860381106E-2</v>
      </c>
    </row>
    <row r="7654" spans="5:8" ht="15.6">
      <c r="E7654" s="279" t="s">
        <v>7980</v>
      </c>
      <c r="F7654" s="284">
        <f t="shared" ca="1" si="238"/>
        <v>0.55693587661841282</v>
      </c>
      <c r="G7654" s="74">
        <v>39.517498051444392</v>
      </c>
      <c r="H7654" s="74">
        <f t="shared" si="239"/>
        <v>0.97690229188813049</v>
      </c>
    </row>
    <row r="7655" spans="5:8" ht="15.6">
      <c r="E7655" s="279" t="s">
        <v>7981</v>
      </c>
      <c r="F7655" s="284">
        <f t="shared" ca="1" si="238"/>
        <v>0.86657481415535031</v>
      </c>
      <c r="G7655" s="74">
        <v>39.987388102504298</v>
      </c>
      <c r="H7655" s="74">
        <f t="shared" si="239"/>
        <v>0.50701224082822449</v>
      </c>
    </row>
    <row r="7656" spans="5:8" ht="15.6">
      <c r="E7656" s="279" t="s">
        <v>7982</v>
      </c>
      <c r="F7656" s="284">
        <f t="shared" ca="1" si="238"/>
        <v>0.57304073242544262</v>
      </c>
      <c r="G7656" s="74">
        <v>39.347929561517084</v>
      </c>
      <c r="H7656" s="74">
        <f t="shared" si="239"/>
        <v>1.146470781815438</v>
      </c>
    </row>
    <row r="7657" spans="5:8" ht="15.6">
      <c r="E7657" s="279" t="s">
        <v>7983</v>
      </c>
      <c r="F7657" s="284">
        <f t="shared" ca="1" si="238"/>
        <v>0.41125729386509235</v>
      </c>
      <c r="G7657" s="74">
        <v>37.101768477542819</v>
      </c>
      <c r="H7657" s="74">
        <f t="shared" si="239"/>
        <v>3.3926318657897028</v>
      </c>
    </row>
    <row r="7658" spans="5:8" ht="15.6">
      <c r="E7658" s="279" t="s">
        <v>7984</v>
      </c>
      <c r="F7658" s="284">
        <f t="shared" ca="1" si="238"/>
        <v>0.19705653727116268</v>
      </c>
      <c r="G7658" s="74">
        <v>34.45584421899602</v>
      </c>
      <c r="H7658" s="74">
        <f t="shared" si="239"/>
        <v>6.0385561243365018</v>
      </c>
    </row>
    <row r="7659" spans="5:8" ht="15.6">
      <c r="E7659" s="279" t="s">
        <v>7985</v>
      </c>
      <c r="F7659" s="284">
        <f t="shared" ca="1" si="238"/>
        <v>0.51581201757183481</v>
      </c>
      <c r="G7659" s="74">
        <v>36.669174024401428</v>
      </c>
      <c r="H7659" s="74">
        <f t="shared" si="239"/>
        <v>3.8252263189310938</v>
      </c>
    </row>
    <row r="7660" spans="5:8" ht="15.6">
      <c r="E7660" s="279" t="s">
        <v>7986</v>
      </c>
      <c r="F7660" s="284">
        <f t="shared" ca="1" si="238"/>
        <v>0.57727707845613696</v>
      </c>
      <c r="G7660" s="74">
        <v>40.217482909751055</v>
      </c>
      <c r="H7660" s="74">
        <f t="shared" si="239"/>
        <v>0.27691743358146681</v>
      </c>
    </row>
    <row r="7661" spans="5:8" ht="15.6">
      <c r="E7661" s="279" t="s">
        <v>7987</v>
      </c>
      <c r="F7661" s="284">
        <f t="shared" ca="1" si="238"/>
        <v>0.21929381264222392</v>
      </c>
      <c r="G7661" s="74">
        <v>33.766585042425575</v>
      </c>
      <c r="H7661" s="74">
        <f t="shared" si="239"/>
        <v>6.727815300906947</v>
      </c>
    </row>
    <row r="7662" spans="5:8" ht="15.6">
      <c r="E7662" s="279" t="s">
        <v>7988</v>
      </c>
      <c r="F7662" s="284">
        <f t="shared" ca="1" si="238"/>
        <v>0.15354765421843031</v>
      </c>
      <c r="G7662" s="74">
        <v>39.263442189520752</v>
      </c>
      <c r="H7662" s="74">
        <f t="shared" si="239"/>
        <v>1.2309581538117698</v>
      </c>
    </row>
    <row r="7663" spans="5:8" ht="15.6">
      <c r="E7663" s="279" t="s">
        <v>7989</v>
      </c>
      <c r="F7663" s="284">
        <f t="shared" ca="1" si="238"/>
        <v>0.17116208479451356</v>
      </c>
      <c r="G7663" s="74">
        <v>40.321389190697644</v>
      </c>
      <c r="H7663" s="74">
        <f t="shared" si="239"/>
        <v>0.17301115263487787</v>
      </c>
    </row>
    <row r="7664" spans="5:8" ht="15.6">
      <c r="E7664" s="279" t="s">
        <v>7990</v>
      </c>
      <c r="F7664" s="284">
        <f t="shared" ca="1" si="238"/>
        <v>0.71167024669903156</v>
      </c>
      <c r="G7664" s="74">
        <v>41.46514644637984</v>
      </c>
      <c r="H7664" s="74">
        <f t="shared" si="239"/>
        <v>-0.97074610304731834</v>
      </c>
    </row>
    <row r="7665" spans="5:8" ht="15.6">
      <c r="E7665" s="279" t="s">
        <v>7991</v>
      </c>
      <c r="F7665" s="284">
        <f t="shared" ca="1" si="238"/>
        <v>0.95703762871560427</v>
      </c>
      <c r="G7665" s="74">
        <v>35.472538452522024</v>
      </c>
      <c r="H7665" s="74">
        <f t="shared" si="239"/>
        <v>5.0218618908104986</v>
      </c>
    </row>
    <row r="7666" spans="5:8" ht="15.6">
      <c r="E7666" s="279" t="s">
        <v>7992</v>
      </c>
      <c r="F7666" s="284">
        <f t="shared" ca="1" si="238"/>
        <v>0.56387091593484862</v>
      </c>
      <c r="G7666" s="74">
        <v>36.004395289184096</v>
      </c>
      <c r="H7666" s="74">
        <f t="shared" si="239"/>
        <v>4.4900050541484262</v>
      </c>
    </row>
    <row r="7667" spans="5:8" ht="15.6">
      <c r="E7667" s="279" t="s">
        <v>7993</v>
      </c>
      <c r="F7667" s="284">
        <f t="shared" ca="1" si="238"/>
        <v>0.97613629695886195</v>
      </c>
      <c r="G7667" s="74">
        <v>38.843205709098434</v>
      </c>
      <c r="H7667" s="74">
        <f t="shared" si="239"/>
        <v>1.6511946342340877</v>
      </c>
    </row>
    <row r="7668" spans="5:8" ht="15.6">
      <c r="E7668" s="279" t="s">
        <v>7994</v>
      </c>
      <c r="F7668" s="284">
        <f t="shared" ca="1" si="238"/>
        <v>0.8053060278499049</v>
      </c>
      <c r="G7668" s="74">
        <v>38.422262632151522</v>
      </c>
      <c r="H7668" s="74">
        <f t="shared" si="239"/>
        <v>2.072137711181</v>
      </c>
    </row>
    <row r="7669" spans="5:8" ht="15.6">
      <c r="E7669" s="279" t="s">
        <v>7995</v>
      </c>
      <c r="F7669" s="284">
        <f t="shared" ca="1" si="238"/>
        <v>0.65515765157862282</v>
      </c>
      <c r="G7669" s="74">
        <v>39.489280352297868</v>
      </c>
      <c r="H7669" s="74">
        <f t="shared" si="239"/>
        <v>1.005119991034654</v>
      </c>
    </row>
    <row r="7670" spans="5:8" ht="15.6">
      <c r="E7670" s="279" t="s">
        <v>7996</v>
      </c>
      <c r="F7670" s="284">
        <f t="shared" ca="1" si="238"/>
        <v>0.71818080254083339</v>
      </c>
      <c r="G7670" s="74">
        <v>41.407618076532842</v>
      </c>
      <c r="H7670" s="74">
        <f t="shared" si="239"/>
        <v>-0.91321773320031951</v>
      </c>
    </row>
    <row r="7671" spans="5:8" ht="15.6">
      <c r="E7671" s="279" t="s">
        <v>7997</v>
      </c>
      <c r="F7671" s="284">
        <f t="shared" ca="1" si="238"/>
        <v>0.27698586526034663</v>
      </c>
      <c r="G7671" s="74">
        <v>42.422596435321786</v>
      </c>
      <c r="H7671" s="74">
        <f t="shared" si="239"/>
        <v>-1.928196091989264</v>
      </c>
    </row>
    <row r="7672" spans="5:8" ht="15.6">
      <c r="E7672" s="279" t="s">
        <v>7998</v>
      </c>
      <c r="F7672" s="284">
        <f t="shared" ca="1" si="238"/>
        <v>0.34961280501487979</v>
      </c>
      <c r="G7672" s="74">
        <v>42.343986003881177</v>
      </c>
      <c r="H7672" s="74">
        <f t="shared" si="239"/>
        <v>-1.8495856605486551</v>
      </c>
    </row>
    <row r="7673" spans="5:8" ht="15.6">
      <c r="E7673" s="279" t="s">
        <v>7999</v>
      </c>
      <c r="F7673" s="284">
        <f t="shared" ca="1" si="238"/>
        <v>0.32666419158451587</v>
      </c>
      <c r="G7673" s="74">
        <v>41.494652009269643</v>
      </c>
      <c r="H7673" s="74">
        <f t="shared" si="239"/>
        <v>-1.000251665937121</v>
      </c>
    </row>
    <row r="7674" spans="5:8" ht="15.6">
      <c r="E7674" s="279" t="s">
        <v>8000</v>
      </c>
      <c r="F7674" s="284">
        <f t="shared" ca="1" si="238"/>
        <v>0.5416914818164299</v>
      </c>
      <c r="G7674" s="74">
        <v>41.729858423836042</v>
      </c>
      <c r="H7674" s="74">
        <f t="shared" si="239"/>
        <v>-1.2354580805035198</v>
      </c>
    </row>
    <row r="7675" spans="5:8" ht="15.6">
      <c r="E7675" s="279" t="s">
        <v>8001</v>
      </c>
      <c r="F7675" s="284">
        <f t="shared" ca="1" si="238"/>
        <v>8.3898515284900332E-2</v>
      </c>
      <c r="G7675" s="74">
        <v>44.726957038128035</v>
      </c>
      <c r="H7675" s="74">
        <f t="shared" si="239"/>
        <v>-4.2325566947955124</v>
      </c>
    </row>
    <row r="7676" spans="5:8" ht="15.6">
      <c r="E7676" s="279" t="s">
        <v>8002</v>
      </c>
      <c r="F7676" s="284">
        <f t="shared" ca="1" si="238"/>
        <v>0.32583620453917317</v>
      </c>
      <c r="G7676" s="74">
        <v>36.197838353479078</v>
      </c>
      <c r="H7676" s="74">
        <f t="shared" si="239"/>
        <v>4.2965619898534442</v>
      </c>
    </row>
    <row r="7677" spans="5:8" ht="15.6">
      <c r="E7677" s="279" t="s">
        <v>8003</v>
      </c>
      <c r="F7677" s="284">
        <f t="shared" ca="1" si="238"/>
        <v>0.60648177504946243</v>
      </c>
      <c r="G7677" s="74">
        <v>37.770730009910402</v>
      </c>
      <c r="H7677" s="74">
        <f t="shared" si="239"/>
        <v>2.7236703334221204</v>
      </c>
    </row>
    <row r="7678" spans="5:8" ht="15.6">
      <c r="E7678" s="279" t="s">
        <v>8004</v>
      </c>
      <c r="F7678" s="284">
        <f t="shared" ca="1" si="238"/>
        <v>0.12300865567510033</v>
      </c>
      <c r="G7678" s="74">
        <v>39.76793872299293</v>
      </c>
      <c r="H7678" s="74">
        <f t="shared" si="239"/>
        <v>0.72646162033959172</v>
      </c>
    </row>
    <row r="7679" spans="5:8" ht="15.6">
      <c r="E7679" s="279" t="s">
        <v>8005</v>
      </c>
      <c r="F7679" s="284">
        <f t="shared" ca="1" si="238"/>
        <v>0.49047337885527864</v>
      </c>
      <c r="G7679" s="74">
        <v>40.4368468355609</v>
      </c>
      <c r="H7679" s="74">
        <f t="shared" si="239"/>
        <v>5.7553507771622492E-2</v>
      </c>
    </row>
    <row r="7680" spans="5:8" ht="15.6">
      <c r="E7680" s="279" t="s">
        <v>8006</v>
      </c>
      <c r="F7680" s="284">
        <f t="shared" ca="1" si="238"/>
        <v>0.82519565734639799</v>
      </c>
      <c r="G7680" s="74">
        <v>32.982047669841698</v>
      </c>
      <c r="H7680" s="74">
        <f t="shared" si="239"/>
        <v>7.5123526734908239</v>
      </c>
    </row>
    <row r="7681" spans="5:8" ht="15.6">
      <c r="E7681" s="279" t="s">
        <v>8007</v>
      </c>
      <c r="F7681" s="284">
        <f t="shared" ca="1" si="238"/>
        <v>9.1356576912312248E-2</v>
      </c>
      <c r="G7681" s="74">
        <v>36.730582890330624</v>
      </c>
      <c r="H7681" s="74">
        <f t="shared" si="239"/>
        <v>3.7638174530018986</v>
      </c>
    </row>
    <row r="7682" spans="5:8" ht="15.6">
      <c r="E7682" s="279" t="s">
        <v>8008</v>
      </c>
      <c r="F7682" s="284">
        <f t="shared" ca="1" si="238"/>
        <v>0.91893744227259899</v>
      </c>
      <c r="G7682" s="74">
        <v>39.923376294519478</v>
      </c>
      <c r="H7682" s="74">
        <f t="shared" si="239"/>
        <v>0.57102404881304381</v>
      </c>
    </row>
    <row r="7683" spans="5:8" ht="15.6">
      <c r="E7683" s="279" t="s">
        <v>8009</v>
      </c>
      <c r="F7683" s="284">
        <f t="shared" ca="1" si="238"/>
        <v>0.38734064712546779</v>
      </c>
      <c r="G7683" s="74">
        <v>36.33894754521301</v>
      </c>
      <c r="H7683" s="74">
        <f t="shared" si="239"/>
        <v>4.1554527981195122</v>
      </c>
    </row>
    <row r="7684" spans="5:8" ht="15.6">
      <c r="E7684" s="279" t="s">
        <v>8010</v>
      </c>
      <c r="F7684" s="284">
        <f t="shared" ca="1" si="238"/>
        <v>3.4067229392668374E-2</v>
      </c>
      <c r="G7684" s="74">
        <v>36.509601785116438</v>
      </c>
      <c r="H7684" s="74">
        <f t="shared" si="239"/>
        <v>3.9847985582160845</v>
      </c>
    </row>
    <row r="7685" spans="5:8" ht="15.6">
      <c r="E7685" s="279" t="s">
        <v>8011</v>
      </c>
      <c r="F7685" s="284">
        <f t="shared" ca="1" si="238"/>
        <v>0.61257743008063548</v>
      </c>
      <c r="G7685" s="74">
        <v>39.053518807752198</v>
      </c>
      <c r="H7685" s="74">
        <f t="shared" si="239"/>
        <v>1.4408815355803242</v>
      </c>
    </row>
    <row r="7686" spans="5:8" ht="15.6">
      <c r="E7686" s="279" t="s">
        <v>8012</v>
      </c>
      <c r="F7686" s="284">
        <f t="shared" ca="1" si="238"/>
        <v>0.50004054778697749</v>
      </c>
      <c r="G7686" s="74">
        <v>40.207176793370522</v>
      </c>
      <c r="H7686" s="74">
        <f t="shared" si="239"/>
        <v>0.28722354996200039</v>
      </c>
    </row>
    <row r="7687" spans="5:8" ht="15.6">
      <c r="E7687" s="279" t="s">
        <v>8013</v>
      </c>
      <c r="F7687" s="284">
        <f t="shared" ca="1" si="238"/>
        <v>0.46930402379811642</v>
      </c>
      <c r="G7687" s="74">
        <v>40.099390013158114</v>
      </c>
      <c r="H7687" s="74">
        <f t="shared" si="239"/>
        <v>0.3950103301744079</v>
      </c>
    </row>
    <row r="7688" spans="5:8" ht="15.6">
      <c r="E7688" s="279" t="s">
        <v>8014</v>
      </c>
      <c r="F7688" s="284">
        <f t="shared" ca="1" si="238"/>
        <v>0.44592506242399332</v>
      </c>
      <c r="G7688" s="74">
        <v>38.389216208171838</v>
      </c>
      <c r="H7688" s="74">
        <f t="shared" si="239"/>
        <v>2.1051841351606839</v>
      </c>
    </row>
    <row r="7689" spans="5:8" ht="15.6">
      <c r="E7689" s="279" t="s">
        <v>8015</v>
      </c>
      <c r="F7689" s="284">
        <f t="shared" ca="1" si="238"/>
        <v>0.61730854295595727</v>
      </c>
      <c r="G7689" s="74">
        <v>38.90885713027928</v>
      </c>
      <c r="H7689" s="74">
        <f t="shared" si="239"/>
        <v>1.5855432130532421</v>
      </c>
    </row>
    <row r="7690" spans="5:8" ht="15.6">
      <c r="E7690" s="279" t="s">
        <v>8016</v>
      </c>
      <c r="F7690" s="284">
        <f t="shared" ca="1" si="238"/>
        <v>0.94352204632595349</v>
      </c>
      <c r="G7690" s="74">
        <v>35.809767348804158</v>
      </c>
      <c r="H7690" s="74">
        <f t="shared" si="239"/>
        <v>4.6846329945283642</v>
      </c>
    </row>
    <row r="7691" spans="5:8" ht="15.6">
      <c r="E7691" s="279" t="s">
        <v>8017</v>
      </c>
      <c r="F7691" s="284">
        <f t="shared" ca="1" si="238"/>
        <v>0.42006583396247332</v>
      </c>
      <c r="G7691" s="74">
        <v>41.692192898414618</v>
      </c>
      <c r="H7691" s="74">
        <f t="shared" si="239"/>
        <v>-1.1977925550820956</v>
      </c>
    </row>
    <row r="7692" spans="5:8" ht="15.6">
      <c r="E7692" s="279" t="s">
        <v>8018</v>
      </c>
      <c r="F7692" s="284">
        <f t="shared" ref="F7692:F7755" ca="1" si="240">RAND()</f>
        <v>0.41132120026256669</v>
      </c>
      <c r="G7692" s="74">
        <v>35.118725012774078</v>
      </c>
      <c r="H7692" s="74">
        <f t="shared" ref="H7692:H7755" si="241">$D$2-G7692</f>
        <v>5.3756753305584439</v>
      </c>
    </row>
    <row r="7693" spans="5:8" ht="15.6">
      <c r="E7693" s="279" t="s">
        <v>8019</v>
      </c>
      <c r="F7693" s="284">
        <f t="shared" ca="1" si="240"/>
        <v>0.82882952393967957</v>
      </c>
      <c r="G7693" s="74">
        <v>40.593091683349471</v>
      </c>
      <c r="H7693" s="74">
        <f t="shared" si="241"/>
        <v>-9.8691340016948459E-2</v>
      </c>
    </row>
    <row r="7694" spans="5:8" ht="15.6">
      <c r="E7694" s="279" t="s">
        <v>8020</v>
      </c>
      <c r="F7694" s="284">
        <f t="shared" ca="1" si="240"/>
        <v>0.17734540575845636</v>
      </c>
      <c r="G7694" s="74">
        <v>40.98305512042451</v>
      </c>
      <c r="H7694" s="74">
        <f t="shared" si="241"/>
        <v>-0.48865477709198757</v>
      </c>
    </row>
    <row r="7695" spans="5:8" ht="15.6">
      <c r="E7695" s="279" t="s">
        <v>8021</v>
      </c>
      <c r="F7695" s="284">
        <f t="shared" ca="1" si="240"/>
        <v>0.99850073679890461</v>
      </c>
      <c r="G7695" s="74">
        <v>42.011030540103945</v>
      </c>
      <c r="H7695" s="74">
        <f t="shared" si="241"/>
        <v>-1.5166301967714233</v>
      </c>
    </row>
    <row r="7696" spans="5:8" ht="15.6">
      <c r="E7696" s="279" t="s">
        <v>8022</v>
      </c>
      <c r="F7696" s="284">
        <f t="shared" ca="1" si="240"/>
        <v>4.9436315836634215E-2</v>
      </c>
      <c r="G7696" s="74">
        <v>36.482929991848863</v>
      </c>
      <c r="H7696" s="74">
        <f t="shared" si="241"/>
        <v>4.0114703514836592</v>
      </c>
    </row>
    <row r="7697" spans="5:8" ht="15.6">
      <c r="E7697" s="279" t="s">
        <v>8023</v>
      </c>
      <c r="F7697" s="284">
        <f t="shared" ca="1" si="240"/>
        <v>0.46836119050993263</v>
      </c>
      <c r="G7697" s="74">
        <v>40.173115169600656</v>
      </c>
      <c r="H7697" s="74">
        <f t="shared" si="241"/>
        <v>0.32128517373186583</v>
      </c>
    </row>
    <row r="7698" spans="5:8" ht="15.6">
      <c r="E7698" s="279" t="s">
        <v>8024</v>
      </c>
      <c r="F7698" s="284">
        <f t="shared" ca="1" si="240"/>
        <v>0.49214460800692628</v>
      </c>
      <c r="G7698" s="74">
        <v>39.041510772146637</v>
      </c>
      <c r="H7698" s="74">
        <f t="shared" si="241"/>
        <v>1.4528895711858851</v>
      </c>
    </row>
    <row r="7699" spans="5:8" ht="15.6">
      <c r="E7699" s="279" t="s">
        <v>8025</v>
      </c>
      <c r="F7699" s="284">
        <f t="shared" ca="1" si="240"/>
        <v>0.85542919877813761</v>
      </c>
      <c r="G7699" s="74">
        <v>39.787126819968421</v>
      </c>
      <c r="H7699" s="74">
        <f t="shared" si="241"/>
        <v>0.70727352336410121</v>
      </c>
    </row>
    <row r="7700" spans="5:8" ht="15.6">
      <c r="E7700" s="279" t="s">
        <v>8026</v>
      </c>
      <c r="F7700" s="284">
        <f t="shared" ca="1" si="240"/>
        <v>7.3264390296001292E-2</v>
      </c>
      <c r="G7700" s="74">
        <v>36.607904555100212</v>
      </c>
      <c r="H7700" s="74">
        <f t="shared" si="241"/>
        <v>3.8864957882323097</v>
      </c>
    </row>
    <row r="7701" spans="5:8" ht="15.6">
      <c r="E7701" s="279" t="s">
        <v>8027</v>
      </c>
      <c r="F7701" s="284">
        <f t="shared" ca="1" si="240"/>
        <v>0.86174814587142234</v>
      </c>
      <c r="G7701" s="74">
        <v>37.530347463755213</v>
      </c>
      <c r="H7701" s="74">
        <f t="shared" si="241"/>
        <v>2.9640528795773093</v>
      </c>
    </row>
    <row r="7702" spans="5:8" ht="15.6">
      <c r="E7702" s="279" t="s">
        <v>8028</v>
      </c>
      <c r="F7702" s="284">
        <f t="shared" ca="1" si="240"/>
        <v>0.54177828771637326</v>
      </c>
      <c r="G7702" s="74">
        <v>41.199316999786838</v>
      </c>
      <c r="H7702" s="74">
        <f t="shared" si="241"/>
        <v>-0.70491665645431567</v>
      </c>
    </row>
    <row r="7703" spans="5:8" ht="15.6">
      <c r="E7703" s="279" t="s">
        <v>8029</v>
      </c>
      <c r="F7703" s="284">
        <f t="shared" ca="1" si="240"/>
        <v>0.53648806905657931</v>
      </c>
      <c r="G7703" s="74">
        <v>35.677729966504238</v>
      </c>
      <c r="H7703" s="74">
        <f t="shared" si="241"/>
        <v>4.8166703768282844</v>
      </c>
    </row>
    <row r="7704" spans="5:8" ht="15.6">
      <c r="E7704" s="279" t="s">
        <v>8030</v>
      </c>
      <c r="F7704" s="284">
        <f t="shared" ca="1" si="240"/>
        <v>0.25135720083796631</v>
      </c>
      <c r="G7704" s="74">
        <v>36.484223377965961</v>
      </c>
      <c r="H7704" s="74">
        <f t="shared" si="241"/>
        <v>4.0101769653665613</v>
      </c>
    </row>
    <row r="7705" spans="5:8" ht="15.6">
      <c r="E7705" s="279" t="s">
        <v>8031</v>
      </c>
      <c r="F7705" s="284">
        <f t="shared" ca="1" si="240"/>
        <v>0.11391650737021786</v>
      </c>
      <c r="G7705" s="74">
        <v>37.770171505563248</v>
      </c>
      <c r="H7705" s="74">
        <f t="shared" si="241"/>
        <v>2.7242288377692745</v>
      </c>
    </row>
    <row r="7706" spans="5:8" ht="15.6">
      <c r="E7706" s="279" t="s">
        <v>8032</v>
      </c>
      <c r="F7706" s="284">
        <f t="shared" ca="1" si="240"/>
        <v>0.74990466981427417</v>
      </c>
      <c r="G7706" s="74">
        <v>37.638268604811593</v>
      </c>
      <c r="H7706" s="74">
        <f t="shared" si="241"/>
        <v>2.8561317385209293</v>
      </c>
    </row>
    <row r="7707" spans="5:8" ht="15.6">
      <c r="E7707" s="279" t="s">
        <v>8033</v>
      </c>
      <c r="F7707" s="284">
        <f t="shared" ca="1" si="240"/>
        <v>0.57289107205471757</v>
      </c>
      <c r="G7707" s="74">
        <v>39.44975789334319</v>
      </c>
      <c r="H7707" s="74">
        <f t="shared" si="241"/>
        <v>1.0446424499893325</v>
      </c>
    </row>
    <row r="7708" spans="5:8" ht="15.6">
      <c r="E7708" s="279" t="s">
        <v>8034</v>
      </c>
      <c r="F7708" s="284">
        <f t="shared" ca="1" si="240"/>
        <v>0.57838519065966099</v>
      </c>
      <c r="G7708" s="74">
        <v>43.418950616455859</v>
      </c>
      <c r="H7708" s="74">
        <f t="shared" si="241"/>
        <v>-2.9245502731233373</v>
      </c>
    </row>
    <row r="7709" spans="5:8" ht="15.6">
      <c r="E7709" s="279" t="s">
        <v>8035</v>
      </c>
      <c r="F7709" s="284">
        <f t="shared" ca="1" si="240"/>
        <v>0.262895012462801</v>
      </c>
      <c r="G7709" s="74">
        <v>42.064019483373123</v>
      </c>
      <c r="H7709" s="74">
        <f t="shared" si="241"/>
        <v>-1.5696191400406008</v>
      </c>
    </row>
    <row r="7710" spans="5:8" ht="15.6">
      <c r="E7710" s="279" t="s">
        <v>8036</v>
      </c>
      <c r="F7710" s="284">
        <f t="shared" ca="1" si="240"/>
        <v>0.58959446225396805</v>
      </c>
      <c r="G7710" s="74">
        <v>37.994039869122574</v>
      </c>
      <c r="H7710" s="74">
        <f t="shared" si="241"/>
        <v>2.5003604742099483</v>
      </c>
    </row>
    <row r="7711" spans="5:8" ht="15.6">
      <c r="E7711" s="279" t="s">
        <v>8037</v>
      </c>
      <c r="F7711" s="284">
        <f t="shared" ca="1" si="240"/>
        <v>0.82165747083536878</v>
      </c>
      <c r="G7711" s="74">
        <v>41.810590421384369</v>
      </c>
      <c r="H7711" s="74">
        <f t="shared" si="241"/>
        <v>-1.3161900780518465</v>
      </c>
    </row>
    <row r="7712" spans="5:8" ht="15.6">
      <c r="E7712" s="279" t="s">
        <v>8038</v>
      </c>
      <c r="F7712" s="284">
        <f t="shared" ca="1" si="240"/>
        <v>0.30349449511426796</v>
      </c>
      <c r="G7712" s="74">
        <v>34.216568896361998</v>
      </c>
      <c r="H7712" s="74">
        <f t="shared" si="241"/>
        <v>6.2778314469705236</v>
      </c>
    </row>
    <row r="7713" spans="5:8" ht="15.6">
      <c r="E7713" s="279" t="s">
        <v>8039</v>
      </c>
      <c r="F7713" s="284">
        <f t="shared" ca="1" si="240"/>
        <v>0.27885943846197636</v>
      </c>
      <c r="G7713" s="74">
        <v>41.053182455872182</v>
      </c>
      <c r="H7713" s="74">
        <f t="shared" si="241"/>
        <v>-0.55878211253966015</v>
      </c>
    </row>
    <row r="7714" spans="5:8" ht="15.6">
      <c r="E7714" s="279" t="s">
        <v>8040</v>
      </c>
      <c r="F7714" s="284">
        <f t="shared" ca="1" si="240"/>
        <v>0.23724871649669022</v>
      </c>
      <c r="G7714" s="74">
        <v>39.360458880802128</v>
      </c>
      <c r="H7714" s="74">
        <f t="shared" si="241"/>
        <v>1.1339414625303945</v>
      </c>
    </row>
    <row r="7715" spans="5:8" ht="15.6">
      <c r="E7715" s="279" t="s">
        <v>8041</v>
      </c>
      <c r="F7715" s="284">
        <f t="shared" ca="1" si="240"/>
        <v>0.92713913651494406</v>
      </c>
      <c r="G7715" s="74">
        <v>40.034154204578833</v>
      </c>
      <c r="H7715" s="74">
        <f t="shared" si="241"/>
        <v>0.46024613875368914</v>
      </c>
    </row>
    <row r="7716" spans="5:8" ht="15.6">
      <c r="E7716" s="279" t="s">
        <v>8042</v>
      </c>
      <c r="F7716" s="284">
        <f t="shared" ca="1" si="240"/>
        <v>0.43500592178289987</v>
      </c>
      <c r="G7716" s="74">
        <v>36.811145175709598</v>
      </c>
      <c r="H7716" s="74">
        <f t="shared" si="241"/>
        <v>3.6832551676229244</v>
      </c>
    </row>
    <row r="7717" spans="5:8" ht="15.6">
      <c r="E7717" s="279" t="s">
        <v>8043</v>
      </c>
      <c r="F7717" s="284">
        <f t="shared" ca="1" si="240"/>
        <v>0.41354089744708489</v>
      </c>
      <c r="G7717" s="74">
        <v>38.382953566452223</v>
      </c>
      <c r="H7717" s="74">
        <f t="shared" si="241"/>
        <v>2.1114467768802996</v>
      </c>
    </row>
    <row r="7718" spans="5:8" ht="15.6">
      <c r="E7718" s="279" t="s">
        <v>8044</v>
      </c>
      <c r="F7718" s="284">
        <f t="shared" ca="1" si="240"/>
        <v>0.49593530827451993</v>
      </c>
      <c r="G7718" s="74">
        <v>41.511114637250948</v>
      </c>
      <c r="H7718" s="74">
        <f t="shared" si="241"/>
        <v>-1.0167142939184259</v>
      </c>
    </row>
    <row r="7719" spans="5:8" ht="15.6">
      <c r="E7719" s="279" t="s">
        <v>8045</v>
      </c>
      <c r="F7719" s="284">
        <f t="shared" ca="1" si="240"/>
        <v>0.6395588030541578</v>
      </c>
      <c r="G7719" s="74">
        <v>41.63144587229155</v>
      </c>
      <c r="H7719" s="74">
        <f t="shared" si="241"/>
        <v>-1.1370455289590282</v>
      </c>
    </row>
    <row r="7720" spans="5:8" ht="15.6">
      <c r="E7720" s="279" t="s">
        <v>8046</v>
      </c>
      <c r="F7720" s="284">
        <f t="shared" ca="1" si="240"/>
        <v>0.95677783090402402</v>
      </c>
      <c r="G7720" s="74">
        <v>39.331857584101428</v>
      </c>
      <c r="H7720" s="74">
        <f t="shared" si="241"/>
        <v>1.1625427592310942</v>
      </c>
    </row>
    <row r="7721" spans="5:8" ht="15.6">
      <c r="E7721" s="279" t="s">
        <v>8047</v>
      </c>
      <c r="F7721" s="284">
        <f t="shared" ca="1" si="240"/>
        <v>0.79979838625585242</v>
      </c>
      <c r="G7721" s="74">
        <v>40.396232512254294</v>
      </c>
      <c r="H7721" s="74">
        <f t="shared" si="241"/>
        <v>9.8167831078228573E-2</v>
      </c>
    </row>
    <row r="7722" spans="5:8" ht="15.6">
      <c r="E7722" s="279" t="s">
        <v>8048</v>
      </c>
      <c r="F7722" s="284">
        <f t="shared" ca="1" si="240"/>
        <v>0.65913967592311029</v>
      </c>
      <c r="G7722" s="74">
        <v>39.713060604852132</v>
      </c>
      <c r="H7722" s="74">
        <f t="shared" si="241"/>
        <v>0.78133973848039062</v>
      </c>
    </row>
    <row r="7723" spans="5:8" ht="15.6">
      <c r="E7723" s="279" t="s">
        <v>8049</v>
      </c>
      <c r="F7723" s="284">
        <f t="shared" ca="1" si="240"/>
        <v>8.9695256563541381E-2</v>
      </c>
      <c r="G7723" s="74">
        <v>38.716946730487152</v>
      </c>
      <c r="H7723" s="74">
        <f t="shared" si="241"/>
        <v>1.7774536128453704</v>
      </c>
    </row>
    <row r="7724" spans="5:8" ht="15.6">
      <c r="E7724" s="279" t="s">
        <v>8050</v>
      </c>
      <c r="F7724" s="284">
        <f t="shared" ca="1" si="240"/>
        <v>0.51792134802299683</v>
      </c>
      <c r="G7724" s="74">
        <v>40.446930946949095</v>
      </c>
      <c r="H7724" s="74">
        <f t="shared" si="241"/>
        <v>4.7469396383426954E-2</v>
      </c>
    </row>
    <row r="7725" spans="5:8" ht="15.6">
      <c r="E7725" s="279" t="s">
        <v>8051</v>
      </c>
      <c r="F7725" s="284">
        <f t="shared" ca="1" si="240"/>
        <v>0.89339465013301023</v>
      </c>
      <c r="G7725" s="74">
        <v>37.803039670718711</v>
      </c>
      <c r="H7725" s="74">
        <f t="shared" si="241"/>
        <v>2.6913606726138113</v>
      </c>
    </row>
    <row r="7726" spans="5:8" ht="15.6">
      <c r="E7726" s="279" t="s">
        <v>8052</v>
      </c>
      <c r="F7726" s="284">
        <f t="shared" ca="1" si="240"/>
        <v>0.77567529799296875</v>
      </c>
      <c r="G7726" s="74">
        <v>41.097234280261176</v>
      </c>
      <c r="H7726" s="74">
        <f t="shared" si="241"/>
        <v>-0.60283393692865417</v>
      </c>
    </row>
    <row r="7727" spans="5:8" ht="15.6">
      <c r="E7727" s="279" t="s">
        <v>8053</v>
      </c>
      <c r="F7727" s="284">
        <f t="shared" ca="1" si="240"/>
        <v>0.37912083436700506</v>
      </c>
      <c r="G7727" s="74">
        <v>37.166957124945078</v>
      </c>
      <c r="H7727" s="74">
        <f t="shared" si="241"/>
        <v>3.3274432183874438</v>
      </c>
    </row>
    <row r="7728" spans="5:8" ht="15.6">
      <c r="E7728" s="279" t="s">
        <v>8054</v>
      </c>
      <c r="F7728" s="284">
        <f t="shared" ca="1" si="240"/>
        <v>0.14191285097962913</v>
      </c>
      <c r="G7728" s="74">
        <v>38.208229584811811</v>
      </c>
      <c r="H7728" s="74">
        <f t="shared" si="241"/>
        <v>2.2861707585207114</v>
      </c>
    </row>
    <row r="7729" spans="5:8" ht="15.6">
      <c r="E7729" s="279" t="s">
        <v>8055</v>
      </c>
      <c r="F7729" s="284">
        <f t="shared" ca="1" si="240"/>
        <v>0.99263149497962744</v>
      </c>
      <c r="G7729" s="74">
        <v>41.250099816681413</v>
      </c>
      <c r="H7729" s="74">
        <f t="shared" si="241"/>
        <v>-0.75569947334889065</v>
      </c>
    </row>
    <row r="7730" spans="5:8" ht="15.6">
      <c r="E7730" s="279" t="s">
        <v>8056</v>
      </c>
      <c r="F7730" s="284">
        <f t="shared" ca="1" si="240"/>
        <v>0.89970928402720107</v>
      </c>
      <c r="G7730" s="74">
        <v>37.900958448639201</v>
      </c>
      <c r="H7730" s="74">
        <f t="shared" si="241"/>
        <v>2.5934418946933206</v>
      </c>
    </row>
    <row r="7731" spans="5:8" ht="15.6">
      <c r="E7731" s="279" t="s">
        <v>8057</v>
      </c>
      <c r="F7731" s="284">
        <f t="shared" ca="1" si="240"/>
        <v>0.47657018374347637</v>
      </c>
      <c r="G7731" s="74">
        <v>39.910896290448136</v>
      </c>
      <c r="H7731" s="74">
        <f t="shared" si="241"/>
        <v>0.58350405288438623</v>
      </c>
    </row>
    <row r="7732" spans="5:8" ht="15.6">
      <c r="E7732" s="279" t="s">
        <v>8058</v>
      </c>
      <c r="F7732" s="284">
        <f t="shared" ca="1" si="240"/>
        <v>0.42045660307852284</v>
      </c>
      <c r="G7732" s="74">
        <v>41.76656631141455</v>
      </c>
      <c r="H7732" s="74">
        <f t="shared" si="241"/>
        <v>-1.2721659680820281</v>
      </c>
    </row>
    <row r="7733" spans="5:8" ht="15.6">
      <c r="E7733" s="279" t="s">
        <v>8059</v>
      </c>
      <c r="F7733" s="284">
        <f t="shared" ca="1" si="240"/>
        <v>0.75779500954207868</v>
      </c>
      <c r="G7733" s="74">
        <v>38.863423423848324</v>
      </c>
      <c r="H7733" s="74">
        <f t="shared" si="241"/>
        <v>1.6309769194841977</v>
      </c>
    </row>
    <row r="7734" spans="5:8" ht="15.6">
      <c r="E7734" s="279" t="s">
        <v>8060</v>
      </c>
      <c r="F7734" s="284">
        <f t="shared" ca="1" si="240"/>
        <v>0.60180635436928032</v>
      </c>
      <c r="G7734" s="74">
        <v>39.741350586776313</v>
      </c>
      <c r="H7734" s="74">
        <f t="shared" si="241"/>
        <v>0.75304975655620865</v>
      </c>
    </row>
    <row r="7735" spans="5:8" ht="15.6">
      <c r="E7735" s="279" t="s">
        <v>8061</v>
      </c>
      <c r="F7735" s="284">
        <f t="shared" ca="1" si="240"/>
        <v>0.41544632437727225</v>
      </c>
      <c r="G7735" s="74">
        <v>40.205512749322629</v>
      </c>
      <c r="H7735" s="74">
        <f t="shared" si="241"/>
        <v>0.28888759400989272</v>
      </c>
    </row>
    <row r="7736" spans="5:8" ht="15.6">
      <c r="E7736" s="279" t="s">
        <v>8062</v>
      </c>
      <c r="F7736" s="284">
        <f t="shared" ca="1" si="240"/>
        <v>0.73014476764556913</v>
      </c>
      <c r="G7736" s="74">
        <v>36.407074749286174</v>
      </c>
      <c r="H7736" s="74">
        <f t="shared" si="241"/>
        <v>4.087325594046348</v>
      </c>
    </row>
    <row r="7737" spans="5:8" ht="15.6">
      <c r="E7737" s="279" t="s">
        <v>8063</v>
      </c>
      <c r="F7737" s="284">
        <f t="shared" ca="1" si="240"/>
        <v>3.8592485903454654E-2</v>
      </c>
      <c r="G7737" s="74">
        <v>39.030361410142994</v>
      </c>
      <c r="H7737" s="74">
        <f t="shared" si="241"/>
        <v>1.4640389331895278</v>
      </c>
    </row>
    <row r="7738" spans="5:8" ht="15.6">
      <c r="E7738" s="279" t="s">
        <v>8064</v>
      </c>
      <c r="F7738" s="284">
        <f t="shared" ca="1" si="240"/>
        <v>0.23034073284852452</v>
      </c>
      <c r="G7738" s="74">
        <v>36.09491945746597</v>
      </c>
      <c r="H7738" s="74">
        <f t="shared" si="241"/>
        <v>4.3994808858665522</v>
      </c>
    </row>
    <row r="7739" spans="5:8" ht="15.6">
      <c r="E7739" s="279" t="s">
        <v>8065</v>
      </c>
      <c r="F7739" s="284">
        <f t="shared" ca="1" si="240"/>
        <v>0.14222888607675932</v>
      </c>
      <c r="G7739" s="74">
        <v>40.413398277763363</v>
      </c>
      <c r="H7739" s="74">
        <f t="shared" si="241"/>
        <v>8.1002065569158788E-2</v>
      </c>
    </row>
    <row r="7740" spans="5:8" ht="15.6">
      <c r="E7740" s="279" t="s">
        <v>8066</v>
      </c>
      <c r="F7740" s="284">
        <f t="shared" ca="1" si="240"/>
        <v>0.40801030520140291</v>
      </c>
      <c r="G7740" s="74">
        <v>37.144921511879495</v>
      </c>
      <c r="H7740" s="74">
        <f t="shared" si="241"/>
        <v>3.3494788314530268</v>
      </c>
    </row>
    <row r="7741" spans="5:8" ht="15.6">
      <c r="E7741" s="279" t="s">
        <v>8067</v>
      </c>
      <c r="F7741" s="284">
        <f t="shared" ca="1" si="240"/>
        <v>0.83237884034853959</v>
      </c>
      <c r="G7741" s="74">
        <v>38.972575067831499</v>
      </c>
      <c r="H7741" s="74">
        <f t="shared" si="241"/>
        <v>1.5218252755010226</v>
      </c>
    </row>
    <row r="7742" spans="5:8" ht="15.6">
      <c r="E7742" s="279" t="s">
        <v>8068</v>
      </c>
      <c r="F7742" s="284">
        <f t="shared" ca="1" si="240"/>
        <v>0.90409925043511752</v>
      </c>
      <c r="G7742" s="74">
        <v>39.463167892525725</v>
      </c>
      <c r="H7742" s="74">
        <f t="shared" si="241"/>
        <v>1.0312324508067974</v>
      </c>
    </row>
    <row r="7743" spans="5:8" ht="15.6">
      <c r="E7743" s="279" t="s">
        <v>8069</v>
      </c>
      <c r="F7743" s="284">
        <f t="shared" ca="1" si="240"/>
        <v>0.96063310637612953</v>
      </c>
      <c r="G7743" s="74">
        <v>35.997133788087787</v>
      </c>
      <c r="H7743" s="74">
        <f t="shared" si="241"/>
        <v>4.4972665552447353</v>
      </c>
    </row>
    <row r="7744" spans="5:8" ht="15.6">
      <c r="E7744" s="279" t="s">
        <v>8070</v>
      </c>
      <c r="F7744" s="284">
        <f t="shared" ca="1" si="240"/>
        <v>5.6889459626894623E-2</v>
      </c>
      <c r="G7744" s="74">
        <v>41.218544904402499</v>
      </c>
      <c r="H7744" s="74">
        <f t="shared" si="241"/>
        <v>-0.72414456106997704</v>
      </c>
    </row>
    <row r="7745" spans="5:8" ht="15.6">
      <c r="E7745" s="279" t="s">
        <v>8071</v>
      </c>
      <c r="F7745" s="284">
        <f t="shared" ca="1" si="240"/>
        <v>0.10294081398786215</v>
      </c>
      <c r="G7745" s="74">
        <v>40.971418415355878</v>
      </c>
      <c r="H7745" s="74">
        <f t="shared" si="241"/>
        <v>-0.47701807202335544</v>
      </c>
    </row>
    <row r="7746" spans="5:8" ht="15.6">
      <c r="E7746" s="279" t="s">
        <v>8072</v>
      </c>
      <c r="F7746" s="284">
        <f t="shared" ca="1" si="240"/>
        <v>0.62765269724794637</v>
      </c>
      <c r="G7746" s="74">
        <v>39.034894615633107</v>
      </c>
      <c r="H7746" s="74">
        <f t="shared" si="241"/>
        <v>1.4595057276994154</v>
      </c>
    </row>
    <row r="7747" spans="5:8" ht="15.6">
      <c r="E7747" s="279" t="s">
        <v>8073</v>
      </c>
      <c r="F7747" s="284">
        <f t="shared" ca="1" si="240"/>
        <v>0.46756624383329293</v>
      </c>
      <c r="G7747" s="74">
        <v>42.745596825252825</v>
      </c>
      <c r="H7747" s="74">
        <f t="shared" si="241"/>
        <v>-2.251196481920303</v>
      </c>
    </row>
    <row r="7748" spans="5:8" ht="15.6">
      <c r="E7748" s="279" t="s">
        <v>8074</v>
      </c>
      <c r="F7748" s="284">
        <f t="shared" ca="1" si="240"/>
        <v>0.67771951330194313</v>
      </c>
      <c r="G7748" s="74">
        <v>38.383695607052999</v>
      </c>
      <c r="H7748" s="74">
        <f t="shared" si="241"/>
        <v>2.1107047362795228</v>
      </c>
    </row>
    <row r="7749" spans="5:8" ht="15.6">
      <c r="E7749" s="279" t="s">
        <v>8075</v>
      </c>
      <c r="F7749" s="284">
        <f t="shared" ca="1" si="240"/>
        <v>3.4918443158167278E-2</v>
      </c>
      <c r="G7749" s="74">
        <v>38.467747273974297</v>
      </c>
      <c r="H7749" s="74">
        <f t="shared" si="241"/>
        <v>2.0266530693582254</v>
      </c>
    </row>
    <row r="7750" spans="5:8" ht="15.6">
      <c r="E7750" s="279" t="s">
        <v>8076</v>
      </c>
      <c r="F7750" s="284">
        <f t="shared" ca="1" si="240"/>
        <v>0.36240282094276621</v>
      </c>
      <c r="G7750" s="74">
        <v>42.299077261936617</v>
      </c>
      <c r="H7750" s="74">
        <f t="shared" si="241"/>
        <v>-1.8046769186040947</v>
      </c>
    </row>
    <row r="7751" spans="5:8" ht="15.6">
      <c r="E7751" s="279" t="s">
        <v>8077</v>
      </c>
      <c r="F7751" s="284">
        <f t="shared" ca="1" si="240"/>
        <v>0.19603403221469018</v>
      </c>
      <c r="G7751" s="74">
        <v>43.177293050176779</v>
      </c>
      <c r="H7751" s="74">
        <f t="shared" si="241"/>
        <v>-2.6828927068442567</v>
      </c>
    </row>
    <row r="7752" spans="5:8" ht="15.6">
      <c r="E7752" s="279" t="s">
        <v>8078</v>
      </c>
      <c r="F7752" s="284">
        <f t="shared" ca="1" si="240"/>
        <v>0.57179494813541509</v>
      </c>
      <c r="G7752" s="74">
        <v>39.526155629642361</v>
      </c>
      <c r="H7752" s="74">
        <f t="shared" si="241"/>
        <v>0.96824471369016152</v>
      </c>
    </row>
    <row r="7753" spans="5:8" ht="15.6">
      <c r="E7753" s="279" t="s">
        <v>8079</v>
      </c>
      <c r="F7753" s="284">
        <f t="shared" ca="1" si="240"/>
        <v>0.11367661488888092</v>
      </c>
      <c r="G7753" s="74">
        <v>42.558576466897847</v>
      </c>
      <c r="H7753" s="74">
        <f t="shared" si="241"/>
        <v>-2.0641761235653249</v>
      </c>
    </row>
    <row r="7754" spans="5:8" ht="15.6">
      <c r="E7754" s="279" t="s">
        <v>8080</v>
      </c>
      <c r="F7754" s="284">
        <f t="shared" ca="1" si="240"/>
        <v>0.41752206949032111</v>
      </c>
      <c r="G7754" s="74">
        <v>36.862858334030257</v>
      </c>
      <c r="H7754" s="74">
        <f t="shared" si="241"/>
        <v>3.6315420093022652</v>
      </c>
    </row>
    <row r="7755" spans="5:8" ht="15.6">
      <c r="E7755" s="279" t="s">
        <v>8081</v>
      </c>
      <c r="F7755" s="284">
        <f t="shared" ca="1" si="240"/>
        <v>0.54018992126283771</v>
      </c>
      <c r="G7755" s="74">
        <v>36.307779175587875</v>
      </c>
      <c r="H7755" s="74">
        <f t="shared" si="241"/>
        <v>4.1866211677446472</v>
      </c>
    </row>
    <row r="7756" spans="5:8" ht="15.6">
      <c r="E7756" s="279" t="s">
        <v>8082</v>
      </c>
      <c r="F7756" s="284">
        <f t="shared" ref="F7756:F7819" ca="1" si="242">RAND()</f>
        <v>0.20378941383517735</v>
      </c>
      <c r="G7756" s="74">
        <v>38.389486685574951</v>
      </c>
      <c r="H7756" s="74">
        <f t="shared" ref="H7756:H7819" si="243">$D$2-G7756</f>
        <v>2.1049136577575709</v>
      </c>
    </row>
    <row r="7757" spans="5:8" ht="15.6">
      <c r="E7757" s="279" t="s">
        <v>8083</v>
      </c>
      <c r="F7757" s="284">
        <f t="shared" ca="1" si="242"/>
        <v>0.69101134540890219</v>
      </c>
      <c r="G7757" s="74">
        <v>42.579217206396429</v>
      </c>
      <c r="H7757" s="74">
        <f t="shared" si="243"/>
        <v>-2.0848168630639066</v>
      </c>
    </row>
    <row r="7758" spans="5:8" ht="15.6">
      <c r="E7758" s="279" t="s">
        <v>8084</v>
      </c>
      <c r="F7758" s="284">
        <f t="shared" ca="1" si="242"/>
        <v>0.75204828772380872</v>
      </c>
      <c r="G7758" s="74">
        <v>42.842669981358455</v>
      </c>
      <c r="H7758" s="74">
        <f t="shared" si="243"/>
        <v>-2.3482696380259327</v>
      </c>
    </row>
    <row r="7759" spans="5:8" ht="15.6">
      <c r="E7759" s="279" t="s">
        <v>8085</v>
      </c>
      <c r="F7759" s="284">
        <f t="shared" ca="1" si="242"/>
        <v>0.64988889451608467</v>
      </c>
      <c r="G7759" s="74">
        <v>42.08702417500124</v>
      </c>
      <c r="H7759" s="74">
        <f t="shared" si="243"/>
        <v>-1.5926238316687176</v>
      </c>
    </row>
    <row r="7760" spans="5:8" ht="15.6">
      <c r="E7760" s="279" t="s">
        <v>8086</v>
      </c>
      <c r="F7760" s="284">
        <f t="shared" ca="1" si="242"/>
        <v>0.31116775594881141</v>
      </c>
      <c r="G7760" s="74">
        <v>38.984869071591874</v>
      </c>
      <c r="H7760" s="74">
        <f t="shared" si="243"/>
        <v>1.5095312717406486</v>
      </c>
    </row>
    <row r="7761" spans="5:8" ht="15.6">
      <c r="E7761" s="279" t="s">
        <v>8087</v>
      </c>
      <c r="F7761" s="284">
        <f t="shared" ca="1" si="242"/>
        <v>0.63484318760135561</v>
      </c>
      <c r="G7761" s="74">
        <v>39.353754226065064</v>
      </c>
      <c r="H7761" s="74">
        <f t="shared" si="243"/>
        <v>1.1406461172674582</v>
      </c>
    </row>
    <row r="7762" spans="5:8" ht="15.6">
      <c r="E7762" s="279" t="s">
        <v>8088</v>
      </c>
      <c r="F7762" s="284">
        <f t="shared" ca="1" si="242"/>
        <v>0.90445501318736976</v>
      </c>
      <c r="G7762" s="74">
        <v>38.985521364651383</v>
      </c>
      <c r="H7762" s="74">
        <f t="shared" si="243"/>
        <v>1.508878978681139</v>
      </c>
    </row>
    <row r="7763" spans="5:8" ht="15.6">
      <c r="E7763" s="279" t="s">
        <v>8089</v>
      </c>
      <c r="F7763" s="284">
        <f t="shared" ca="1" si="242"/>
        <v>0.55930514234098061</v>
      </c>
      <c r="G7763" s="74">
        <v>39.408190860260198</v>
      </c>
      <c r="H7763" s="74">
        <f t="shared" si="243"/>
        <v>1.0862094830723237</v>
      </c>
    </row>
    <row r="7764" spans="5:8" ht="15.6">
      <c r="E7764" s="279" t="s">
        <v>8090</v>
      </c>
      <c r="F7764" s="284">
        <f t="shared" ca="1" si="242"/>
        <v>0.61800013950372301</v>
      </c>
      <c r="G7764" s="74">
        <v>44.264732991602266</v>
      </c>
      <c r="H7764" s="74">
        <f t="shared" si="243"/>
        <v>-3.7703326482697435</v>
      </c>
    </row>
    <row r="7765" spans="5:8" ht="15.6">
      <c r="E7765" s="279" t="s">
        <v>8091</v>
      </c>
      <c r="F7765" s="284">
        <f t="shared" ca="1" si="242"/>
        <v>0.39243841236629518</v>
      </c>
      <c r="G7765" s="74">
        <v>41.353049468932248</v>
      </c>
      <c r="H7765" s="74">
        <f t="shared" si="243"/>
        <v>-0.85864912559972595</v>
      </c>
    </row>
    <row r="7766" spans="5:8" ht="15.6">
      <c r="E7766" s="279" t="s">
        <v>8092</v>
      </c>
      <c r="F7766" s="284">
        <f t="shared" ca="1" si="242"/>
        <v>0.97197873623445441</v>
      </c>
      <c r="G7766" s="74">
        <v>39.620289598160937</v>
      </c>
      <c r="H7766" s="74">
        <f t="shared" si="243"/>
        <v>0.87411074517158482</v>
      </c>
    </row>
    <row r="7767" spans="5:8" ht="15.6">
      <c r="E7767" s="279" t="s">
        <v>8093</v>
      </c>
      <c r="F7767" s="284">
        <f t="shared" ca="1" si="242"/>
        <v>0.60938695028314571</v>
      </c>
      <c r="G7767" s="74">
        <v>38.015573658859232</v>
      </c>
      <c r="H7767" s="74">
        <f t="shared" si="243"/>
        <v>2.4788266844732902</v>
      </c>
    </row>
    <row r="7768" spans="5:8" ht="15.6">
      <c r="E7768" s="279" t="s">
        <v>8094</v>
      </c>
      <c r="F7768" s="284">
        <f t="shared" ca="1" si="242"/>
        <v>0.38765481275444658</v>
      </c>
      <c r="G7768" s="74">
        <v>40.999171315757685</v>
      </c>
      <c r="H7768" s="74">
        <f t="shared" si="243"/>
        <v>-0.50477097242516322</v>
      </c>
    </row>
    <row r="7769" spans="5:8" ht="15.6">
      <c r="E7769" s="279" t="s">
        <v>8095</v>
      </c>
      <c r="F7769" s="284">
        <f t="shared" ca="1" si="242"/>
        <v>0.26589876827209913</v>
      </c>
      <c r="G7769" s="74">
        <v>39.953064892874693</v>
      </c>
      <c r="H7769" s="74">
        <f t="shared" si="243"/>
        <v>0.54133545045782938</v>
      </c>
    </row>
    <row r="7770" spans="5:8" ht="15.6">
      <c r="E7770" s="279" t="s">
        <v>8096</v>
      </c>
      <c r="F7770" s="284">
        <f t="shared" ca="1" si="242"/>
        <v>0.73645885043118164</v>
      </c>
      <c r="G7770" s="74">
        <v>41.02500720316678</v>
      </c>
      <c r="H7770" s="74">
        <f t="shared" si="243"/>
        <v>-0.5306068598342577</v>
      </c>
    </row>
    <row r="7771" spans="5:8" ht="15.6">
      <c r="E7771" s="279" t="s">
        <v>8097</v>
      </c>
      <c r="F7771" s="284">
        <f t="shared" ca="1" si="242"/>
        <v>0.18139020114459914</v>
      </c>
      <c r="G7771" s="74">
        <v>36.350895526174497</v>
      </c>
      <c r="H7771" s="74">
        <f t="shared" si="243"/>
        <v>4.1435048171580249</v>
      </c>
    </row>
    <row r="7772" spans="5:8" ht="15.6">
      <c r="E7772" s="279" t="s">
        <v>8098</v>
      </c>
      <c r="F7772" s="284">
        <f t="shared" ca="1" si="242"/>
        <v>8.2905892923679225E-3</v>
      </c>
      <c r="G7772" s="74">
        <v>42.367292312695625</v>
      </c>
      <c r="H7772" s="74">
        <f t="shared" si="243"/>
        <v>-1.8728919693631028</v>
      </c>
    </row>
    <row r="7773" spans="5:8" ht="15.6">
      <c r="E7773" s="279" t="s">
        <v>8099</v>
      </c>
      <c r="F7773" s="284">
        <f t="shared" ca="1" si="242"/>
        <v>0.98201792984136871</v>
      </c>
      <c r="G7773" s="74">
        <v>39.891398131254952</v>
      </c>
      <c r="H7773" s="74">
        <f t="shared" si="243"/>
        <v>0.60300221207756977</v>
      </c>
    </row>
    <row r="7774" spans="5:8" ht="15.6">
      <c r="E7774" s="279" t="s">
        <v>8100</v>
      </c>
      <c r="F7774" s="284">
        <f t="shared" ca="1" si="242"/>
        <v>0.29248259915292096</v>
      </c>
      <c r="G7774" s="74">
        <v>38.07165901059345</v>
      </c>
      <c r="H7774" s="74">
        <f t="shared" si="243"/>
        <v>2.4227413327390721</v>
      </c>
    </row>
    <row r="7775" spans="5:8" ht="15.6">
      <c r="E7775" s="279" t="s">
        <v>8101</v>
      </c>
      <c r="F7775" s="284">
        <f t="shared" ca="1" si="242"/>
        <v>3.1366693960820369E-3</v>
      </c>
      <c r="G7775" s="74">
        <v>38.530494621349916</v>
      </c>
      <c r="H7775" s="74">
        <f t="shared" si="243"/>
        <v>1.9639057219826057</v>
      </c>
    </row>
    <row r="7776" spans="5:8" ht="15.6">
      <c r="E7776" s="279" t="s">
        <v>8102</v>
      </c>
      <c r="F7776" s="284">
        <f t="shared" ca="1" si="242"/>
        <v>0.11386917320840528</v>
      </c>
      <c r="G7776" s="74">
        <v>43.279542633712786</v>
      </c>
      <c r="H7776" s="74">
        <f t="shared" si="243"/>
        <v>-2.7851422903802643</v>
      </c>
    </row>
    <row r="7777" spans="5:8" ht="15.6">
      <c r="E7777" s="279" t="s">
        <v>8103</v>
      </c>
      <c r="F7777" s="284">
        <f t="shared" ca="1" si="242"/>
        <v>0.80515373734052798</v>
      </c>
      <c r="G7777" s="74">
        <v>38.619119908951205</v>
      </c>
      <c r="H7777" s="74">
        <f t="shared" si="243"/>
        <v>1.8752804343813168</v>
      </c>
    </row>
    <row r="7778" spans="5:8" ht="15.6">
      <c r="E7778" s="279" t="s">
        <v>8104</v>
      </c>
      <c r="F7778" s="284">
        <f t="shared" ca="1" si="242"/>
        <v>4.1114288483949712E-2</v>
      </c>
      <c r="G7778" s="74">
        <v>36.088426786221135</v>
      </c>
      <c r="H7778" s="74">
        <f t="shared" si="243"/>
        <v>4.4059735571113876</v>
      </c>
    </row>
    <row r="7779" spans="5:8" ht="15.6">
      <c r="E7779" s="279" t="s">
        <v>8105</v>
      </c>
      <c r="F7779" s="284">
        <f t="shared" ca="1" si="242"/>
        <v>0.86591922227527551</v>
      </c>
      <c r="G7779" s="74">
        <v>39.558571700325032</v>
      </c>
      <c r="H7779" s="74">
        <f t="shared" si="243"/>
        <v>0.9358286430074898</v>
      </c>
    </row>
    <row r="7780" spans="5:8" ht="15.6">
      <c r="E7780" s="279" t="s">
        <v>8106</v>
      </c>
      <c r="F7780" s="284">
        <f t="shared" ca="1" si="242"/>
        <v>0.95336497381412688</v>
      </c>
      <c r="G7780" s="74">
        <v>42.814176116979048</v>
      </c>
      <c r="H7780" s="74">
        <f t="shared" si="243"/>
        <v>-2.3197757736465263</v>
      </c>
    </row>
    <row r="7781" spans="5:8" ht="15.6">
      <c r="E7781" s="279" t="s">
        <v>8107</v>
      </c>
      <c r="F7781" s="284">
        <f t="shared" ca="1" si="242"/>
        <v>0.10863176203726177</v>
      </c>
      <c r="G7781" s="74">
        <v>40.190246419648354</v>
      </c>
      <c r="H7781" s="74">
        <f t="shared" si="243"/>
        <v>0.3041539236841686</v>
      </c>
    </row>
    <row r="7782" spans="5:8" ht="15.6">
      <c r="E7782" s="279" t="s">
        <v>8108</v>
      </c>
      <c r="F7782" s="284">
        <f t="shared" ca="1" si="242"/>
        <v>0.54179307274648592</v>
      </c>
      <c r="G7782" s="74">
        <v>37.501764429965206</v>
      </c>
      <c r="H7782" s="74">
        <f t="shared" si="243"/>
        <v>2.9926359133673159</v>
      </c>
    </row>
    <row r="7783" spans="5:8" ht="15.6">
      <c r="E7783" s="279" t="s">
        <v>8109</v>
      </c>
      <c r="F7783" s="284">
        <f t="shared" ca="1" si="242"/>
        <v>0.32922649114829283</v>
      </c>
      <c r="G7783" s="74">
        <v>42.538239875564756</v>
      </c>
      <c r="H7783" s="74">
        <f t="shared" si="243"/>
        <v>-2.0438395322322336</v>
      </c>
    </row>
    <row r="7784" spans="5:8" ht="15.6">
      <c r="E7784" s="279" t="s">
        <v>8110</v>
      </c>
      <c r="F7784" s="284">
        <f t="shared" ca="1" si="242"/>
        <v>0.13005615440323459</v>
      </c>
      <c r="G7784" s="74">
        <v>46.773238906710255</v>
      </c>
      <c r="H7784" s="74">
        <f t="shared" si="243"/>
        <v>-6.2788385633777324</v>
      </c>
    </row>
    <row r="7785" spans="5:8" ht="15.6">
      <c r="E7785" s="279" t="s">
        <v>8111</v>
      </c>
      <c r="F7785" s="284">
        <f t="shared" ca="1" si="242"/>
        <v>0.17308146431128246</v>
      </c>
      <c r="G7785" s="74">
        <v>40.022293161070657</v>
      </c>
      <c r="H7785" s="74">
        <f t="shared" si="243"/>
        <v>0.47210718226186543</v>
      </c>
    </row>
    <row r="7786" spans="5:8" ht="15.6">
      <c r="E7786" s="279" t="s">
        <v>8112</v>
      </c>
      <c r="F7786" s="284">
        <f t="shared" ca="1" si="242"/>
        <v>0.17835448269600107</v>
      </c>
      <c r="G7786" s="74">
        <v>40.264383856426988</v>
      </c>
      <c r="H7786" s="74">
        <f t="shared" si="243"/>
        <v>0.23001648690553367</v>
      </c>
    </row>
    <row r="7787" spans="5:8" ht="15.6">
      <c r="E7787" s="279" t="s">
        <v>8113</v>
      </c>
      <c r="F7787" s="284">
        <f t="shared" ca="1" si="242"/>
        <v>0.67755096850832797</v>
      </c>
      <c r="G7787" s="74">
        <v>38.683607819544882</v>
      </c>
      <c r="H7787" s="74">
        <f t="shared" si="243"/>
        <v>1.8107925237876401</v>
      </c>
    </row>
    <row r="7788" spans="5:8" ht="15.6">
      <c r="E7788" s="279" t="s">
        <v>8114</v>
      </c>
      <c r="F7788" s="284">
        <f t="shared" ca="1" si="242"/>
        <v>0.49383735413875929</v>
      </c>
      <c r="G7788" s="74">
        <v>43.54665956666269</v>
      </c>
      <c r="H7788" s="74">
        <f t="shared" si="243"/>
        <v>-3.052259223330168</v>
      </c>
    </row>
    <row r="7789" spans="5:8" ht="15.6">
      <c r="E7789" s="279" t="s">
        <v>8115</v>
      </c>
      <c r="F7789" s="284">
        <f t="shared" ca="1" si="242"/>
        <v>2.5796275148971981E-2</v>
      </c>
      <c r="G7789" s="74">
        <v>37.671074284575141</v>
      </c>
      <c r="H7789" s="74">
        <f t="shared" si="243"/>
        <v>2.823326058757381</v>
      </c>
    </row>
    <row r="7790" spans="5:8" ht="15.6">
      <c r="E7790" s="279" t="s">
        <v>8116</v>
      </c>
      <c r="F7790" s="284">
        <f t="shared" ca="1" si="242"/>
        <v>0.93633489639963752</v>
      </c>
      <c r="G7790" s="74">
        <v>41.39069380412851</v>
      </c>
      <c r="H7790" s="74">
        <f t="shared" si="243"/>
        <v>-0.89629346079598804</v>
      </c>
    </row>
    <row r="7791" spans="5:8" ht="15.6">
      <c r="E7791" s="279" t="s">
        <v>8117</v>
      </c>
      <c r="F7791" s="284">
        <f t="shared" ca="1" si="242"/>
        <v>0.23220004010364914</v>
      </c>
      <c r="G7791" s="74">
        <v>38.772028821160788</v>
      </c>
      <c r="H7791" s="74">
        <f t="shared" si="243"/>
        <v>1.7223715221717342</v>
      </c>
    </row>
    <row r="7792" spans="5:8" ht="15.6">
      <c r="E7792" s="279" t="s">
        <v>8118</v>
      </c>
      <c r="F7792" s="284">
        <f t="shared" ca="1" si="242"/>
        <v>0.75960756389533723</v>
      </c>
      <c r="G7792" s="74">
        <v>35.76754407450025</v>
      </c>
      <c r="H7792" s="74">
        <f t="shared" si="243"/>
        <v>4.7268562688322717</v>
      </c>
    </row>
    <row r="7793" spans="5:8" ht="15.6">
      <c r="E7793" s="279" t="s">
        <v>8119</v>
      </c>
      <c r="F7793" s="284">
        <f t="shared" ca="1" si="242"/>
        <v>0.26008263160589351</v>
      </c>
      <c r="G7793" s="74">
        <v>41.296308523030305</v>
      </c>
      <c r="H7793" s="74">
        <f t="shared" si="243"/>
        <v>-0.80190817969778294</v>
      </c>
    </row>
    <row r="7794" spans="5:8" ht="15.6">
      <c r="E7794" s="279" t="s">
        <v>8120</v>
      </c>
      <c r="F7794" s="284">
        <f t="shared" ca="1" si="242"/>
        <v>0.55214224806271339</v>
      </c>
      <c r="G7794" s="74">
        <v>39.480300475739632</v>
      </c>
      <c r="H7794" s="74">
        <f t="shared" si="243"/>
        <v>1.0140998675928898</v>
      </c>
    </row>
    <row r="7795" spans="5:8" ht="15.6">
      <c r="E7795" s="279" t="s">
        <v>8121</v>
      </c>
      <c r="F7795" s="284">
        <f t="shared" ca="1" si="242"/>
        <v>0.76181326993018728</v>
      </c>
      <c r="G7795" s="74">
        <v>37.859708550247959</v>
      </c>
      <c r="H7795" s="74">
        <f t="shared" si="243"/>
        <v>2.6346917930845635</v>
      </c>
    </row>
    <row r="7796" spans="5:8" ht="15.6">
      <c r="E7796" s="279" t="s">
        <v>8122</v>
      </c>
      <c r="F7796" s="284">
        <f t="shared" ca="1" si="242"/>
        <v>0.66025954226884864</v>
      </c>
      <c r="G7796" s="74">
        <v>39.740090559446536</v>
      </c>
      <c r="H7796" s="74">
        <f t="shared" si="243"/>
        <v>0.75430978388598646</v>
      </c>
    </row>
    <row r="7797" spans="5:8" ht="15.6">
      <c r="E7797" s="279" t="s">
        <v>8123</v>
      </c>
      <c r="F7797" s="284">
        <f t="shared" ca="1" si="242"/>
        <v>0.42529079255029834</v>
      </c>
      <c r="G7797" s="74">
        <v>36.161774792266947</v>
      </c>
      <c r="H7797" s="74">
        <f t="shared" si="243"/>
        <v>4.3326255510655756</v>
      </c>
    </row>
    <row r="7798" spans="5:8" ht="15.6">
      <c r="E7798" s="279" t="s">
        <v>8124</v>
      </c>
      <c r="F7798" s="284">
        <f t="shared" ca="1" si="242"/>
        <v>0.51067441977246963</v>
      </c>
      <c r="G7798" s="74">
        <v>38.867310431316042</v>
      </c>
      <c r="H7798" s="74">
        <f t="shared" si="243"/>
        <v>1.6270899120164799</v>
      </c>
    </row>
    <row r="7799" spans="5:8" ht="15.6">
      <c r="E7799" s="279" t="s">
        <v>8125</v>
      </c>
      <c r="F7799" s="284">
        <f t="shared" ca="1" si="242"/>
        <v>0.15925099274486365</v>
      </c>
      <c r="G7799" s="74">
        <v>39.899312774490859</v>
      </c>
      <c r="H7799" s="74">
        <f t="shared" si="243"/>
        <v>0.59508756884166303</v>
      </c>
    </row>
    <row r="7800" spans="5:8" ht="15.6">
      <c r="E7800" s="279" t="s">
        <v>8126</v>
      </c>
      <c r="F7800" s="284">
        <f t="shared" ca="1" si="242"/>
        <v>0.35332144047830538</v>
      </c>
      <c r="G7800" s="74">
        <v>38.227488473241095</v>
      </c>
      <c r="H7800" s="74">
        <f t="shared" si="243"/>
        <v>2.2669118700914268</v>
      </c>
    </row>
    <row r="7801" spans="5:8" ht="15.6">
      <c r="E7801" s="279" t="s">
        <v>8127</v>
      </c>
      <c r="F7801" s="284">
        <f t="shared" ca="1" si="242"/>
        <v>0.64184957868393822</v>
      </c>
      <c r="G7801" s="74">
        <v>44.010392936368291</v>
      </c>
      <c r="H7801" s="74">
        <f t="shared" si="243"/>
        <v>-3.5159925930357687</v>
      </c>
    </row>
    <row r="7802" spans="5:8" ht="15.6">
      <c r="E7802" s="279" t="s">
        <v>8128</v>
      </c>
      <c r="F7802" s="284">
        <f t="shared" ca="1" si="242"/>
        <v>0.77635868414896125</v>
      </c>
      <c r="G7802" s="74">
        <v>37.431444206456618</v>
      </c>
      <c r="H7802" s="74">
        <f t="shared" si="243"/>
        <v>3.0629561368759042</v>
      </c>
    </row>
    <row r="7803" spans="5:8" ht="15.6">
      <c r="E7803" s="279" t="s">
        <v>8129</v>
      </c>
      <c r="F7803" s="284">
        <f t="shared" ca="1" si="242"/>
        <v>0.19516533392228319</v>
      </c>
      <c r="G7803" s="74">
        <v>40.954590716308573</v>
      </c>
      <c r="H7803" s="74">
        <f t="shared" si="243"/>
        <v>-0.46019037297605081</v>
      </c>
    </row>
    <row r="7804" spans="5:8" ht="15.6">
      <c r="E7804" s="279" t="s">
        <v>8130</v>
      </c>
      <c r="F7804" s="284">
        <f t="shared" ca="1" si="242"/>
        <v>0.86397962672645934</v>
      </c>
      <c r="G7804" s="74">
        <v>44.520485512156057</v>
      </c>
      <c r="H7804" s="74">
        <f t="shared" si="243"/>
        <v>-4.0260851688235348</v>
      </c>
    </row>
    <row r="7805" spans="5:8" ht="15.6">
      <c r="E7805" s="279" t="s">
        <v>8131</v>
      </c>
      <c r="F7805" s="284">
        <f t="shared" ca="1" si="242"/>
        <v>0.80787459117548432</v>
      </c>
      <c r="G7805" s="74">
        <v>38.502402573557752</v>
      </c>
      <c r="H7805" s="74">
        <f t="shared" si="243"/>
        <v>1.9919977697747697</v>
      </c>
    </row>
    <row r="7806" spans="5:8" ht="15.6">
      <c r="E7806" s="279" t="s">
        <v>8132</v>
      </c>
      <c r="F7806" s="284">
        <f t="shared" ca="1" si="242"/>
        <v>0.57305012588172355</v>
      </c>
      <c r="G7806" s="74">
        <v>39.682117656606593</v>
      </c>
      <c r="H7806" s="74">
        <f t="shared" si="243"/>
        <v>0.81228268672592918</v>
      </c>
    </row>
    <row r="7807" spans="5:8" ht="15.6">
      <c r="E7807" s="279" t="s">
        <v>8133</v>
      </c>
      <c r="F7807" s="284">
        <f t="shared" ca="1" si="242"/>
        <v>0.1142681683610034</v>
      </c>
      <c r="G7807" s="74">
        <v>36.662597332964801</v>
      </c>
      <c r="H7807" s="74">
        <f t="shared" si="243"/>
        <v>3.8318030103677216</v>
      </c>
    </row>
    <row r="7808" spans="5:8" ht="15.6">
      <c r="E7808" s="279" t="s">
        <v>8134</v>
      </c>
      <c r="F7808" s="284">
        <f t="shared" ca="1" si="242"/>
        <v>0.98403764972515884</v>
      </c>
      <c r="G7808" s="74">
        <v>41.764555348438627</v>
      </c>
      <c r="H7808" s="74">
        <f t="shared" si="243"/>
        <v>-1.2701550051061048</v>
      </c>
    </row>
    <row r="7809" spans="5:8" ht="15.6">
      <c r="E7809" s="279" t="s">
        <v>8135</v>
      </c>
      <c r="F7809" s="284">
        <f t="shared" ca="1" si="242"/>
        <v>0.3009512700697764</v>
      </c>
      <c r="G7809" s="74">
        <v>41.397211143562792</v>
      </c>
      <c r="H7809" s="74">
        <f t="shared" si="243"/>
        <v>-0.90281080023027016</v>
      </c>
    </row>
    <row r="7810" spans="5:8" ht="15.6">
      <c r="E7810" s="279" t="s">
        <v>8136</v>
      </c>
      <c r="F7810" s="284">
        <f t="shared" ca="1" si="242"/>
        <v>0.69512676337111112</v>
      </c>
      <c r="G7810" s="74">
        <v>36.941075596443007</v>
      </c>
      <c r="H7810" s="74">
        <f t="shared" si="243"/>
        <v>3.5533247468895155</v>
      </c>
    </row>
    <row r="7811" spans="5:8" ht="15.6">
      <c r="E7811" s="279" t="s">
        <v>8137</v>
      </c>
      <c r="F7811" s="284">
        <f t="shared" ca="1" si="242"/>
        <v>0.42030083167293664</v>
      </c>
      <c r="G7811" s="74">
        <v>40.047046408387359</v>
      </c>
      <c r="H7811" s="74">
        <f t="shared" si="243"/>
        <v>0.44735393494516273</v>
      </c>
    </row>
    <row r="7812" spans="5:8" ht="15.6">
      <c r="E7812" s="279" t="s">
        <v>8138</v>
      </c>
      <c r="F7812" s="284">
        <f t="shared" ca="1" si="242"/>
        <v>0.50402260087686246</v>
      </c>
      <c r="G7812" s="74">
        <v>38.214963852071399</v>
      </c>
      <c r="H7812" s="74">
        <f t="shared" si="243"/>
        <v>2.2794364912611229</v>
      </c>
    </row>
    <row r="7813" spans="5:8" ht="15.6">
      <c r="E7813" s="279" t="s">
        <v>8139</v>
      </c>
      <c r="F7813" s="284">
        <f t="shared" ca="1" si="242"/>
        <v>0.76895091052866815</v>
      </c>
      <c r="G7813" s="74">
        <v>41.295936229574757</v>
      </c>
      <c r="H7813" s="74">
        <f t="shared" si="243"/>
        <v>-0.8015358862422346</v>
      </c>
    </row>
    <row r="7814" spans="5:8" ht="15.6">
      <c r="E7814" s="279" t="s">
        <v>8140</v>
      </c>
      <c r="F7814" s="284">
        <f t="shared" ca="1" si="242"/>
        <v>0.30960087037166195</v>
      </c>
      <c r="G7814" s="74">
        <v>41.634626097237579</v>
      </c>
      <c r="H7814" s="74">
        <f t="shared" si="243"/>
        <v>-1.1402257539050566</v>
      </c>
    </row>
    <row r="7815" spans="5:8" ht="15.6">
      <c r="E7815" s="279" t="s">
        <v>8141</v>
      </c>
      <c r="F7815" s="284">
        <f t="shared" ca="1" si="242"/>
        <v>0.97736130582022074</v>
      </c>
      <c r="G7815" s="74">
        <v>46.947555688301954</v>
      </c>
      <c r="H7815" s="74">
        <f t="shared" si="243"/>
        <v>-6.4531553449694314</v>
      </c>
    </row>
    <row r="7816" spans="5:8" ht="15.6">
      <c r="E7816" s="279" t="s">
        <v>8142</v>
      </c>
      <c r="F7816" s="284">
        <f t="shared" ca="1" si="242"/>
        <v>0.73711870236235588</v>
      </c>
      <c r="G7816" s="74">
        <v>40.983506024382045</v>
      </c>
      <c r="H7816" s="74">
        <f t="shared" si="243"/>
        <v>-0.4891056810495229</v>
      </c>
    </row>
    <row r="7817" spans="5:8" ht="15.6">
      <c r="E7817" s="279" t="s">
        <v>8143</v>
      </c>
      <c r="F7817" s="284">
        <f t="shared" ca="1" si="242"/>
        <v>0.34252656301079842</v>
      </c>
      <c r="G7817" s="74">
        <v>40.413109312791427</v>
      </c>
      <c r="H7817" s="74">
        <f t="shared" si="243"/>
        <v>8.1291030541095211E-2</v>
      </c>
    </row>
    <row r="7818" spans="5:8" ht="15.6">
      <c r="E7818" s="279" t="s">
        <v>8144</v>
      </c>
      <c r="F7818" s="284">
        <f t="shared" ca="1" si="242"/>
        <v>0.77433839699370899</v>
      </c>
      <c r="G7818" s="74">
        <v>36.08843024104894</v>
      </c>
      <c r="H7818" s="74">
        <f t="shared" si="243"/>
        <v>4.4059701022835824</v>
      </c>
    </row>
    <row r="7819" spans="5:8" ht="15.6">
      <c r="E7819" s="279" t="s">
        <v>8145</v>
      </c>
      <c r="F7819" s="284">
        <f t="shared" ca="1" si="242"/>
        <v>0.36301489237008489</v>
      </c>
      <c r="G7819" s="74">
        <v>36.584911148122529</v>
      </c>
      <c r="H7819" s="74">
        <f t="shared" si="243"/>
        <v>3.9094891952099928</v>
      </c>
    </row>
    <row r="7820" spans="5:8" ht="15.6">
      <c r="E7820" s="279" t="s">
        <v>8146</v>
      </c>
      <c r="F7820" s="284">
        <f t="shared" ref="F7820:F7883" ca="1" si="244">RAND()</f>
        <v>0.6843230500096944</v>
      </c>
      <c r="G7820" s="74">
        <v>39.893178191829293</v>
      </c>
      <c r="H7820" s="74">
        <f t="shared" ref="H7820:H7883" si="245">$D$2-G7820</f>
        <v>0.60122215150322944</v>
      </c>
    </row>
    <row r="7821" spans="5:8" ht="15.6">
      <c r="E7821" s="279" t="s">
        <v>8147</v>
      </c>
      <c r="F7821" s="284">
        <f t="shared" ca="1" si="244"/>
        <v>3.6079986986023327E-2</v>
      </c>
      <c r="G7821" s="74">
        <v>42.317291290086708</v>
      </c>
      <c r="H7821" s="74">
        <f t="shared" si="245"/>
        <v>-1.8228909467541854</v>
      </c>
    </row>
    <row r="7822" spans="5:8" ht="15.6">
      <c r="E7822" s="279" t="s">
        <v>8148</v>
      </c>
      <c r="F7822" s="284">
        <f t="shared" ca="1" si="244"/>
        <v>0.4479376934124073</v>
      </c>
      <c r="G7822" s="74">
        <v>45.84647996846936</v>
      </c>
      <c r="H7822" s="74">
        <f t="shared" si="245"/>
        <v>-5.3520796251368381</v>
      </c>
    </row>
    <row r="7823" spans="5:8" ht="15.6">
      <c r="E7823" s="279" t="s">
        <v>8149</v>
      </c>
      <c r="F7823" s="284">
        <f t="shared" ca="1" si="244"/>
        <v>0.85486473139161478</v>
      </c>
      <c r="G7823" s="74">
        <v>39.643623390249957</v>
      </c>
      <c r="H7823" s="74">
        <f t="shared" si="245"/>
        <v>0.85077695308256551</v>
      </c>
    </row>
    <row r="7824" spans="5:8" ht="15.6">
      <c r="E7824" s="279" t="s">
        <v>8150</v>
      </c>
      <c r="F7824" s="284">
        <f t="shared" ca="1" si="244"/>
        <v>0.22848351710705306</v>
      </c>
      <c r="G7824" s="74">
        <v>38.489554335979747</v>
      </c>
      <c r="H7824" s="74">
        <f t="shared" si="245"/>
        <v>2.004846007352775</v>
      </c>
    </row>
    <row r="7825" spans="5:8" ht="15.6">
      <c r="E7825" s="279" t="s">
        <v>8151</v>
      </c>
      <c r="F7825" s="284">
        <f t="shared" ca="1" si="244"/>
        <v>4.4446073673182984E-2</v>
      </c>
      <c r="G7825" s="74">
        <v>38.531286945701559</v>
      </c>
      <c r="H7825" s="74">
        <f t="shared" si="245"/>
        <v>1.9631133976309627</v>
      </c>
    </row>
    <row r="7826" spans="5:8" ht="15.6">
      <c r="E7826" s="279" t="s">
        <v>8152</v>
      </c>
      <c r="F7826" s="284">
        <f t="shared" ca="1" si="244"/>
        <v>0.2308731264386249</v>
      </c>
      <c r="G7826" s="74">
        <v>39.577526683762798</v>
      </c>
      <c r="H7826" s="74">
        <f t="shared" si="245"/>
        <v>0.916873659569724</v>
      </c>
    </row>
    <row r="7827" spans="5:8" ht="15.6">
      <c r="E7827" s="279" t="s">
        <v>8153</v>
      </c>
      <c r="F7827" s="284">
        <f t="shared" ca="1" si="244"/>
        <v>0.21037737715248639</v>
      </c>
      <c r="G7827" s="74">
        <v>37.699419004703834</v>
      </c>
      <c r="H7827" s="74">
        <f t="shared" si="245"/>
        <v>2.7949813386286877</v>
      </c>
    </row>
    <row r="7828" spans="5:8" ht="15.6">
      <c r="E7828" s="279" t="s">
        <v>8154</v>
      </c>
      <c r="F7828" s="284">
        <f t="shared" ca="1" si="244"/>
        <v>0.58097117988457747</v>
      </c>
      <c r="G7828" s="74">
        <v>40.980140127245392</v>
      </c>
      <c r="H7828" s="74">
        <f t="shared" si="245"/>
        <v>-0.48573978391286943</v>
      </c>
    </row>
    <row r="7829" spans="5:8" ht="15.6">
      <c r="E7829" s="279" t="s">
        <v>8155</v>
      </c>
      <c r="F7829" s="284">
        <f t="shared" ca="1" si="244"/>
        <v>0.9531762311000116</v>
      </c>
      <c r="G7829" s="74">
        <v>39.969037004367941</v>
      </c>
      <c r="H7829" s="74">
        <f t="shared" si="245"/>
        <v>0.52536333896458132</v>
      </c>
    </row>
    <row r="7830" spans="5:8" ht="15.6">
      <c r="E7830" s="279" t="s">
        <v>8156</v>
      </c>
      <c r="F7830" s="284">
        <f t="shared" ca="1" si="244"/>
        <v>7.2654985088833279E-2</v>
      </c>
      <c r="G7830" s="74">
        <v>39.462001436305897</v>
      </c>
      <c r="H7830" s="74">
        <f t="shared" si="245"/>
        <v>1.0323989070266251</v>
      </c>
    </row>
    <row r="7831" spans="5:8" ht="15.6">
      <c r="E7831" s="279" t="s">
        <v>8157</v>
      </c>
      <c r="F7831" s="284">
        <f t="shared" ca="1" si="244"/>
        <v>0.88679355935420878</v>
      </c>
      <c r="G7831" s="74">
        <v>42.427233216593386</v>
      </c>
      <c r="H7831" s="74">
        <f t="shared" si="245"/>
        <v>-1.9328328732608639</v>
      </c>
    </row>
    <row r="7832" spans="5:8" ht="15.6">
      <c r="E7832" s="279" t="s">
        <v>8158</v>
      </c>
      <c r="F7832" s="284">
        <f t="shared" ca="1" si="244"/>
        <v>0.98385533060418984</v>
      </c>
      <c r="G7832" s="74">
        <v>39.241756923720921</v>
      </c>
      <c r="H7832" s="74">
        <f t="shared" si="245"/>
        <v>1.2526434196116014</v>
      </c>
    </row>
    <row r="7833" spans="5:8" ht="15.6">
      <c r="E7833" s="279" t="s">
        <v>8159</v>
      </c>
      <c r="F7833" s="284">
        <f t="shared" ca="1" si="244"/>
        <v>0.47480503254405515</v>
      </c>
      <c r="G7833" s="74">
        <v>40.564686046805129</v>
      </c>
      <c r="H7833" s="74">
        <f t="shared" si="245"/>
        <v>-7.0285703472606542E-2</v>
      </c>
    </row>
    <row r="7834" spans="5:8" ht="15.6">
      <c r="E7834" s="279" t="s">
        <v>8160</v>
      </c>
      <c r="F7834" s="284">
        <f t="shared" ca="1" si="244"/>
        <v>0.87062468835620488</v>
      </c>
      <c r="G7834" s="74">
        <v>38.412318876984756</v>
      </c>
      <c r="H7834" s="74">
        <f t="shared" si="245"/>
        <v>2.0820814663477663</v>
      </c>
    </row>
    <row r="7835" spans="5:8" ht="15.6">
      <c r="E7835" s="279" t="s">
        <v>8161</v>
      </c>
      <c r="F7835" s="284">
        <f t="shared" ca="1" si="244"/>
        <v>0.12989448676980409</v>
      </c>
      <c r="G7835" s="74">
        <v>38.738868663083331</v>
      </c>
      <c r="H7835" s="74">
        <f t="shared" si="245"/>
        <v>1.7555316802491916</v>
      </c>
    </row>
    <row r="7836" spans="5:8" ht="15.6">
      <c r="E7836" s="279" t="s">
        <v>8162</v>
      </c>
      <c r="F7836" s="284">
        <f t="shared" ca="1" si="244"/>
        <v>0.19385917544157028</v>
      </c>
      <c r="G7836" s="74">
        <v>37.721278164431155</v>
      </c>
      <c r="H7836" s="74">
        <f t="shared" si="245"/>
        <v>2.7731221789013674</v>
      </c>
    </row>
    <row r="7837" spans="5:8" ht="15.6">
      <c r="E7837" s="279" t="s">
        <v>8163</v>
      </c>
      <c r="F7837" s="284">
        <f t="shared" ca="1" si="244"/>
        <v>5.8582922307966356E-2</v>
      </c>
      <c r="G7837" s="74">
        <v>34.435227091887619</v>
      </c>
      <c r="H7837" s="74">
        <f t="shared" si="245"/>
        <v>6.0591732514449035</v>
      </c>
    </row>
    <row r="7838" spans="5:8" ht="15.6">
      <c r="E7838" s="279" t="s">
        <v>8164</v>
      </c>
      <c r="F7838" s="284">
        <f t="shared" ca="1" si="244"/>
        <v>0.52423488793004813</v>
      </c>
      <c r="G7838" s="74">
        <v>38.529434449556994</v>
      </c>
      <c r="H7838" s="74">
        <f t="shared" si="245"/>
        <v>1.9649658937755277</v>
      </c>
    </row>
    <row r="7839" spans="5:8" ht="15.6">
      <c r="E7839" s="279" t="s">
        <v>8165</v>
      </c>
      <c r="F7839" s="284">
        <f t="shared" ca="1" si="244"/>
        <v>0.31276583684497861</v>
      </c>
      <c r="G7839" s="74">
        <v>41.452090933344017</v>
      </c>
      <c r="H7839" s="74">
        <f t="shared" si="245"/>
        <v>-0.95769059001149515</v>
      </c>
    </row>
    <row r="7840" spans="5:8" ht="15.6">
      <c r="E7840" s="279" t="s">
        <v>8166</v>
      </c>
      <c r="F7840" s="284">
        <f t="shared" ca="1" si="244"/>
        <v>0.10083581822489507</v>
      </c>
      <c r="G7840" s="74">
        <v>42.456146154414839</v>
      </c>
      <c r="H7840" s="74">
        <f t="shared" si="245"/>
        <v>-1.9617458110823165</v>
      </c>
    </row>
    <row r="7841" spans="5:8" ht="15.6">
      <c r="E7841" s="279" t="s">
        <v>8167</v>
      </c>
      <c r="F7841" s="284">
        <f t="shared" ca="1" si="244"/>
        <v>0.17520693476325078</v>
      </c>
      <c r="G7841" s="74">
        <v>33.286153972042378</v>
      </c>
      <c r="H7841" s="74">
        <f t="shared" si="245"/>
        <v>7.2082463712901443</v>
      </c>
    </row>
    <row r="7842" spans="5:8" ht="15.6">
      <c r="E7842" s="279" t="s">
        <v>8168</v>
      </c>
      <c r="F7842" s="284">
        <f t="shared" ca="1" si="244"/>
        <v>0.7262544536924348</v>
      </c>
      <c r="G7842" s="74">
        <v>39.364612574899425</v>
      </c>
      <c r="H7842" s="74">
        <f t="shared" si="245"/>
        <v>1.129787768433097</v>
      </c>
    </row>
    <row r="7843" spans="5:8" ht="15.6">
      <c r="E7843" s="279" t="s">
        <v>8169</v>
      </c>
      <c r="F7843" s="284">
        <f t="shared" ca="1" si="244"/>
        <v>0.59996175241755845</v>
      </c>
      <c r="G7843" s="74">
        <v>37.110686833625373</v>
      </c>
      <c r="H7843" s="74">
        <f t="shared" si="245"/>
        <v>3.3837135097071496</v>
      </c>
    </row>
    <row r="7844" spans="5:8" ht="15.6">
      <c r="E7844" s="279" t="s">
        <v>8170</v>
      </c>
      <c r="F7844" s="284">
        <f t="shared" ca="1" si="244"/>
        <v>0.48526490130025002</v>
      </c>
      <c r="G7844" s="74">
        <v>32.683341607970107</v>
      </c>
      <c r="H7844" s="74">
        <f t="shared" si="245"/>
        <v>7.8110587353624155</v>
      </c>
    </row>
    <row r="7845" spans="5:8" ht="15.6">
      <c r="E7845" s="279" t="s">
        <v>8171</v>
      </c>
      <c r="F7845" s="284">
        <f t="shared" ca="1" si="244"/>
        <v>0.74320650210451855</v>
      </c>
      <c r="G7845" s="74">
        <v>35.432216988177053</v>
      </c>
      <c r="H7845" s="74">
        <f t="shared" si="245"/>
        <v>5.0621833551554687</v>
      </c>
    </row>
    <row r="7846" spans="5:8" ht="15.6">
      <c r="E7846" s="279" t="s">
        <v>8172</v>
      </c>
      <c r="F7846" s="284">
        <f t="shared" ca="1" si="244"/>
        <v>0.800039274426394</v>
      </c>
      <c r="G7846" s="74">
        <v>44.110208565187186</v>
      </c>
      <c r="H7846" s="74">
        <f t="shared" si="245"/>
        <v>-3.6158082218546639</v>
      </c>
    </row>
    <row r="7847" spans="5:8" ht="15.6">
      <c r="E7847" s="279" t="s">
        <v>8173</v>
      </c>
      <c r="F7847" s="284">
        <f t="shared" ca="1" si="244"/>
        <v>8.9915577881557462E-2</v>
      </c>
      <c r="G7847" s="74">
        <v>39.359914061657491</v>
      </c>
      <c r="H7847" s="74">
        <f t="shared" si="245"/>
        <v>1.1344862816750307</v>
      </c>
    </row>
    <row r="7848" spans="5:8" ht="15.6">
      <c r="E7848" s="279" t="s">
        <v>8174</v>
      </c>
      <c r="F7848" s="284">
        <f t="shared" ca="1" si="244"/>
        <v>0.37141794014718632</v>
      </c>
      <c r="G7848" s="74">
        <v>38.146647623318621</v>
      </c>
      <c r="H7848" s="74">
        <f t="shared" si="245"/>
        <v>2.3477527200139008</v>
      </c>
    </row>
    <row r="7849" spans="5:8" ht="15.6">
      <c r="E7849" s="279" t="s">
        <v>8175</v>
      </c>
      <c r="F7849" s="284">
        <f t="shared" ca="1" si="244"/>
        <v>0.52237139376759234</v>
      </c>
      <c r="G7849" s="74">
        <v>39.920916616404398</v>
      </c>
      <c r="H7849" s="74">
        <f t="shared" si="245"/>
        <v>0.57348372692812433</v>
      </c>
    </row>
    <row r="7850" spans="5:8" ht="15.6">
      <c r="E7850" s="279" t="s">
        <v>8176</v>
      </c>
      <c r="F7850" s="284">
        <f t="shared" ca="1" si="244"/>
        <v>0.95008869772492732</v>
      </c>
      <c r="G7850" s="74">
        <v>39.141494842289866</v>
      </c>
      <c r="H7850" s="74">
        <f t="shared" si="245"/>
        <v>1.3529055010426561</v>
      </c>
    </row>
    <row r="7851" spans="5:8" ht="15.6">
      <c r="E7851" s="279" t="s">
        <v>8177</v>
      </c>
      <c r="F7851" s="284">
        <f t="shared" ca="1" si="244"/>
        <v>0.30381126176462203</v>
      </c>
      <c r="G7851" s="74">
        <v>39.707353142823969</v>
      </c>
      <c r="H7851" s="74">
        <f t="shared" si="245"/>
        <v>0.78704720050855315</v>
      </c>
    </row>
    <row r="7852" spans="5:8" ht="15.6">
      <c r="E7852" s="279" t="s">
        <v>8178</v>
      </c>
      <c r="F7852" s="284">
        <f t="shared" ca="1" si="244"/>
        <v>0.23364246886353535</v>
      </c>
      <c r="G7852" s="74">
        <v>39.39467848251568</v>
      </c>
      <c r="H7852" s="74">
        <f t="shared" si="245"/>
        <v>1.0997218608168424</v>
      </c>
    </row>
    <row r="7853" spans="5:8" ht="15.6">
      <c r="E7853" s="279" t="s">
        <v>8179</v>
      </c>
      <c r="F7853" s="284">
        <f t="shared" ca="1" si="244"/>
        <v>0.6864036351669589</v>
      </c>
      <c r="G7853" s="74">
        <v>39.193897615261093</v>
      </c>
      <c r="H7853" s="74">
        <f t="shared" si="245"/>
        <v>1.3005027280714287</v>
      </c>
    </row>
    <row r="7854" spans="5:8" ht="15.6">
      <c r="E7854" s="279" t="s">
        <v>8180</v>
      </c>
      <c r="F7854" s="284">
        <f t="shared" ca="1" si="244"/>
        <v>0.52745362873384605</v>
      </c>
      <c r="G7854" s="74">
        <v>36.907189285681838</v>
      </c>
      <c r="H7854" s="74">
        <f t="shared" si="245"/>
        <v>3.5872110576506842</v>
      </c>
    </row>
    <row r="7855" spans="5:8" ht="15.6">
      <c r="E7855" s="279" t="s">
        <v>8181</v>
      </c>
      <c r="F7855" s="284">
        <f t="shared" ca="1" si="244"/>
        <v>4.2435791823280944E-3</v>
      </c>
      <c r="G7855" s="74">
        <v>41.477210190126101</v>
      </c>
      <c r="H7855" s="74">
        <f t="shared" si="245"/>
        <v>-0.98280984679357886</v>
      </c>
    </row>
    <row r="7856" spans="5:8" ht="15.6">
      <c r="E7856" s="279" t="s">
        <v>8182</v>
      </c>
      <c r="F7856" s="284">
        <f t="shared" ca="1" si="244"/>
        <v>0.18763368252758006</v>
      </c>
      <c r="G7856" s="74">
        <v>40.438320825296181</v>
      </c>
      <c r="H7856" s="74">
        <f t="shared" si="245"/>
        <v>5.6079518036341369E-2</v>
      </c>
    </row>
    <row r="7857" spans="5:8" ht="15.6">
      <c r="E7857" s="279" t="s">
        <v>8183</v>
      </c>
      <c r="F7857" s="284">
        <f t="shared" ca="1" si="244"/>
        <v>0.48063365635733923</v>
      </c>
      <c r="G7857" s="74">
        <v>35.21761975912036</v>
      </c>
      <c r="H7857" s="74">
        <f t="shared" si="245"/>
        <v>5.2767805842121618</v>
      </c>
    </row>
    <row r="7858" spans="5:8" ht="15.6">
      <c r="E7858" s="279" t="s">
        <v>8184</v>
      </c>
      <c r="F7858" s="284">
        <f t="shared" ca="1" si="244"/>
        <v>0.71754948159315446</v>
      </c>
      <c r="G7858" s="74">
        <v>35.891956450633849</v>
      </c>
      <c r="H7858" s="74">
        <f t="shared" si="245"/>
        <v>4.6024438926986733</v>
      </c>
    </row>
    <row r="7859" spans="5:8" ht="15.6">
      <c r="E7859" s="279" t="s">
        <v>8185</v>
      </c>
      <c r="F7859" s="284">
        <f t="shared" ca="1" si="244"/>
        <v>0.60889290783328465</v>
      </c>
      <c r="G7859" s="74">
        <v>32.033347965555905</v>
      </c>
      <c r="H7859" s="74">
        <f t="shared" si="245"/>
        <v>8.4610523777766176</v>
      </c>
    </row>
    <row r="7860" spans="5:8" ht="15.6">
      <c r="E7860" s="279" t="s">
        <v>8186</v>
      </c>
      <c r="F7860" s="284">
        <f t="shared" ca="1" si="244"/>
        <v>0.33228067101344438</v>
      </c>
      <c r="G7860" s="74">
        <v>39.853876662443746</v>
      </c>
      <c r="H7860" s="74">
        <f t="shared" si="245"/>
        <v>0.64052368088877643</v>
      </c>
    </row>
    <row r="7861" spans="5:8" ht="15.6">
      <c r="E7861" s="279" t="s">
        <v>8187</v>
      </c>
      <c r="F7861" s="284">
        <f t="shared" ca="1" si="244"/>
        <v>0.96663353968855426</v>
      </c>
      <c r="G7861" s="74">
        <v>36.868640704161173</v>
      </c>
      <c r="H7861" s="74">
        <f t="shared" si="245"/>
        <v>3.6257596391713491</v>
      </c>
    </row>
    <row r="7862" spans="5:8" ht="15.6">
      <c r="E7862" s="279" t="s">
        <v>8188</v>
      </c>
      <c r="F7862" s="284">
        <f t="shared" ca="1" si="244"/>
        <v>0.90972918069279363</v>
      </c>
      <c r="G7862" s="74">
        <v>46.163932165035504</v>
      </c>
      <c r="H7862" s="74">
        <f t="shared" si="245"/>
        <v>-5.6695318217029822</v>
      </c>
    </row>
    <row r="7863" spans="5:8" ht="15.6">
      <c r="E7863" s="279" t="s">
        <v>8189</v>
      </c>
      <c r="F7863" s="284">
        <f t="shared" ca="1" si="244"/>
        <v>0.26768195917922166</v>
      </c>
      <c r="G7863" s="74">
        <v>33.687875492568367</v>
      </c>
      <c r="H7863" s="74">
        <f t="shared" si="245"/>
        <v>6.8065248507641556</v>
      </c>
    </row>
    <row r="7864" spans="5:8" ht="15.6">
      <c r="E7864" s="279" t="s">
        <v>8190</v>
      </c>
      <c r="F7864" s="284">
        <f t="shared" ca="1" si="244"/>
        <v>0.64161582546993046</v>
      </c>
      <c r="G7864" s="74">
        <v>41.301211243653043</v>
      </c>
      <c r="H7864" s="74">
        <f t="shared" si="245"/>
        <v>-0.80681090032052083</v>
      </c>
    </row>
    <row r="7865" spans="5:8" ht="15.6">
      <c r="E7865" s="279" t="s">
        <v>8191</v>
      </c>
      <c r="F7865" s="284">
        <f t="shared" ca="1" si="244"/>
        <v>0.61696285431233255</v>
      </c>
      <c r="G7865" s="74">
        <v>38.225615000049231</v>
      </c>
      <c r="H7865" s="74">
        <f t="shared" si="245"/>
        <v>2.268785343283291</v>
      </c>
    </row>
    <row r="7866" spans="5:8" ht="15.6">
      <c r="E7866" s="279" t="s">
        <v>8192</v>
      </c>
      <c r="F7866" s="284">
        <f t="shared" ca="1" si="244"/>
        <v>0.70220967158367487</v>
      </c>
      <c r="G7866" s="74">
        <v>42.324088067180242</v>
      </c>
      <c r="H7866" s="74">
        <f t="shared" si="245"/>
        <v>-1.8296877238477194</v>
      </c>
    </row>
    <row r="7867" spans="5:8" ht="15.6">
      <c r="E7867" s="279" t="s">
        <v>8193</v>
      </c>
      <c r="F7867" s="284">
        <f t="shared" ca="1" si="244"/>
        <v>0.77411136411295112</v>
      </c>
      <c r="G7867" s="74">
        <v>41.069050971695361</v>
      </c>
      <c r="H7867" s="74">
        <f t="shared" si="245"/>
        <v>-0.5746506283628392</v>
      </c>
    </row>
    <row r="7868" spans="5:8" ht="15.6">
      <c r="E7868" s="279" t="s">
        <v>8194</v>
      </c>
      <c r="F7868" s="284">
        <f t="shared" ca="1" si="244"/>
        <v>0.89571333556831823</v>
      </c>
      <c r="G7868" s="74">
        <v>37.287052174436397</v>
      </c>
      <c r="H7868" s="74">
        <f t="shared" si="245"/>
        <v>3.2073481688961252</v>
      </c>
    </row>
    <row r="7869" spans="5:8" ht="15.6">
      <c r="E7869" s="279" t="s">
        <v>8195</v>
      </c>
      <c r="F7869" s="284">
        <f t="shared" ca="1" si="244"/>
        <v>0.58015395226519595</v>
      </c>
      <c r="G7869" s="74">
        <v>39.801302608709719</v>
      </c>
      <c r="H7869" s="74">
        <f t="shared" si="245"/>
        <v>0.69309773462280333</v>
      </c>
    </row>
    <row r="7870" spans="5:8" ht="15.6">
      <c r="E7870" s="279" t="s">
        <v>8196</v>
      </c>
      <c r="F7870" s="284">
        <f t="shared" ca="1" si="244"/>
        <v>0.88474253645202616</v>
      </c>
      <c r="G7870" s="74">
        <v>37.136242233713887</v>
      </c>
      <c r="H7870" s="74">
        <f t="shared" si="245"/>
        <v>3.3581581096186355</v>
      </c>
    </row>
    <row r="7871" spans="5:8" ht="15.6">
      <c r="E7871" s="279" t="s">
        <v>8197</v>
      </c>
      <c r="F7871" s="284">
        <f t="shared" ca="1" si="244"/>
        <v>0.31079490673995769</v>
      </c>
      <c r="G7871" s="74">
        <v>32.893230435808015</v>
      </c>
      <c r="H7871" s="74">
        <f t="shared" si="245"/>
        <v>7.6011699075245076</v>
      </c>
    </row>
    <row r="7872" spans="5:8" ht="15.6">
      <c r="E7872" s="279" t="s">
        <v>8198</v>
      </c>
      <c r="F7872" s="284">
        <f t="shared" ca="1" si="244"/>
        <v>0.53372321932562017</v>
      </c>
      <c r="G7872" s="74">
        <v>40.889037208183986</v>
      </c>
      <c r="H7872" s="74">
        <f t="shared" si="245"/>
        <v>-0.39463686485146354</v>
      </c>
    </row>
    <row r="7873" spans="5:8" ht="15.6">
      <c r="E7873" s="279" t="s">
        <v>8199</v>
      </c>
      <c r="F7873" s="284">
        <f t="shared" ca="1" si="244"/>
        <v>0.90497895801531003</v>
      </c>
      <c r="G7873" s="74">
        <v>38.671575714364479</v>
      </c>
      <c r="H7873" s="74">
        <f t="shared" si="245"/>
        <v>1.8228246289680428</v>
      </c>
    </row>
    <row r="7874" spans="5:8" ht="15.6">
      <c r="E7874" s="279" t="s">
        <v>8200</v>
      </c>
      <c r="F7874" s="284">
        <f t="shared" ca="1" si="244"/>
        <v>0.76834713303413393</v>
      </c>
      <c r="G7874" s="74">
        <v>37.391869853859767</v>
      </c>
      <c r="H7874" s="74">
        <f t="shared" si="245"/>
        <v>3.1025304894727554</v>
      </c>
    </row>
    <row r="7875" spans="5:8" ht="15.6">
      <c r="E7875" s="279" t="s">
        <v>8201</v>
      </c>
      <c r="F7875" s="284">
        <f t="shared" ca="1" si="244"/>
        <v>0.86220750257465306</v>
      </c>
      <c r="G7875" s="74">
        <v>36.24118894934886</v>
      </c>
      <c r="H7875" s="74">
        <f t="shared" si="245"/>
        <v>4.253211393983662</v>
      </c>
    </row>
    <row r="7876" spans="5:8" ht="15.6">
      <c r="E7876" s="279" t="s">
        <v>8202</v>
      </c>
      <c r="F7876" s="284">
        <f t="shared" ca="1" si="244"/>
        <v>0.216574058350263</v>
      </c>
      <c r="G7876" s="74">
        <v>36.988181008480041</v>
      </c>
      <c r="H7876" s="74">
        <f t="shared" si="245"/>
        <v>3.5062193348524815</v>
      </c>
    </row>
    <row r="7877" spans="5:8" ht="15.6">
      <c r="E7877" s="279" t="s">
        <v>8203</v>
      </c>
      <c r="F7877" s="284">
        <f t="shared" ca="1" si="244"/>
        <v>3.2183430457957907E-2</v>
      </c>
      <c r="G7877" s="74">
        <v>40.896680825874945</v>
      </c>
      <c r="H7877" s="74">
        <f t="shared" si="245"/>
        <v>-0.4022804825424231</v>
      </c>
    </row>
    <row r="7878" spans="5:8" ht="15.6">
      <c r="E7878" s="279" t="s">
        <v>8204</v>
      </c>
      <c r="F7878" s="284">
        <f t="shared" ca="1" si="244"/>
        <v>9.4724376837345026E-2</v>
      </c>
      <c r="G7878" s="74">
        <v>39.861164513476176</v>
      </c>
      <c r="H7878" s="74">
        <f t="shared" si="245"/>
        <v>0.6332358298563463</v>
      </c>
    </row>
    <row r="7879" spans="5:8" ht="15.6">
      <c r="E7879" s="279" t="s">
        <v>8205</v>
      </c>
      <c r="F7879" s="284">
        <f t="shared" ca="1" si="244"/>
        <v>0.55719223283922903</v>
      </c>
      <c r="G7879" s="74">
        <v>40.557047278383543</v>
      </c>
      <c r="H7879" s="74">
        <f t="shared" si="245"/>
        <v>-6.2646935051020591E-2</v>
      </c>
    </row>
    <row r="7880" spans="5:8" ht="15.6">
      <c r="E7880" s="279" t="s">
        <v>8206</v>
      </c>
      <c r="F7880" s="284">
        <f t="shared" ca="1" si="244"/>
        <v>0.32353551759892107</v>
      </c>
      <c r="G7880" s="74">
        <v>39.854427426571675</v>
      </c>
      <c r="H7880" s="74">
        <f t="shared" si="245"/>
        <v>0.639972916760847</v>
      </c>
    </row>
    <row r="7881" spans="5:8" ht="15.6">
      <c r="E7881" s="279" t="s">
        <v>8207</v>
      </c>
      <c r="F7881" s="284">
        <f t="shared" ca="1" si="244"/>
        <v>0.12741256457790606</v>
      </c>
      <c r="G7881" s="74">
        <v>38.859576987794014</v>
      </c>
      <c r="H7881" s="74">
        <f t="shared" si="245"/>
        <v>1.6348233555385079</v>
      </c>
    </row>
    <row r="7882" spans="5:8" ht="15.6">
      <c r="E7882" s="279" t="s">
        <v>8208</v>
      </c>
      <c r="F7882" s="284">
        <f t="shared" ca="1" si="244"/>
        <v>0.57513622592393943</v>
      </c>
      <c r="G7882" s="74">
        <v>40.8432178584724</v>
      </c>
      <c r="H7882" s="74">
        <f t="shared" si="245"/>
        <v>-0.3488175151398778</v>
      </c>
    </row>
    <row r="7883" spans="5:8" ht="15.6">
      <c r="E7883" s="279" t="s">
        <v>8209</v>
      </c>
      <c r="F7883" s="284">
        <f t="shared" ca="1" si="244"/>
        <v>0.95466861975268857</v>
      </c>
      <c r="G7883" s="74">
        <v>40.684728898574377</v>
      </c>
      <c r="H7883" s="74">
        <f t="shared" si="245"/>
        <v>-0.19032855524185521</v>
      </c>
    </row>
    <row r="7884" spans="5:8" ht="15.6">
      <c r="E7884" s="279" t="s">
        <v>8210</v>
      </c>
      <c r="F7884" s="284">
        <f t="shared" ref="F7884:F7947" ca="1" si="246">RAND()</f>
        <v>0.93805346312364479</v>
      </c>
      <c r="G7884" s="74">
        <v>35.176567197498017</v>
      </c>
      <c r="H7884" s="74">
        <f t="shared" ref="H7884:H7947" si="247">$D$2-G7884</f>
        <v>5.3178331458345056</v>
      </c>
    </row>
    <row r="7885" spans="5:8" ht="15.6">
      <c r="E7885" s="279" t="s">
        <v>8211</v>
      </c>
      <c r="F7885" s="284">
        <f t="shared" ca="1" si="246"/>
        <v>0.96702626096297994</v>
      </c>
      <c r="G7885" s="74">
        <v>32.692943439546646</v>
      </c>
      <c r="H7885" s="74">
        <f t="shared" si="247"/>
        <v>7.8014569037858763</v>
      </c>
    </row>
    <row r="7886" spans="5:8" ht="15.6">
      <c r="E7886" s="279" t="s">
        <v>8212</v>
      </c>
      <c r="F7886" s="284">
        <f t="shared" ca="1" si="246"/>
        <v>0.99752859281230188</v>
      </c>
      <c r="G7886" s="74">
        <v>34.564435433336385</v>
      </c>
      <c r="H7886" s="74">
        <f t="shared" si="247"/>
        <v>5.9299649099961371</v>
      </c>
    </row>
    <row r="7887" spans="5:8" ht="15.6">
      <c r="E7887" s="279" t="s">
        <v>8213</v>
      </c>
      <c r="F7887" s="284">
        <f t="shared" ca="1" si="246"/>
        <v>0.56145365555932314</v>
      </c>
      <c r="G7887" s="74">
        <v>40.361311004691437</v>
      </c>
      <c r="H7887" s="74">
        <f t="shared" si="247"/>
        <v>0.13308933864108496</v>
      </c>
    </row>
    <row r="7888" spans="5:8" ht="15.6">
      <c r="E7888" s="279" t="s">
        <v>8214</v>
      </c>
      <c r="F7888" s="284">
        <f t="shared" ca="1" si="246"/>
        <v>3.5776776054093795E-2</v>
      </c>
      <c r="G7888" s="74">
        <v>38.402073458125898</v>
      </c>
      <c r="H7888" s="74">
        <f t="shared" si="247"/>
        <v>2.0923268852066244</v>
      </c>
    </row>
    <row r="7889" spans="5:8" ht="15.6">
      <c r="E7889" s="279" t="s">
        <v>8215</v>
      </c>
      <c r="F7889" s="284">
        <f t="shared" ca="1" si="246"/>
        <v>0.43021726928212023</v>
      </c>
      <c r="G7889" s="74">
        <v>39.794849323346497</v>
      </c>
      <c r="H7889" s="74">
        <f t="shared" si="247"/>
        <v>0.69955101998602487</v>
      </c>
    </row>
    <row r="7890" spans="5:8" ht="15.6">
      <c r="E7890" s="279" t="s">
        <v>8216</v>
      </c>
      <c r="F7890" s="284">
        <f t="shared" ca="1" si="246"/>
        <v>1.5865145921079016E-2</v>
      </c>
      <c r="G7890" s="74">
        <v>38.991139304709833</v>
      </c>
      <c r="H7890" s="74">
        <f t="shared" si="247"/>
        <v>1.5032610386226892</v>
      </c>
    </row>
    <row r="7891" spans="5:8" ht="15.6">
      <c r="E7891" s="279" t="s">
        <v>8217</v>
      </c>
      <c r="F7891" s="284">
        <f t="shared" ca="1" si="246"/>
        <v>0.46790919047580726</v>
      </c>
      <c r="G7891" s="74">
        <v>40.311753510539297</v>
      </c>
      <c r="H7891" s="74">
        <f t="shared" si="247"/>
        <v>0.18264683279322469</v>
      </c>
    </row>
    <row r="7892" spans="5:8" ht="15.6">
      <c r="E7892" s="279" t="s">
        <v>8218</v>
      </c>
      <c r="F7892" s="284">
        <f t="shared" ca="1" si="246"/>
        <v>0.84163590236439623</v>
      </c>
      <c r="G7892" s="74">
        <v>41.67940226332923</v>
      </c>
      <c r="H7892" s="74">
        <f t="shared" si="247"/>
        <v>-1.1850019199967079</v>
      </c>
    </row>
    <row r="7893" spans="5:8" ht="15.6">
      <c r="E7893" s="279" t="s">
        <v>8219</v>
      </c>
      <c r="F7893" s="284">
        <f t="shared" ca="1" si="246"/>
        <v>0.58519110690114229</v>
      </c>
      <c r="G7893" s="74">
        <v>39.199486803024868</v>
      </c>
      <c r="H7893" s="74">
        <f t="shared" si="247"/>
        <v>1.2949135403076539</v>
      </c>
    </row>
    <row r="7894" spans="5:8" ht="15.6">
      <c r="E7894" s="279" t="s">
        <v>8220</v>
      </c>
      <c r="F7894" s="284">
        <f t="shared" ca="1" si="246"/>
        <v>0.57296564034928255</v>
      </c>
      <c r="G7894" s="74">
        <v>42.957152988792522</v>
      </c>
      <c r="H7894" s="74">
        <f t="shared" si="247"/>
        <v>-2.4627526454600002</v>
      </c>
    </row>
    <row r="7895" spans="5:8" ht="15.6">
      <c r="E7895" s="279" t="s">
        <v>8221</v>
      </c>
      <c r="F7895" s="284">
        <f t="shared" ca="1" si="246"/>
        <v>0.8584269334577872</v>
      </c>
      <c r="G7895" s="74">
        <v>41.805754271915781</v>
      </c>
      <c r="H7895" s="74">
        <f t="shared" si="247"/>
        <v>-1.3113539285832587</v>
      </c>
    </row>
    <row r="7896" spans="5:8" ht="15.6">
      <c r="E7896" s="279" t="s">
        <v>8222</v>
      </c>
      <c r="F7896" s="284">
        <f t="shared" ca="1" si="246"/>
        <v>0.99869507717809314</v>
      </c>
      <c r="G7896" s="74">
        <v>39.50862953120992</v>
      </c>
      <c r="H7896" s="74">
        <f t="shared" si="247"/>
        <v>0.98577081212260254</v>
      </c>
    </row>
    <row r="7897" spans="5:8" ht="15.6">
      <c r="E7897" s="279" t="s">
        <v>8223</v>
      </c>
      <c r="F7897" s="284">
        <f t="shared" ca="1" si="246"/>
        <v>0.40442885313863508</v>
      </c>
      <c r="G7897" s="74">
        <v>36.649695033980215</v>
      </c>
      <c r="H7897" s="74">
        <f t="shared" si="247"/>
        <v>3.8447053093523067</v>
      </c>
    </row>
    <row r="7898" spans="5:8" ht="15.6">
      <c r="E7898" s="279" t="s">
        <v>8224</v>
      </c>
      <c r="F7898" s="284">
        <f t="shared" ca="1" si="246"/>
        <v>8.2944103266903491E-2</v>
      </c>
      <c r="G7898" s="74">
        <v>41.569074233952733</v>
      </c>
      <c r="H7898" s="74">
        <f t="shared" si="247"/>
        <v>-1.0746738906202111</v>
      </c>
    </row>
    <row r="7899" spans="5:8" ht="15.6">
      <c r="E7899" s="279" t="s">
        <v>8225</v>
      </c>
      <c r="F7899" s="284">
        <f t="shared" ca="1" si="246"/>
        <v>0.71749866844887311</v>
      </c>
      <c r="G7899" s="74">
        <v>39.618754667774184</v>
      </c>
      <c r="H7899" s="74">
        <f t="shared" si="247"/>
        <v>0.87564567555833861</v>
      </c>
    </row>
    <row r="7900" spans="5:8" ht="15.6">
      <c r="E7900" s="279" t="s">
        <v>8226</v>
      </c>
      <c r="F7900" s="284">
        <f t="shared" ca="1" si="246"/>
        <v>4.1978692282860219E-2</v>
      </c>
      <c r="G7900" s="74">
        <v>38.14737022801171</v>
      </c>
      <c r="H7900" s="74">
        <f t="shared" si="247"/>
        <v>2.3470301153208126</v>
      </c>
    </row>
    <row r="7901" spans="5:8" ht="15.6">
      <c r="E7901" s="279" t="s">
        <v>8227</v>
      </c>
      <c r="F7901" s="284">
        <f t="shared" ca="1" si="246"/>
        <v>0.19070792663866887</v>
      </c>
      <c r="G7901" s="74">
        <v>38.503438413894806</v>
      </c>
      <c r="H7901" s="74">
        <f t="shared" si="247"/>
        <v>1.9909619294377165</v>
      </c>
    </row>
    <row r="7902" spans="5:8" ht="15.6">
      <c r="E7902" s="279" t="s">
        <v>8228</v>
      </c>
      <c r="F7902" s="284">
        <f t="shared" ca="1" si="246"/>
        <v>0.67695543704038907</v>
      </c>
      <c r="G7902" s="74">
        <v>40.056253208324634</v>
      </c>
      <c r="H7902" s="74">
        <f t="shared" si="247"/>
        <v>0.43814713500788827</v>
      </c>
    </row>
    <row r="7903" spans="5:8" ht="15.6">
      <c r="E7903" s="279" t="s">
        <v>8229</v>
      </c>
      <c r="F7903" s="284">
        <f t="shared" ca="1" si="246"/>
        <v>7.9529219573799437E-2</v>
      </c>
      <c r="G7903" s="74">
        <v>37.293350378739646</v>
      </c>
      <c r="H7903" s="74">
        <f t="shared" si="247"/>
        <v>3.2010499645928761</v>
      </c>
    </row>
    <row r="7904" spans="5:8" ht="15.6">
      <c r="E7904" s="279" t="s">
        <v>8230</v>
      </c>
      <c r="F7904" s="284">
        <f t="shared" ca="1" si="246"/>
        <v>0.35775473355591381</v>
      </c>
      <c r="G7904" s="74">
        <v>38.019828693992729</v>
      </c>
      <c r="H7904" s="74">
        <f t="shared" si="247"/>
        <v>2.4745716493397936</v>
      </c>
    </row>
    <row r="7905" spans="5:8" ht="15.6">
      <c r="E7905" s="279" t="s">
        <v>8231</v>
      </c>
      <c r="F7905" s="284">
        <f t="shared" ca="1" si="246"/>
        <v>0.13143155697551034</v>
      </c>
      <c r="G7905" s="74">
        <v>42.941390950265529</v>
      </c>
      <c r="H7905" s="74">
        <f t="shared" si="247"/>
        <v>-2.4469906069330065</v>
      </c>
    </row>
    <row r="7906" spans="5:8" ht="15.6">
      <c r="E7906" s="279" t="s">
        <v>8232</v>
      </c>
      <c r="F7906" s="284">
        <f t="shared" ca="1" si="246"/>
        <v>0.52925093203176921</v>
      </c>
      <c r="G7906" s="74">
        <v>37.542366238131677</v>
      </c>
      <c r="H7906" s="74">
        <f t="shared" si="247"/>
        <v>2.9520341052008447</v>
      </c>
    </row>
    <row r="7907" spans="5:8" ht="15.6">
      <c r="E7907" s="279" t="s">
        <v>8233</v>
      </c>
      <c r="F7907" s="284">
        <f t="shared" ca="1" si="246"/>
        <v>0.30082447537044243</v>
      </c>
      <c r="G7907" s="74">
        <v>40.133452255678293</v>
      </c>
      <c r="H7907" s="74">
        <f t="shared" si="247"/>
        <v>0.36094808765422925</v>
      </c>
    </row>
    <row r="7908" spans="5:8" ht="15.6">
      <c r="E7908" s="279" t="s">
        <v>8234</v>
      </c>
      <c r="F7908" s="284">
        <f t="shared" ca="1" si="246"/>
        <v>0.16679990284165858</v>
      </c>
      <c r="G7908" s="74">
        <v>39.125938666023139</v>
      </c>
      <c r="H7908" s="74">
        <f t="shared" si="247"/>
        <v>1.3684616773093836</v>
      </c>
    </row>
    <row r="7909" spans="5:8" ht="15.6">
      <c r="E7909" s="279" t="s">
        <v>8235</v>
      </c>
      <c r="F7909" s="284">
        <f t="shared" ca="1" si="246"/>
        <v>0.85032653045765394</v>
      </c>
      <c r="G7909" s="74">
        <v>39.214582033196265</v>
      </c>
      <c r="H7909" s="74">
        <f t="shared" si="247"/>
        <v>1.2798183101362568</v>
      </c>
    </row>
    <row r="7910" spans="5:8" ht="15.6">
      <c r="E7910" s="279" t="s">
        <v>8236</v>
      </c>
      <c r="F7910" s="284">
        <f t="shared" ca="1" si="246"/>
        <v>0.65120928052728344</v>
      </c>
      <c r="G7910" s="74">
        <v>40.863767421365189</v>
      </c>
      <c r="H7910" s="74">
        <f t="shared" si="247"/>
        <v>-0.369367078032667</v>
      </c>
    </row>
    <row r="7911" spans="5:8" ht="15.6">
      <c r="E7911" s="279" t="s">
        <v>8237</v>
      </c>
      <c r="F7911" s="284">
        <f t="shared" ca="1" si="246"/>
        <v>0.8572111312658276</v>
      </c>
      <c r="G7911" s="74">
        <v>34.342737847975251</v>
      </c>
      <c r="H7911" s="74">
        <f t="shared" si="247"/>
        <v>6.1516624953572716</v>
      </c>
    </row>
    <row r="7912" spans="5:8" ht="15.6">
      <c r="E7912" s="279" t="s">
        <v>8238</v>
      </c>
      <c r="F7912" s="284">
        <f t="shared" ca="1" si="246"/>
        <v>0.82219864997652647</v>
      </c>
      <c r="G7912" s="74">
        <v>40.594519998999715</v>
      </c>
      <c r="H7912" s="74">
        <f t="shared" si="247"/>
        <v>-0.10011965566719283</v>
      </c>
    </row>
    <row r="7913" spans="5:8" ht="15.6">
      <c r="E7913" s="279" t="s">
        <v>8239</v>
      </c>
      <c r="F7913" s="284">
        <f t="shared" ca="1" si="246"/>
        <v>0.70571558633838982</v>
      </c>
      <c r="G7913" s="74">
        <v>39.377870854662739</v>
      </c>
      <c r="H7913" s="74">
        <f t="shared" si="247"/>
        <v>1.1165294886697836</v>
      </c>
    </row>
    <row r="7914" spans="5:8" ht="15.6">
      <c r="E7914" s="279" t="s">
        <v>8240</v>
      </c>
      <c r="F7914" s="284">
        <f t="shared" ca="1" si="246"/>
        <v>0.13715147545045581</v>
      </c>
      <c r="G7914" s="74">
        <v>36.178729258614275</v>
      </c>
      <c r="H7914" s="74">
        <f t="shared" si="247"/>
        <v>4.3156710847182467</v>
      </c>
    </row>
    <row r="7915" spans="5:8" ht="15.6">
      <c r="E7915" s="279" t="s">
        <v>8241</v>
      </c>
      <c r="F7915" s="284">
        <f t="shared" ca="1" si="246"/>
        <v>0.73975136366012728</v>
      </c>
      <c r="G7915" s="74">
        <v>37.247852314193615</v>
      </c>
      <c r="H7915" s="74">
        <f t="shared" si="247"/>
        <v>3.2465480291389071</v>
      </c>
    </row>
    <row r="7916" spans="5:8" ht="15.6">
      <c r="E7916" s="279" t="s">
        <v>8242</v>
      </c>
      <c r="F7916" s="284">
        <f t="shared" ca="1" si="246"/>
        <v>0.36406114603429574</v>
      </c>
      <c r="G7916" s="74">
        <v>34.269351740939463</v>
      </c>
      <c r="H7916" s="74">
        <f t="shared" si="247"/>
        <v>6.2250486023930591</v>
      </c>
    </row>
    <row r="7917" spans="5:8" ht="15.6">
      <c r="E7917" s="279" t="s">
        <v>8243</v>
      </c>
      <c r="F7917" s="284">
        <f t="shared" ca="1" si="246"/>
        <v>5.2047183415663945E-2</v>
      </c>
      <c r="G7917" s="74">
        <v>39.615993657066717</v>
      </c>
      <c r="H7917" s="74">
        <f t="shared" si="247"/>
        <v>0.87840668626580509</v>
      </c>
    </row>
    <row r="7918" spans="5:8" ht="15.6">
      <c r="E7918" s="279" t="s">
        <v>8244</v>
      </c>
      <c r="F7918" s="284">
        <f t="shared" ca="1" si="246"/>
        <v>0.77466558044289779</v>
      </c>
      <c r="G7918" s="74">
        <v>35.842141707328416</v>
      </c>
      <c r="H7918" s="74">
        <f t="shared" si="247"/>
        <v>4.6522586360041061</v>
      </c>
    </row>
    <row r="7919" spans="5:8" ht="15.6">
      <c r="E7919" s="279" t="s">
        <v>8245</v>
      </c>
      <c r="F7919" s="284">
        <f t="shared" ca="1" si="246"/>
        <v>0.89433839750435373</v>
      </c>
      <c r="G7919" s="74">
        <v>43.722868235602149</v>
      </c>
      <c r="H7919" s="74">
        <f t="shared" si="247"/>
        <v>-3.2284678922696273</v>
      </c>
    </row>
    <row r="7920" spans="5:8" ht="15.6">
      <c r="E7920" s="279" t="s">
        <v>8246</v>
      </c>
      <c r="F7920" s="284">
        <f t="shared" ca="1" si="246"/>
        <v>0.14379460546736744</v>
      </c>
      <c r="G7920" s="74">
        <v>38.878893081910213</v>
      </c>
      <c r="H7920" s="74">
        <f t="shared" si="247"/>
        <v>1.6155072614223087</v>
      </c>
    </row>
    <row r="7921" spans="5:8" ht="15.6">
      <c r="E7921" s="279" t="s">
        <v>8247</v>
      </c>
      <c r="F7921" s="284">
        <f t="shared" ca="1" si="246"/>
        <v>0.17241235337496308</v>
      </c>
      <c r="G7921" s="74">
        <v>42.76380853848601</v>
      </c>
      <c r="H7921" s="74">
        <f t="shared" si="247"/>
        <v>-2.2694081951534884</v>
      </c>
    </row>
    <row r="7922" spans="5:8" ht="15.6">
      <c r="E7922" s="279" t="s">
        <v>8248</v>
      </c>
      <c r="F7922" s="284">
        <f t="shared" ca="1" si="246"/>
        <v>0.15636533561529631</v>
      </c>
      <c r="G7922" s="74">
        <v>39.038421794819612</v>
      </c>
      <c r="H7922" s="74">
        <f t="shared" si="247"/>
        <v>1.4559785485129098</v>
      </c>
    </row>
    <row r="7923" spans="5:8" ht="15.6">
      <c r="E7923" s="279" t="s">
        <v>8249</v>
      </c>
      <c r="F7923" s="284">
        <f t="shared" ca="1" si="246"/>
        <v>0.66903470941053311</v>
      </c>
      <c r="G7923" s="74">
        <v>38.650363644469728</v>
      </c>
      <c r="H7923" s="74">
        <f t="shared" si="247"/>
        <v>1.8440366988627943</v>
      </c>
    </row>
    <row r="7924" spans="5:8" ht="15.6">
      <c r="E7924" s="279" t="s">
        <v>8250</v>
      </c>
      <c r="F7924" s="284">
        <f t="shared" ca="1" si="246"/>
        <v>0.8934623406345551</v>
      </c>
      <c r="G7924" s="74">
        <v>38.037147154540001</v>
      </c>
      <c r="H7924" s="74">
        <f t="shared" si="247"/>
        <v>2.4572531887925209</v>
      </c>
    </row>
    <row r="7925" spans="5:8" ht="15.6">
      <c r="E7925" s="279" t="s">
        <v>8251</v>
      </c>
      <c r="F7925" s="284">
        <f t="shared" ca="1" si="246"/>
        <v>7.4903275286583471E-2</v>
      </c>
      <c r="G7925" s="74">
        <v>40.52710376354991</v>
      </c>
      <c r="H7925" s="74">
        <f t="shared" si="247"/>
        <v>-3.2703420217387702E-2</v>
      </c>
    </row>
    <row r="7926" spans="5:8" ht="15.6">
      <c r="E7926" s="279" t="s">
        <v>8252</v>
      </c>
      <c r="F7926" s="284">
        <f t="shared" ca="1" si="246"/>
        <v>0.93384090923992136</v>
      </c>
      <c r="G7926" s="74">
        <v>42.102742923498269</v>
      </c>
      <c r="H7926" s="74">
        <f t="shared" si="247"/>
        <v>-1.6083425801657469</v>
      </c>
    </row>
    <row r="7927" spans="5:8" ht="15.6">
      <c r="E7927" s="279" t="s">
        <v>8253</v>
      </c>
      <c r="F7927" s="284">
        <f t="shared" ca="1" si="246"/>
        <v>0.75802412437331501</v>
      </c>
      <c r="G7927" s="74">
        <v>38.217200749742986</v>
      </c>
      <c r="H7927" s="74">
        <f t="shared" si="247"/>
        <v>2.2771995935895362</v>
      </c>
    </row>
    <row r="7928" spans="5:8" ht="15.6">
      <c r="E7928" s="279" t="s">
        <v>8254</v>
      </c>
      <c r="F7928" s="284">
        <f t="shared" ca="1" si="246"/>
        <v>0.62430663159920863</v>
      </c>
      <c r="G7928" s="74">
        <v>36.994733618612571</v>
      </c>
      <c r="H7928" s="74">
        <f t="shared" si="247"/>
        <v>3.4996667247199511</v>
      </c>
    </row>
    <row r="7929" spans="5:8" ht="15.6">
      <c r="E7929" s="279" t="s">
        <v>8255</v>
      </c>
      <c r="F7929" s="284">
        <f t="shared" ca="1" si="246"/>
        <v>0.40578170197439334</v>
      </c>
      <c r="G7929" s="74">
        <v>35.894866357973726</v>
      </c>
      <c r="H7929" s="74">
        <f t="shared" si="247"/>
        <v>4.5995339853587964</v>
      </c>
    </row>
    <row r="7930" spans="5:8" ht="15.6">
      <c r="E7930" s="279" t="s">
        <v>8256</v>
      </c>
      <c r="F7930" s="284">
        <f t="shared" ca="1" si="246"/>
        <v>0.72548788827238453</v>
      </c>
      <c r="G7930" s="74">
        <v>36.88997362120508</v>
      </c>
      <c r="H7930" s="74">
        <f t="shared" si="247"/>
        <v>3.6044267221274424</v>
      </c>
    </row>
    <row r="7931" spans="5:8" ht="15.6">
      <c r="E7931" s="279" t="s">
        <v>8257</v>
      </c>
      <c r="F7931" s="284">
        <f t="shared" ca="1" si="246"/>
        <v>2.304656095141655E-2</v>
      </c>
      <c r="G7931" s="74">
        <v>39.968197235108221</v>
      </c>
      <c r="H7931" s="74">
        <f t="shared" si="247"/>
        <v>0.52620310822430127</v>
      </c>
    </row>
    <row r="7932" spans="5:8" ht="15.6">
      <c r="E7932" s="279" t="s">
        <v>8258</v>
      </c>
      <c r="F7932" s="284">
        <f t="shared" ca="1" si="246"/>
        <v>0.45319385324663686</v>
      </c>
      <c r="G7932" s="74">
        <v>43.000099366541633</v>
      </c>
      <c r="H7932" s="74">
        <f t="shared" si="247"/>
        <v>-2.505699023209111</v>
      </c>
    </row>
    <row r="7933" spans="5:8" ht="15.6">
      <c r="E7933" s="279" t="s">
        <v>8259</v>
      </c>
      <c r="F7933" s="284">
        <f t="shared" ca="1" si="246"/>
        <v>0.89408953300436633</v>
      </c>
      <c r="G7933" s="74">
        <v>38.884750357089175</v>
      </c>
      <c r="H7933" s="74">
        <f t="shared" si="247"/>
        <v>1.6096499862433475</v>
      </c>
    </row>
    <row r="7934" spans="5:8" ht="15.6">
      <c r="E7934" s="279" t="s">
        <v>8260</v>
      </c>
      <c r="F7934" s="284">
        <f t="shared" ca="1" si="246"/>
        <v>0.54872034742681952</v>
      </c>
      <c r="G7934" s="74">
        <v>38.100500149484979</v>
      </c>
      <c r="H7934" s="74">
        <f t="shared" si="247"/>
        <v>2.3939001938475428</v>
      </c>
    </row>
    <row r="7935" spans="5:8" ht="15.6">
      <c r="E7935" s="279" t="s">
        <v>8261</v>
      </c>
      <c r="F7935" s="284">
        <f t="shared" ca="1" si="246"/>
        <v>0.38831219165810327</v>
      </c>
      <c r="G7935" s="74">
        <v>39.083035294572184</v>
      </c>
      <c r="H7935" s="74">
        <f t="shared" si="247"/>
        <v>1.411365048760338</v>
      </c>
    </row>
    <row r="7936" spans="5:8" ht="15.6">
      <c r="E7936" s="279" t="s">
        <v>8262</v>
      </c>
      <c r="F7936" s="284">
        <f t="shared" ca="1" si="246"/>
        <v>0.99754055510906281</v>
      </c>
      <c r="G7936" s="74">
        <v>40.628679064270194</v>
      </c>
      <c r="H7936" s="74">
        <f t="shared" si="247"/>
        <v>-0.13427872093767235</v>
      </c>
    </row>
    <row r="7937" spans="5:8" ht="15.6">
      <c r="E7937" s="279" t="s">
        <v>8263</v>
      </c>
      <c r="F7937" s="284">
        <f t="shared" ca="1" si="246"/>
        <v>0.41410806757349061</v>
      </c>
      <c r="G7937" s="74">
        <v>36.090409084988991</v>
      </c>
      <c r="H7937" s="74">
        <f t="shared" si="247"/>
        <v>4.403991258343531</v>
      </c>
    </row>
    <row r="7938" spans="5:8" ht="15.6">
      <c r="E7938" s="279" t="s">
        <v>8264</v>
      </c>
      <c r="F7938" s="284">
        <f t="shared" ca="1" si="246"/>
        <v>0.91284795456200463</v>
      </c>
      <c r="G7938" s="74">
        <v>39.953988071739396</v>
      </c>
      <c r="H7938" s="74">
        <f t="shared" si="247"/>
        <v>0.54041227159312655</v>
      </c>
    </row>
    <row r="7939" spans="5:8" ht="15.6">
      <c r="E7939" s="279" t="s">
        <v>8265</v>
      </c>
      <c r="F7939" s="284">
        <f t="shared" ca="1" si="246"/>
        <v>0.61717759105734449</v>
      </c>
      <c r="G7939" s="74">
        <v>35.035733175971565</v>
      </c>
      <c r="H7939" s="74">
        <f t="shared" si="247"/>
        <v>5.4586671673609573</v>
      </c>
    </row>
    <row r="7940" spans="5:8" ht="15.6">
      <c r="E7940" s="279" t="s">
        <v>8266</v>
      </c>
      <c r="F7940" s="284">
        <f t="shared" ca="1" si="246"/>
        <v>0.99654456911233991</v>
      </c>
      <c r="G7940" s="74">
        <v>39.461254144380327</v>
      </c>
      <c r="H7940" s="74">
        <f t="shared" si="247"/>
        <v>1.0331461989521955</v>
      </c>
    </row>
    <row r="7941" spans="5:8" ht="15.6">
      <c r="E7941" s="279" t="s">
        <v>8267</v>
      </c>
      <c r="F7941" s="284">
        <f t="shared" ca="1" si="246"/>
        <v>0.10258770203732703</v>
      </c>
      <c r="G7941" s="74">
        <v>44.939674067551913</v>
      </c>
      <c r="H7941" s="74">
        <f t="shared" si="247"/>
        <v>-4.4452737242193905</v>
      </c>
    </row>
    <row r="7942" spans="5:8" ht="15.6">
      <c r="E7942" s="279" t="s">
        <v>8268</v>
      </c>
      <c r="F7942" s="284">
        <f t="shared" ca="1" si="246"/>
        <v>0.57062283927603152</v>
      </c>
      <c r="G7942" s="74">
        <v>37.476810511138822</v>
      </c>
      <c r="H7942" s="74">
        <f t="shared" si="247"/>
        <v>3.0175898321936998</v>
      </c>
    </row>
    <row r="7943" spans="5:8" ht="15.6">
      <c r="E7943" s="279" t="s">
        <v>8269</v>
      </c>
      <c r="F7943" s="284">
        <f t="shared" ca="1" si="246"/>
        <v>0.46449181883500967</v>
      </c>
      <c r="G7943" s="74">
        <v>41.019136308604722</v>
      </c>
      <c r="H7943" s="74">
        <f t="shared" si="247"/>
        <v>-0.52473596527219968</v>
      </c>
    </row>
    <row r="7944" spans="5:8" ht="15.6">
      <c r="E7944" s="279" t="s">
        <v>8270</v>
      </c>
      <c r="F7944" s="284">
        <f t="shared" ca="1" si="246"/>
        <v>1.7101053727590076E-2</v>
      </c>
      <c r="G7944" s="74">
        <v>38.555391729406423</v>
      </c>
      <c r="H7944" s="74">
        <f t="shared" si="247"/>
        <v>1.9390086139260987</v>
      </c>
    </row>
    <row r="7945" spans="5:8" ht="15.6">
      <c r="E7945" s="279" t="s">
        <v>8271</v>
      </c>
      <c r="F7945" s="284">
        <f t="shared" ca="1" si="246"/>
        <v>0.19740487845185806</v>
      </c>
      <c r="G7945" s="74">
        <v>37.759469553053549</v>
      </c>
      <c r="H7945" s="74">
        <f t="shared" si="247"/>
        <v>2.7349307902789732</v>
      </c>
    </row>
    <row r="7946" spans="5:8" ht="15.6">
      <c r="E7946" s="279" t="s">
        <v>8272</v>
      </c>
      <c r="F7946" s="284">
        <f t="shared" ca="1" si="246"/>
        <v>0.11556549080092415</v>
      </c>
      <c r="G7946" s="74">
        <v>40.127432091245332</v>
      </c>
      <c r="H7946" s="74">
        <f t="shared" si="247"/>
        <v>0.36696825208719019</v>
      </c>
    </row>
    <row r="7947" spans="5:8" ht="15.6">
      <c r="E7947" s="279" t="s">
        <v>8273</v>
      </c>
      <c r="F7947" s="284">
        <f t="shared" ca="1" si="246"/>
        <v>4.6020475277558037E-2</v>
      </c>
      <c r="G7947" s="74">
        <v>39.022629236530172</v>
      </c>
      <c r="H7947" s="74">
        <f t="shared" si="247"/>
        <v>1.4717711068023505</v>
      </c>
    </row>
    <row r="7948" spans="5:8" ht="15.6">
      <c r="E7948" s="279" t="s">
        <v>8274</v>
      </c>
      <c r="F7948" s="284">
        <f t="shared" ref="F7948:F8011" ca="1" si="248">RAND()</f>
        <v>0.65482376243299967</v>
      </c>
      <c r="G7948" s="74">
        <v>40.26831041502799</v>
      </c>
      <c r="H7948" s="74">
        <f t="shared" ref="H7948:H8011" si="249">$D$2-G7948</f>
        <v>0.2260899283045319</v>
      </c>
    </row>
    <row r="7949" spans="5:8" ht="15.6">
      <c r="E7949" s="279" t="s">
        <v>8275</v>
      </c>
      <c r="F7949" s="284">
        <f t="shared" ca="1" si="248"/>
        <v>5.1523947636286538E-2</v>
      </c>
      <c r="G7949" s="74">
        <v>38.151516874384725</v>
      </c>
      <c r="H7949" s="74">
        <f t="shared" si="249"/>
        <v>2.3428834689477966</v>
      </c>
    </row>
    <row r="7950" spans="5:8" ht="15.6">
      <c r="E7950" s="279" t="s">
        <v>8276</v>
      </c>
      <c r="F7950" s="284">
        <f t="shared" ca="1" si="248"/>
        <v>0.49567512027339555</v>
      </c>
      <c r="G7950" s="74">
        <v>47.139612069030164</v>
      </c>
      <c r="H7950" s="74">
        <f t="shared" si="249"/>
        <v>-6.6452117256976422</v>
      </c>
    </row>
    <row r="7951" spans="5:8" ht="15.6">
      <c r="E7951" s="279" t="s">
        <v>8277</v>
      </c>
      <c r="F7951" s="284">
        <f t="shared" ca="1" si="248"/>
        <v>0.96167299069679391</v>
      </c>
      <c r="G7951" s="74">
        <v>44.001864654047225</v>
      </c>
      <c r="H7951" s="74">
        <f t="shared" si="249"/>
        <v>-3.5074643107147025</v>
      </c>
    </row>
    <row r="7952" spans="5:8" ht="15.6">
      <c r="E7952" s="279" t="s">
        <v>8278</v>
      </c>
      <c r="F7952" s="284">
        <f t="shared" ca="1" si="248"/>
        <v>0.7086765770729847</v>
      </c>
      <c r="G7952" s="74">
        <v>38.666192309470688</v>
      </c>
      <c r="H7952" s="74">
        <f t="shared" si="249"/>
        <v>1.8282080338618343</v>
      </c>
    </row>
    <row r="7953" spans="5:8" ht="15.6">
      <c r="E7953" s="279" t="s">
        <v>8279</v>
      </c>
      <c r="F7953" s="284">
        <f t="shared" ca="1" si="248"/>
        <v>0.256156374178519</v>
      </c>
      <c r="G7953" s="74">
        <v>41.526691015745662</v>
      </c>
      <c r="H7953" s="74">
        <f t="shared" si="249"/>
        <v>-1.03229067241314</v>
      </c>
    </row>
    <row r="7954" spans="5:8" ht="15.6">
      <c r="E7954" s="279" t="s">
        <v>8280</v>
      </c>
      <c r="F7954" s="284">
        <f t="shared" ca="1" si="248"/>
        <v>0.3813187317723552</v>
      </c>
      <c r="G7954" s="74">
        <v>37.468972583861138</v>
      </c>
      <c r="H7954" s="74">
        <f t="shared" si="249"/>
        <v>3.0254277594713841</v>
      </c>
    </row>
    <row r="7955" spans="5:8" ht="15.6">
      <c r="E7955" s="279" t="s">
        <v>8281</v>
      </c>
      <c r="F7955" s="284">
        <f t="shared" ca="1" si="248"/>
        <v>0.70842533137165542</v>
      </c>
      <c r="G7955" s="74">
        <v>38.957374714982748</v>
      </c>
      <c r="H7955" s="74">
        <f t="shared" si="249"/>
        <v>1.5370256283497739</v>
      </c>
    </row>
    <row r="7956" spans="5:8" ht="15.6">
      <c r="E7956" s="279" t="s">
        <v>8282</v>
      </c>
      <c r="F7956" s="284">
        <f t="shared" ca="1" si="248"/>
        <v>0.86532767102249653</v>
      </c>
      <c r="G7956" s="74">
        <v>41.899280692731082</v>
      </c>
      <c r="H7956" s="74">
        <f t="shared" si="249"/>
        <v>-1.4048803493985602</v>
      </c>
    </row>
    <row r="7957" spans="5:8" ht="15.6">
      <c r="E7957" s="279" t="s">
        <v>8283</v>
      </c>
      <c r="F7957" s="284">
        <f t="shared" ca="1" si="248"/>
        <v>0.47648686199185386</v>
      </c>
      <c r="G7957" s="74">
        <v>41.041165174966018</v>
      </c>
      <c r="H7957" s="74">
        <f t="shared" si="249"/>
        <v>-0.54676483163349587</v>
      </c>
    </row>
    <row r="7958" spans="5:8" ht="15.6">
      <c r="E7958" s="279" t="s">
        <v>8284</v>
      </c>
      <c r="F7958" s="284">
        <f t="shared" ca="1" si="248"/>
        <v>0.52726878068266991</v>
      </c>
      <c r="G7958" s="74">
        <v>34.637156241791992</v>
      </c>
      <c r="H7958" s="74">
        <f t="shared" si="249"/>
        <v>5.8572441015405303</v>
      </c>
    </row>
    <row r="7959" spans="5:8" ht="15.6">
      <c r="E7959" s="279" t="s">
        <v>8285</v>
      </c>
      <c r="F7959" s="284">
        <f t="shared" ca="1" si="248"/>
        <v>0.9350517450150555</v>
      </c>
      <c r="G7959" s="74">
        <v>38.12070038104504</v>
      </c>
      <c r="H7959" s="74">
        <f t="shared" si="249"/>
        <v>2.3736999622874819</v>
      </c>
    </row>
    <row r="7960" spans="5:8" ht="15.6">
      <c r="E7960" s="279" t="s">
        <v>8286</v>
      </c>
      <c r="F7960" s="284">
        <f t="shared" ca="1" si="248"/>
        <v>0.79881980727467428</v>
      </c>
      <c r="G7960" s="74">
        <v>36.681372660102866</v>
      </c>
      <c r="H7960" s="74">
        <f t="shared" si="249"/>
        <v>3.8130276832296559</v>
      </c>
    </row>
    <row r="7961" spans="5:8" ht="15.6">
      <c r="E7961" s="279" t="s">
        <v>8287</v>
      </c>
      <c r="F7961" s="284">
        <f t="shared" ca="1" si="248"/>
        <v>0.9058927898683159</v>
      </c>
      <c r="G7961" s="74">
        <v>35.569866644155546</v>
      </c>
      <c r="H7961" s="74">
        <f t="shared" si="249"/>
        <v>4.9245336991769761</v>
      </c>
    </row>
    <row r="7962" spans="5:8" ht="15.6">
      <c r="E7962" s="279" t="s">
        <v>8288</v>
      </c>
      <c r="F7962" s="284">
        <f t="shared" ca="1" si="248"/>
        <v>0.51407072445122692</v>
      </c>
      <c r="G7962" s="74">
        <v>38.095273934855499</v>
      </c>
      <c r="H7962" s="74">
        <f t="shared" si="249"/>
        <v>2.3991264084770236</v>
      </c>
    </row>
    <row r="7963" spans="5:8" ht="15.6">
      <c r="E7963" s="279" t="s">
        <v>8289</v>
      </c>
      <c r="F7963" s="284">
        <f t="shared" ca="1" si="248"/>
        <v>4.4212897174205956E-2</v>
      </c>
      <c r="G7963" s="74">
        <v>39.527527009013063</v>
      </c>
      <c r="H7963" s="74">
        <f t="shared" si="249"/>
        <v>0.96687333431945888</v>
      </c>
    </row>
    <row r="7964" spans="5:8" ht="15.6">
      <c r="E7964" s="279" t="s">
        <v>8290</v>
      </c>
      <c r="F7964" s="284">
        <f t="shared" ca="1" si="248"/>
        <v>0.21356510182553901</v>
      </c>
      <c r="G7964" s="74">
        <v>40.231387871619546</v>
      </c>
      <c r="H7964" s="74">
        <f t="shared" si="249"/>
        <v>0.26301247171297604</v>
      </c>
    </row>
    <row r="7965" spans="5:8" ht="15.6">
      <c r="E7965" s="279" t="s">
        <v>8291</v>
      </c>
      <c r="F7965" s="284">
        <f t="shared" ca="1" si="248"/>
        <v>0.58805741334981554</v>
      </c>
      <c r="G7965" s="74">
        <v>38.129275632111167</v>
      </c>
      <c r="H7965" s="74">
        <f t="shared" si="249"/>
        <v>2.3651247112213554</v>
      </c>
    </row>
    <row r="7966" spans="5:8" ht="15.6">
      <c r="E7966" s="279" t="s">
        <v>8292</v>
      </c>
      <c r="F7966" s="284">
        <f t="shared" ca="1" si="248"/>
        <v>0.15026266129837873</v>
      </c>
      <c r="G7966" s="74">
        <v>41.655539608323799</v>
      </c>
      <c r="H7966" s="74">
        <f t="shared" si="249"/>
        <v>-1.1611392649912773</v>
      </c>
    </row>
    <row r="7967" spans="5:8" ht="15.6">
      <c r="E7967" s="279" t="s">
        <v>8293</v>
      </c>
      <c r="F7967" s="284">
        <f t="shared" ca="1" si="248"/>
        <v>0.74622944532826496</v>
      </c>
      <c r="G7967" s="74">
        <v>37.243708730497211</v>
      </c>
      <c r="H7967" s="74">
        <f t="shared" si="249"/>
        <v>3.2506916128353112</v>
      </c>
    </row>
    <row r="7968" spans="5:8" ht="15.6">
      <c r="E7968" s="279" t="s">
        <v>8294</v>
      </c>
      <c r="F7968" s="284">
        <f t="shared" ca="1" si="248"/>
        <v>0.73599846433654892</v>
      </c>
      <c r="G7968" s="74">
        <v>37.506159966758013</v>
      </c>
      <c r="H7968" s="74">
        <f t="shared" si="249"/>
        <v>2.9882403765745096</v>
      </c>
    </row>
    <row r="7969" spans="5:8" ht="15.6">
      <c r="E7969" s="279" t="s">
        <v>8295</v>
      </c>
      <c r="F7969" s="284">
        <f t="shared" ca="1" si="248"/>
        <v>0.45296028902403518</v>
      </c>
      <c r="G7969" s="74">
        <v>40.630555716688555</v>
      </c>
      <c r="H7969" s="74">
        <f t="shared" si="249"/>
        <v>-0.13615537335603278</v>
      </c>
    </row>
    <row r="7970" spans="5:8" ht="15.6">
      <c r="E7970" s="279" t="s">
        <v>8296</v>
      </c>
      <c r="F7970" s="284">
        <f t="shared" ca="1" si="248"/>
        <v>0.69228423970520914</v>
      </c>
      <c r="G7970" s="74">
        <v>42.887289333710079</v>
      </c>
      <c r="H7970" s="74">
        <f t="shared" si="249"/>
        <v>-2.392888990377557</v>
      </c>
    </row>
    <row r="7971" spans="5:8" ht="15.6">
      <c r="E7971" s="279" t="s">
        <v>8297</v>
      </c>
      <c r="F7971" s="284">
        <f t="shared" ca="1" si="248"/>
        <v>0.20965954843942936</v>
      </c>
      <c r="G7971" s="74">
        <v>34.396418036549647</v>
      </c>
      <c r="H7971" s="74">
        <f t="shared" si="249"/>
        <v>6.0979823067828747</v>
      </c>
    </row>
    <row r="7972" spans="5:8" ht="15.6">
      <c r="E7972" s="279" t="s">
        <v>8298</v>
      </c>
      <c r="F7972" s="284">
        <f t="shared" ca="1" si="248"/>
        <v>0.76471871650192225</v>
      </c>
      <c r="G7972" s="74">
        <v>38.59702067094851</v>
      </c>
      <c r="H7972" s="74">
        <f t="shared" si="249"/>
        <v>1.8973796723840124</v>
      </c>
    </row>
    <row r="7973" spans="5:8" ht="15.6">
      <c r="E7973" s="279" t="s">
        <v>8299</v>
      </c>
      <c r="F7973" s="284">
        <f t="shared" ca="1" si="248"/>
        <v>0.58754914203455078</v>
      </c>
      <c r="G7973" s="74">
        <v>41.353939406052461</v>
      </c>
      <c r="H7973" s="74">
        <f t="shared" si="249"/>
        <v>-0.8595390627199393</v>
      </c>
    </row>
    <row r="7974" spans="5:8" ht="15.6">
      <c r="E7974" s="279" t="s">
        <v>8300</v>
      </c>
      <c r="F7974" s="284">
        <f t="shared" ca="1" si="248"/>
        <v>0.59046061218026169</v>
      </c>
      <c r="G7974" s="74">
        <v>38.898797353511654</v>
      </c>
      <c r="H7974" s="74">
        <f t="shared" si="249"/>
        <v>1.5956029898208683</v>
      </c>
    </row>
    <row r="7975" spans="5:8" ht="15.6">
      <c r="E7975" s="279" t="s">
        <v>8301</v>
      </c>
      <c r="F7975" s="284">
        <f t="shared" ca="1" si="248"/>
        <v>0.64378596766286311</v>
      </c>
      <c r="G7975" s="74">
        <v>39.301338564666821</v>
      </c>
      <c r="H7975" s="74">
        <f t="shared" si="249"/>
        <v>1.193061778665701</v>
      </c>
    </row>
    <row r="7976" spans="5:8" ht="15.6">
      <c r="E7976" s="279" t="s">
        <v>8302</v>
      </c>
      <c r="F7976" s="284">
        <f t="shared" ca="1" si="248"/>
        <v>0.34446881536126972</v>
      </c>
      <c r="G7976" s="74">
        <v>45.320282280995627</v>
      </c>
      <c r="H7976" s="74">
        <f t="shared" si="249"/>
        <v>-4.8258819376631052</v>
      </c>
    </row>
    <row r="7977" spans="5:8" ht="15.6">
      <c r="E7977" s="279" t="s">
        <v>8303</v>
      </c>
      <c r="F7977" s="284">
        <f t="shared" ca="1" si="248"/>
        <v>0.156184902941648</v>
      </c>
      <c r="G7977" s="74">
        <v>33.73804407462795</v>
      </c>
      <c r="H7977" s="74">
        <f t="shared" si="249"/>
        <v>6.7563562687045717</v>
      </c>
    </row>
    <row r="7978" spans="5:8" ht="15.6">
      <c r="E7978" s="279" t="s">
        <v>8304</v>
      </c>
      <c r="F7978" s="284">
        <f t="shared" ca="1" si="248"/>
        <v>0.21513064727854969</v>
      </c>
      <c r="G7978" s="74">
        <v>38.588246743752741</v>
      </c>
      <c r="H7978" s="74">
        <f t="shared" si="249"/>
        <v>1.9061535995797811</v>
      </c>
    </row>
    <row r="7979" spans="5:8" ht="15.6">
      <c r="E7979" s="279" t="s">
        <v>8305</v>
      </c>
      <c r="F7979" s="284">
        <f t="shared" ca="1" si="248"/>
        <v>0.14690895396798054</v>
      </c>
      <c r="G7979" s="74">
        <v>39.245006131392543</v>
      </c>
      <c r="H7979" s="74">
        <f t="shared" si="249"/>
        <v>1.249394211939979</v>
      </c>
    </row>
    <row r="7980" spans="5:8" ht="15.6">
      <c r="E7980" s="279" t="s">
        <v>8306</v>
      </c>
      <c r="F7980" s="284">
        <f t="shared" ca="1" si="248"/>
        <v>0.70307576454140119</v>
      </c>
      <c r="G7980" s="74">
        <v>37.869305861052091</v>
      </c>
      <c r="H7980" s="74">
        <f t="shared" si="249"/>
        <v>2.6250944822804314</v>
      </c>
    </row>
    <row r="7981" spans="5:8" ht="15.6">
      <c r="E7981" s="279" t="s">
        <v>8307</v>
      </c>
      <c r="F7981" s="284">
        <f t="shared" ca="1" si="248"/>
        <v>3.3143258590469959E-2</v>
      </c>
      <c r="G7981" s="74">
        <v>39.335049747792283</v>
      </c>
      <c r="H7981" s="74">
        <f t="shared" si="249"/>
        <v>1.1593505955402392</v>
      </c>
    </row>
    <row r="7982" spans="5:8" ht="15.6">
      <c r="E7982" s="279" t="s">
        <v>8308</v>
      </c>
      <c r="F7982" s="284">
        <f t="shared" ca="1" si="248"/>
        <v>0.3456200635041794</v>
      </c>
      <c r="G7982" s="74">
        <v>38.219249576257681</v>
      </c>
      <c r="H7982" s="74">
        <f t="shared" si="249"/>
        <v>2.275150767074841</v>
      </c>
    </row>
    <row r="7983" spans="5:8" ht="15.6">
      <c r="E7983" s="279" t="s">
        <v>8309</v>
      </c>
      <c r="F7983" s="284">
        <f t="shared" ca="1" si="248"/>
        <v>0.17388902200870548</v>
      </c>
      <c r="G7983" s="74">
        <v>38.493252253157678</v>
      </c>
      <c r="H7983" s="74">
        <f t="shared" si="249"/>
        <v>2.0011480901748442</v>
      </c>
    </row>
    <row r="7984" spans="5:8" ht="15.6">
      <c r="E7984" s="279" t="s">
        <v>8310</v>
      </c>
      <c r="F7984" s="284">
        <f t="shared" ca="1" si="248"/>
        <v>0.80066253822332101</v>
      </c>
      <c r="G7984" s="74">
        <v>36.515821262521747</v>
      </c>
      <c r="H7984" s="74">
        <f t="shared" si="249"/>
        <v>3.9785790808107748</v>
      </c>
    </row>
    <row r="7985" spans="5:8" ht="15.6">
      <c r="E7985" s="279" t="s">
        <v>8311</v>
      </c>
      <c r="F7985" s="284">
        <f t="shared" ca="1" si="248"/>
        <v>0.91818661644875599</v>
      </c>
      <c r="G7985" s="74">
        <v>36.970126937931148</v>
      </c>
      <c r="H7985" s="74">
        <f t="shared" si="249"/>
        <v>3.5242734054013738</v>
      </c>
    </row>
    <row r="7986" spans="5:8" ht="15.6">
      <c r="E7986" s="279" t="s">
        <v>8312</v>
      </c>
      <c r="F7986" s="284">
        <f t="shared" ca="1" si="248"/>
        <v>0.68018366850192558</v>
      </c>
      <c r="G7986" s="74">
        <v>40.245360658107572</v>
      </c>
      <c r="H7986" s="74">
        <f t="shared" si="249"/>
        <v>0.24903968522495035</v>
      </c>
    </row>
    <row r="7987" spans="5:8" ht="15.6">
      <c r="E7987" s="279" t="s">
        <v>8313</v>
      </c>
      <c r="F7987" s="284">
        <f t="shared" ca="1" si="248"/>
        <v>0.21145883088856876</v>
      </c>
      <c r="G7987" s="74">
        <v>42.889447937832855</v>
      </c>
      <c r="H7987" s="74">
        <f t="shared" si="249"/>
        <v>-2.3950475945003333</v>
      </c>
    </row>
    <row r="7988" spans="5:8" ht="15.6">
      <c r="E7988" s="279" t="s">
        <v>8314</v>
      </c>
      <c r="F7988" s="284">
        <f t="shared" ca="1" si="248"/>
        <v>0.80724992414222951</v>
      </c>
      <c r="G7988" s="74">
        <v>41.267958597459142</v>
      </c>
      <c r="H7988" s="74">
        <f t="shared" si="249"/>
        <v>-0.77355825412661972</v>
      </c>
    </row>
    <row r="7989" spans="5:8" ht="15.6">
      <c r="E7989" s="279" t="s">
        <v>8315</v>
      </c>
      <c r="F7989" s="284">
        <f t="shared" ca="1" si="248"/>
        <v>0.1545962799085725</v>
      </c>
      <c r="G7989" s="74">
        <v>38.112234434852191</v>
      </c>
      <c r="H7989" s="74">
        <f t="shared" si="249"/>
        <v>2.3821659084803315</v>
      </c>
    </row>
    <row r="7990" spans="5:8" ht="15.6">
      <c r="E7990" s="279" t="s">
        <v>8316</v>
      </c>
      <c r="F7990" s="284">
        <f t="shared" ca="1" si="248"/>
        <v>0.34679998943635393</v>
      </c>
      <c r="G7990" s="74">
        <v>38.476769755994184</v>
      </c>
      <c r="H7990" s="74">
        <f t="shared" si="249"/>
        <v>2.0176305873383384</v>
      </c>
    </row>
    <row r="7991" spans="5:8" ht="15.6">
      <c r="E7991" s="279" t="s">
        <v>8317</v>
      </c>
      <c r="F7991" s="284">
        <f t="shared" ca="1" si="248"/>
        <v>0.70800778467126879</v>
      </c>
      <c r="G7991" s="74">
        <v>41.339193921367645</v>
      </c>
      <c r="H7991" s="74">
        <f t="shared" si="249"/>
        <v>-0.84479357803512301</v>
      </c>
    </row>
    <row r="7992" spans="5:8" ht="15.6">
      <c r="E7992" s="279" t="s">
        <v>8318</v>
      </c>
      <c r="F7992" s="284">
        <f t="shared" ca="1" si="248"/>
        <v>0.16709086108415172</v>
      </c>
      <c r="G7992" s="74">
        <v>36.078029172621775</v>
      </c>
      <c r="H7992" s="74">
        <f t="shared" si="249"/>
        <v>4.4163711707107467</v>
      </c>
    </row>
    <row r="7993" spans="5:8" ht="15.6">
      <c r="E7993" s="279" t="s">
        <v>8319</v>
      </c>
      <c r="F7993" s="284">
        <f t="shared" ca="1" si="248"/>
        <v>0.6428979612241229</v>
      </c>
      <c r="G7993" s="74">
        <v>38.665368471957798</v>
      </c>
      <c r="H7993" s="74">
        <f t="shared" si="249"/>
        <v>1.829031871374724</v>
      </c>
    </row>
    <row r="7994" spans="5:8" ht="15.6">
      <c r="E7994" s="279" t="s">
        <v>8320</v>
      </c>
      <c r="F7994" s="284">
        <f t="shared" ca="1" si="248"/>
        <v>0.34411587683887612</v>
      </c>
      <c r="G7994" s="74">
        <v>39.252521849140614</v>
      </c>
      <c r="H7994" s="74">
        <f t="shared" si="249"/>
        <v>1.2418784941919085</v>
      </c>
    </row>
    <row r="7995" spans="5:8" ht="15.6">
      <c r="E7995" s="279" t="s">
        <v>8321</v>
      </c>
      <c r="F7995" s="284">
        <f t="shared" ca="1" si="248"/>
        <v>0.55087487025928994</v>
      </c>
      <c r="G7995" s="74">
        <v>38.141619598742217</v>
      </c>
      <c r="H7995" s="74">
        <f t="shared" si="249"/>
        <v>2.3527807445903051</v>
      </c>
    </row>
    <row r="7996" spans="5:8" ht="15.6">
      <c r="E7996" s="279" t="s">
        <v>8322</v>
      </c>
      <c r="F7996" s="284">
        <f t="shared" ca="1" si="248"/>
        <v>0.78719894390233092</v>
      </c>
      <c r="G7996" s="74">
        <v>38.963726730629865</v>
      </c>
      <c r="H7996" s="74">
        <f t="shared" si="249"/>
        <v>1.5306736127026568</v>
      </c>
    </row>
    <row r="7997" spans="5:8" ht="15.6">
      <c r="E7997" s="279" t="s">
        <v>8323</v>
      </c>
      <c r="F7997" s="284">
        <f t="shared" ca="1" si="248"/>
        <v>0.91768312551092812</v>
      </c>
      <c r="G7997" s="74">
        <v>40.720227779794889</v>
      </c>
      <c r="H7997" s="74">
        <f t="shared" si="249"/>
        <v>-0.22582743646236736</v>
      </c>
    </row>
    <row r="7998" spans="5:8" ht="15.6">
      <c r="E7998" s="279" t="s">
        <v>8324</v>
      </c>
      <c r="F7998" s="284">
        <f t="shared" ca="1" si="248"/>
        <v>0.82619863300453744</v>
      </c>
      <c r="G7998" s="74">
        <v>38.714292000811653</v>
      </c>
      <c r="H7998" s="74">
        <f t="shared" si="249"/>
        <v>1.7801083425208688</v>
      </c>
    </row>
    <row r="7999" spans="5:8" ht="15.6">
      <c r="E7999" s="279" t="s">
        <v>8325</v>
      </c>
      <c r="F7999" s="284">
        <f t="shared" ca="1" si="248"/>
        <v>0.93934204680899691</v>
      </c>
      <c r="G7999" s="74">
        <v>36.714230581632471</v>
      </c>
      <c r="H7999" s="74">
        <f t="shared" si="249"/>
        <v>3.7801697617000514</v>
      </c>
    </row>
    <row r="8000" spans="5:8" ht="15.6">
      <c r="E8000" s="279" t="s">
        <v>8326</v>
      </c>
      <c r="F8000" s="284">
        <f t="shared" ca="1" si="248"/>
        <v>0.83580703416355329</v>
      </c>
      <c r="G8000" s="74">
        <v>40.12992712230988</v>
      </c>
      <c r="H8000" s="74">
        <f t="shared" si="249"/>
        <v>0.36447322102264224</v>
      </c>
    </row>
    <row r="8001" spans="5:8" ht="15.6">
      <c r="E8001" s="279" t="s">
        <v>8327</v>
      </c>
      <c r="F8001" s="284">
        <f t="shared" ca="1" si="248"/>
        <v>0.79714564337707394</v>
      </c>
      <c r="G8001" s="74">
        <v>37.620130332752794</v>
      </c>
      <c r="H8001" s="74">
        <f t="shared" si="249"/>
        <v>2.8742700105797283</v>
      </c>
    </row>
    <row r="8002" spans="5:8" ht="15.6">
      <c r="E8002" s="279" t="s">
        <v>8328</v>
      </c>
      <c r="F8002" s="284">
        <f t="shared" ca="1" si="248"/>
        <v>0.66892545566653516</v>
      </c>
      <c r="G8002" s="74">
        <v>39.062438480968893</v>
      </c>
      <c r="H8002" s="74">
        <f t="shared" si="249"/>
        <v>1.4319618623636288</v>
      </c>
    </row>
    <row r="8003" spans="5:8" ht="15.6">
      <c r="E8003" s="279" t="s">
        <v>8329</v>
      </c>
      <c r="F8003" s="284">
        <f t="shared" ca="1" si="248"/>
        <v>0.72170538257223737</v>
      </c>
      <c r="G8003" s="74">
        <v>40.261024371867968</v>
      </c>
      <c r="H8003" s="74">
        <f t="shared" si="249"/>
        <v>0.2333759714645538</v>
      </c>
    </row>
    <row r="8004" spans="5:8" ht="15.6">
      <c r="E8004" s="279" t="s">
        <v>8330</v>
      </c>
      <c r="F8004" s="284">
        <f t="shared" ca="1" si="248"/>
        <v>0.239466275567769</v>
      </c>
      <c r="G8004" s="74">
        <v>36.428554197889</v>
      </c>
      <c r="H8004" s="74">
        <f t="shared" si="249"/>
        <v>4.0658461454435226</v>
      </c>
    </row>
    <row r="8005" spans="5:8" ht="15.6">
      <c r="E8005" s="279" t="s">
        <v>8331</v>
      </c>
      <c r="F8005" s="284">
        <f t="shared" ca="1" si="248"/>
        <v>0.82284904122450009</v>
      </c>
      <c r="G8005" s="74">
        <v>39.959607870463849</v>
      </c>
      <c r="H8005" s="74">
        <f t="shared" si="249"/>
        <v>0.53479247286867349</v>
      </c>
    </row>
    <row r="8006" spans="5:8" ht="15.6">
      <c r="E8006" s="279" t="s">
        <v>8332</v>
      </c>
      <c r="F8006" s="284">
        <f t="shared" ca="1" si="248"/>
        <v>0.51241719066964508</v>
      </c>
      <c r="G8006" s="74">
        <v>40.720275868071418</v>
      </c>
      <c r="H8006" s="74">
        <f t="shared" si="249"/>
        <v>-0.22587552473889616</v>
      </c>
    </row>
    <row r="8007" spans="5:8" ht="15.6">
      <c r="E8007" s="279" t="s">
        <v>8333</v>
      </c>
      <c r="F8007" s="284">
        <f t="shared" ca="1" si="248"/>
        <v>0.72667072400478683</v>
      </c>
      <c r="G8007" s="74">
        <v>35.929102662009015</v>
      </c>
      <c r="H8007" s="74">
        <f t="shared" si="249"/>
        <v>4.5652976813235071</v>
      </c>
    </row>
    <row r="8008" spans="5:8" ht="15.6">
      <c r="E8008" s="279" t="s">
        <v>8334</v>
      </c>
      <c r="F8008" s="284">
        <f t="shared" ca="1" si="248"/>
        <v>0.1996974457279348</v>
      </c>
      <c r="G8008" s="74">
        <v>35.093525608997631</v>
      </c>
      <c r="H8008" s="74">
        <f t="shared" si="249"/>
        <v>5.4008747343348915</v>
      </c>
    </row>
    <row r="8009" spans="5:8" ht="15.6">
      <c r="E8009" s="279" t="s">
        <v>8335</v>
      </c>
      <c r="F8009" s="284">
        <f t="shared" ca="1" si="248"/>
        <v>0.21000841241252466</v>
      </c>
      <c r="G8009" s="74">
        <v>37.575750728021099</v>
      </c>
      <c r="H8009" s="74">
        <f t="shared" si="249"/>
        <v>2.9186496153114234</v>
      </c>
    </row>
    <row r="8010" spans="5:8" ht="15.6">
      <c r="E8010" s="279" t="s">
        <v>8336</v>
      </c>
      <c r="F8010" s="284">
        <f t="shared" ca="1" si="248"/>
        <v>0.52246413951658455</v>
      </c>
      <c r="G8010" s="74">
        <v>40.616844388458553</v>
      </c>
      <c r="H8010" s="74">
        <f t="shared" si="249"/>
        <v>-0.12244404512603069</v>
      </c>
    </row>
    <row r="8011" spans="5:8" ht="15.6">
      <c r="E8011" s="279" t="s">
        <v>8337</v>
      </c>
      <c r="F8011" s="284">
        <f t="shared" ca="1" si="248"/>
        <v>0.99097973015373242</v>
      </c>
      <c r="G8011" s="74">
        <v>37.410842724044308</v>
      </c>
      <c r="H8011" s="74">
        <f t="shared" si="249"/>
        <v>3.0835576192882144</v>
      </c>
    </row>
    <row r="8012" spans="5:8" ht="15.6">
      <c r="E8012" s="279" t="s">
        <v>8338</v>
      </c>
      <c r="F8012" s="284">
        <f t="shared" ref="F8012:F8075" ca="1" si="250">RAND()</f>
        <v>0.35336085899217151</v>
      </c>
      <c r="G8012" s="74">
        <v>41.928843237007648</v>
      </c>
      <c r="H8012" s="74">
        <f t="shared" ref="H8012:H8075" si="251">$D$2-G8012</f>
        <v>-1.4344428936751257</v>
      </c>
    </row>
    <row r="8013" spans="5:8" ht="15.6">
      <c r="E8013" s="279" t="s">
        <v>8339</v>
      </c>
      <c r="F8013" s="284">
        <f t="shared" ca="1" si="250"/>
        <v>0.99012237586245189</v>
      </c>
      <c r="G8013" s="74">
        <v>37.920847979282385</v>
      </c>
      <c r="H8013" s="74">
        <f t="shared" si="251"/>
        <v>2.573552364050137</v>
      </c>
    </row>
    <row r="8014" spans="5:8" ht="15.6">
      <c r="E8014" s="279" t="s">
        <v>8340</v>
      </c>
      <c r="F8014" s="284">
        <f t="shared" ca="1" si="250"/>
        <v>0.32557429175866759</v>
      </c>
      <c r="G8014" s="74">
        <v>38.682747318169064</v>
      </c>
      <c r="H8014" s="74">
        <f t="shared" si="251"/>
        <v>1.8116530251634586</v>
      </c>
    </row>
    <row r="8015" spans="5:8" ht="15.6">
      <c r="E8015" s="279" t="s">
        <v>8341</v>
      </c>
      <c r="F8015" s="284">
        <f t="shared" ca="1" si="250"/>
        <v>0.19744156880366304</v>
      </c>
      <c r="G8015" s="74">
        <v>38.844701711190339</v>
      </c>
      <c r="H8015" s="74">
        <f t="shared" si="251"/>
        <v>1.6496986321421829</v>
      </c>
    </row>
    <row r="8016" spans="5:8" ht="15.6">
      <c r="E8016" s="279" t="s">
        <v>8342</v>
      </c>
      <c r="F8016" s="284">
        <f t="shared" ca="1" si="250"/>
        <v>0.98389884129204552</v>
      </c>
      <c r="G8016" s="74">
        <v>39.38581775081748</v>
      </c>
      <c r="H8016" s="74">
        <f t="shared" si="251"/>
        <v>1.1085825925150417</v>
      </c>
    </row>
    <row r="8017" spans="5:8" ht="15.6">
      <c r="E8017" s="279" t="s">
        <v>8343</v>
      </c>
      <c r="F8017" s="284">
        <f t="shared" ca="1" si="250"/>
        <v>0.27378411312608486</v>
      </c>
      <c r="G8017" s="74">
        <v>37.835250689121736</v>
      </c>
      <c r="H8017" s="74">
        <f t="shared" si="251"/>
        <v>2.6591496542107862</v>
      </c>
    </row>
    <row r="8018" spans="5:8" ht="15.6">
      <c r="E8018" s="279" t="s">
        <v>8344</v>
      </c>
      <c r="F8018" s="284">
        <f t="shared" ca="1" si="250"/>
        <v>0.96672892073904093</v>
      </c>
      <c r="G8018" s="74">
        <v>45.342440536703549</v>
      </c>
      <c r="H8018" s="74">
        <f t="shared" si="251"/>
        <v>-4.8480401933710269</v>
      </c>
    </row>
    <row r="8019" spans="5:8" ht="15.6">
      <c r="E8019" s="279" t="s">
        <v>8345</v>
      </c>
      <c r="F8019" s="284">
        <f t="shared" ca="1" si="250"/>
        <v>0.12323857364239166</v>
      </c>
      <c r="G8019" s="74">
        <v>48.323025119250389</v>
      </c>
      <c r="H8019" s="74">
        <f t="shared" si="251"/>
        <v>-7.8286247759178664</v>
      </c>
    </row>
    <row r="8020" spans="5:8" ht="15.6">
      <c r="E8020" s="279" t="s">
        <v>8346</v>
      </c>
      <c r="F8020" s="284">
        <f t="shared" ca="1" si="250"/>
        <v>0.72873540356671573</v>
      </c>
      <c r="G8020" s="74">
        <v>41.89655703977958</v>
      </c>
      <c r="H8020" s="74">
        <f t="shared" si="251"/>
        <v>-1.402156696447058</v>
      </c>
    </row>
    <row r="8021" spans="5:8" ht="15.6">
      <c r="E8021" s="279" t="s">
        <v>8347</v>
      </c>
      <c r="F8021" s="284">
        <f t="shared" ca="1" si="250"/>
        <v>0.91271970013655879</v>
      </c>
      <c r="G8021" s="74">
        <v>39.814510495799723</v>
      </c>
      <c r="H8021" s="74">
        <f t="shared" si="251"/>
        <v>0.6798898475327988</v>
      </c>
    </row>
    <row r="8022" spans="5:8" ht="15.6">
      <c r="E8022" s="279" t="s">
        <v>8348</v>
      </c>
      <c r="F8022" s="284">
        <f t="shared" ca="1" si="250"/>
        <v>0.96027891304340818</v>
      </c>
      <c r="G8022" s="74">
        <v>33.546583694690852</v>
      </c>
      <c r="H8022" s="74">
        <f t="shared" si="251"/>
        <v>6.9478166486416697</v>
      </c>
    </row>
    <row r="8023" spans="5:8" ht="15.6">
      <c r="E8023" s="279" t="s">
        <v>8349</v>
      </c>
      <c r="F8023" s="284">
        <f t="shared" ca="1" si="250"/>
        <v>0.39372247450481113</v>
      </c>
      <c r="G8023" s="74">
        <v>43.033806441901923</v>
      </c>
      <c r="H8023" s="74">
        <f t="shared" si="251"/>
        <v>-2.5394060985694011</v>
      </c>
    </row>
    <row r="8024" spans="5:8" ht="15.6">
      <c r="E8024" s="279" t="s">
        <v>8350</v>
      </c>
      <c r="F8024" s="284">
        <f t="shared" ca="1" si="250"/>
        <v>0.14123579601203839</v>
      </c>
      <c r="G8024" s="74">
        <v>40.698045653924851</v>
      </c>
      <c r="H8024" s="74">
        <f t="shared" si="251"/>
        <v>-0.2036453105923286</v>
      </c>
    </row>
    <row r="8025" spans="5:8" ht="15.6">
      <c r="E8025" s="279" t="s">
        <v>8351</v>
      </c>
      <c r="F8025" s="284">
        <f t="shared" ca="1" si="250"/>
        <v>0.72299301828703311</v>
      </c>
      <c r="G8025" s="74">
        <v>35.908472211897362</v>
      </c>
      <c r="H8025" s="74">
        <f t="shared" si="251"/>
        <v>4.5859281314351605</v>
      </c>
    </row>
    <row r="8026" spans="5:8" ht="15.6">
      <c r="E8026" s="279" t="s">
        <v>8352</v>
      </c>
      <c r="F8026" s="284">
        <f t="shared" ca="1" si="250"/>
        <v>0.38113269100896741</v>
      </c>
      <c r="G8026" s="74">
        <v>37.511118632941127</v>
      </c>
      <c r="H8026" s="74">
        <f t="shared" si="251"/>
        <v>2.9832817103913953</v>
      </c>
    </row>
    <row r="8027" spans="5:8" ht="15.6">
      <c r="E8027" s="279" t="s">
        <v>8353</v>
      </c>
      <c r="F8027" s="284">
        <f t="shared" ca="1" si="250"/>
        <v>0.26667466554247232</v>
      </c>
      <c r="G8027" s="74">
        <v>38.173280958550727</v>
      </c>
      <c r="H8027" s="74">
        <f t="shared" si="251"/>
        <v>2.3211193847817952</v>
      </c>
    </row>
    <row r="8028" spans="5:8" ht="15.6">
      <c r="E8028" s="279" t="s">
        <v>8354</v>
      </c>
      <c r="F8028" s="284">
        <f t="shared" ca="1" si="250"/>
        <v>0.29941412939215495</v>
      </c>
      <c r="G8028" s="74">
        <v>39.947429443081639</v>
      </c>
      <c r="H8028" s="74">
        <f t="shared" si="251"/>
        <v>0.54697090025088357</v>
      </c>
    </row>
    <row r="8029" spans="5:8" ht="15.6">
      <c r="E8029" s="279" t="s">
        <v>8355</v>
      </c>
      <c r="F8029" s="284">
        <f t="shared" ca="1" si="250"/>
        <v>0.43091091039246865</v>
      </c>
      <c r="G8029" s="74">
        <v>42.692076136941779</v>
      </c>
      <c r="H8029" s="74">
        <f t="shared" si="251"/>
        <v>-2.1976757936092568</v>
      </c>
    </row>
    <row r="8030" spans="5:8" ht="15.6">
      <c r="E8030" s="279" t="s">
        <v>8356</v>
      </c>
      <c r="F8030" s="284">
        <f t="shared" ca="1" si="250"/>
        <v>0.45269864259351478</v>
      </c>
      <c r="G8030" s="74">
        <v>40.624757542527384</v>
      </c>
      <c r="H8030" s="74">
        <f t="shared" si="251"/>
        <v>-0.13035719919486155</v>
      </c>
    </row>
    <row r="8031" spans="5:8" ht="15.6">
      <c r="E8031" s="279" t="s">
        <v>8357</v>
      </c>
      <c r="F8031" s="284">
        <f t="shared" ca="1" si="250"/>
        <v>4.9270507539312614E-2</v>
      </c>
      <c r="G8031" s="74">
        <v>38.038622163934782</v>
      </c>
      <c r="H8031" s="74">
        <f t="shared" si="251"/>
        <v>2.4557781793977398</v>
      </c>
    </row>
    <row r="8032" spans="5:8" ht="15.6">
      <c r="E8032" s="279" t="s">
        <v>8358</v>
      </c>
      <c r="F8032" s="284">
        <f t="shared" ca="1" si="250"/>
        <v>0.74263977706596207</v>
      </c>
      <c r="G8032" s="74">
        <v>38.554538234174849</v>
      </c>
      <c r="H8032" s="74">
        <f t="shared" si="251"/>
        <v>1.9398621091576729</v>
      </c>
    </row>
    <row r="8033" spans="5:8" ht="15.6">
      <c r="E8033" s="279" t="s">
        <v>8359</v>
      </c>
      <c r="F8033" s="284">
        <f t="shared" ca="1" si="250"/>
        <v>0.66668529537032128</v>
      </c>
      <c r="G8033" s="74">
        <v>38.280415811132123</v>
      </c>
      <c r="H8033" s="74">
        <f t="shared" si="251"/>
        <v>2.2139845322003993</v>
      </c>
    </row>
    <row r="8034" spans="5:8" ht="15.6">
      <c r="E8034" s="279" t="s">
        <v>8360</v>
      </c>
      <c r="F8034" s="284">
        <f t="shared" ca="1" si="250"/>
        <v>9.9428541423759564E-2</v>
      </c>
      <c r="G8034" s="74">
        <v>35.837907811194057</v>
      </c>
      <c r="H8034" s="74">
        <f t="shared" si="251"/>
        <v>4.6564925321384649</v>
      </c>
    </row>
    <row r="8035" spans="5:8" ht="15.6">
      <c r="E8035" s="279" t="s">
        <v>8361</v>
      </c>
      <c r="F8035" s="284">
        <f t="shared" ca="1" si="250"/>
        <v>0.82681716005333072</v>
      </c>
      <c r="G8035" s="74">
        <v>36.312711593414555</v>
      </c>
      <c r="H8035" s="74">
        <f t="shared" si="251"/>
        <v>4.1816887499179671</v>
      </c>
    </row>
    <row r="8036" spans="5:8" ht="15.6">
      <c r="E8036" s="279" t="s">
        <v>8362</v>
      </c>
      <c r="F8036" s="284">
        <f t="shared" ca="1" si="250"/>
        <v>0.29737378281988547</v>
      </c>
      <c r="G8036" s="74">
        <v>37.05294201364206</v>
      </c>
      <c r="H8036" s="74">
        <f t="shared" si="251"/>
        <v>3.4414583296904624</v>
      </c>
    </row>
    <row r="8037" spans="5:8" ht="15.6">
      <c r="E8037" s="279" t="s">
        <v>8363</v>
      </c>
      <c r="F8037" s="284">
        <f t="shared" ca="1" si="250"/>
        <v>0.94007839978444208</v>
      </c>
      <c r="G8037" s="74">
        <v>36.826297304532744</v>
      </c>
      <c r="H8037" s="74">
        <f t="shared" si="251"/>
        <v>3.6681030387997779</v>
      </c>
    </row>
    <row r="8038" spans="5:8" ht="15.6">
      <c r="E8038" s="279" t="s">
        <v>8364</v>
      </c>
      <c r="F8038" s="284">
        <f t="shared" ca="1" si="250"/>
        <v>0.18037401069861758</v>
      </c>
      <c r="G8038" s="74">
        <v>41.287105740582327</v>
      </c>
      <c r="H8038" s="74">
        <f t="shared" si="251"/>
        <v>-0.79270539724980438</v>
      </c>
    </row>
    <row r="8039" spans="5:8" ht="15.6">
      <c r="E8039" s="279" t="s">
        <v>8365</v>
      </c>
      <c r="F8039" s="284">
        <f t="shared" ca="1" si="250"/>
        <v>0.54385798719270007</v>
      </c>
      <c r="G8039" s="74">
        <v>37.193812815711752</v>
      </c>
      <c r="H8039" s="74">
        <f t="shared" si="251"/>
        <v>3.3005875276207703</v>
      </c>
    </row>
    <row r="8040" spans="5:8" ht="15.6">
      <c r="E8040" s="279" t="s">
        <v>8366</v>
      </c>
      <c r="F8040" s="284">
        <f t="shared" ca="1" si="250"/>
        <v>0.75852378734468096</v>
      </c>
      <c r="G8040" s="74">
        <v>33.71753194850961</v>
      </c>
      <c r="H8040" s="74">
        <f t="shared" si="251"/>
        <v>6.7768683948229125</v>
      </c>
    </row>
    <row r="8041" spans="5:8" ht="15.6">
      <c r="E8041" s="279" t="s">
        <v>8367</v>
      </c>
      <c r="F8041" s="284">
        <f t="shared" ca="1" si="250"/>
        <v>0.80397053164526266</v>
      </c>
      <c r="G8041" s="74">
        <v>42.953428241210368</v>
      </c>
      <c r="H8041" s="74">
        <f t="shared" si="251"/>
        <v>-2.4590278978778457</v>
      </c>
    </row>
    <row r="8042" spans="5:8" ht="15.6">
      <c r="E8042" s="279" t="s">
        <v>8368</v>
      </c>
      <c r="F8042" s="284">
        <f t="shared" ca="1" si="250"/>
        <v>0.31262442804095303</v>
      </c>
      <c r="G8042" s="74">
        <v>37.500653108835621</v>
      </c>
      <c r="H8042" s="74">
        <f t="shared" si="251"/>
        <v>2.9937472344969009</v>
      </c>
    </row>
    <row r="8043" spans="5:8" ht="15.6">
      <c r="E8043" s="279" t="s">
        <v>8369</v>
      </c>
      <c r="F8043" s="284">
        <f t="shared" ca="1" si="250"/>
        <v>0.17288992616018706</v>
      </c>
      <c r="G8043" s="74">
        <v>38.291199405951559</v>
      </c>
      <c r="H8043" s="74">
        <f t="shared" si="251"/>
        <v>2.2032009373809629</v>
      </c>
    </row>
    <row r="8044" spans="5:8" ht="15.6">
      <c r="E8044" s="279" t="s">
        <v>8370</v>
      </c>
      <c r="F8044" s="284">
        <f t="shared" ca="1" si="250"/>
        <v>0.23528826661519875</v>
      </c>
      <c r="G8044" s="74">
        <v>38.623335553421292</v>
      </c>
      <c r="H8044" s="74">
        <f t="shared" si="251"/>
        <v>1.8710647899112303</v>
      </c>
    </row>
    <row r="8045" spans="5:8" ht="15.6">
      <c r="E8045" s="279" t="s">
        <v>8371</v>
      </c>
      <c r="F8045" s="284">
        <f t="shared" ca="1" si="250"/>
        <v>0.10691247239287915</v>
      </c>
      <c r="G8045" s="74">
        <v>38.665426250135845</v>
      </c>
      <c r="H8045" s="74">
        <f t="shared" si="251"/>
        <v>1.8289740931966776</v>
      </c>
    </row>
    <row r="8046" spans="5:8" ht="15.6">
      <c r="E8046" s="279" t="s">
        <v>8372</v>
      </c>
      <c r="F8046" s="284">
        <f t="shared" ca="1" si="250"/>
        <v>0.98151797762071546</v>
      </c>
      <c r="G8046" s="74">
        <v>41.428865577989207</v>
      </c>
      <c r="H8046" s="74">
        <f t="shared" si="251"/>
        <v>-0.93446523465668463</v>
      </c>
    </row>
    <row r="8047" spans="5:8" ht="15.6">
      <c r="E8047" s="279" t="s">
        <v>8373</v>
      </c>
      <c r="F8047" s="284">
        <f t="shared" ca="1" si="250"/>
        <v>0.52630048779509386</v>
      </c>
      <c r="G8047" s="74">
        <v>38.33027196505769</v>
      </c>
      <c r="H8047" s="74">
        <f t="shared" si="251"/>
        <v>2.1641283782748317</v>
      </c>
    </row>
    <row r="8048" spans="5:8" ht="15.6">
      <c r="E8048" s="279" t="s">
        <v>8374</v>
      </c>
      <c r="F8048" s="284">
        <f t="shared" ca="1" si="250"/>
        <v>0.25439997782494483</v>
      </c>
      <c r="G8048" s="74">
        <v>34.012315593891913</v>
      </c>
      <c r="H8048" s="74">
        <f t="shared" si="251"/>
        <v>6.4820847494406095</v>
      </c>
    </row>
    <row r="8049" spans="5:8" ht="15.6">
      <c r="E8049" s="279" t="s">
        <v>8375</v>
      </c>
      <c r="F8049" s="284">
        <f t="shared" ca="1" si="250"/>
        <v>4.2068050298254334E-2</v>
      </c>
      <c r="G8049" s="74">
        <v>35.923064415303081</v>
      </c>
      <c r="H8049" s="74">
        <f t="shared" si="251"/>
        <v>4.5713359280294412</v>
      </c>
    </row>
    <row r="8050" spans="5:8" ht="15.6">
      <c r="E8050" s="279" t="s">
        <v>8376</v>
      </c>
      <c r="F8050" s="284">
        <f t="shared" ca="1" si="250"/>
        <v>0.79057247293885369</v>
      </c>
      <c r="G8050" s="74">
        <v>35.107755962761054</v>
      </c>
      <c r="H8050" s="74">
        <f t="shared" si="251"/>
        <v>5.3866443805714681</v>
      </c>
    </row>
    <row r="8051" spans="5:8" ht="15.6">
      <c r="E8051" s="279" t="s">
        <v>8377</v>
      </c>
      <c r="F8051" s="284">
        <f t="shared" ca="1" si="250"/>
        <v>0.63593245195009829</v>
      </c>
      <c r="G8051" s="74">
        <v>38.140098135279381</v>
      </c>
      <c r="H8051" s="74">
        <f t="shared" si="251"/>
        <v>2.3543022080531415</v>
      </c>
    </row>
    <row r="8052" spans="5:8" ht="15.6">
      <c r="E8052" s="279" t="s">
        <v>8378</v>
      </c>
      <c r="F8052" s="284">
        <f t="shared" ca="1" si="250"/>
        <v>0.62940170777779658</v>
      </c>
      <c r="G8052" s="74">
        <v>43.138460956417774</v>
      </c>
      <c r="H8052" s="74">
        <f t="shared" si="251"/>
        <v>-2.6440606130852515</v>
      </c>
    </row>
    <row r="8053" spans="5:8" ht="15.6">
      <c r="E8053" s="279" t="s">
        <v>8379</v>
      </c>
      <c r="F8053" s="284">
        <f t="shared" ca="1" si="250"/>
        <v>0.83393319983612801</v>
      </c>
      <c r="G8053" s="74">
        <v>40.043965297988926</v>
      </c>
      <c r="H8053" s="74">
        <f t="shared" si="251"/>
        <v>0.45043504534359613</v>
      </c>
    </row>
    <row r="8054" spans="5:8" ht="15.6">
      <c r="E8054" s="279" t="s">
        <v>8380</v>
      </c>
      <c r="F8054" s="284">
        <f t="shared" ca="1" si="250"/>
        <v>0.43706804791792075</v>
      </c>
      <c r="G8054" s="74">
        <v>40.933278527127428</v>
      </c>
      <c r="H8054" s="74">
        <f t="shared" si="251"/>
        <v>-0.4388781837949054</v>
      </c>
    </row>
    <row r="8055" spans="5:8" ht="15.6">
      <c r="E8055" s="279" t="s">
        <v>8381</v>
      </c>
      <c r="F8055" s="284">
        <f t="shared" ca="1" si="250"/>
        <v>0.56479185600389126</v>
      </c>
      <c r="G8055" s="74">
        <v>41.473335426351134</v>
      </c>
      <c r="H8055" s="74">
        <f t="shared" si="251"/>
        <v>-0.97893508301861232</v>
      </c>
    </row>
    <row r="8056" spans="5:8" ht="15.6">
      <c r="E8056" s="279" t="s">
        <v>8382</v>
      </c>
      <c r="F8056" s="284">
        <f t="shared" ca="1" si="250"/>
        <v>0.81898920656534235</v>
      </c>
      <c r="G8056" s="74">
        <v>40.671189635467634</v>
      </c>
      <c r="H8056" s="74">
        <f t="shared" si="251"/>
        <v>-0.17678929213511196</v>
      </c>
    </row>
    <row r="8057" spans="5:8" ht="15.6">
      <c r="E8057" s="279" t="s">
        <v>8383</v>
      </c>
      <c r="F8057" s="284">
        <f t="shared" ca="1" si="250"/>
        <v>0.53476324521943741</v>
      </c>
      <c r="G8057" s="74">
        <v>44.726320834878592</v>
      </c>
      <c r="H8057" s="74">
        <f t="shared" si="251"/>
        <v>-4.2319204915460702</v>
      </c>
    </row>
    <row r="8058" spans="5:8" ht="15.6">
      <c r="E8058" s="279" t="s">
        <v>8384</v>
      </c>
      <c r="F8058" s="284">
        <f t="shared" ca="1" si="250"/>
        <v>4.752115110226196E-2</v>
      </c>
      <c r="G8058" s="74">
        <v>38.590286252378945</v>
      </c>
      <c r="H8058" s="74">
        <f t="shared" si="251"/>
        <v>1.904114090953577</v>
      </c>
    </row>
    <row r="8059" spans="5:8" ht="15.6">
      <c r="E8059" s="279" t="s">
        <v>8385</v>
      </c>
      <c r="F8059" s="284">
        <f t="shared" ca="1" si="250"/>
        <v>0.52415158215159341</v>
      </c>
      <c r="G8059" s="74">
        <v>45.472969226102698</v>
      </c>
      <c r="H8059" s="74">
        <f t="shared" si="251"/>
        <v>-4.9785688827701762</v>
      </c>
    </row>
    <row r="8060" spans="5:8" ht="15.6">
      <c r="E8060" s="279" t="s">
        <v>8386</v>
      </c>
      <c r="F8060" s="284">
        <f t="shared" ca="1" si="250"/>
        <v>0.31585786267488847</v>
      </c>
      <c r="G8060" s="74">
        <v>36.84366720775968</v>
      </c>
      <c r="H8060" s="74">
        <f t="shared" si="251"/>
        <v>3.6507331355728425</v>
      </c>
    </row>
    <row r="8061" spans="5:8" ht="15.6">
      <c r="E8061" s="279" t="s">
        <v>8387</v>
      </c>
      <c r="F8061" s="284">
        <f t="shared" ca="1" si="250"/>
        <v>1.5267192815391684E-2</v>
      </c>
      <c r="G8061" s="74">
        <v>36.554132067478477</v>
      </c>
      <c r="H8061" s="74">
        <f t="shared" si="251"/>
        <v>3.940268275854045</v>
      </c>
    </row>
    <row r="8062" spans="5:8" ht="15.6">
      <c r="E8062" s="279" t="s">
        <v>8388</v>
      </c>
      <c r="F8062" s="284">
        <f t="shared" ca="1" si="250"/>
        <v>0.52374044925199936</v>
      </c>
      <c r="G8062" s="74">
        <v>34.131173959117319</v>
      </c>
      <c r="H8062" s="74">
        <f t="shared" si="251"/>
        <v>6.3632263842152028</v>
      </c>
    </row>
    <row r="8063" spans="5:8" ht="15.6">
      <c r="E8063" s="279" t="s">
        <v>8389</v>
      </c>
      <c r="F8063" s="284">
        <f t="shared" ca="1" si="250"/>
        <v>0.89873352174227106</v>
      </c>
      <c r="G8063" s="74">
        <v>39.339664442960085</v>
      </c>
      <c r="H8063" s="74">
        <f t="shared" si="251"/>
        <v>1.1547359003724367</v>
      </c>
    </row>
    <row r="8064" spans="5:8" ht="15.6">
      <c r="E8064" s="279" t="s">
        <v>8390</v>
      </c>
      <c r="F8064" s="284">
        <f t="shared" ca="1" si="250"/>
        <v>0.57734648841049385</v>
      </c>
      <c r="G8064" s="74">
        <v>41.940161621421829</v>
      </c>
      <c r="H8064" s="74">
        <f t="shared" si="251"/>
        <v>-1.4457612780893072</v>
      </c>
    </row>
    <row r="8065" spans="5:8" ht="15.6">
      <c r="E8065" s="279" t="s">
        <v>8391</v>
      </c>
      <c r="F8065" s="284">
        <f t="shared" ca="1" si="250"/>
        <v>0.49802617839952079</v>
      </c>
      <c r="G8065" s="74">
        <v>41.075399866271489</v>
      </c>
      <c r="H8065" s="74">
        <f t="shared" si="251"/>
        <v>-0.58099952293896706</v>
      </c>
    </row>
    <row r="8066" spans="5:8" ht="15.6">
      <c r="E8066" s="279" t="s">
        <v>8392</v>
      </c>
      <c r="F8066" s="284">
        <f t="shared" ca="1" si="250"/>
        <v>0.25263180301110388</v>
      </c>
      <c r="G8066" s="74">
        <v>43.483868840078159</v>
      </c>
      <c r="H8066" s="74">
        <f t="shared" si="251"/>
        <v>-2.9894684967456371</v>
      </c>
    </row>
    <row r="8067" spans="5:8" ht="15.6">
      <c r="E8067" s="279" t="s">
        <v>8393</v>
      </c>
      <c r="F8067" s="284">
        <f t="shared" ca="1" si="250"/>
        <v>0.50169125199405928</v>
      </c>
      <c r="G8067" s="74">
        <v>38.023124137453202</v>
      </c>
      <c r="H8067" s="74">
        <f t="shared" si="251"/>
        <v>2.4712762058793203</v>
      </c>
    </row>
    <row r="8068" spans="5:8" ht="15.6">
      <c r="E8068" s="279" t="s">
        <v>8394</v>
      </c>
      <c r="F8068" s="284">
        <f t="shared" ca="1" si="250"/>
        <v>0.56705150938784832</v>
      </c>
      <c r="G8068" s="74">
        <v>38.795254454532859</v>
      </c>
      <c r="H8068" s="74">
        <f t="shared" si="251"/>
        <v>1.6991458887996629</v>
      </c>
    </row>
    <row r="8069" spans="5:8" ht="15.6">
      <c r="E8069" s="279" t="s">
        <v>8395</v>
      </c>
      <c r="F8069" s="284">
        <f t="shared" ca="1" si="250"/>
        <v>8.2438545580148848E-2</v>
      </c>
      <c r="G8069" s="74">
        <v>38.943472317435386</v>
      </c>
      <c r="H8069" s="74">
        <f t="shared" si="251"/>
        <v>1.5509280258971359</v>
      </c>
    </row>
    <row r="8070" spans="5:8" ht="15.6">
      <c r="E8070" s="279" t="s">
        <v>8396</v>
      </c>
      <c r="F8070" s="284">
        <f t="shared" ca="1" si="250"/>
        <v>0.10440034651659469</v>
      </c>
      <c r="G8070" s="74">
        <v>43.977265141571124</v>
      </c>
      <c r="H8070" s="74">
        <f t="shared" si="251"/>
        <v>-3.4828647982386016</v>
      </c>
    </row>
    <row r="8071" spans="5:8" ht="15.6">
      <c r="E8071" s="279" t="s">
        <v>8397</v>
      </c>
      <c r="F8071" s="284">
        <f t="shared" ca="1" si="250"/>
        <v>0.13751189205329695</v>
      </c>
      <c r="G8071" s="74">
        <v>40.576100344244622</v>
      </c>
      <c r="H8071" s="74">
        <f t="shared" si="251"/>
        <v>-8.1700000912100279E-2</v>
      </c>
    </row>
    <row r="8072" spans="5:8" ht="15.6">
      <c r="E8072" s="279" t="s">
        <v>8398</v>
      </c>
      <c r="F8072" s="284">
        <f t="shared" ca="1" si="250"/>
        <v>0.34538647725965732</v>
      </c>
      <c r="G8072" s="74">
        <v>36.764863763973658</v>
      </c>
      <c r="H8072" s="74">
        <f t="shared" si="251"/>
        <v>3.7295365793588644</v>
      </c>
    </row>
    <row r="8073" spans="5:8" ht="15.6">
      <c r="E8073" s="279" t="s">
        <v>8399</v>
      </c>
      <c r="F8073" s="284">
        <f t="shared" ca="1" si="250"/>
        <v>0.11857654687199626</v>
      </c>
      <c r="G8073" s="74">
        <v>45.985345396019042</v>
      </c>
      <c r="H8073" s="74">
        <f t="shared" si="251"/>
        <v>-5.49094505268652</v>
      </c>
    </row>
    <row r="8074" spans="5:8" ht="15.6">
      <c r="E8074" s="279" t="s">
        <v>8400</v>
      </c>
      <c r="F8074" s="284">
        <f t="shared" ca="1" si="250"/>
        <v>0.76857126467646408</v>
      </c>
      <c r="G8074" s="74">
        <v>39.370053317953285</v>
      </c>
      <c r="H8074" s="74">
        <f t="shared" si="251"/>
        <v>1.1243470253792367</v>
      </c>
    </row>
    <row r="8075" spans="5:8" ht="15.6">
      <c r="E8075" s="279" t="s">
        <v>8401</v>
      </c>
      <c r="F8075" s="284">
        <f t="shared" ca="1" si="250"/>
        <v>0.48457487381552733</v>
      </c>
      <c r="G8075" s="74">
        <v>38.26224103211954</v>
      </c>
      <c r="H8075" s="74">
        <f t="shared" si="251"/>
        <v>2.2321593112129818</v>
      </c>
    </row>
    <row r="8076" spans="5:8" ht="15.6">
      <c r="E8076" s="279" t="s">
        <v>8402</v>
      </c>
      <c r="F8076" s="284">
        <f t="shared" ref="F8076:F8139" ca="1" si="252">RAND()</f>
        <v>0.32925705603643807</v>
      </c>
      <c r="G8076" s="74">
        <v>38.33332382631059</v>
      </c>
      <c r="H8076" s="74">
        <f t="shared" ref="H8076:H8139" si="253">$D$2-G8076</f>
        <v>2.1610765170219324</v>
      </c>
    </row>
    <row r="8077" spans="5:8" ht="15.6">
      <c r="E8077" s="279" t="s">
        <v>8403</v>
      </c>
      <c r="F8077" s="284">
        <f t="shared" ca="1" si="252"/>
        <v>0.25295409962242099</v>
      </c>
      <c r="G8077" s="74">
        <v>36.94667311703359</v>
      </c>
      <c r="H8077" s="74">
        <f t="shared" si="253"/>
        <v>3.5477272262989317</v>
      </c>
    </row>
    <row r="8078" spans="5:8" ht="15.6">
      <c r="E8078" s="279" t="s">
        <v>8404</v>
      </c>
      <c r="F8078" s="284">
        <f t="shared" ca="1" si="252"/>
        <v>0.32697862143940593</v>
      </c>
      <c r="G8078" s="74">
        <v>37.008324712433968</v>
      </c>
      <c r="H8078" s="74">
        <f t="shared" si="253"/>
        <v>3.4860756308985543</v>
      </c>
    </row>
    <row r="8079" spans="5:8" ht="15.6">
      <c r="E8079" s="279" t="s">
        <v>8405</v>
      </c>
      <c r="F8079" s="284">
        <f t="shared" ca="1" si="252"/>
        <v>0.5627677460707835</v>
      </c>
      <c r="G8079" s="74">
        <v>42.407513314705994</v>
      </c>
      <c r="H8079" s="74">
        <f t="shared" si="253"/>
        <v>-1.9131129713734722</v>
      </c>
    </row>
    <row r="8080" spans="5:8" ht="15.6">
      <c r="E8080" s="279" t="s">
        <v>8406</v>
      </c>
      <c r="F8080" s="284">
        <f t="shared" ca="1" si="252"/>
        <v>0.60685492629891591</v>
      </c>
      <c r="G8080" s="74">
        <v>41.199162174020621</v>
      </c>
      <c r="H8080" s="74">
        <f t="shared" si="253"/>
        <v>-0.70476183068809917</v>
      </c>
    </row>
    <row r="8081" spans="5:8" ht="15.6">
      <c r="E8081" s="279" t="s">
        <v>8407</v>
      </c>
      <c r="F8081" s="284">
        <f t="shared" ca="1" si="252"/>
        <v>0.82469890710618476</v>
      </c>
      <c r="G8081" s="74">
        <v>40.139418847104615</v>
      </c>
      <c r="H8081" s="74">
        <f t="shared" si="253"/>
        <v>0.3549814962279072</v>
      </c>
    </row>
    <row r="8082" spans="5:8" ht="15.6">
      <c r="E8082" s="279" t="s">
        <v>8408</v>
      </c>
      <c r="F8082" s="284">
        <f t="shared" ca="1" si="252"/>
        <v>2.3172893622891544E-2</v>
      </c>
      <c r="G8082" s="74">
        <v>37.561101708505099</v>
      </c>
      <c r="H8082" s="74">
        <f t="shared" si="253"/>
        <v>2.9332986348274233</v>
      </c>
    </row>
    <row r="8083" spans="5:8" ht="15.6">
      <c r="E8083" s="279" t="s">
        <v>8409</v>
      </c>
      <c r="F8083" s="284">
        <f t="shared" ca="1" si="252"/>
        <v>0.55886893561332596</v>
      </c>
      <c r="G8083" s="74">
        <v>36.701404070211254</v>
      </c>
      <c r="H8083" s="74">
        <f t="shared" si="253"/>
        <v>3.7929962731212683</v>
      </c>
    </row>
    <row r="8084" spans="5:8" ht="15.6">
      <c r="E8084" s="279" t="s">
        <v>8410</v>
      </c>
      <c r="F8084" s="284">
        <f t="shared" ca="1" si="252"/>
        <v>0.32439096515678756</v>
      </c>
      <c r="G8084" s="74">
        <v>39.361904018279319</v>
      </c>
      <c r="H8084" s="74">
        <f t="shared" si="253"/>
        <v>1.1324963250532036</v>
      </c>
    </row>
    <row r="8085" spans="5:8" ht="15.6">
      <c r="E8085" s="279" t="s">
        <v>8411</v>
      </c>
      <c r="F8085" s="284">
        <f t="shared" ca="1" si="252"/>
        <v>0.43806095564269443</v>
      </c>
      <c r="G8085" s="74">
        <v>34.834561542280092</v>
      </c>
      <c r="H8085" s="74">
        <f t="shared" si="253"/>
        <v>5.6598388010524303</v>
      </c>
    </row>
    <row r="8086" spans="5:8" ht="15.6">
      <c r="E8086" s="279" t="s">
        <v>8412</v>
      </c>
      <c r="F8086" s="284">
        <f t="shared" ca="1" si="252"/>
        <v>0.20692901966747013</v>
      </c>
      <c r="G8086" s="74">
        <v>34.987419810483026</v>
      </c>
      <c r="H8086" s="74">
        <f t="shared" si="253"/>
        <v>5.5069805328494965</v>
      </c>
    </row>
    <row r="8087" spans="5:8" ht="15.6">
      <c r="E8087" s="279" t="s">
        <v>8413</v>
      </c>
      <c r="F8087" s="284">
        <f t="shared" ca="1" si="252"/>
        <v>0.67914405844205505</v>
      </c>
      <c r="G8087" s="74">
        <v>35.655155392508178</v>
      </c>
      <c r="H8087" s="74">
        <f t="shared" si="253"/>
        <v>4.8392449508243445</v>
      </c>
    </row>
    <row r="8088" spans="5:8" ht="15.6">
      <c r="E8088" s="279" t="s">
        <v>8414</v>
      </c>
      <c r="F8088" s="284">
        <f t="shared" ca="1" si="252"/>
        <v>0.45644935405524301</v>
      </c>
      <c r="G8088" s="74">
        <v>39.927254412442934</v>
      </c>
      <c r="H8088" s="74">
        <f t="shared" si="253"/>
        <v>0.56714593088958765</v>
      </c>
    </row>
    <row r="8089" spans="5:8" ht="15.6">
      <c r="E8089" s="279" t="s">
        <v>8415</v>
      </c>
      <c r="F8089" s="284">
        <f t="shared" ca="1" si="252"/>
        <v>0.54839156608309947</v>
      </c>
      <c r="G8089" s="74">
        <v>34.519282108176867</v>
      </c>
      <c r="H8089" s="74">
        <f t="shared" si="253"/>
        <v>5.9751182351556551</v>
      </c>
    </row>
    <row r="8090" spans="5:8" ht="15.6">
      <c r="E8090" s="279" t="s">
        <v>8416</v>
      </c>
      <c r="F8090" s="284">
        <f t="shared" ca="1" si="252"/>
        <v>0.4619854982464614</v>
      </c>
      <c r="G8090" s="74">
        <v>37.929658011071325</v>
      </c>
      <c r="H8090" s="74">
        <f t="shared" si="253"/>
        <v>2.5647423322611971</v>
      </c>
    </row>
    <row r="8091" spans="5:8" ht="15.6">
      <c r="E8091" s="279" t="s">
        <v>8417</v>
      </c>
      <c r="F8091" s="284">
        <f t="shared" ca="1" si="252"/>
        <v>0.38332550181456704</v>
      </c>
      <c r="G8091" s="74">
        <v>38.780029257054544</v>
      </c>
      <c r="H8091" s="74">
        <f t="shared" si="253"/>
        <v>1.7143710862779784</v>
      </c>
    </row>
    <row r="8092" spans="5:8" ht="15.6">
      <c r="E8092" s="279" t="s">
        <v>8418</v>
      </c>
      <c r="F8092" s="284">
        <f t="shared" ca="1" si="252"/>
        <v>0.55170311671874628</v>
      </c>
      <c r="G8092" s="74">
        <v>37.447945129093966</v>
      </c>
      <c r="H8092" s="74">
        <f t="shared" si="253"/>
        <v>3.0464552142385557</v>
      </c>
    </row>
    <row r="8093" spans="5:8" ht="15.6">
      <c r="E8093" s="279" t="s">
        <v>8419</v>
      </c>
      <c r="F8093" s="284">
        <f t="shared" ca="1" si="252"/>
        <v>0.72831241429567162</v>
      </c>
      <c r="G8093" s="74">
        <v>38.880210505186142</v>
      </c>
      <c r="H8093" s="74">
        <f t="shared" si="253"/>
        <v>1.6141898381463804</v>
      </c>
    </row>
    <row r="8094" spans="5:8" ht="15.6">
      <c r="E8094" s="279" t="s">
        <v>8420</v>
      </c>
      <c r="F8094" s="284">
        <f t="shared" ca="1" si="252"/>
        <v>0.7562632740576738</v>
      </c>
      <c r="G8094" s="74">
        <v>43.516345723412442</v>
      </c>
      <c r="H8094" s="74">
        <f t="shared" si="253"/>
        <v>-3.0219453800799201</v>
      </c>
    </row>
    <row r="8095" spans="5:8" ht="15.6">
      <c r="E8095" s="279" t="s">
        <v>8421</v>
      </c>
      <c r="F8095" s="284">
        <f t="shared" ca="1" si="252"/>
        <v>0.87148040616600353</v>
      </c>
      <c r="G8095" s="74">
        <v>36.939626867967945</v>
      </c>
      <c r="H8095" s="74">
        <f t="shared" si="253"/>
        <v>3.554773475364577</v>
      </c>
    </row>
    <row r="8096" spans="5:8" ht="15.6">
      <c r="E8096" s="279" t="s">
        <v>8422</v>
      </c>
      <c r="F8096" s="284">
        <f t="shared" ca="1" si="252"/>
        <v>0.96125865066382699</v>
      </c>
      <c r="G8096" s="74">
        <v>36.357440787939858</v>
      </c>
      <c r="H8096" s="74">
        <f t="shared" si="253"/>
        <v>4.1369595553926644</v>
      </c>
    </row>
    <row r="8097" spans="5:8" ht="15.6">
      <c r="E8097" s="279" t="s">
        <v>8423</v>
      </c>
      <c r="F8097" s="284">
        <f t="shared" ca="1" si="252"/>
        <v>7.3994129739961445E-2</v>
      </c>
      <c r="G8097" s="74">
        <v>39.870499057717559</v>
      </c>
      <c r="H8097" s="74">
        <f t="shared" si="253"/>
        <v>0.62390128561496283</v>
      </c>
    </row>
    <row r="8098" spans="5:8" ht="15.6">
      <c r="E8098" s="279" t="s">
        <v>8424</v>
      </c>
      <c r="F8098" s="284">
        <f t="shared" ca="1" si="252"/>
        <v>0.89476194528057595</v>
      </c>
      <c r="G8098" s="74">
        <v>39.793297262048277</v>
      </c>
      <c r="H8098" s="74">
        <f t="shared" si="253"/>
        <v>0.70110308128424492</v>
      </c>
    </row>
    <row r="8099" spans="5:8" ht="15.6">
      <c r="E8099" s="279" t="s">
        <v>8425</v>
      </c>
      <c r="F8099" s="284">
        <f t="shared" ca="1" si="252"/>
        <v>0.52058489541702935</v>
      </c>
      <c r="G8099" s="74">
        <v>35.385564847809711</v>
      </c>
      <c r="H8099" s="74">
        <f t="shared" si="253"/>
        <v>5.1088354955228112</v>
      </c>
    </row>
    <row r="8100" spans="5:8" ht="15.6">
      <c r="E8100" s="279" t="s">
        <v>8426</v>
      </c>
      <c r="F8100" s="284">
        <f t="shared" ca="1" si="252"/>
        <v>0.53165768115402812</v>
      </c>
      <c r="G8100" s="74">
        <v>38.751211735911895</v>
      </c>
      <c r="H8100" s="74">
        <f t="shared" si="253"/>
        <v>1.7431886074206275</v>
      </c>
    </row>
    <row r="8101" spans="5:8" ht="15.6">
      <c r="E8101" s="279" t="s">
        <v>8427</v>
      </c>
      <c r="F8101" s="284">
        <f t="shared" ca="1" si="252"/>
        <v>0.73666881466036183</v>
      </c>
      <c r="G8101" s="74">
        <v>37.694651572740156</v>
      </c>
      <c r="H8101" s="74">
        <f t="shared" si="253"/>
        <v>2.799748770592366</v>
      </c>
    </row>
    <row r="8102" spans="5:8" ht="15.6">
      <c r="E8102" s="279" t="s">
        <v>8428</v>
      </c>
      <c r="F8102" s="284">
        <f t="shared" ca="1" si="252"/>
        <v>0.54647906461867823</v>
      </c>
      <c r="G8102" s="74">
        <v>37.427196477363054</v>
      </c>
      <c r="H8102" s="74">
        <f t="shared" si="253"/>
        <v>3.0672038659694678</v>
      </c>
    </row>
    <row r="8103" spans="5:8" ht="15.6">
      <c r="E8103" s="279" t="s">
        <v>8429</v>
      </c>
      <c r="F8103" s="284">
        <f t="shared" ca="1" si="252"/>
        <v>0.44098788294648161</v>
      </c>
      <c r="G8103" s="74">
        <v>45.021574109941426</v>
      </c>
      <c r="H8103" s="74">
        <f t="shared" si="253"/>
        <v>-4.5271737666089038</v>
      </c>
    </row>
    <row r="8104" spans="5:8" ht="15.6">
      <c r="E8104" s="279" t="s">
        <v>8430</v>
      </c>
      <c r="F8104" s="284">
        <f t="shared" ca="1" si="252"/>
        <v>0.78369847469475196</v>
      </c>
      <c r="G8104" s="74">
        <v>39.218180783353411</v>
      </c>
      <c r="H8104" s="74">
        <f t="shared" si="253"/>
        <v>1.2762195599791113</v>
      </c>
    </row>
    <row r="8105" spans="5:8" ht="15.6">
      <c r="E8105" s="279" t="s">
        <v>8431</v>
      </c>
      <c r="F8105" s="284">
        <f t="shared" ca="1" si="252"/>
        <v>0.27922172944911183</v>
      </c>
      <c r="G8105" s="74">
        <v>42.952426679648596</v>
      </c>
      <c r="H8105" s="74">
        <f t="shared" si="253"/>
        <v>-2.4580263363160739</v>
      </c>
    </row>
    <row r="8106" spans="5:8" ht="15.6">
      <c r="E8106" s="279" t="s">
        <v>8432</v>
      </c>
      <c r="F8106" s="284">
        <f t="shared" ca="1" si="252"/>
        <v>9.5909511441434669E-2</v>
      </c>
      <c r="G8106" s="74">
        <v>37.573411612832928</v>
      </c>
      <c r="H8106" s="74">
        <f t="shared" si="253"/>
        <v>2.9209887304995945</v>
      </c>
    </row>
    <row r="8107" spans="5:8" ht="15.6">
      <c r="E8107" s="279" t="s">
        <v>8433</v>
      </c>
      <c r="F8107" s="284">
        <f t="shared" ca="1" si="252"/>
        <v>5.7359368997960347E-2</v>
      </c>
      <c r="G8107" s="74">
        <v>40.246825592473968</v>
      </c>
      <c r="H8107" s="74">
        <f t="shared" si="253"/>
        <v>0.24757475085855418</v>
      </c>
    </row>
    <row r="8108" spans="5:8" ht="15.6">
      <c r="E8108" s="279" t="s">
        <v>8434</v>
      </c>
      <c r="F8108" s="284">
        <f t="shared" ca="1" si="252"/>
        <v>0.46167241922712909</v>
      </c>
      <c r="G8108" s="74">
        <v>40.925620914483588</v>
      </c>
      <c r="H8108" s="74">
        <f t="shared" si="253"/>
        <v>-0.43122057115106571</v>
      </c>
    </row>
    <row r="8109" spans="5:8" ht="15.6">
      <c r="E8109" s="279" t="s">
        <v>8435</v>
      </c>
      <c r="F8109" s="284">
        <f t="shared" ca="1" si="252"/>
        <v>0.79248009439931821</v>
      </c>
      <c r="G8109" s="74">
        <v>42.918517431328766</v>
      </c>
      <c r="H8109" s="74">
        <f t="shared" si="253"/>
        <v>-2.4241170879962439</v>
      </c>
    </row>
    <row r="8110" spans="5:8" ht="15.6">
      <c r="E8110" s="279" t="s">
        <v>8436</v>
      </c>
      <c r="F8110" s="284">
        <f t="shared" ca="1" si="252"/>
        <v>0.48851508428970836</v>
      </c>
      <c r="G8110" s="74">
        <v>39.156989863752365</v>
      </c>
      <c r="H8110" s="74">
        <f t="shared" si="253"/>
        <v>1.3374104795801571</v>
      </c>
    </row>
    <row r="8111" spans="5:8" ht="15.6">
      <c r="E8111" s="279" t="s">
        <v>8437</v>
      </c>
      <c r="F8111" s="284">
        <f t="shared" ca="1" si="252"/>
        <v>0.99916170754003231</v>
      </c>
      <c r="G8111" s="74">
        <v>31.437341561629449</v>
      </c>
      <c r="H8111" s="74">
        <f t="shared" si="253"/>
        <v>9.0570587817030734</v>
      </c>
    </row>
    <row r="8112" spans="5:8" ht="15.6">
      <c r="E8112" s="279" t="s">
        <v>8438</v>
      </c>
      <c r="F8112" s="284">
        <f t="shared" ca="1" si="252"/>
        <v>0.82238189609688861</v>
      </c>
      <c r="G8112" s="74">
        <v>39.301250493068906</v>
      </c>
      <c r="H8112" s="74">
        <f t="shared" si="253"/>
        <v>1.193149850263616</v>
      </c>
    </row>
    <row r="8113" spans="5:8" ht="15.6">
      <c r="E8113" s="279" t="s">
        <v>8439</v>
      </c>
      <c r="F8113" s="284">
        <f t="shared" ca="1" si="252"/>
        <v>0.6360387081190394</v>
      </c>
      <c r="G8113" s="74">
        <v>39.593373455341094</v>
      </c>
      <c r="H8113" s="74">
        <f t="shared" si="253"/>
        <v>0.90102688799142783</v>
      </c>
    </row>
    <row r="8114" spans="5:8" ht="15.6">
      <c r="E8114" s="279" t="s">
        <v>8440</v>
      </c>
      <c r="F8114" s="284">
        <f t="shared" ca="1" si="252"/>
        <v>0.46618066073032738</v>
      </c>
      <c r="G8114" s="74">
        <v>41.875646462198844</v>
      </c>
      <c r="H8114" s="74">
        <f t="shared" si="253"/>
        <v>-1.3812461188663221</v>
      </c>
    </row>
    <row r="8115" spans="5:8" ht="15.6">
      <c r="E8115" s="279" t="s">
        <v>8441</v>
      </c>
      <c r="F8115" s="284">
        <f t="shared" ca="1" si="252"/>
        <v>0.49833858579018853</v>
      </c>
      <c r="G8115" s="74">
        <v>38.871305892618246</v>
      </c>
      <c r="H8115" s="74">
        <f t="shared" si="253"/>
        <v>1.6230944507142766</v>
      </c>
    </row>
    <row r="8116" spans="5:8" ht="15.6">
      <c r="E8116" s="279" t="s">
        <v>8442</v>
      </c>
      <c r="F8116" s="284">
        <f t="shared" ca="1" si="252"/>
        <v>0.29939439958678771</v>
      </c>
      <c r="G8116" s="74">
        <v>38.56355177226677</v>
      </c>
      <c r="H8116" s="74">
        <f t="shared" si="253"/>
        <v>1.9308485710657521</v>
      </c>
    </row>
    <row r="8117" spans="5:8" ht="15.6">
      <c r="E8117" s="279" t="s">
        <v>8443</v>
      </c>
      <c r="F8117" s="284">
        <f t="shared" ca="1" si="252"/>
        <v>2.2921367611529964E-2</v>
      </c>
      <c r="G8117" s="74">
        <v>36.629438777771746</v>
      </c>
      <c r="H8117" s="74">
        <f t="shared" si="253"/>
        <v>3.8649615655607761</v>
      </c>
    </row>
    <row r="8118" spans="5:8" ht="15.6">
      <c r="E8118" s="279" t="s">
        <v>8444</v>
      </c>
      <c r="F8118" s="284">
        <f t="shared" ca="1" si="252"/>
        <v>0.36234504086011976</v>
      </c>
      <c r="G8118" s="74">
        <v>36.187640317718127</v>
      </c>
      <c r="H8118" s="74">
        <f t="shared" si="253"/>
        <v>4.3067600256143947</v>
      </c>
    </row>
    <row r="8119" spans="5:8" ht="15.6">
      <c r="E8119" s="279" t="s">
        <v>8445</v>
      </c>
      <c r="F8119" s="284">
        <f t="shared" ca="1" si="252"/>
        <v>5.5459036688687346E-2</v>
      </c>
      <c r="G8119" s="74">
        <v>34.12572597613061</v>
      </c>
      <c r="H8119" s="74">
        <f t="shared" si="253"/>
        <v>6.3686743672019119</v>
      </c>
    </row>
    <row r="8120" spans="5:8" ht="15.6">
      <c r="E8120" s="279" t="s">
        <v>8446</v>
      </c>
      <c r="F8120" s="284">
        <f t="shared" ca="1" si="252"/>
        <v>0.68760974175374656</v>
      </c>
      <c r="G8120" s="74">
        <v>43.357309087832121</v>
      </c>
      <c r="H8120" s="74">
        <f t="shared" si="253"/>
        <v>-2.8629087444995989</v>
      </c>
    </row>
    <row r="8121" spans="5:8" ht="15.6">
      <c r="E8121" s="279" t="s">
        <v>8447</v>
      </c>
      <c r="F8121" s="284">
        <f t="shared" ca="1" si="252"/>
        <v>0.74464667789624639</v>
      </c>
      <c r="G8121" s="74">
        <v>38.750716401342444</v>
      </c>
      <c r="H8121" s="74">
        <f t="shared" si="253"/>
        <v>1.7436839419900778</v>
      </c>
    </row>
    <row r="8122" spans="5:8" ht="15.6">
      <c r="E8122" s="279" t="s">
        <v>8448</v>
      </c>
      <c r="F8122" s="284">
        <f t="shared" ca="1" si="252"/>
        <v>0.17656543550835802</v>
      </c>
      <c r="G8122" s="74">
        <v>41.523469703853131</v>
      </c>
      <c r="H8122" s="74">
        <f t="shared" si="253"/>
        <v>-1.0290693605206087</v>
      </c>
    </row>
    <row r="8123" spans="5:8" ht="15.6">
      <c r="E8123" s="279" t="s">
        <v>8449</v>
      </c>
      <c r="F8123" s="284">
        <f t="shared" ca="1" si="252"/>
        <v>9.5114585542941055E-2</v>
      </c>
      <c r="G8123" s="74">
        <v>37.08291855967299</v>
      </c>
      <c r="H8123" s="74">
        <f t="shared" si="253"/>
        <v>3.4114817836595321</v>
      </c>
    </row>
    <row r="8124" spans="5:8" ht="15.6">
      <c r="E8124" s="279" t="s">
        <v>8450</v>
      </c>
      <c r="F8124" s="284">
        <f t="shared" ca="1" si="252"/>
        <v>0.714073501791747</v>
      </c>
      <c r="G8124" s="74">
        <v>43.257399448847778</v>
      </c>
      <c r="H8124" s="74">
        <f t="shared" si="253"/>
        <v>-2.7629991055152558</v>
      </c>
    </row>
    <row r="8125" spans="5:8" ht="15.6">
      <c r="E8125" s="279" t="s">
        <v>8451</v>
      </c>
      <c r="F8125" s="284">
        <f t="shared" ca="1" si="252"/>
        <v>0.6184509247813712</v>
      </c>
      <c r="G8125" s="74">
        <v>37.778611596036804</v>
      </c>
      <c r="H8125" s="74">
        <f t="shared" si="253"/>
        <v>2.7157887472957185</v>
      </c>
    </row>
    <row r="8126" spans="5:8" ht="15.6">
      <c r="E8126" s="279" t="s">
        <v>8452</v>
      </c>
      <c r="F8126" s="284">
        <f t="shared" ca="1" si="252"/>
        <v>0.39268461244387198</v>
      </c>
      <c r="G8126" s="74">
        <v>36.349565164950015</v>
      </c>
      <c r="H8126" s="74">
        <f t="shared" si="253"/>
        <v>4.1448351783825075</v>
      </c>
    </row>
    <row r="8127" spans="5:8" ht="15.6">
      <c r="E8127" s="279" t="s">
        <v>8453</v>
      </c>
      <c r="F8127" s="284">
        <f t="shared" ca="1" si="252"/>
        <v>0.38324253116342333</v>
      </c>
      <c r="G8127" s="74">
        <v>35.139092048610593</v>
      </c>
      <c r="H8127" s="74">
        <f t="shared" si="253"/>
        <v>5.3553082947219295</v>
      </c>
    </row>
    <row r="8128" spans="5:8" ht="15.6">
      <c r="E8128" s="279" t="s">
        <v>8454</v>
      </c>
      <c r="F8128" s="284">
        <f t="shared" ca="1" si="252"/>
        <v>0.52403816871415865</v>
      </c>
      <c r="G8128" s="74">
        <v>40.627153389553314</v>
      </c>
      <c r="H8128" s="74">
        <f t="shared" si="253"/>
        <v>-0.13275304622079176</v>
      </c>
    </row>
    <row r="8129" spans="5:8" ht="15.6">
      <c r="E8129" s="279" t="s">
        <v>8455</v>
      </c>
      <c r="F8129" s="284">
        <f t="shared" ca="1" si="252"/>
        <v>0.16576928536231639</v>
      </c>
      <c r="G8129" s="74">
        <v>36.938038325302969</v>
      </c>
      <c r="H8129" s="74">
        <f t="shared" si="253"/>
        <v>3.556362018029553</v>
      </c>
    </row>
    <row r="8130" spans="5:8" ht="15.6">
      <c r="E8130" s="279" t="s">
        <v>8456</v>
      </c>
      <c r="F8130" s="284">
        <f t="shared" ca="1" si="252"/>
        <v>0.13575140122903229</v>
      </c>
      <c r="G8130" s="74">
        <v>37.401597982156396</v>
      </c>
      <c r="H8130" s="74">
        <f t="shared" si="253"/>
        <v>3.0928023611761262</v>
      </c>
    </row>
    <row r="8131" spans="5:8" ht="15.6">
      <c r="E8131" s="279" t="s">
        <v>8457</v>
      </c>
      <c r="F8131" s="284">
        <f t="shared" ca="1" si="252"/>
        <v>0.77224184879066371</v>
      </c>
      <c r="G8131" s="74">
        <v>41.292246067955162</v>
      </c>
      <c r="H8131" s="74">
        <f t="shared" si="253"/>
        <v>-0.79784572462263981</v>
      </c>
    </row>
    <row r="8132" spans="5:8" ht="15.6">
      <c r="E8132" s="279" t="s">
        <v>8458</v>
      </c>
      <c r="F8132" s="284">
        <f t="shared" ca="1" si="252"/>
        <v>0.3159562635065144</v>
      </c>
      <c r="G8132" s="74">
        <v>39.84647950351745</v>
      </c>
      <c r="H8132" s="74">
        <f t="shared" si="253"/>
        <v>0.64792083981507176</v>
      </c>
    </row>
    <row r="8133" spans="5:8" ht="15.6">
      <c r="E8133" s="279" t="s">
        <v>8459</v>
      </c>
      <c r="F8133" s="284">
        <f t="shared" ca="1" si="252"/>
        <v>0.16848151570336567</v>
      </c>
      <c r="G8133" s="74">
        <v>40.026568259210563</v>
      </c>
      <c r="H8133" s="74">
        <f t="shared" si="253"/>
        <v>0.46783208412195876</v>
      </c>
    </row>
    <row r="8134" spans="5:8" ht="15.6">
      <c r="E8134" s="279" t="s">
        <v>8460</v>
      </c>
      <c r="F8134" s="284">
        <f t="shared" ca="1" si="252"/>
        <v>0.6702487541714518</v>
      </c>
      <c r="G8134" s="74">
        <v>36.52512999571158</v>
      </c>
      <c r="H8134" s="74">
        <f t="shared" si="253"/>
        <v>3.9692703476209417</v>
      </c>
    </row>
    <row r="8135" spans="5:8" ht="15.6">
      <c r="E8135" s="279" t="s">
        <v>8461</v>
      </c>
      <c r="F8135" s="284">
        <f t="shared" ca="1" si="252"/>
        <v>0.20032632371795567</v>
      </c>
      <c r="G8135" s="74">
        <v>38.797248697385186</v>
      </c>
      <c r="H8135" s="74">
        <f t="shared" si="253"/>
        <v>1.6971516459473364</v>
      </c>
    </row>
    <row r="8136" spans="5:8" ht="15.6">
      <c r="E8136" s="279" t="s">
        <v>8462</v>
      </c>
      <c r="F8136" s="284">
        <f t="shared" ca="1" si="252"/>
        <v>0.10855891614231472</v>
      </c>
      <c r="G8136" s="74">
        <v>42.74311338071022</v>
      </c>
      <c r="H8136" s="74">
        <f t="shared" si="253"/>
        <v>-2.2487130373776978</v>
      </c>
    </row>
    <row r="8137" spans="5:8" ht="15.6">
      <c r="E8137" s="279" t="s">
        <v>8463</v>
      </c>
      <c r="F8137" s="284">
        <f t="shared" ca="1" si="252"/>
        <v>0.73700795552922571</v>
      </c>
      <c r="G8137" s="74">
        <v>41.011760932581993</v>
      </c>
      <c r="H8137" s="74">
        <f t="shared" si="253"/>
        <v>-0.51736058924947059</v>
      </c>
    </row>
    <row r="8138" spans="5:8" ht="15.6">
      <c r="E8138" s="279" t="s">
        <v>8464</v>
      </c>
      <c r="F8138" s="284">
        <f t="shared" ca="1" si="252"/>
        <v>0.29137310195182187</v>
      </c>
      <c r="G8138" s="74">
        <v>34.155429926393452</v>
      </c>
      <c r="H8138" s="74">
        <f t="shared" si="253"/>
        <v>6.3389704169390697</v>
      </c>
    </row>
    <row r="8139" spans="5:8" ht="15.6">
      <c r="E8139" s="279" t="s">
        <v>8465</v>
      </c>
      <c r="F8139" s="284">
        <f t="shared" ca="1" si="252"/>
        <v>0.78281795775730212</v>
      </c>
      <c r="G8139" s="74">
        <v>39.131618773536196</v>
      </c>
      <c r="H8139" s="74">
        <f t="shared" si="253"/>
        <v>1.3627815697963257</v>
      </c>
    </row>
    <row r="8140" spans="5:8" ht="15.6">
      <c r="E8140" s="279" t="s">
        <v>8466</v>
      </c>
      <c r="F8140" s="284">
        <f t="shared" ref="F8140:F8203" ca="1" si="254">RAND()</f>
        <v>0.52033836386806376</v>
      </c>
      <c r="G8140" s="74">
        <v>36.77437205065177</v>
      </c>
      <c r="H8140" s="74">
        <f t="shared" ref="H8140:H8203" si="255">$D$2-G8140</f>
        <v>3.7200282926807517</v>
      </c>
    </row>
    <row r="8141" spans="5:8" ht="15.6">
      <c r="E8141" s="279" t="s">
        <v>8467</v>
      </c>
      <c r="F8141" s="284">
        <f t="shared" ca="1" si="254"/>
        <v>0.72738037720482884</v>
      </c>
      <c r="G8141" s="74">
        <v>40.039864123290272</v>
      </c>
      <c r="H8141" s="74">
        <f t="shared" si="255"/>
        <v>0.45453622004225025</v>
      </c>
    </row>
    <row r="8142" spans="5:8" ht="15.6">
      <c r="E8142" s="279" t="s">
        <v>8468</v>
      </c>
      <c r="F8142" s="284">
        <f t="shared" ca="1" si="254"/>
        <v>0.26939865184259104</v>
      </c>
      <c r="G8142" s="74">
        <v>36.870038811695508</v>
      </c>
      <c r="H8142" s="74">
        <f t="shared" si="255"/>
        <v>3.6243615316370139</v>
      </c>
    </row>
    <row r="8143" spans="5:8" ht="15.6">
      <c r="E8143" s="279" t="s">
        <v>8469</v>
      </c>
      <c r="F8143" s="284">
        <f t="shared" ca="1" si="254"/>
        <v>0.68306353351192395</v>
      </c>
      <c r="G8143" s="74">
        <v>38.028696948373167</v>
      </c>
      <c r="H8143" s="74">
        <f t="shared" si="255"/>
        <v>2.4657033949593554</v>
      </c>
    </row>
    <row r="8144" spans="5:8" ht="15.6">
      <c r="E8144" s="279" t="s">
        <v>8470</v>
      </c>
      <c r="F8144" s="284">
        <f t="shared" ca="1" si="254"/>
        <v>9.2819826118516024E-2</v>
      </c>
      <c r="G8144" s="74">
        <v>42.70737108743652</v>
      </c>
      <c r="H8144" s="74">
        <f t="shared" si="255"/>
        <v>-2.2129707441039983</v>
      </c>
    </row>
    <row r="8145" spans="5:8" ht="15.6">
      <c r="E8145" s="279" t="s">
        <v>8471</v>
      </c>
      <c r="F8145" s="284">
        <f t="shared" ca="1" si="254"/>
        <v>0.93754556017516932</v>
      </c>
      <c r="G8145" s="74">
        <v>35.549154464611185</v>
      </c>
      <c r="H8145" s="74">
        <f t="shared" si="255"/>
        <v>4.9452458787213374</v>
      </c>
    </row>
    <row r="8146" spans="5:8" ht="15.6">
      <c r="E8146" s="279" t="s">
        <v>8472</v>
      </c>
      <c r="F8146" s="284">
        <f t="shared" ca="1" si="254"/>
        <v>0.68143126706138824</v>
      </c>
      <c r="G8146" s="74">
        <v>40.115624812333188</v>
      </c>
      <c r="H8146" s="74">
        <f t="shared" si="255"/>
        <v>0.37877553099933436</v>
      </c>
    </row>
    <row r="8147" spans="5:8" ht="15.6">
      <c r="E8147" s="279" t="s">
        <v>8473</v>
      </c>
      <c r="F8147" s="284">
        <f t="shared" ca="1" si="254"/>
        <v>0.67019356865474466</v>
      </c>
      <c r="G8147" s="74">
        <v>38.9228286572773</v>
      </c>
      <c r="H8147" s="74">
        <f t="shared" si="255"/>
        <v>1.571571686055222</v>
      </c>
    </row>
    <row r="8148" spans="5:8" ht="15.6">
      <c r="E8148" s="279" t="s">
        <v>8474</v>
      </c>
      <c r="F8148" s="284">
        <f t="shared" ca="1" si="254"/>
        <v>0.82441481641772885</v>
      </c>
      <c r="G8148" s="74">
        <v>37.072999564120174</v>
      </c>
      <c r="H8148" s="74">
        <f t="shared" si="255"/>
        <v>3.4214007792123482</v>
      </c>
    </row>
    <row r="8149" spans="5:8" ht="15.6">
      <c r="E8149" s="279" t="s">
        <v>8475</v>
      </c>
      <c r="F8149" s="284">
        <f t="shared" ca="1" si="254"/>
        <v>0.52903547869287859</v>
      </c>
      <c r="G8149" s="74">
        <v>38.996779003078423</v>
      </c>
      <c r="H8149" s="74">
        <f t="shared" si="255"/>
        <v>1.4976213402540992</v>
      </c>
    </row>
    <row r="8150" spans="5:8" ht="15.6">
      <c r="E8150" s="279" t="s">
        <v>8476</v>
      </c>
      <c r="F8150" s="284">
        <f t="shared" ca="1" si="254"/>
        <v>0.3637731850396384</v>
      </c>
      <c r="G8150" s="74">
        <v>38.631454313571929</v>
      </c>
      <c r="H8150" s="74">
        <f t="shared" si="255"/>
        <v>1.8629460297605931</v>
      </c>
    </row>
    <row r="8151" spans="5:8" ht="15.6">
      <c r="E8151" s="279" t="s">
        <v>8477</v>
      </c>
      <c r="F8151" s="284">
        <f t="shared" ca="1" si="254"/>
        <v>0.15211225145549345</v>
      </c>
      <c r="G8151" s="74">
        <v>40.980357895167316</v>
      </c>
      <c r="H8151" s="74">
        <f t="shared" si="255"/>
        <v>-0.48595755183479383</v>
      </c>
    </row>
    <row r="8152" spans="5:8" ht="15.6">
      <c r="E8152" s="279" t="s">
        <v>8478</v>
      </c>
      <c r="F8152" s="284">
        <f t="shared" ca="1" si="254"/>
        <v>0.6917416570978413</v>
      </c>
      <c r="G8152" s="74">
        <v>39.995736825955206</v>
      </c>
      <c r="H8152" s="74">
        <f t="shared" si="255"/>
        <v>0.49866351737731662</v>
      </c>
    </row>
    <row r="8153" spans="5:8" ht="15.6">
      <c r="E8153" s="279" t="s">
        <v>8479</v>
      </c>
      <c r="F8153" s="284">
        <f t="shared" ca="1" si="254"/>
        <v>0.97095527988065067</v>
      </c>
      <c r="G8153" s="74">
        <v>36.726064305315617</v>
      </c>
      <c r="H8153" s="74">
        <f t="shared" si="255"/>
        <v>3.7683360380169049</v>
      </c>
    </row>
    <row r="8154" spans="5:8" ht="15.6">
      <c r="E8154" s="279" t="s">
        <v>8480</v>
      </c>
      <c r="F8154" s="284">
        <f t="shared" ca="1" si="254"/>
        <v>0.67160015996527167</v>
      </c>
      <c r="G8154" s="74">
        <v>45.34720956573851</v>
      </c>
      <c r="H8154" s="74">
        <f t="shared" si="255"/>
        <v>-4.8528092224059876</v>
      </c>
    </row>
    <row r="8155" spans="5:8" ht="15.6">
      <c r="E8155" s="279" t="s">
        <v>8481</v>
      </c>
      <c r="F8155" s="284">
        <f t="shared" ca="1" si="254"/>
        <v>0.61236680622712814</v>
      </c>
      <c r="G8155" s="74">
        <v>39.912650141426283</v>
      </c>
      <c r="H8155" s="74">
        <f t="shared" si="255"/>
        <v>0.58175020190623883</v>
      </c>
    </row>
    <row r="8156" spans="5:8" ht="15.6">
      <c r="E8156" s="279" t="s">
        <v>8482</v>
      </c>
      <c r="F8156" s="284">
        <f t="shared" ca="1" si="254"/>
        <v>0.99656698144401989</v>
      </c>
      <c r="G8156" s="74">
        <v>38.872025963005157</v>
      </c>
      <c r="H8156" s="74">
        <f t="shared" si="255"/>
        <v>1.6223743803273649</v>
      </c>
    </row>
    <row r="8157" spans="5:8" ht="15.6">
      <c r="E8157" s="279" t="s">
        <v>8483</v>
      </c>
      <c r="F8157" s="284">
        <f t="shared" ca="1" si="254"/>
        <v>0.10737325712687795</v>
      </c>
      <c r="G8157" s="74">
        <v>38.815528383823285</v>
      </c>
      <c r="H8157" s="74">
        <f t="shared" si="255"/>
        <v>1.6788719595092374</v>
      </c>
    </row>
    <row r="8158" spans="5:8" ht="15.6">
      <c r="E8158" s="279" t="s">
        <v>8484</v>
      </c>
      <c r="F8158" s="284">
        <f t="shared" ca="1" si="254"/>
        <v>8.9513183526973128E-2</v>
      </c>
      <c r="G8158" s="74">
        <v>37.438110920582488</v>
      </c>
      <c r="H8158" s="74">
        <f t="shared" si="255"/>
        <v>3.0562894227500337</v>
      </c>
    </row>
    <row r="8159" spans="5:8" ht="15.6">
      <c r="E8159" s="279" t="s">
        <v>8485</v>
      </c>
      <c r="F8159" s="284">
        <f t="shared" ca="1" si="254"/>
        <v>0.95193390901076402</v>
      </c>
      <c r="G8159" s="74">
        <v>40.430707311048323</v>
      </c>
      <c r="H8159" s="74">
        <f t="shared" si="255"/>
        <v>6.3693032284199091E-2</v>
      </c>
    </row>
    <row r="8160" spans="5:8" ht="15.6">
      <c r="E8160" s="279" t="s">
        <v>8486</v>
      </c>
      <c r="F8160" s="284">
        <f t="shared" ca="1" si="254"/>
        <v>0.69713803988692924</v>
      </c>
      <c r="G8160" s="74">
        <v>44.399907781078348</v>
      </c>
      <c r="H8160" s="74">
        <f t="shared" si="255"/>
        <v>-3.9055074377458254</v>
      </c>
    </row>
    <row r="8161" spans="5:8" ht="15.6">
      <c r="E8161" s="279" t="s">
        <v>8487</v>
      </c>
      <c r="F8161" s="284">
        <f t="shared" ca="1" si="254"/>
        <v>0.8419503612576732</v>
      </c>
      <c r="G8161" s="74">
        <v>37.048856894009226</v>
      </c>
      <c r="H8161" s="74">
        <f t="shared" si="255"/>
        <v>3.4455434493232957</v>
      </c>
    </row>
    <row r="8162" spans="5:8" ht="15.6">
      <c r="E8162" s="279" t="s">
        <v>8488</v>
      </c>
      <c r="F8162" s="284">
        <f t="shared" ca="1" si="254"/>
        <v>0.38489354431022937</v>
      </c>
      <c r="G8162" s="74">
        <v>42.00085691581608</v>
      </c>
      <c r="H8162" s="74">
        <f t="shared" si="255"/>
        <v>-1.5064565724835575</v>
      </c>
    </row>
    <row r="8163" spans="5:8" ht="15.6">
      <c r="E8163" s="279" t="s">
        <v>8489</v>
      </c>
      <c r="F8163" s="284">
        <f t="shared" ca="1" si="254"/>
        <v>0.20189036683909622</v>
      </c>
      <c r="G8163" s="74">
        <v>40.245308082468334</v>
      </c>
      <c r="H8163" s="74">
        <f t="shared" si="255"/>
        <v>0.24909226086418812</v>
      </c>
    </row>
    <row r="8164" spans="5:8" ht="15.6">
      <c r="E8164" s="279" t="s">
        <v>8490</v>
      </c>
      <c r="F8164" s="284">
        <f t="shared" ca="1" si="254"/>
        <v>0.48329856137334881</v>
      </c>
      <c r="G8164" s="74">
        <v>35.586888899487626</v>
      </c>
      <c r="H8164" s="74">
        <f t="shared" si="255"/>
        <v>4.9075114438448963</v>
      </c>
    </row>
    <row r="8165" spans="5:8" ht="15.6">
      <c r="E8165" s="279" t="s">
        <v>8491</v>
      </c>
      <c r="F8165" s="284">
        <f t="shared" ca="1" si="254"/>
        <v>4.4234776051728097E-2</v>
      </c>
      <c r="G8165" s="74">
        <v>42.364751759058336</v>
      </c>
      <c r="H8165" s="74">
        <f t="shared" si="255"/>
        <v>-1.8703514157258141</v>
      </c>
    </row>
    <row r="8166" spans="5:8" ht="15.6">
      <c r="E8166" s="279" t="s">
        <v>8492</v>
      </c>
      <c r="F8166" s="284">
        <f t="shared" ca="1" si="254"/>
        <v>0.92127048609042816</v>
      </c>
      <c r="G8166" s="74">
        <v>41.513805665410587</v>
      </c>
      <c r="H8166" s="74">
        <f t="shared" si="255"/>
        <v>-1.0194053220780646</v>
      </c>
    </row>
    <row r="8167" spans="5:8" ht="15.6">
      <c r="E8167" s="279" t="s">
        <v>8493</v>
      </c>
      <c r="F8167" s="284">
        <f t="shared" ca="1" si="254"/>
        <v>0.814887684252803</v>
      </c>
      <c r="G8167" s="74">
        <v>37.797212468989585</v>
      </c>
      <c r="H8167" s="74">
        <f t="shared" si="255"/>
        <v>2.6971878743429372</v>
      </c>
    </row>
    <row r="8168" spans="5:8" ht="15.6">
      <c r="E8168" s="279" t="s">
        <v>8494</v>
      </c>
      <c r="F8168" s="284">
        <f t="shared" ca="1" si="254"/>
        <v>0.75411239916748418</v>
      </c>
      <c r="G8168" s="74">
        <v>38.49297230567916</v>
      </c>
      <c r="H8168" s="74">
        <f t="shared" si="255"/>
        <v>2.001428037653362</v>
      </c>
    </row>
    <row r="8169" spans="5:8" ht="15.6">
      <c r="E8169" s="279" t="s">
        <v>8495</v>
      </c>
      <c r="F8169" s="284">
        <f t="shared" ca="1" si="254"/>
        <v>0.78480149716091341</v>
      </c>
      <c r="G8169" s="74">
        <v>38.535526227737364</v>
      </c>
      <c r="H8169" s="74">
        <f t="shared" si="255"/>
        <v>1.9588741155951581</v>
      </c>
    </row>
    <row r="8170" spans="5:8" ht="15.6">
      <c r="E8170" s="279" t="s">
        <v>8496</v>
      </c>
      <c r="F8170" s="284">
        <f t="shared" ca="1" si="254"/>
        <v>0.1368097774122119</v>
      </c>
      <c r="G8170" s="74">
        <v>38.539796294780231</v>
      </c>
      <c r="H8170" s="74">
        <f t="shared" si="255"/>
        <v>1.9546040485522909</v>
      </c>
    </row>
    <row r="8171" spans="5:8" ht="15.6">
      <c r="E8171" s="279" t="s">
        <v>8497</v>
      </c>
      <c r="F8171" s="284">
        <f t="shared" ca="1" si="254"/>
        <v>0.66136563961992278</v>
      </c>
      <c r="G8171" s="74">
        <v>43.239098042604233</v>
      </c>
      <c r="H8171" s="74">
        <f t="shared" si="255"/>
        <v>-2.7446976992717111</v>
      </c>
    </row>
    <row r="8172" spans="5:8" ht="15.6">
      <c r="E8172" s="279" t="s">
        <v>8498</v>
      </c>
      <c r="F8172" s="284">
        <f t="shared" ca="1" si="254"/>
        <v>0.49689713013819325</v>
      </c>
      <c r="G8172" s="74">
        <v>44.794840333029498</v>
      </c>
      <c r="H8172" s="74">
        <f t="shared" si="255"/>
        <v>-4.3004399896969758</v>
      </c>
    </row>
    <row r="8173" spans="5:8" ht="15.6">
      <c r="E8173" s="279" t="s">
        <v>8499</v>
      </c>
      <c r="F8173" s="284">
        <f t="shared" ca="1" si="254"/>
        <v>0.96847619905813009</v>
      </c>
      <c r="G8173" s="74">
        <v>38.618338792669121</v>
      </c>
      <c r="H8173" s="74">
        <f t="shared" si="255"/>
        <v>1.8760615506634011</v>
      </c>
    </row>
    <row r="8174" spans="5:8" ht="15.6">
      <c r="E8174" s="279" t="s">
        <v>8500</v>
      </c>
      <c r="F8174" s="284">
        <f t="shared" ca="1" si="254"/>
        <v>0.69452443362373228</v>
      </c>
      <c r="G8174" s="74">
        <v>34.754118542964299</v>
      </c>
      <c r="H8174" s="74">
        <f t="shared" si="255"/>
        <v>5.7402818003682228</v>
      </c>
    </row>
    <row r="8175" spans="5:8" ht="15.6">
      <c r="E8175" s="279" t="s">
        <v>8501</v>
      </c>
      <c r="F8175" s="284">
        <f t="shared" ca="1" si="254"/>
        <v>0.71413986702741983</v>
      </c>
      <c r="G8175" s="74">
        <v>37.73203962367382</v>
      </c>
      <c r="H8175" s="74">
        <f t="shared" si="255"/>
        <v>2.7623607196587017</v>
      </c>
    </row>
    <row r="8176" spans="5:8" ht="15.6">
      <c r="E8176" s="279" t="s">
        <v>8502</v>
      </c>
      <c r="F8176" s="284">
        <f t="shared" ca="1" si="254"/>
        <v>5.6694951175396024E-2</v>
      </c>
      <c r="G8176" s="74">
        <v>41.929424455118138</v>
      </c>
      <c r="H8176" s="74">
        <f t="shared" si="255"/>
        <v>-1.4350241117856157</v>
      </c>
    </row>
    <row r="8177" spans="5:8" ht="15.6">
      <c r="E8177" s="279" t="s">
        <v>8503</v>
      </c>
      <c r="F8177" s="284">
        <f t="shared" ca="1" si="254"/>
        <v>9.0245925722078568E-2</v>
      </c>
      <c r="G8177" s="74">
        <v>39.293055646211378</v>
      </c>
      <c r="H8177" s="74">
        <f t="shared" si="255"/>
        <v>1.2013446971211437</v>
      </c>
    </row>
    <row r="8178" spans="5:8" ht="15.6">
      <c r="E8178" s="279" t="s">
        <v>8504</v>
      </c>
      <c r="F8178" s="284">
        <f t="shared" ca="1" si="254"/>
        <v>0.96148244011804473</v>
      </c>
      <c r="G8178" s="74">
        <v>41.80521236157405</v>
      </c>
      <c r="H8178" s="74">
        <f t="shared" si="255"/>
        <v>-1.3108120182415277</v>
      </c>
    </row>
    <row r="8179" spans="5:8" ht="15.6">
      <c r="E8179" s="279" t="s">
        <v>8505</v>
      </c>
      <c r="F8179" s="284">
        <f t="shared" ca="1" si="254"/>
        <v>0.39375246555762544</v>
      </c>
      <c r="G8179" s="74">
        <v>44.391670670956131</v>
      </c>
      <c r="H8179" s="74">
        <f t="shared" si="255"/>
        <v>-3.8972703276236089</v>
      </c>
    </row>
    <row r="8180" spans="5:8" ht="15.6">
      <c r="E8180" s="279" t="s">
        <v>8506</v>
      </c>
      <c r="F8180" s="284">
        <f t="shared" ca="1" si="254"/>
        <v>0.14948648410654997</v>
      </c>
      <c r="G8180" s="74">
        <v>38.163530234142648</v>
      </c>
      <c r="H8180" s="74">
        <f t="shared" si="255"/>
        <v>2.330870109189874</v>
      </c>
    </row>
    <row r="8181" spans="5:8" ht="15.6">
      <c r="E8181" s="279" t="s">
        <v>8507</v>
      </c>
      <c r="F8181" s="284">
        <f t="shared" ca="1" si="254"/>
        <v>0.30373741158887368</v>
      </c>
      <c r="G8181" s="74">
        <v>39.942470075783653</v>
      </c>
      <c r="H8181" s="74">
        <f t="shared" si="255"/>
        <v>0.55193026754886887</v>
      </c>
    </row>
    <row r="8182" spans="5:8" ht="15.6">
      <c r="E8182" s="279" t="s">
        <v>8508</v>
      </c>
      <c r="F8182" s="284">
        <f t="shared" ca="1" si="254"/>
        <v>0.96511142499831526</v>
      </c>
      <c r="G8182" s="74">
        <v>37.698083544716006</v>
      </c>
      <c r="H8182" s="74">
        <f t="shared" si="255"/>
        <v>2.7963167986165161</v>
      </c>
    </row>
    <row r="8183" spans="5:8" ht="15.6">
      <c r="E8183" s="279" t="s">
        <v>8509</v>
      </c>
      <c r="F8183" s="284">
        <f t="shared" ca="1" si="254"/>
        <v>0.14167593853221849</v>
      </c>
      <c r="G8183" s="74">
        <v>38.745124047581207</v>
      </c>
      <c r="H8183" s="74">
        <f t="shared" si="255"/>
        <v>1.749276295751315</v>
      </c>
    </row>
    <row r="8184" spans="5:8" ht="15.6">
      <c r="E8184" s="279" t="s">
        <v>8510</v>
      </c>
      <c r="F8184" s="284">
        <f t="shared" ca="1" si="254"/>
        <v>0.62677894717764049</v>
      </c>
      <c r="G8184" s="74">
        <v>36.703751683587477</v>
      </c>
      <c r="H8184" s="74">
        <f t="shared" si="255"/>
        <v>3.7906486597450453</v>
      </c>
    </row>
    <row r="8185" spans="5:8" ht="15.6">
      <c r="E8185" s="279" t="s">
        <v>8511</v>
      </c>
      <c r="F8185" s="284">
        <f t="shared" ca="1" si="254"/>
        <v>0.70098896737846772</v>
      </c>
      <c r="G8185" s="74">
        <v>39.552119348498124</v>
      </c>
      <c r="H8185" s="74">
        <f t="shared" si="255"/>
        <v>0.9422809948343982</v>
      </c>
    </row>
    <row r="8186" spans="5:8" ht="15.6">
      <c r="E8186" s="279" t="s">
        <v>8512</v>
      </c>
      <c r="F8186" s="284">
        <f t="shared" ca="1" si="254"/>
        <v>0.71429340453212409</v>
      </c>
      <c r="G8186" s="74">
        <v>37.152031486540146</v>
      </c>
      <c r="H8186" s="74">
        <f t="shared" si="255"/>
        <v>3.3423688567923762</v>
      </c>
    </row>
    <row r="8187" spans="5:8" ht="15.6">
      <c r="E8187" s="279" t="s">
        <v>8513</v>
      </c>
      <c r="F8187" s="284">
        <f t="shared" ca="1" si="254"/>
        <v>0.68063440002421238</v>
      </c>
      <c r="G8187" s="74">
        <v>34.411889847293004</v>
      </c>
      <c r="H8187" s="74">
        <f t="shared" si="255"/>
        <v>6.082510496039518</v>
      </c>
    </row>
    <row r="8188" spans="5:8" ht="15.6">
      <c r="E8188" s="279" t="s">
        <v>8514</v>
      </c>
      <c r="F8188" s="284">
        <f t="shared" ca="1" si="254"/>
        <v>0.67656570598125354</v>
      </c>
      <c r="G8188" s="74">
        <v>41.858505958689577</v>
      </c>
      <c r="H8188" s="74">
        <f t="shared" si="255"/>
        <v>-1.3641056153570545</v>
      </c>
    </row>
    <row r="8189" spans="5:8" ht="15.6">
      <c r="E8189" s="279" t="s">
        <v>8515</v>
      </c>
      <c r="F8189" s="284">
        <f t="shared" ca="1" si="254"/>
        <v>0.87093032047087326</v>
      </c>
      <c r="G8189" s="74">
        <v>37.969300104894842</v>
      </c>
      <c r="H8189" s="74">
        <f t="shared" si="255"/>
        <v>2.5251002384376804</v>
      </c>
    </row>
    <row r="8190" spans="5:8" ht="15.6">
      <c r="E8190" s="279" t="s">
        <v>8516</v>
      </c>
      <c r="F8190" s="284">
        <f t="shared" ca="1" si="254"/>
        <v>0.68632728591516479</v>
      </c>
      <c r="G8190" s="74">
        <v>40.486555520680128</v>
      </c>
      <c r="H8190" s="74">
        <f t="shared" si="255"/>
        <v>7.8448226523946119E-3</v>
      </c>
    </row>
    <row r="8191" spans="5:8" ht="15.6">
      <c r="E8191" s="279" t="s">
        <v>8517</v>
      </c>
      <c r="F8191" s="284">
        <f t="shared" ca="1" si="254"/>
        <v>0.38425261510048903</v>
      </c>
      <c r="G8191" s="74">
        <v>39.887397702405345</v>
      </c>
      <c r="H8191" s="74">
        <f t="shared" si="255"/>
        <v>0.60700264092717759</v>
      </c>
    </row>
    <row r="8192" spans="5:8" ht="15.6">
      <c r="E8192" s="279" t="s">
        <v>8518</v>
      </c>
      <c r="F8192" s="284">
        <f t="shared" ca="1" si="254"/>
        <v>9.0554617658719083E-2</v>
      </c>
      <c r="G8192" s="74">
        <v>36.857243966409406</v>
      </c>
      <c r="H8192" s="74">
        <f t="shared" si="255"/>
        <v>3.6371563769231159</v>
      </c>
    </row>
    <row r="8193" spans="5:8" ht="15.6">
      <c r="E8193" s="279" t="s">
        <v>8519</v>
      </c>
      <c r="F8193" s="284">
        <f t="shared" ca="1" si="254"/>
        <v>0.20596612912449408</v>
      </c>
      <c r="G8193" s="74">
        <v>40.834880860876915</v>
      </c>
      <c r="H8193" s="74">
        <f t="shared" si="255"/>
        <v>-0.34048051754439257</v>
      </c>
    </row>
    <row r="8194" spans="5:8" ht="15.6">
      <c r="E8194" s="279" t="s">
        <v>8520</v>
      </c>
      <c r="F8194" s="284">
        <f t="shared" ca="1" si="254"/>
        <v>0.34937811918361383</v>
      </c>
      <c r="G8194" s="74">
        <v>38.174304358935295</v>
      </c>
      <c r="H8194" s="74">
        <f t="shared" si="255"/>
        <v>2.3200959843972271</v>
      </c>
    </row>
    <row r="8195" spans="5:8" ht="15.6">
      <c r="E8195" s="279" t="s">
        <v>8521</v>
      </c>
      <c r="F8195" s="284">
        <f t="shared" ca="1" si="254"/>
        <v>7.6722148500582232E-2</v>
      </c>
      <c r="G8195" s="74">
        <v>44.107014980981965</v>
      </c>
      <c r="H8195" s="74">
        <f t="shared" si="255"/>
        <v>-3.6126146376494432</v>
      </c>
    </row>
    <row r="8196" spans="5:8" ht="15.6">
      <c r="E8196" s="279" t="s">
        <v>8522</v>
      </c>
      <c r="F8196" s="284">
        <f t="shared" ca="1" si="254"/>
        <v>0.46881840562780031</v>
      </c>
      <c r="G8196" s="74">
        <v>39.307428506401266</v>
      </c>
      <c r="H8196" s="74">
        <f t="shared" si="255"/>
        <v>1.1869718369312565</v>
      </c>
    </row>
    <row r="8197" spans="5:8" ht="15.6">
      <c r="E8197" s="279" t="s">
        <v>8523</v>
      </c>
      <c r="F8197" s="284">
        <f t="shared" ca="1" si="254"/>
        <v>0.31243874992366616</v>
      </c>
      <c r="G8197" s="74">
        <v>39.227429768742056</v>
      </c>
      <c r="H8197" s="74">
        <f t="shared" si="255"/>
        <v>1.2669705745904665</v>
      </c>
    </row>
    <row r="8198" spans="5:8" ht="15.6">
      <c r="E8198" s="279" t="s">
        <v>8524</v>
      </c>
      <c r="F8198" s="284">
        <f t="shared" ca="1" si="254"/>
        <v>0.87862849910836249</v>
      </c>
      <c r="G8198" s="74">
        <v>41.331440147785123</v>
      </c>
      <c r="H8198" s="74">
        <f t="shared" si="255"/>
        <v>-0.83703980445260129</v>
      </c>
    </row>
    <row r="8199" spans="5:8" ht="15.6">
      <c r="E8199" s="279" t="s">
        <v>8525</v>
      </c>
      <c r="F8199" s="284">
        <f t="shared" ca="1" si="254"/>
        <v>0.12269783267502743</v>
      </c>
      <c r="G8199" s="74">
        <v>40.90747848932039</v>
      </c>
      <c r="H8199" s="74">
        <f t="shared" si="255"/>
        <v>-0.41307814598786763</v>
      </c>
    </row>
    <row r="8200" spans="5:8" ht="15.6">
      <c r="E8200" s="279" t="s">
        <v>8526</v>
      </c>
      <c r="F8200" s="284">
        <f t="shared" ca="1" si="254"/>
        <v>0.16318660130540652</v>
      </c>
      <c r="G8200" s="74">
        <v>42.985821936990817</v>
      </c>
      <c r="H8200" s="74">
        <f t="shared" si="255"/>
        <v>-2.4914215936582949</v>
      </c>
    </row>
    <row r="8201" spans="5:8" ht="15.6">
      <c r="E8201" s="279" t="s">
        <v>8527</v>
      </c>
      <c r="F8201" s="284">
        <f t="shared" ca="1" si="254"/>
        <v>0.44069901647364496</v>
      </c>
      <c r="G8201" s="74">
        <v>44.0630704296631</v>
      </c>
      <c r="H8201" s="74">
        <f t="shared" si="255"/>
        <v>-3.5686700863305774</v>
      </c>
    </row>
    <row r="8202" spans="5:8" ht="15.6">
      <c r="E8202" s="279" t="s">
        <v>8528</v>
      </c>
      <c r="F8202" s="284">
        <f t="shared" ca="1" si="254"/>
        <v>0.77609743367410644</v>
      </c>
      <c r="G8202" s="74">
        <v>40.375770898116649</v>
      </c>
      <c r="H8202" s="74">
        <f t="shared" si="255"/>
        <v>0.11862944521587337</v>
      </c>
    </row>
    <row r="8203" spans="5:8" ht="15.6">
      <c r="E8203" s="279" t="s">
        <v>8529</v>
      </c>
      <c r="F8203" s="284">
        <f t="shared" ca="1" si="254"/>
        <v>0.80917983663420123</v>
      </c>
      <c r="G8203" s="74">
        <v>40.25900753185671</v>
      </c>
      <c r="H8203" s="74">
        <f t="shared" si="255"/>
        <v>0.23539281147581192</v>
      </c>
    </row>
    <row r="8204" spans="5:8" ht="15.6">
      <c r="E8204" s="279" t="s">
        <v>8530</v>
      </c>
      <c r="F8204" s="284">
        <f t="shared" ref="F8204:F8267" ca="1" si="256">RAND()</f>
        <v>0.60762914273291502</v>
      </c>
      <c r="G8204" s="74">
        <v>42.244327579195598</v>
      </c>
      <c r="H8204" s="74">
        <f t="shared" ref="H8204:H8267" si="257">$D$2-G8204</f>
        <v>-1.7499272358630762</v>
      </c>
    </row>
    <row r="8205" spans="5:8" ht="15.6">
      <c r="E8205" s="279" t="s">
        <v>8531</v>
      </c>
      <c r="F8205" s="284">
        <f t="shared" ca="1" si="256"/>
        <v>0.92300371571179129</v>
      </c>
      <c r="G8205" s="74">
        <v>42.136410148293763</v>
      </c>
      <c r="H8205" s="74">
        <f t="shared" si="257"/>
        <v>-1.6420098049612406</v>
      </c>
    </row>
    <row r="8206" spans="5:8" ht="15.6">
      <c r="E8206" s="279" t="s">
        <v>8532</v>
      </c>
      <c r="F8206" s="284">
        <f t="shared" ca="1" si="256"/>
        <v>0.13803402843547474</v>
      </c>
      <c r="G8206" s="74">
        <v>40.744825879424184</v>
      </c>
      <c r="H8206" s="74">
        <f t="shared" si="257"/>
        <v>-0.25042553609166163</v>
      </c>
    </row>
    <row r="8207" spans="5:8" ht="15.6">
      <c r="E8207" s="279" t="s">
        <v>8533</v>
      </c>
      <c r="F8207" s="284">
        <f t="shared" ca="1" si="256"/>
        <v>0.33746437395344586</v>
      </c>
      <c r="G8207" s="74">
        <v>40.599400323016724</v>
      </c>
      <c r="H8207" s="74">
        <f t="shared" si="257"/>
        <v>-0.10499997968420161</v>
      </c>
    </row>
    <row r="8208" spans="5:8" ht="15.6">
      <c r="E8208" s="279" t="s">
        <v>8534</v>
      </c>
      <c r="F8208" s="284">
        <f t="shared" ca="1" si="256"/>
        <v>0.48883442556957424</v>
      </c>
      <c r="G8208" s="74">
        <v>37.413288324561599</v>
      </c>
      <c r="H8208" s="74">
        <f t="shared" si="257"/>
        <v>3.0811120187709236</v>
      </c>
    </row>
    <row r="8209" spans="5:8" ht="15.6">
      <c r="E8209" s="279" t="s">
        <v>8535</v>
      </c>
      <c r="F8209" s="284">
        <f t="shared" ca="1" si="256"/>
        <v>8.6700959337107752E-2</v>
      </c>
      <c r="G8209" s="74">
        <v>36.262538442077556</v>
      </c>
      <c r="H8209" s="74">
        <f t="shared" si="257"/>
        <v>4.2318619012549661</v>
      </c>
    </row>
    <row r="8210" spans="5:8" ht="15.6">
      <c r="E8210" s="279" t="s">
        <v>8536</v>
      </c>
      <c r="F8210" s="284">
        <f t="shared" ca="1" si="256"/>
        <v>0.47848746034976541</v>
      </c>
      <c r="G8210" s="74">
        <v>38.999162526499859</v>
      </c>
      <c r="H8210" s="74">
        <f t="shared" si="257"/>
        <v>1.4952378168326632</v>
      </c>
    </row>
    <row r="8211" spans="5:8" ht="15.6">
      <c r="E8211" s="279" t="s">
        <v>8537</v>
      </c>
      <c r="F8211" s="284">
        <f t="shared" ca="1" si="256"/>
        <v>0.75463858962525876</v>
      </c>
      <c r="G8211" s="74">
        <v>39.638207067358451</v>
      </c>
      <c r="H8211" s="74">
        <f t="shared" si="257"/>
        <v>0.85619327597407135</v>
      </c>
    </row>
    <row r="8212" spans="5:8" ht="15.6">
      <c r="E8212" s="279" t="s">
        <v>8538</v>
      </c>
      <c r="F8212" s="284">
        <f t="shared" ca="1" si="256"/>
        <v>0.4998132789240971</v>
      </c>
      <c r="G8212" s="74">
        <v>40.929265650333647</v>
      </c>
      <c r="H8212" s="74">
        <f t="shared" si="257"/>
        <v>-0.43486530700112525</v>
      </c>
    </row>
    <row r="8213" spans="5:8" ht="15.6">
      <c r="E8213" s="279" t="s">
        <v>8539</v>
      </c>
      <c r="F8213" s="284">
        <f t="shared" ca="1" si="256"/>
        <v>0.71421206948960891</v>
      </c>
      <c r="G8213" s="74">
        <v>37.207367203637261</v>
      </c>
      <c r="H8213" s="74">
        <f t="shared" si="257"/>
        <v>3.2870331396952608</v>
      </c>
    </row>
    <row r="8214" spans="5:8" ht="15.6">
      <c r="E8214" s="279" t="s">
        <v>8540</v>
      </c>
      <c r="F8214" s="284">
        <f t="shared" ca="1" si="256"/>
        <v>0.89630893304981685</v>
      </c>
      <c r="G8214" s="74">
        <v>44.485488932471455</v>
      </c>
      <c r="H8214" s="74">
        <f t="shared" si="257"/>
        <v>-3.9910885891389327</v>
      </c>
    </row>
    <row r="8215" spans="5:8" ht="15.6">
      <c r="E8215" s="279" t="s">
        <v>8541</v>
      </c>
      <c r="F8215" s="284">
        <f t="shared" ca="1" si="256"/>
        <v>0.74188969778853942</v>
      </c>
      <c r="G8215" s="74">
        <v>37.501563658913994</v>
      </c>
      <c r="H8215" s="74">
        <f t="shared" si="257"/>
        <v>2.9928366844185277</v>
      </c>
    </row>
    <row r="8216" spans="5:8" ht="15.6">
      <c r="E8216" s="279" t="s">
        <v>8542</v>
      </c>
      <c r="F8216" s="284">
        <f t="shared" ca="1" si="256"/>
        <v>6.4443163867646147E-2</v>
      </c>
      <c r="G8216" s="74">
        <v>38.958825335816883</v>
      </c>
      <c r="H8216" s="74">
        <f t="shared" si="257"/>
        <v>1.5355750075156394</v>
      </c>
    </row>
    <row r="8217" spans="5:8" ht="15.6">
      <c r="E8217" s="279" t="s">
        <v>8543</v>
      </c>
      <c r="F8217" s="284">
        <f t="shared" ca="1" si="256"/>
        <v>9.7149590853394585E-2</v>
      </c>
      <c r="G8217" s="74">
        <v>37.740859612317045</v>
      </c>
      <c r="H8217" s="74">
        <f t="shared" si="257"/>
        <v>2.7535407310154767</v>
      </c>
    </row>
    <row r="8218" spans="5:8" ht="15.6">
      <c r="E8218" s="279" t="s">
        <v>8544</v>
      </c>
      <c r="F8218" s="284">
        <f t="shared" ca="1" si="256"/>
        <v>0.78249347701969107</v>
      </c>
      <c r="G8218" s="74">
        <v>38.566115654370229</v>
      </c>
      <c r="H8218" s="74">
        <f t="shared" si="257"/>
        <v>1.9282846889622931</v>
      </c>
    </row>
    <row r="8219" spans="5:8" ht="15.6">
      <c r="E8219" s="279" t="s">
        <v>8545</v>
      </c>
      <c r="F8219" s="284">
        <f t="shared" ca="1" si="256"/>
        <v>0.40639389626658418</v>
      </c>
      <c r="G8219" s="74">
        <v>36.782247619284441</v>
      </c>
      <c r="H8219" s="74">
        <f t="shared" si="257"/>
        <v>3.7121527240480816</v>
      </c>
    </row>
    <row r="8220" spans="5:8" ht="15.6">
      <c r="E8220" s="279" t="s">
        <v>8546</v>
      </c>
      <c r="F8220" s="284">
        <f t="shared" ca="1" si="256"/>
        <v>7.5634146925512957E-2</v>
      </c>
      <c r="G8220" s="74">
        <v>38.618330548105391</v>
      </c>
      <c r="H8220" s="74">
        <f t="shared" si="257"/>
        <v>1.8760697952271315</v>
      </c>
    </row>
    <row r="8221" spans="5:8" ht="15.6">
      <c r="E8221" s="279" t="s">
        <v>8547</v>
      </c>
      <c r="F8221" s="284">
        <f t="shared" ca="1" si="256"/>
        <v>0.25966114710218091</v>
      </c>
      <c r="G8221" s="74">
        <v>40.471728914627548</v>
      </c>
      <c r="H8221" s="74">
        <f t="shared" si="257"/>
        <v>2.2671428704974517E-2</v>
      </c>
    </row>
    <row r="8222" spans="5:8" ht="15.6">
      <c r="E8222" s="279" t="s">
        <v>8548</v>
      </c>
      <c r="F8222" s="284">
        <f t="shared" ca="1" si="256"/>
        <v>0.52879261877139339</v>
      </c>
      <c r="G8222" s="74">
        <v>37.249050502307135</v>
      </c>
      <c r="H8222" s="74">
        <f t="shared" si="257"/>
        <v>3.2453498410253871</v>
      </c>
    </row>
    <row r="8223" spans="5:8" ht="15.6">
      <c r="E8223" s="279" t="s">
        <v>8549</v>
      </c>
      <c r="F8223" s="284">
        <f t="shared" ca="1" si="256"/>
        <v>0.56836395060818268</v>
      </c>
      <c r="G8223" s="74">
        <v>36.527501412370228</v>
      </c>
      <c r="H8223" s="74">
        <f t="shared" si="257"/>
        <v>3.9668989309622944</v>
      </c>
    </row>
    <row r="8224" spans="5:8" ht="15.6">
      <c r="E8224" s="279" t="s">
        <v>8550</v>
      </c>
      <c r="F8224" s="284">
        <f t="shared" ca="1" si="256"/>
        <v>0.56043616394203088</v>
      </c>
      <c r="G8224" s="74">
        <v>38.838810731842869</v>
      </c>
      <c r="H8224" s="74">
        <f t="shared" si="257"/>
        <v>1.6555896114896527</v>
      </c>
    </row>
    <row r="8225" spans="5:8" ht="15.6">
      <c r="E8225" s="279" t="s">
        <v>8551</v>
      </c>
      <c r="F8225" s="284">
        <f t="shared" ca="1" si="256"/>
        <v>3.9130135125698851E-2</v>
      </c>
      <c r="G8225" s="74">
        <v>43.508421549195042</v>
      </c>
      <c r="H8225" s="74">
        <f t="shared" si="257"/>
        <v>-3.0140212058625195</v>
      </c>
    </row>
    <row r="8226" spans="5:8" ht="15.6">
      <c r="E8226" s="279" t="s">
        <v>8552</v>
      </c>
      <c r="F8226" s="284">
        <f t="shared" ca="1" si="256"/>
        <v>0.11210881510338999</v>
      </c>
      <c r="G8226" s="74">
        <v>41.087155259230549</v>
      </c>
      <c r="H8226" s="74">
        <f t="shared" si="257"/>
        <v>-0.59275491589802698</v>
      </c>
    </row>
    <row r="8227" spans="5:8" ht="15.6">
      <c r="E8227" s="279" t="s">
        <v>8553</v>
      </c>
      <c r="F8227" s="284">
        <f t="shared" ca="1" si="256"/>
        <v>0.13922867291512708</v>
      </c>
      <c r="G8227" s="74">
        <v>42.731384126801245</v>
      </c>
      <c r="H8227" s="74">
        <f t="shared" si="257"/>
        <v>-2.2369837834687232</v>
      </c>
    </row>
    <row r="8228" spans="5:8" ht="15.6">
      <c r="E8228" s="279" t="s">
        <v>8554</v>
      </c>
      <c r="F8228" s="284">
        <f t="shared" ca="1" si="256"/>
        <v>0.14622295014655307</v>
      </c>
      <c r="G8228" s="74">
        <v>41.006355780748386</v>
      </c>
      <c r="H8228" s="74">
        <f t="shared" si="257"/>
        <v>-0.51195543741586391</v>
      </c>
    </row>
    <row r="8229" spans="5:8" ht="15.6">
      <c r="E8229" s="279" t="s">
        <v>8555</v>
      </c>
      <c r="F8229" s="284">
        <f t="shared" ca="1" si="256"/>
        <v>0.97083619560331857</v>
      </c>
      <c r="G8229" s="74">
        <v>43.057521852636548</v>
      </c>
      <c r="H8229" s="74">
        <f t="shared" si="257"/>
        <v>-2.5631215093040254</v>
      </c>
    </row>
    <row r="8230" spans="5:8" ht="15.6">
      <c r="E8230" s="279" t="s">
        <v>8556</v>
      </c>
      <c r="F8230" s="284">
        <f t="shared" ca="1" si="256"/>
        <v>0.31316176665435747</v>
      </c>
      <c r="G8230" s="74">
        <v>36.593260647513709</v>
      </c>
      <c r="H8230" s="74">
        <f t="shared" si="257"/>
        <v>3.9011396958188129</v>
      </c>
    </row>
    <row r="8231" spans="5:8" ht="15.6">
      <c r="E8231" s="279" t="s">
        <v>8557</v>
      </c>
      <c r="F8231" s="284">
        <f t="shared" ca="1" si="256"/>
        <v>0.53492027037868561</v>
      </c>
      <c r="G8231" s="74">
        <v>40.50630609720762</v>
      </c>
      <c r="H8231" s="74">
        <f t="shared" si="257"/>
        <v>-1.1905753875097957E-2</v>
      </c>
    </row>
    <row r="8232" spans="5:8" ht="15.6">
      <c r="E8232" s="279" t="s">
        <v>8558</v>
      </c>
      <c r="F8232" s="284">
        <f t="shared" ca="1" si="256"/>
        <v>0.99063099108083219</v>
      </c>
      <c r="G8232" s="74">
        <v>38.924903206686643</v>
      </c>
      <c r="H8232" s="74">
        <f t="shared" si="257"/>
        <v>1.5694971366458788</v>
      </c>
    </row>
    <row r="8233" spans="5:8" ht="15.6">
      <c r="E8233" s="279" t="s">
        <v>8559</v>
      </c>
      <c r="F8233" s="284">
        <f t="shared" ca="1" si="256"/>
        <v>0.11556961378265473</v>
      </c>
      <c r="G8233" s="74">
        <v>43.963465206528248</v>
      </c>
      <c r="H8233" s="74">
        <f t="shared" si="257"/>
        <v>-3.4690648631957259</v>
      </c>
    </row>
    <row r="8234" spans="5:8" ht="15.6">
      <c r="E8234" s="279" t="s">
        <v>8560</v>
      </c>
      <c r="F8234" s="284">
        <f t="shared" ca="1" si="256"/>
        <v>0.24026810465500692</v>
      </c>
      <c r="G8234" s="74">
        <v>37.439039620041278</v>
      </c>
      <c r="H8234" s="74">
        <f t="shared" si="257"/>
        <v>3.0553607232912441</v>
      </c>
    </row>
    <row r="8235" spans="5:8" ht="15.6">
      <c r="E8235" s="279" t="s">
        <v>8561</v>
      </c>
      <c r="F8235" s="284">
        <f t="shared" ca="1" si="256"/>
        <v>0.17092099874184474</v>
      </c>
      <c r="G8235" s="74">
        <v>44.35297907660285</v>
      </c>
      <c r="H8235" s="74">
        <f t="shared" si="257"/>
        <v>-3.8585787332703276</v>
      </c>
    </row>
    <row r="8236" spans="5:8" ht="15.6">
      <c r="E8236" s="279" t="s">
        <v>8562</v>
      </c>
      <c r="F8236" s="284">
        <f t="shared" ca="1" si="256"/>
        <v>0.68894610849030224</v>
      </c>
      <c r="G8236" s="74">
        <v>35.519048564488493</v>
      </c>
      <c r="H8236" s="74">
        <f t="shared" si="257"/>
        <v>4.9753517788440291</v>
      </c>
    </row>
    <row r="8237" spans="5:8" ht="15.6">
      <c r="E8237" s="279" t="s">
        <v>8563</v>
      </c>
      <c r="F8237" s="284">
        <f t="shared" ca="1" si="256"/>
        <v>0.96265366221991666</v>
      </c>
      <c r="G8237" s="74">
        <v>39.729149765706737</v>
      </c>
      <c r="H8237" s="74">
        <f t="shared" si="257"/>
        <v>0.76525057762578541</v>
      </c>
    </row>
    <row r="8238" spans="5:8" ht="15.6">
      <c r="E8238" s="279" t="s">
        <v>8564</v>
      </c>
      <c r="F8238" s="284">
        <f t="shared" ca="1" si="256"/>
        <v>0.14557686208253251</v>
      </c>
      <c r="G8238" s="74">
        <v>36.092254878563928</v>
      </c>
      <c r="H8238" s="74">
        <f t="shared" si="257"/>
        <v>4.4021454647685943</v>
      </c>
    </row>
    <row r="8239" spans="5:8" ht="15.6">
      <c r="E8239" s="279" t="s">
        <v>8565</v>
      </c>
      <c r="F8239" s="284">
        <f t="shared" ca="1" si="256"/>
        <v>0.69084473965850079</v>
      </c>
      <c r="G8239" s="74">
        <v>42.996599932686713</v>
      </c>
      <c r="H8239" s="74">
        <f t="shared" si="257"/>
        <v>-2.5021995893541913</v>
      </c>
    </row>
    <row r="8240" spans="5:8" ht="15.6">
      <c r="E8240" s="279" t="s">
        <v>8566</v>
      </c>
      <c r="F8240" s="284">
        <f t="shared" ca="1" si="256"/>
        <v>0.6155052742121031</v>
      </c>
      <c r="G8240" s="74">
        <v>39.636233331998689</v>
      </c>
      <c r="H8240" s="74">
        <f t="shared" si="257"/>
        <v>0.85816701133383333</v>
      </c>
    </row>
    <row r="8241" spans="5:8" ht="15.6">
      <c r="E8241" s="279" t="s">
        <v>8567</v>
      </c>
      <c r="F8241" s="284">
        <f t="shared" ca="1" si="256"/>
        <v>0.79790228315950373</v>
      </c>
      <c r="G8241" s="74">
        <v>41.058813629677772</v>
      </c>
      <c r="H8241" s="74">
        <f t="shared" si="257"/>
        <v>-0.56441328634524979</v>
      </c>
    </row>
    <row r="8242" spans="5:8" ht="15.6">
      <c r="E8242" s="279" t="s">
        <v>8568</v>
      </c>
      <c r="F8242" s="284">
        <f t="shared" ca="1" si="256"/>
        <v>0.84534432955018279</v>
      </c>
      <c r="G8242" s="74">
        <v>39.159391180770484</v>
      </c>
      <c r="H8242" s="74">
        <f t="shared" si="257"/>
        <v>1.3350091625620379</v>
      </c>
    </row>
    <row r="8243" spans="5:8" ht="15.6">
      <c r="E8243" s="279" t="s">
        <v>8569</v>
      </c>
      <c r="F8243" s="284">
        <f t="shared" ca="1" si="256"/>
        <v>0.72817141511815464</v>
      </c>
      <c r="G8243" s="74">
        <v>37.294499522859653</v>
      </c>
      <c r="H8243" s="74">
        <f t="shared" si="257"/>
        <v>3.1999008204728696</v>
      </c>
    </row>
    <row r="8244" spans="5:8" ht="15.6">
      <c r="E8244" s="279" t="s">
        <v>8570</v>
      </c>
      <c r="F8244" s="284">
        <f t="shared" ca="1" si="256"/>
        <v>0.69029725928515306</v>
      </c>
      <c r="G8244" s="74">
        <v>38.271974090134904</v>
      </c>
      <c r="H8244" s="74">
        <f t="shared" si="257"/>
        <v>2.222426253197618</v>
      </c>
    </row>
    <row r="8245" spans="5:8" ht="15.6">
      <c r="E8245" s="279" t="s">
        <v>8571</v>
      </c>
      <c r="F8245" s="284">
        <f t="shared" ca="1" si="256"/>
        <v>0.36064620640937384</v>
      </c>
      <c r="G8245" s="74">
        <v>41.120553099663574</v>
      </c>
      <c r="H8245" s="74">
        <f t="shared" si="257"/>
        <v>-0.62615275633105227</v>
      </c>
    </row>
    <row r="8246" spans="5:8" ht="15.6">
      <c r="E8246" s="279" t="s">
        <v>8572</v>
      </c>
      <c r="F8246" s="284">
        <f t="shared" ca="1" si="256"/>
        <v>0.8219140654613083</v>
      </c>
      <c r="G8246" s="74">
        <v>37.928678122002715</v>
      </c>
      <c r="H8246" s="74">
        <f t="shared" si="257"/>
        <v>2.565722221329807</v>
      </c>
    </row>
    <row r="8247" spans="5:8" ht="15.6">
      <c r="E8247" s="279" t="s">
        <v>8573</v>
      </c>
      <c r="F8247" s="284">
        <f t="shared" ca="1" si="256"/>
        <v>0.40706975584993332</v>
      </c>
      <c r="G8247" s="74">
        <v>36.72038423111951</v>
      </c>
      <c r="H8247" s="74">
        <f t="shared" si="257"/>
        <v>3.7740161122130118</v>
      </c>
    </row>
    <row r="8248" spans="5:8" ht="15.6">
      <c r="E8248" s="279" t="s">
        <v>8574</v>
      </c>
      <c r="F8248" s="284">
        <f t="shared" ca="1" si="256"/>
        <v>0.64891008378699222</v>
      </c>
      <c r="G8248" s="74">
        <v>40.401579213098458</v>
      </c>
      <c r="H8248" s="74">
        <f t="shared" si="257"/>
        <v>9.2821130234064242E-2</v>
      </c>
    </row>
    <row r="8249" spans="5:8" ht="15.6">
      <c r="E8249" s="279" t="s">
        <v>8575</v>
      </c>
      <c r="F8249" s="284">
        <f t="shared" ca="1" si="256"/>
        <v>0.89609449483647352</v>
      </c>
      <c r="G8249" s="74">
        <v>42.098407180959356</v>
      </c>
      <c r="H8249" s="74">
        <f t="shared" si="257"/>
        <v>-1.6040068376268337</v>
      </c>
    </row>
    <row r="8250" spans="5:8" ht="15.6">
      <c r="E8250" s="279" t="s">
        <v>8576</v>
      </c>
      <c r="F8250" s="284">
        <f t="shared" ca="1" si="256"/>
        <v>0.6875349339606277</v>
      </c>
      <c r="G8250" s="74">
        <v>37.448815236223204</v>
      </c>
      <c r="H8250" s="74">
        <f t="shared" si="257"/>
        <v>3.0455851071093178</v>
      </c>
    </row>
    <row r="8251" spans="5:8" ht="15.6">
      <c r="E8251" s="279" t="s">
        <v>8577</v>
      </c>
      <c r="F8251" s="284">
        <f t="shared" ca="1" si="256"/>
        <v>0.14266435883444151</v>
      </c>
      <c r="G8251" s="74">
        <v>37.508700767469087</v>
      </c>
      <c r="H8251" s="74">
        <f t="shared" si="257"/>
        <v>2.9856995758634355</v>
      </c>
    </row>
    <row r="8252" spans="5:8" ht="15.6">
      <c r="E8252" s="279" t="s">
        <v>8578</v>
      </c>
      <c r="F8252" s="284">
        <f t="shared" ca="1" si="256"/>
        <v>0.70928634537653701</v>
      </c>
      <c r="G8252" s="74">
        <v>35.03241489743197</v>
      </c>
      <c r="H8252" s="74">
        <f t="shared" si="257"/>
        <v>5.4619854459005523</v>
      </c>
    </row>
    <row r="8253" spans="5:8" ht="15.6">
      <c r="E8253" s="279" t="s">
        <v>8579</v>
      </c>
      <c r="F8253" s="284">
        <f t="shared" ca="1" si="256"/>
        <v>0.3117419149055809</v>
      </c>
      <c r="G8253" s="74">
        <v>44.888299348277023</v>
      </c>
      <c r="H8253" s="74">
        <f t="shared" si="257"/>
        <v>-4.393899004944501</v>
      </c>
    </row>
    <row r="8254" spans="5:8" ht="15.6">
      <c r="E8254" s="279" t="s">
        <v>8580</v>
      </c>
      <c r="F8254" s="284">
        <f t="shared" ca="1" si="256"/>
        <v>0.13985234148315162</v>
      </c>
      <c r="G8254" s="74">
        <v>41.120362574121685</v>
      </c>
      <c r="H8254" s="74">
        <f t="shared" si="257"/>
        <v>-0.62596223078916324</v>
      </c>
    </row>
    <row r="8255" spans="5:8" ht="15.6">
      <c r="E8255" s="279" t="s">
        <v>8581</v>
      </c>
      <c r="F8255" s="284">
        <f t="shared" ca="1" si="256"/>
        <v>0.59722194301553999</v>
      </c>
      <c r="G8255" s="74">
        <v>42.623332364713512</v>
      </c>
      <c r="H8255" s="74">
        <f t="shared" si="257"/>
        <v>-2.1289320213809901</v>
      </c>
    </row>
    <row r="8256" spans="5:8" ht="15.6">
      <c r="E8256" s="279" t="s">
        <v>8582</v>
      </c>
      <c r="F8256" s="284">
        <f t="shared" ca="1" si="256"/>
        <v>0.57915991744218243</v>
      </c>
      <c r="G8256" s="74">
        <v>41.562893732952766</v>
      </c>
      <c r="H8256" s="74">
        <f t="shared" si="257"/>
        <v>-1.0684933896202438</v>
      </c>
    </row>
    <row r="8257" spans="5:8" ht="15.6">
      <c r="E8257" s="279" t="s">
        <v>8583</v>
      </c>
      <c r="F8257" s="284">
        <f t="shared" ca="1" si="256"/>
        <v>0.82005028841630156</v>
      </c>
      <c r="G8257" s="74">
        <v>36.602820013976412</v>
      </c>
      <c r="H8257" s="74">
        <f t="shared" si="257"/>
        <v>3.8915803293561098</v>
      </c>
    </row>
    <row r="8258" spans="5:8" ht="15.6">
      <c r="E8258" s="279" t="s">
        <v>8584</v>
      </c>
      <c r="F8258" s="284">
        <f t="shared" ca="1" si="256"/>
        <v>0.88597792860510294</v>
      </c>
      <c r="G8258" s="74">
        <v>41.332994358767323</v>
      </c>
      <c r="H8258" s="74">
        <f t="shared" si="257"/>
        <v>-0.83859401543480061</v>
      </c>
    </row>
    <row r="8259" spans="5:8" ht="15.6">
      <c r="E8259" s="279" t="s">
        <v>8585</v>
      </c>
      <c r="F8259" s="284">
        <f t="shared" ca="1" si="256"/>
        <v>0.49455775289022141</v>
      </c>
      <c r="G8259" s="74">
        <v>36.387235753273202</v>
      </c>
      <c r="H8259" s="74">
        <f t="shared" si="257"/>
        <v>4.1071645900593197</v>
      </c>
    </row>
    <row r="8260" spans="5:8" ht="15.6">
      <c r="E8260" s="279" t="s">
        <v>8586</v>
      </c>
      <c r="F8260" s="284">
        <f t="shared" ca="1" si="256"/>
        <v>9.0272210915937512E-2</v>
      </c>
      <c r="G8260" s="74">
        <v>39.837168421942799</v>
      </c>
      <c r="H8260" s="74">
        <f t="shared" si="257"/>
        <v>0.65723192138972308</v>
      </c>
    </row>
    <row r="8261" spans="5:8" ht="15.6">
      <c r="E8261" s="279" t="s">
        <v>8587</v>
      </c>
      <c r="F8261" s="284">
        <f t="shared" ca="1" si="256"/>
        <v>0.66824637745435067</v>
      </c>
      <c r="G8261" s="74">
        <v>37.834612419197221</v>
      </c>
      <c r="H8261" s="74">
        <f t="shared" si="257"/>
        <v>2.6597879241353013</v>
      </c>
    </row>
    <row r="8262" spans="5:8" ht="15.6">
      <c r="E8262" s="279" t="s">
        <v>8588</v>
      </c>
      <c r="F8262" s="284">
        <f t="shared" ca="1" si="256"/>
        <v>0.17399757035682906</v>
      </c>
      <c r="G8262" s="74">
        <v>39.06204394076105</v>
      </c>
      <c r="H8262" s="74">
        <f t="shared" si="257"/>
        <v>1.4323564025714717</v>
      </c>
    </row>
    <row r="8263" spans="5:8" ht="15.6">
      <c r="E8263" s="279" t="s">
        <v>8589</v>
      </c>
      <c r="F8263" s="284">
        <f t="shared" ca="1" si="256"/>
        <v>0.61921194656700018</v>
      </c>
      <c r="G8263" s="74">
        <v>34.214899091912223</v>
      </c>
      <c r="H8263" s="74">
        <f t="shared" si="257"/>
        <v>6.2795012514202995</v>
      </c>
    </row>
    <row r="8264" spans="5:8" ht="15.6">
      <c r="E8264" s="279" t="s">
        <v>8590</v>
      </c>
      <c r="F8264" s="284">
        <f t="shared" ca="1" si="256"/>
        <v>0.90651482270644101</v>
      </c>
      <c r="G8264" s="74">
        <v>43.286323505433778</v>
      </c>
      <c r="H8264" s="74">
        <f t="shared" si="257"/>
        <v>-2.7919231621012557</v>
      </c>
    </row>
    <row r="8265" spans="5:8" ht="15.6">
      <c r="E8265" s="279" t="s">
        <v>8591</v>
      </c>
      <c r="F8265" s="284">
        <f t="shared" ca="1" si="256"/>
        <v>0.21307156563800811</v>
      </c>
      <c r="G8265" s="74">
        <v>39.702830764887004</v>
      </c>
      <c r="H8265" s="74">
        <f t="shared" si="257"/>
        <v>0.79156957844551812</v>
      </c>
    </row>
    <row r="8266" spans="5:8" ht="15.6">
      <c r="E8266" s="279" t="s">
        <v>8592</v>
      </c>
      <c r="F8266" s="284">
        <f t="shared" ca="1" si="256"/>
        <v>0.82607493790489306</v>
      </c>
      <c r="G8266" s="74">
        <v>40.803828172941543</v>
      </c>
      <c r="H8266" s="74">
        <f t="shared" si="257"/>
        <v>-0.30942782960902093</v>
      </c>
    </row>
    <row r="8267" spans="5:8" ht="15.6">
      <c r="E8267" s="279" t="s">
        <v>8593</v>
      </c>
      <c r="F8267" s="284">
        <f t="shared" ca="1" si="256"/>
        <v>0.6026216557401628</v>
      </c>
      <c r="G8267" s="74">
        <v>40.122668740961842</v>
      </c>
      <c r="H8267" s="74">
        <f t="shared" si="257"/>
        <v>0.37173160237068004</v>
      </c>
    </row>
    <row r="8268" spans="5:8" ht="15.6">
      <c r="E8268" s="279" t="s">
        <v>8594</v>
      </c>
      <c r="F8268" s="284">
        <f t="shared" ref="F8268:F8331" ca="1" si="258">RAND()</f>
        <v>0.53298216079690564</v>
      </c>
      <c r="G8268" s="74">
        <v>34.014230579965428</v>
      </c>
      <c r="H8268" s="74">
        <f t="shared" ref="H8268:H8331" si="259">$D$2-G8268</f>
        <v>6.480169763367094</v>
      </c>
    </row>
    <row r="8269" spans="5:8" ht="15.6">
      <c r="E8269" s="279" t="s">
        <v>8595</v>
      </c>
      <c r="F8269" s="284">
        <f t="shared" ca="1" si="258"/>
        <v>0.65412720751548714</v>
      </c>
      <c r="G8269" s="74">
        <v>38.479641709004198</v>
      </c>
      <c r="H8269" s="74">
        <f t="shared" si="259"/>
        <v>2.0147586343283237</v>
      </c>
    </row>
    <row r="8270" spans="5:8" ht="15.6">
      <c r="E8270" s="279" t="s">
        <v>8596</v>
      </c>
      <c r="F8270" s="284">
        <f t="shared" ca="1" si="258"/>
        <v>0.98230612253314487</v>
      </c>
      <c r="G8270" s="74">
        <v>39.876766602370218</v>
      </c>
      <c r="H8270" s="74">
        <f t="shared" si="259"/>
        <v>0.6176337409623045</v>
      </c>
    </row>
    <row r="8271" spans="5:8" ht="15.6">
      <c r="E8271" s="279" t="s">
        <v>8597</v>
      </c>
      <c r="F8271" s="284">
        <f t="shared" ca="1" si="258"/>
        <v>0.38959247284252196</v>
      </c>
      <c r="G8271" s="74">
        <v>40.316244781766578</v>
      </c>
      <c r="H8271" s="74">
        <f t="shared" si="259"/>
        <v>0.17815556156594425</v>
      </c>
    </row>
    <row r="8272" spans="5:8" ht="15.6">
      <c r="E8272" s="279" t="s">
        <v>8598</v>
      </c>
      <c r="F8272" s="284">
        <f t="shared" ca="1" si="258"/>
        <v>0.55718386103441886</v>
      </c>
      <c r="G8272" s="74">
        <v>41.534788658230951</v>
      </c>
      <c r="H8272" s="74">
        <f t="shared" si="259"/>
        <v>-1.0403883148984292</v>
      </c>
    </row>
    <row r="8273" spans="5:8" ht="15.6">
      <c r="E8273" s="279" t="s">
        <v>8599</v>
      </c>
      <c r="F8273" s="284">
        <f t="shared" ca="1" si="258"/>
        <v>0.32565334719679495</v>
      </c>
      <c r="G8273" s="74">
        <v>40.341002284733911</v>
      </c>
      <c r="H8273" s="74">
        <f t="shared" si="259"/>
        <v>0.15339805859861144</v>
      </c>
    </row>
    <row r="8274" spans="5:8" ht="15.6">
      <c r="E8274" s="279" t="s">
        <v>8600</v>
      </c>
      <c r="F8274" s="284">
        <f t="shared" ca="1" si="258"/>
        <v>0.54746062602337486</v>
      </c>
      <c r="G8274" s="74">
        <v>37.298848638775119</v>
      </c>
      <c r="H8274" s="74">
        <f t="shared" si="259"/>
        <v>3.1955517045574027</v>
      </c>
    </row>
    <row r="8275" spans="5:8" ht="15.6">
      <c r="E8275" s="279" t="s">
        <v>8601</v>
      </c>
      <c r="F8275" s="284">
        <f t="shared" ca="1" si="258"/>
        <v>0.67958044128344697</v>
      </c>
      <c r="G8275" s="74">
        <v>40.223081796865507</v>
      </c>
      <c r="H8275" s="74">
        <f t="shared" si="259"/>
        <v>0.2713185464670147</v>
      </c>
    </row>
    <row r="8276" spans="5:8" ht="15.6">
      <c r="E8276" s="279" t="s">
        <v>8602</v>
      </c>
      <c r="F8276" s="284">
        <f t="shared" ca="1" si="258"/>
        <v>0.7202997330187797</v>
      </c>
      <c r="G8276" s="74">
        <v>37.976975156654895</v>
      </c>
      <c r="H8276" s="74">
        <f t="shared" si="259"/>
        <v>2.5174251866776274</v>
      </c>
    </row>
    <row r="8277" spans="5:8" ht="15.6">
      <c r="E8277" s="279" t="s">
        <v>8603</v>
      </c>
      <c r="F8277" s="284">
        <f t="shared" ca="1" si="258"/>
        <v>0.27988259833953988</v>
      </c>
      <c r="G8277" s="74">
        <v>40.540984281840757</v>
      </c>
      <c r="H8277" s="74">
        <f t="shared" si="259"/>
        <v>-4.6583938508234723E-2</v>
      </c>
    </row>
    <row r="8278" spans="5:8" ht="15.6">
      <c r="E8278" s="279" t="s">
        <v>8604</v>
      </c>
      <c r="F8278" s="284">
        <f t="shared" ca="1" si="258"/>
        <v>0.58283797221980316</v>
      </c>
      <c r="G8278" s="74">
        <v>37.250150453212626</v>
      </c>
      <c r="H8278" s="74">
        <f t="shared" si="259"/>
        <v>3.244249890119896</v>
      </c>
    </row>
    <row r="8279" spans="5:8" ht="15.6">
      <c r="E8279" s="279" t="s">
        <v>8605</v>
      </c>
      <c r="F8279" s="284">
        <f t="shared" ca="1" si="258"/>
        <v>0.96298139583377118</v>
      </c>
      <c r="G8279" s="74">
        <v>38.694850062552383</v>
      </c>
      <c r="H8279" s="74">
        <f t="shared" si="259"/>
        <v>1.7995502807801387</v>
      </c>
    </row>
    <row r="8280" spans="5:8" ht="15.6">
      <c r="E8280" s="279" t="s">
        <v>8606</v>
      </c>
      <c r="F8280" s="284">
        <f t="shared" ca="1" si="258"/>
        <v>0.43120309385628308</v>
      </c>
      <c r="G8280" s="74">
        <v>39.131036372345157</v>
      </c>
      <c r="H8280" s="74">
        <f t="shared" si="259"/>
        <v>1.3633639709873648</v>
      </c>
    </row>
    <row r="8281" spans="5:8" ht="15.6">
      <c r="E8281" s="279" t="s">
        <v>8607</v>
      </c>
      <c r="F8281" s="284">
        <f t="shared" ca="1" si="258"/>
        <v>0.22831749802018164</v>
      </c>
      <c r="G8281" s="74">
        <v>39.769361419662729</v>
      </c>
      <c r="H8281" s="74">
        <f t="shared" si="259"/>
        <v>0.72503892366979272</v>
      </c>
    </row>
    <row r="8282" spans="5:8" ht="15.6">
      <c r="E8282" s="279" t="s">
        <v>8608</v>
      </c>
      <c r="F8282" s="284">
        <f t="shared" ca="1" si="258"/>
        <v>9.2595847816720034E-2</v>
      </c>
      <c r="G8282" s="74">
        <v>38.496840010023291</v>
      </c>
      <c r="H8282" s="74">
        <f t="shared" si="259"/>
        <v>1.9975603333092309</v>
      </c>
    </row>
    <row r="8283" spans="5:8" ht="15.6">
      <c r="E8283" s="279" t="s">
        <v>8609</v>
      </c>
      <c r="F8283" s="284">
        <f t="shared" ca="1" si="258"/>
        <v>0.49512653503513726</v>
      </c>
      <c r="G8283" s="74">
        <v>38.89633610573744</v>
      </c>
      <c r="H8283" s="74">
        <f t="shared" si="259"/>
        <v>1.5980642375950822</v>
      </c>
    </row>
    <row r="8284" spans="5:8" ht="15.6">
      <c r="E8284" s="279" t="s">
        <v>8610</v>
      </c>
      <c r="F8284" s="284">
        <f t="shared" ca="1" si="258"/>
        <v>0.47516755000938971</v>
      </c>
      <c r="G8284" s="74">
        <v>36.614011781882695</v>
      </c>
      <c r="H8284" s="74">
        <f t="shared" si="259"/>
        <v>3.880388561449827</v>
      </c>
    </row>
    <row r="8285" spans="5:8" ht="15.6">
      <c r="E8285" s="279" t="s">
        <v>8611</v>
      </c>
      <c r="F8285" s="284">
        <f t="shared" ca="1" si="258"/>
        <v>0.54045740108829998</v>
      </c>
      <c r="G8285" s="74">
        <v>40.618911103399377</v>
      </c>
      <c r="H8285" s="74">
        <f t="shared" si="259"/>
        <v>-0.12451076006685469</v>
      </c>
    </row>
    <row r="8286" spans="5:8" ht="15.6">
      <c r="E8286" s="279" t="s">
        <v>8612</v>
      </c>
      <c r="F8286" s="284">
        <f t="shared" ca="1" si="258"/>
        <v>0.59107575176727811</v>
      </c>
      <c r="G8286" s="74">
        <v>37.128200251749689</v>
      </c>
      <c r="H8286" s="74">
        <f t="shared" si="259"/>
        <v>3.366200091582833</v>
      </c>
    </row>
    <row r="8287" spans="5:8" ht="15.6">
      <c r="E8287" s="279" t="s">
        <v>8613</v>
      </c>
      <c r="F8287" s="284">
        <f t="shared" ca="1" si="258"/>
        <v>0.68663778827344368</v>
      </c>
      <c r="G8287" s="74">
        <v>42.512116723315216</v>
      </c>
      <c r="H8287" s="74">
        <f t="shared" si="259"/>
        <v>-2.0177163799826943</v>
      </c>
    </row>
    <row r="8288" spans="5:8" ht="15.6">
      <c r="E8288" s="279" t="s">
        <v>8614</v>
      </c>
      <c r="F8288" s="284">
        <f t="shared" ca="1" si="258"/>
        <v>0.37984026462770215</v>
      </c>
      <c r="G8288" s="74">
        <v>40.51910584708488</v>
      </c>
      <c r="H8288" s="74">
        <f t="shared" si="259"/>
        <v>-2.4705503752358027E-2</v>
      </c>
    </row>
    <row r="8289" spans="5:8" ht="15.6">
      <c r="E8289" s="279" t="s">
        <v>8615</v>
      </c>
      <c r="F8289" s="284">
        <f t="shared" ca="1" si="258"/>
        <v>0.94152889966988973</v>
      </c>
      <c r="G8289" s="74">
        <v>38.405798604961817</v>
      </c>
      <c r="H8289" s="74">
        <f t="shared" si="259"/>
        <v>2.0886017383707056</v>
      </c>
    </row>
    <row r="8290" spans="5:8" ht="15.6">
      <c r="E8290" s="279" t="s">
        <v>8616</v>
      </c>
      <c r="F8290" s="284">
        <f t="shared" ca="1" si="258"/>
        <v>0.93915622248494324</v>
      </c>
      <c r="G8290" s="74">
        <v>42.88296820572257</v>
      </c>
      <c r="H8290" s="74">
        <f t="shared" si="259"/>
        <v>-2.3885678623900475</v>
      </c>
    </row>
    <row r="8291" spans="5:8" ht="15.6">
      <c r="E8291" s="279" t="s">
        <v>8617</v>
      </c>
      <c r="F8291" s="284">
        <f t="shared" ca="1" si="258"/>
        <v>0.72220786558647776</v>
      </c>
      <c r="G8291" s="74">
        <v>41.792651741436906</v>
      </c>
      <c r="H8291" s="74">
        <f t="shared" si="259"/>
        <v>-1.2982513981043837</v>
      </c>
    </row>
    <row r="8292" spans="5:8" ht="15.6">
      <c r="E8292" s="279" t="s">
        <v>8618</v>
      </c>
      <c r="F8292" s="284">
        <f t="shared" ca="1" si="258"/>
        <v>0.98119395705052637</v>
      </c>
      <c r="G8292" s="74">
        <v>37.39420472962842</v>
      </c>
      <c r="H8292" s="74">
        <f t="shared" si="259"/>
        <v>3.100195613704102</v>
      </c>
    </row>
    <row r="8293" spans="5:8" ht="15.6">
      <c r="E8293" s="279" t="s">
        <v>8619</v>
      </c>
      <c r="F8293" s="284">
        <f t="shared" ca="1" si="258"/>
        <v>0.24928721043526025</v>
      </c>
      <c r="G8293" s="74">
        <v>41.482266601442639</v>
      </c>
      <c r="H8293" s="74">
        <f t="shared" si="259"/>
        <v>-0.98786625811011675</v>
      </c>
    </row>
    <row r="8294" spans="5:8" ht="15.6">
      <c r="E8294" s="279" t="s">
        <v>8620</v>
      </c>
      <c r="F8294" s="284">
        <f t="shared" ca="1" si="258"/>
        <v>0.91712121983403561</v>
      </c>
      <c r="G8294" s="74">
        <v>41.143234312951222</v>
      </c>
      <c r="H8294" s="74">
        <f t="shared" si="259"/>
        <v>-0.64883396961869977</v>
      </c>
    </row>
    <row r="8295" spans="5:8" ht="15.6">
      <c r="E8295" s="279" t="s">
        <v>8621</v>
      </c>
      <c r="F8295" s="284">
        <f t="shared" ca="1" si="258"/>
        <v>0.96086437536664782</v>
      </c>
      <c r="G8295" s="74">
        <v>36.49475645473256</v>
      </c>
      <c r="H8295" s="74">
        <f t="shared" si="259"/>
        <v>3.9996438885999623</v>
      </c>
    </row>
    <row r="8296" spans="5:8" ht="15.6">
      <c r="E8296" s="279" t="s">
        <v>8622</v>
      </c>
      <c r="F8296" s="284">
        <f t="shared" ca="1" si="258"/>
        <v>0.82391854732229464</v>
      </c>
      <c r="G8296" s="74">
        <v>37.24907925247232</v>
      </c>
      <c r="H8296" s="74">
        <f t="shared" si="259"/>
        <v>3.2453210908602017</v>
      </c>
    </row>
    <row r="8297" spans="5:8" ht="15.6">
      <c r="E8297" s="279" t="s">
        <v>8623</v>
      </c>
      <c r="F8297" s="284">
        <f t="shared" ca="1" si="258"/>
        <v>0.27664003664805736</v>
      </c>
      <c r="G8297" s="74">
        <v>39.18567387505837</v>
      </c>
      <c r="H8297" s="74">
        <f t="shared" si="259"/>
        <v>1.308726468274152</v>
      </c>
    </row>
    <row r="8298" spans="5:8" ht="15.6">
      <c r="E8298" s="279" t="s">
        <v>8624</v>
      </c>
      <c r="F8298" s="284">
        <f t="shared" ca="1" si="258"/>
        <v>0.2486329932483522</v>
      </c>
      <c r="G8298" s="74">
        <v>36.32865743064314</v>
      </c>
      <c r="H8298" s="74">
        <f t="shared" si="259"/>
        <v>4.1657429126893817</v>
      </c>
    </row>
    <row r="8299" spans="5:8" ht="15.6">
      <c r="E8299" s="279" t="s">
        <v>8625</v>
      </c>
      <c r="F8299" s="284">
        <f t="shared" ca="1" si="258"/>
        <v>0.34187970918323807</v>
      </c>
      <c r="G8299" s="74">
        <v>41.476275387240186</v>
      </c>
      <c r="H8299" s="74">
        <f t="shared" si="259"/>
        <v>-0.98187504390766378</v>
      </c>
    </row>
    <row r="8300" spans="5:8" ht="15.6">
      <c r="E8300" s="279" t="s">
        <v>8626</v>
      </c>
      <c r="F8300" s="284">
        <f t="shared" ca="1" si="258"/>
        <v>0.56321336709027259</v>
      </c>
      <c r="G8300" s="74">
        <v>41.631908365770272</v>
      </c>
      <c r="H8300" s="74">
        <f t="shared" si="259"/>
        <v>-1.1375080224377498</v>
      </c>
    </row>
    <row r="8301" spans="5:8" ht="15.6">
      <c r="E8301" s="279" t="s">
        <v>8627</v>
      </c>
      <c r="F8301" s="284">
        <f t="shared" ca="1" si="258"/>
        <v>0.35443636041631499</v>
      </c>
      <c r="G8301" s="74">
        <v>42.134543777000239</v>
      </c>
      <c r="H8301" s="74">
        <f t="shared" si="259"/>
        <v>-1.640143433667717</v>
      </c>
    </row>
    <row r="8302" spans="5:8" ht="15.6">
      <c r="E8302" s="279" t="s">
        <v>8628</v>
      </c>
      <c r="F8302" s="284">
        <f t="shared" ca="1" si="258"/>
        <v>0.94117629688182047</v>
      </c>
      <c r="G8302" s="74">
        <v>37.379657043151532</v>
      </c>
      <c r="H8302" s="74">
        <f t="shared" si="259"/>
        <v>3.1147433001809901</v>
      </c>
    </row>
    <row r="8303" spans="5:8" ht="15.6">
      <c r="E8303" s="279" t="s">
        <v>8629</v>
      </c>
      <c r="F8303" s="284">
        <f t="shared" ca="1" si="258"/>
        <v>3.5046429916585242E-2</v>
      </c>
      <c r="G8303" s="74">
        <v>40.658598188596208</v>
      </c>
      <c r="H8303" s="74">
        <f t="shared" si="259"/>
        <v>-0.1641978452636863</v>
      </c>
    </row>
    <row r="8304" spans="5:8" ht="15.6">
      <c r="E8304" s="279" t="s">
        <v>8630</v>
      </c>
      <c r="F8304" s="284">
        <f t="shared" ca="1" si="258"/>
        <v>8.2596668622243019E-2</v>
      </c>
      <c r="G8304" s="74">
        <v>38.324472437376166</v>
      </c>
      <c r="H8304" s="74">
        <f t="shared" si="259"/>
        <v>2.1699279059563565</v>
      </c>
    </row>
    <row r="8305" spans="5:8" ht="15.6">
      <c r="E8305" s="279" t="s">
        <v>8631</v>
      </c>
      <c r="F8305" s="284">
        <f t="shared" ca="1" si="258"/>
        <v>0.73267489188268675</v>
      </c>
      <c r="G8305" s="74">
        <v>41.262758865603047</v>
      </c>
      <c r="H8305" s="74">
        <f t="shared" si="259"/>
        <v>-0.7683585222705247</v>
      </c>
    </row>
    <row r="8306" spans="5:8" ht="15.6">
      <c r="E8306" s="279" t="s">
        <v>8632</v>
      </c>
      <c r="F8306" s="284">
        <f t="shared" ca="1" si="258"/>
        <v>0.80658880074703065</v>
      </c>
      <c r="G8306" s="74">
        <v>34.665967071569668</v>
      </c>
      <c r="H8306" s="74">
        <f t="shared" si="259"/>
        <v>5.8284332717628544</v>
      </c>
    </row>
    <row r="8307" spans="5:8" ht="15.6">
      <c r="E8307" s="279" t="s">
        <v>8633</v>
      </c>
      <c r="F8307" s="284">
        <f t="shared" ca="1" si="258"/>
        <v>0.99480180205942836</v>
      </c>
      <c r="G8307" s="74">
        <v>38.466796193926044</v>
      </c>
      <c r="H8307" s="74">
        <f t="shared" si="259"/>
        <v>2.0276041494064785</v>
      </c>
    </row>
    <row r="8308" spans="5:8" ht="15.6">
      <c r="E8308" s="279" t="s">
        <v>8634</v>
      </c>
      <c r="F8308" s="284">
        <f t="shared" ca="1" si="258"/>
        <v>0.7313470349614376</v>
      </c>
      <c r="G8308" s="74">
        <v>41.673869358439006</v>
      </c>
      <c r="H8308" s="74">
        <f t="shared" si="259"/>
        <v>-1.1794690151064842</v>
      </c>
    </row>
    <row r="8309" spans="5:8" ht="15.6">
      <c r="E8309" s="279" t="s">
        <v>8635</v>
      </c>
      <c r="F8309" s="284">
        <f t="shared" ca="1" si="258"/>
        <v>0.61326402827538551</v>
      </c>
      <c r="G8309" s="74">
        <v>41.264204809451329</v>
      </c>
      <c r="H8309" s="74">
        <f t="shared" si="259"/>
        <v>-0.76980446611880637</v>
      </c>
    </row>
    <row r="8310" spans="5:8" ht="15.6">
      <c r="E8310" s="279" t="s">
        <v>8636</v>
      </c>
      <c r="F8310" s="284">
        <f t="shared" ca="1" si="258"/>
        <v>0.79916396538866896</v>
      </c>
      <c r="G8310" s="74">
        <v>38.08500708229851</v>
      </c>
      <c r="H8310" s="74">
        <f t="shared" si="259"/>
        <v>2.4093932610340119</v>
      </c>
    </row>
    <row r="8311" spans="5:8" ht="15.6">
      <c r="E8311" s="279" t="s">
        <v>8637</v>
      </c>
      <c r="F8311" s="284">
        <f t="shared" ca="1" si="258"/>
        <v>0.14864958405770423</v>
      </c>
      <c r="G8311" s="74">
        <v>37.062908419428531</v>
      </c>
      <c r="H8311" s="74">
        <f t="shared" si="259"/>
        <v>3.4314919239039909</v>
      </c>
    </row>
    <row r="8312" spans="5:8" ht="15.6">
      <c r="E8312" s="279" t="s">
        <v>8638</v>
      </c>
      <c r="F8312" s="284">
        <f t="shared" ca="1" si="258"/>
        <v>0.12284905770573296</v>
      </c>
      <c r="G8312" s="74">
        <v>42.590498344240999</v>
      </c>
      <c r="H8312" s="74">
        <f t="shared" si="259"/>
        <v>-2.0960980009084764</v>
      </c>
    </row>
    <row r="8313" spans="5:8" ht="15.6">
      <c r="E8313" s="279" t="s">
        <v>8639</v>
      </c>
      <c r="F8313" s="284">
        <f t="shared" ca="1" si="258"/>
        <v>0.37887590153932493</v>
      </c>
      <c r="G8313" s="74">
        <v>41.328656560880006</v>
      </c>
      <c r="H8313" s="74">
        <f t="shared" si="259"/>
        <v>-0.83425621754748391</v>
      </c>
    </row>
    <row r="8314" spans="5:8" ht="15.6">
      <c r="E8314" s="279" t="s">
        <v>8640</v>
      </c>
      <c r="F8314" s="284">
        <f t="shared" ca="1" si="258"/>
        <v>0.71578963495894321</v>
      </c>
      <c r="G8314" s="74">
        <v>33.357585854031953</v>
      </c>
      <c r="H8314" s="74">
        <f t="shared" si="259"/>
        <v>7.1368144893005692</v>
      </c>
    </row>
    <row r="8315" spans="5:8" ht="15.6">
      <c r="E8315" s="279" t="s">
        <v>8641</v>
      </c>
      <c r="F8315" s="284">
        <f t="shared" ca="1" si="258"/>
        <v>0.14296071559608092</v>
      </c>
      <c r="G8315" s="74">
        <v>35.950697345084848</v>
      </c>
      <c r="H8315" s="74">
        <f t="shared" si="259"/>
        <v>4.5437029982476744</v>
      </c>
    </row>
    <row r="8316" spans="5:8" ht="15.6">
      <c r="E8316" s="279" t="s">
        <v>8642</v>
      </c>
      <c r="F8316" s="284">
        <f t="shared" ca="1" si="258"/>
        <v>9.6279295528831632E-3</v>
      </c>
      <c r="G8316" s="74">
        <v>40.425483031646863</v>
      </c>
      <c r="H8316" s="74">
        <f t="shared" si="259"/>
        <v>6.8917311685659399E-2</v>
      </c>
    </row>
    <row r="8317" spans="5:8" ht="15.6">
      <c r="E8317" s="279" t="s">
        <v>8643</v>
      </c>
      <c r="F8317" s="284">
        <f t="shared" ca="1" si="258"/>
        <v>0.75031312903274272</v>
      </c>
      <c r="G8317" s="74">
        <v>41.065847161682967</v>
      </c>
      <c r="H8317" s="74">
        <f t="shared" si="259"/>
        <v>-0.57144681835044508</v>
      </c>
    </row>
    <row r="8318" spans="5:8" ht="15.6">
      <c r="E8318" s="279" t="s">
        <v>8644</v>
      </c>
      <c r="F8318" s="284">
        <f t="shared" ca="1" si="258"/>
        <v>3.1934093714243716E-2</v>
      </c>
      <c r="G8318" s="74">
        <v>38.313968128751711</v>
      </c>
      <c r="H8318" s="74">
        <f t="shared" si="259"/>
        <v>2.1804322145808115</v>
      </c>
    </row>
    <row r="8319" spans="5:8" ht="15.6">
      <c r="E8319" s="279" t="s">
        <v>8645</v>
      </c>
      <c r="F8319" s="284">
        <f t="shared" ca="1" si="258"/>
        <v>0.7414392988131695</v>
      </c>
      <c r="G8319" s="74">
        <v>37.378593700198579</v>
      </c>
      <c r="H8319" s="74">
        <f t="shared" si="259"/>
        <v>3.1158066431339435</v>
      </c>
    </row>
    <row r="8320" spans="5:8" ht="15.6">
      <c r="E8320" s="279" t="s">
        <v>8646</v>
      </c>
      <c r="F8320" s="284">
        <f t="shared" ca="1" si="258"/>
        <v>0.70748553121471047</v>
      </c>
      <c r="G8320" s="74">
        <v>38.182143334110158</v>
      </c>
      <c r="H8320" s="74">
        <f t="shared" si="259"/>
        <v>2.312257009222364</v>
      </c>
    </row>
    <row r="8321" spans="5:8" ht="15.6">
      <c r="E8321" s="279" t="s">
        <v>8647</v>
      </c>
      <c r="F8321" s="284">
        <f t="shared" ca="1" si="258"/>
        <v>0.93854389123009963</v>
      </c>
      <c r="G8321" s="74">
        <v>38.201164510277735</v>
      </c>
      <c r="H8321" s="74">
        <f t="shared" si="259"/>
        <v>2.2932358330547871</v>
      </c>
    </row>
    <row r="8322" spans="5:8" ht="15.6">
      <c r="E8322" s="279" t="s">
        <v>8648</v>
      </c>
      <c r="F8322" s="284">
        <f t="shared" ca="1" si="258"/>
        <v>0.2522584202797179</v>
      </c>
      <c r="G8322" s="74">
        <v>40.753609279318319</v>
      </c>
      <c r="H8322" s="74">
        <f t="shared" si="259"/>
        <v>-0.25920893598579653</v>
      </c>
    </row>
    <row r="8323" spans="5:8" ht="15.6">
      <c r="E8323" s="279" t="s">
        <v>8649</v>
      </c>
      <c r="F8323" s="284">
        <f t="shared" ca="1" si="258"/>
        <v>0.82855549525673389</v>
      </c>
      <c r="G8323" s="74">
        <v>42.851540229345666</v>
      </c>
      <c r="H8323" s="74">
        <f t="shared" si="259"/>
        <v>-2.3571398860131438</v>
      </c>
    </row>
    <row r="8324" spans="5:8" ht="15.6">
      <c r="E8324" s="279" t="s">
        <v>8650</v>
      </c>
      <c r="F8324" s="284">
        <f t="shared" ca="1" si="258"/>
        <v>0.88506302591180697</v>
      </c>
      <c r="G8324" s="74">
        <v>44.330783800316624</v>
      </c>
      <c r="H8324" s="74">
        <f t="shared" si="259"/>
        <v>-3.8363834569841018</v>
      </c>
    </row>
    <row r="8325" spans="5:8" ht="15.6">
      <c r="E8325" s="279" t="s">
        <v>8651</v>
      </c>
      <c r="F8325" s="284">
        <f t="shared" ca="1" si="258"/>
        <v>0.89645020778339091</v>
      </c>
      <c r="G8325" s="74">
        <v>39.614321320554545</v>
      </c>
      <c r="H8325" s="74">
        <f t="shared" si="259"/>
        <v>0.88007902277797712</v>
      </c>
    </row>
    <row r="8326" spans="5:8" ht="15.6">
      <c r="E8326" s="279" t="s">
        <v>8652</v>
      </c>
      <c r="F8326" s="284">
        <f t="shared" ca="1" si="258"/>
        <v>0.58612225449719557</v>
      </c>
      <c r="G8326" s="74">
        <v>36.83419397451231</v>
      </c>
      <c r="H8326" s="74">
        <f t="shared" si="259"/>
        <v>3.6602063688202122</v>
      </c>
    </row>
    <row r="8327" spans="5:8" ht="15.6">
      <c r="E8327" s="279" t="s">
        <v>8653</v>
      </c>
      <c r="F8327" s="284">
        <f t="shared" ca="1" si="258"/>
        <v>0.86450935355806857</v>
      </c>
      <c r="G8327" s="74">
        <v>40.517306010712723</v>
      </c>
      <c r="H8327" s="74">
        <f t="shared" si="259"/>
        <v>-2.2905667380200612E-2</v>
      </c>
    </row>
    <row r="8328" spans="5:8" ht="15.6">
      <c r="E8328" s="279" t="s">
        <v>8654</v>
      </c>
      <c r="F8328" s="284">
        <f t="shared" ca="1" si="258"/>
        <v>0.92924617314751434</v>
      </c>
      <c r="G8328" s="74">
        <v>36.609277766960112</v>
      </c>
      <c r="H8328" s="74">
        <f t="shared" si="259"/>
        <v>3.8851225763724102</v>
      </c>
    </row>
    <row r="8329" spans="5:8" ht="15.6">
      <c r="E8329" s="279" t="s">
        <v>8655</v>
      </c>
      <c r="F8329" s="284">
        <f t="shared" ca="1" si="258"/>
        <v>8.9072931718896076E-2</v>
      </c>
      <c r="G8329" s="74">
        <v>40.540319564396775</v>
      </c>
      <c r="H8329" s="74">
        <f t="shared" si="259"/>
        <v>-4.5919221064252724E-2</v>
      </c>
    </row>
    <row r="8330" spans="5:8" ht="15.6">
      <c r="E8330" s="279" t="s">
        <v>8656</v>
      </c>
      <c r="F8330" s="284">
        <f t="shared" ca="1" si="258"/>
        <v>0.21278523241210079</v>
      </c>
      <c r="G8330" s="74">
        <v>42.604164931567105</v>
      </c>
      <c r="H8330" s="74">
        <f t="shared" si="259"/>
        <v>-2.109764588234583</v>
      </c>
    </row>
    <row r="8331" spans="5:8" ht="15.6">
      <c r="E8331" s="279" t="s">
        <v>8657</v>
      </c>
      <c r="F8331" s="284">
        <f t="shared" ca="1" si="258"/>
        <v>0.82603864099868085</v>
      </c>
      <c r="G8331" s="74">
        <v>33.984177297197107</v>
      </c>
      <c r="H8331" s="74">
        <f t="shared" si="259"/>
        <v>6.5102230461354154</v>
      </c>
    </row>
    <row r="8332" spans="5:8" ht="15.6">
      <c r="E8332" s="279" t="s">
        <v>8658</v>
      </c>
      <c r="F8332" s="284">
        <f t="shared" ref="F8332:F8395" ca="1" si="260">RAND()</f>
        <v>7.3759737365036049E-2</v>
      </c>
      <c r="G8332" s="74">
        <v>42.056316005663568</v>
      </c>
      <c r="H8332" s="74">
        <f t="shared" ref="H8332:H8395" si="261">$D$2-G8332</f>
        <v>-1.561915662331046</v>
      </c>
    </row>
    <row r="8333" spans="5:8" ht="15.6">
      <c r="E8333" s="279" t="s">
        <v>8659</v>
      </c>
      <c r="F8333" s="284">
        <f t="shared" ca="1" si="260"/>
        <v>0.12290489961873807</v>
      </c>
      <c r="G8333" s="74">
        <v>38.574019428578232</v>
      </c>
      <c r="H8333" s="74">
        <f t="shared" si="261"/>
        <v>1.9203809147542898</v>
      </c>
    </row>
    <row r="8334" spans="5:8" ht="15.6">
      <c r="E8334" s="279" t="s">
        <v>8660</v>
      </c>
      <c r="F8334" s="284">
        <f t="shared" ca="1" si="260"/>
        <v>0.57312922305246328</v>
      </c>
      <c r="G8334" s="74">
        <v>38.125129803618641</v>
      </c>
      <c r="H8334" s="74">
        <f t="shared" si="261"/>
        <v>2.3692705397138809</v>
      </c>
    </row>
    <row r="8335" spans="5:8" ht="15.6">
      <c r="E8335" s="279" t="s">
        <v>8661</v>
      </c>
      <c r="F8335" s="284">
        <f t="shared" ca="1" si="260"/>
        <v>0.92010559772940526</v>
      </c>
      <c r="G8335" s="74">
        <v>37.710255435557322</v>
      </c>
      <c r="H8335" s="74">
        <f t="shared" si="261"/>
        <v>2.7841449077752003</v>
      </c>
    </row>
    <row r="8336" spans="5:8" ht="15.6">
      <c r="E8336" s="279" t="s">
        <v>8662</v>
      </c>
      <c r="F8336" s="284">
        <f t="shared" ca="1" si="260"/>
        <v>0.24005073988469283</v>
      </c>
      <c r="G8336" s="74">
        <v>36.952057385319456</v>
      </c>
      <c r="H8336" s="74">
        <f t="shared" si="261"/>
        <v>3.5423429580130659</v>
      </c>
    </row>
    <row r="8337" spans="5:8" ht="15.6">
      <c r="E8337" s="279" t="s">
        <v>8663</v>
      </c>
      <c r="F8337" s="284">
        <f t="shared" ca="1" si="260"/>
        <v>0.90099902645678465</v>
      </c>
      <c r="G8337" s="74">
        <v>35.881163932782549</v>
      </c>
      <c r="H8337" s="74">
        <f t="shared" si="261"/>
        <v>4.6132364105499732</v>
      </c>
    </row>
    <row r="8338" spans="5:8" ht="15.6">
      <c r="E8338" s="279" t="s">
        <v>8664</v>
      </c>
      <c r="F8338" s="284">
        <f t="shared" ca="1" si="260"/>
        <v>0.58183347516765238</v>
      </c>
      <c r="G8338" s="74">
        <v>40.4323425790814</v>
      </c>
      <c r="H8338" s="74">
        <f t="shared" si="261"/>
        <v>6.2057764251122194E-2</v>
      </c>
    </row>
    <row r="8339" spans="5:8" ht="15.6">
      <c r="E8339" s="279" t="s">
        <v>8665</v>
      </c>
      <c r="F8339" s="284">
        <f t="shared" ca="1" si="260"/>
        <v>0.3864416709363917</v>
      </c>
      <c r="G8339" s="74">
        <v>38.648871586898082</v>
      </c>
      <c r="H8339" s="74">
        <f t="shared" si="261"/>
        <v>1.8455287564344403</v>
      </c>
    </row>
    <row r="8340" spans="5:8" ht="15.6">
      <c r="E8340" s="279" t="s">
        <v>8666</v>
      </c>
      <c r="F8340" s="284">
        <f t="shared" ca="1" si="260"/>
        <v>0.594710029520505</v>
      </c>
      <c r="G8340" s="74">
        <v>44.180799015333044</v>
      </c>
      <c r="H8340" s="74">
        <f t="shared" si="261"/>
        <v>-3.6863986720005215</v>
      </c>
    </row>
    <row r="8341" spans="5:8" ht="15.6">
      <c r="E8341" s="279" t="s">
        <v>8667</v>
      </c>
      <c r="F8341" s="284">
        <f t="shared" ca="1" si="260"/>
        <v>0.75726459288924108</v>
      </c>
      <c r="G8341" s="74">
        <v>39.03806130411472</v>
      </c>
      <c r="H8341" s="74">
        <f t="shared" si="261"/>
        <v>1.4563390392178022</v>
      </c>
    </row>
    <row r="8342" spans="5:8" ht="15.6">
      <c r="E8342" s="279" t="s">
        <v>8668</v>
      </c>
      <c r="F8342" s="284">
        <f t="shared" ca="1" si="260"/>
        <v>0.17120807934418902</v>
      </c>
      <c r="G8342" s="74">
        <v>34.205649796183877</v>
      </c>
      <c r="H8342" s="74">
        <f t="shared" si="261"/>
        <v>6.2887505471486449</v>
      </c>
    </row>
    <row r="8343" spans="5:8" ht="15.6">
      <c r="E8343" s="279" t="s">
        <v>8669</v>
      </c>
      <c r="F8343" s="284">
        <f t="shared" ca="1" si="260"/>
        <v>0.61635063669243262</v>
      </c>
      <c r="G8343" s="74">
        <v>38.943913934862287</v>
      </c>
      <c r="H8343" s="74">
        <f t="shared" si="261"/>
        <v>1.5504864084702348</v>
      </c>
    </row>
    <row r="8344" spans="5:8" ht="15.6">
      <c r="E8344" s="279" t="s">
        <v>8670</v>
      </c>
      <c r="F8344" s="284">
        <f t="shared" ca="1" si="260"/>
        <v>0.46356262300308604</v>
      </c>
      <c r="G8344" s="74">
        <v>38.326918454993866</v>
      </c>
      <c r="H8344" s="74">
        <f t="shared" si="261"/>
        <v>2.1674818883386564</v>
      </c>
    </row>
    <row r="8345" spans="5:8" ht="15.6">
      <c r="E8345" s="279" t="s">
        <v>8671</v>
      </c>
      <c r="F8345" s="284">
        <f t="shared" ca="1" si="260"/>
        <v>0.73390815864267711</v>
      </c>
      <c r="G8345" s="74">
        <v>39.682592357767284</v>
      </c>
      <c r="H8345" s="74">
        <f t="shared" si="261"/>
        <v>0.81180798556523825</v>
      </c>
    </row>
    <row r="8346" spans="5:8" ht="15.6">
      <c r="E8346" s="279" t="s">
        <v>8672</v>
      </c>
      <c r="F8346" s="284">
        <f t="shared" ca="1" si="260"/>
        <v>0.74286710075010298</v>
      </c>
      <c r="G8346" s="74">
        <v>39.546485026863024</v>
      </c>
      <c r="H8346" s="74">
        <f t="shared" si="261"/>
        <v>0.94791531646949778</v>
      </c>
    </row>
    <row r="8347" spans="5:8" ht="15.6">
      <c r="E8347" s="279" t="s">
        <v>8673</v>
      </c>
      <c r="F8347" s="284">
        <f t="shared" ca="1" si="260"/>
        <v>0.10392450617047533</v>
      </c>
      <c r="G8347" s="74">
        <v>36.824644630106917</v>
      </c>
      <c r="H8347" s="74">
        <f t="shared" si="261"/>
        <v>3.6697557132256051</v>
      </c>
    </row>
    <row r="8348" spans="5:8" ht="15.6">
      <c r="E8348" s="279" t="s">
        <v>8674</v>
      </c>
      <c r="F8348" s="284">
        <f t="shared" ca="1" si="260"/>
        <v>0.93490101114142832</v>
      </c>
      <c r="G8348" s="74">
        <v>37.561845836782602</v>
      </c>
      <c r="H8348" s="74">
        <f t="shared" si="261"/>
        <v>2.9325545065499199</v>
      </c>
    </row>
    <row r="8349" spans="5:8" ht="15.6">
      <c r="E8349" s="279" t="s">
        <v>8675</v>
      </c>
      <c r="F8349" s="284">
        <f t="shared" ca="1" si="260"/>
        <v>0.22277094959818089</v>
      </c>
      <c r="G8349" s="74">
        <v>40.875070087148487</v>
      </c>
      <c r="H8349" s="74">
        <f t="shared" si="261"/>
        <v>-0.38066974381596452</v>
      </c>
    </row>
    <row r="8350" spans="5:8" ht="15.6">
      <c r="E8350" s="279" t="s">
        <v>8676</v>
      </c>
      <c r="F8350" s="284">
        <f t="shared" ca="1" si="260"/>
        <v>0.41053960459885286</v>
      </c>
      <c r="G8350" s="74">
        <v>43.126659083968079</v>
      </c>
      <c r="H8350" s="74">
        <f t="shared" si="261"/>
        <v>-2.6322587406355566</v>
      </c>
    </row>
    <row r="8351" spans="5:8" ht="15.6">
      <c r="E8351" s="279" t="s">
        <v>8677</v>
      </c>
      <c r="F8351" s="284">
        <f t="shared" ca="1" si="260"/>
        <v>0.56112819024357974</v>
      </c>
      <c r="G8351" s="74">
        <v>41.303347238158629</v>
      </c>
      <c r="H8351" s="74">
        <f t="shared" si="261"/>
        <v>-0.80894689482610715</v>
      </c>
    </row>
    <row r="8352" spans="5:8" ht="15.6">
      <c r="E8352" s="279" t="s">
        <v>8678</v>
      </c>
      <c r="F8352" s="284">
        <f t="shared" ca="1" si="260"/>
        <v>0.49829414672297134</v>
      </c>
      <c r="G8352" s="74">
        <v>44.74059097365685</v>
      </c>
      <c r="H8352" s="74">
        <f t="shared" si="261"/>
        <v>-4.2461906303243282</v>
      </c>
    </row>
    <row r="8353" spans="5:8" ht="15.6">
      <c r="E8353" s="279" t="s">
        <v>8679</v>
      </c>
      <c r="F8353" s="284">
        <f t="shared" ca="1" si="260"/>
        <v>0.24138554189773542</v>
      </c>
      <c r="G8353" s="74">
        <v>37.859425386141567</v>
      </c>
      <c r="H8353" s="74">
        <f t="shared" si="261"/>
        <v>2.6349749571909555</v>
      </c>
    </row>
    <row r="8354" spans="5:8" ht="15.6">
      <c r="E8354" s="279" t="s">
        <v>8680</v>
      </c>
      <c r="F8354" s="284">
        <f t="shared" ca="1" si="260"/>
        <v>0.96976764867083587</v>
      </c>
      <c r="G8354" s="74">
        <v>39.72621452155623</v>
      </c>
      <c r="H8354" s="74">
        <f t="shared" si="261"/>
        <v>0.76818582177629224</v>
      </c>
    </row>
    <row r="8355" spans="5:8" ht="15.6">
      <c r="E8355" s="279" t="s">
        <v>8681</v>
      </c>
      <c r="F8355" s="284">
        <f t="shared" ca="1" si="260"/>
        <v>0.26287413164779394</v>
      </c>
      <c r="G8355" s="74">
        <v>36.739097197459486</v>
      </c>
      <c r="H8355" s="74">
        <f t="shared" si="261"/>
        <v>3.7553031458730359</v>
      </c>
    </row>
    <row r="8356" spans="5:8" ht="15.6">
      <c r="E8356" s="279" t="s">
        <v>8682</v>
      </c>
      <c r="F8356" s="284">
        <f t="shared" ca="1" si="260"/>
        <v>0.94703635827025079</v>
      </c>
      <c r="G8356" s="74">
        <v>35.338273469384781</v>
      </c>
      <c r="H8356" s="74">
        <f t="shared" si="261"/>
        <v>5.1561268739477413</v>
      </c>
    </row>
    <row r="8357" spans="5:8" ht="15.6">
      <c r="E8357" s="279" t="s">
        <v>8683</v>
      </c>
      <c r="F8357" s="284">
        <f t="shared" ca="1" si="260"/>
        <v>0.99346366731061464</v>
      </c>
      <c r="G8357" s="74">
        <v>35.635522579951832</v>
      </c>
      <c r="H8357" s="74">
        <f t="shared" si="261"/>
        <v>4.8588777633806899</v>
      </c>
    </row>
    <row r="8358" spans="5:8" ht="15.6">
      <c r="E8358" s="279" t="s">
        <v>8684</v>
      </c>
      <c r="F8358" s="284">
        <f t="shared" ca="1" si="260"/>
        <v>9.9787569283292354E-2</v>
      </c>
      <c r="G8358" s="74">
        <v>38.979526699318946</v>
      </c>
      <c r="H8358" s="74">
        <f t="shared" si="261"/>
        <v>1.5148736440135764</v>
      </c>
    </row>
    <row r="8359" spans="5:8" ht="15.6">
      <c r="E8359" s="279" t="s">
        <v>8685</v>
      </c>
      <c r="F8359" s="284">
        <f t="shared" ca="1" si="260"/>
        <v>0.41631140061610761</v>
      </c>
      <c r="G8359" s="74">
        <v>37.425488536144314</v>
      </c>
      <c r="H8359" s="74">
        <f t="shared" si="261"/>
        <v>3.0689118071882078</v>
      </c>
    </row>
    <row r="8360" spans="5:8" ht="15.6">
      <c r="E8360" s="279" t="s">
        <v>8686</v>
      </c>
      <c r="F8360" s="284">
        <f t="shared" ca="1" si="260"/>
        <v>0.24641120453591792</v>
      </c>
      <c r="G8360" s="74">
        <v>39.622212923093606</v>
      </c>
      <c r="H8360" s="74">
        <f t="shared" si="261"/>
        <v>0.87218742023891593</v>
      </c>
    </row>
    <row r="8361" spans="5:8" ht="15.6">
      <c r="E8361" s="279" t="s">
        <v>8687</v>
      </c>
      <c r="F8361" s="284">
        <f t="shared" ca="1" si="260"/>
        <v>0.70517960493122367</v>
      </c>
      <c r="G8361" s="74">
        <v>37.037095465289305</v>
      </c>
      <c r="H8361" s="74">
        <f t="shared" si="261"/>
        <v>3.4573048780432174</v>
      </c>
    </row>
    <row r="8362" spans="5:8" ht="15.6">
      <c r="E8362" s="279" t="s">
        <v>8688</v>
      </c>
      <c r="F8362" s="284">
        <f t="shared" ca="1" si="260"/>
        <v>0.84296054741148074</v>
      </c>
      <c r="G8362" s="74">
        <v>40.50288896477047</v>
      </c>
      <c r="H8362" s="74">
        <f t="shared" si="261"/>
        <v>-8.4886214379480407E-3</v>
      </c>
    </row>
    <row r="8363" spans="5:8" ht="15.6">
      <c r="E8363" s="279" t="s">
        <v>8689</v>
      </c>
      <c r="F8363" s="284">
        <f t="shared" ca="1" si="260"/>
        <v>0.2133198366134873</v>
      </c>
      <c r="G8363" s="74">
        <v>39.529094145996396</v>
      </c>
      <c r="H8363" s="74">
        <f t="shared" si="261"/>
        <v>0.9653061973361261</v>
      </c>
    </row>
    <row r="8364" spans="5:8" ht="15.6">
      <c r="E8364" s="279" t="s">
        <v>8690</v>
      </c>
      <c r="F8364" s="284">
        <f t="shared" ca="1" si="260"/>
        <v>0.24589152666472724</v>
      </c>
      <c r="G8364" s="74">
        <v>41.908131761629257</v>
      </c>
      <c r="H8364" s="74">
        <f t="shared" si="261"/>
        <v>-1.4137314182967344</v>
      </c>
    </row>
    <row r="8365" spans="5:8" ht="15.6">
      <c r="E8365" s="279" t="s">
        <v>8691</v>
      </c>
      <c r="F8365" s="284">
        <f t="shared" ca="1" si="260"/>
        <v>0.61195606327835284</v>
      </c>
      <c r="G8365" s="74">
        <v>41.627928136292091</v>
      </c>
      <c r="H8365" s="74">
        <f t="shared" si="261"/>
        <v>-1.1335277929595691</v>
      </c>
    </row>
    <row r="8366" spans="5:8" ht="15.6">
      <c r="E8366" s="279" t="s">
        <v>8692</v>
      </c>
      <c r="F8366" s="284">
        <f t="shared" ca="1" si="260"/>
        <v>0.31752388340781235</v>
      </c>
      <c r="G8366" s="74">
        <v>45.319764095573099</v>
      </c>
      <c r="H8366" s="74">
        <f t="shared" si="261"/>
        <v>-4.8253637522405768</v>
      </c>
    </row>
    <row r="8367" spans="5:8" ht="15.6">
      <c r="E8367" s="279" t="s">
        <v>8693</v>
      </c>
      <c r="F8367" s="284">
        <f t="shared" ca="1" si="260"/>
        <v>0.91051212965581751</v>
      </c>
      <c r="G8367" s="74">
        <v>35.998384867459528</v>
      </c>
      <c r="H8367" s="74">
        <f t="shared" si="261"/>
        <v>4.4960154758729942</v>
      </c>
    </row>
    <row r="8368" spans="5:8" ht="15.6">
      <c r="E8368" s="279" t="s">
        <v>8694</v>
      </c>
      <c r="F8368" s="284">
        <f t="shared" ca="1" si="260"/>
        <v>0.82292151050750884</v>
      </c>
      <c r="G8368" s="74">
        <v>36.531841763066595</v>
      </c>
      <c r="H8368" s="74">
        <f t="shared" si="261"/>
        <v>3.9625585802659273</v>
      </c>
    </row>
    <row r="8369" spans="5:8" ht="15.6">
      <c r="E8369" s="279" t="s">
        <v>8695</v>
      </c>
      <c r="F8369" s="284">
        <f t="shared" ca="1" si="260"/>
        <v>0.37335608496345019</v>
      </c>
      <c r="G8369" s="74">
        <v>41.667747476461585</v>
      </c>
      <c r="H8369" s="74">
        <f t="shared" si="261"/>
        <v>-1.173347133129063</v>
      </c>
    </row>
    <row r="8370" spans="5:8" ht="15.6">
      <c r="E8370" s="279" t="s">
        <v>8696</v>
      </c>
      <c r="F8370" s="284">
        <f t="shared" ca="1" si="260"/>
        <v>1.3879904030497103E-2</v>
      </c>
      <c r="G8370" s="74">
        <v>36.509666817974704</v>
      </c>
      <c r="H8370" s="74">
        <f t="shared" si="261"/>
        <v>3.984733525357818</v>
      </c>
    </row>
    <row r="8371" spans="5:8" ht="15.6">
      <c r="E8371" s="279" t="s">
        <v>8697</v>
      </c>
      <c r="F8371" s="284">
        <f t="shared" ca="1" si="260"/>
        <v>0.11432011993152202</v>
      </c>
      <c r="G8371" s="74">
        <v>40.309849015974649</v>
      </c>
      <c r="H8371" s="74">
        <f t="shared" si="261"/>
        <v>0.18455132735787316</v>
      </c>
    </row>
    <row r="8372" spans="5:8" ht="15.6">
      <c r="E8372" s="279" t="s">
        <v>8698</v>
      </c>
      <c r="F8372" s="284">
        <f t="shared" ca="1" si="260"/>
        <v>0.79194962267259383</v>
      </c>
      <c r="G8372" s="74">
        <v>41.481892177274311</v>
      </c>
      <c r="H8372" s="74">
        <f t="shared" si="261"/>
        <v>-0.98749183394178885</v>
      </c>
    </row>
    <row r="8373" spans="5:8" ht="15.6">
      <c r="E8373" s="279" t="s">
        <v>8699</v>
      </c>
      <c r="F8373" s="284">
        <f t="shared" ca="1" si="260"/>
        <v>0.18777633779995184</v>
      </c>
      <c r="G8373" s="74">
        <v>36.526506732848283</v>
      </c>
      <c r="H8373" s="74">
        <f t="shared" si="261"/>
        <v>3.9678936104842393</v>
      </c>
    </row>
    <row r="8374" spans="5:8" ht="15.6">
      <c r="E8374" s="279" t="s">
        <v>8700</v>
      </c>
      <c r="F8374" s="284">
        <f t="shared" ca="1" si="260"/>
        <v>0.50553632428015116</v>
      </c>
      <c r="G8374" s="74">
        <v>39.489037709343187</v>
      </c>
      <c r="H8374" s="74">
        <f t="shared" si="261"/>
        <v>1.0053626339893356</v>
      </c>
    </row>
    <row r="8375" spans="5:8" ht="15.6">
      <c r="E8375" s="279" t="s">
        <v>8701</v>
      </c>
      <c r="F8375" s="284">
        <f t="shared" ca="1" si="260"/>
        <v>9.2500641132893247E-3</v>
      </c>
      <c r="G8375" s="74">
        <v>38.373198860817773</v>
      </c>
      <c r="H8375" s="74">
        <f t="shared" si="261"/>
        <v>2.1212014825147492</v>
      </c>
    </row>
    <row r="8376" spans="5:8" ht="15.6">
      <c r="E8376" s="279" t="s">
        <v>8702</v>
      </c>
      <c r="F8376" s="284">
        <f t="shared" ca="1" si="260"/>
        <v>8.6293386174563946E-2</v>
      </c>
      <c r="G8376" s="74">
        <v>39.823596694043381</v>
      </c>
      <c r="H8376" s="74">
        <f t="shared" si="261"/>
        <v>0.67080364928914094</v>
      </c>
    </row>
    <row r="8377" spans="5:8" ht="15.6">
      <c r="E8377" s="279" t="s">
        <v>8703</v>
      </c>
      <c r="F8377" s="284">
        <f t="shared" ca="1" si="260"/>
        <v>0.16463583097357581</v>
      </c>
      <c r="G8377" s="74">
        <v>38.94666662182717</v>
      </c>
      <c r="H8377" s="74">
        <f t="shared" si="261"/>
        <v>1.5477337215053524</v>
      </c>
    </row>
    <row r="8378" spans="5:8" ht="15.6">
      <c r="E8378" s="279" t="s">
        <v>8704</v>
      </c>
      <c r="F8378" s="284">
        <f t="shared" ca="1" si="260"/>
        <v>0.3650796509519455</v>
      </c>
      <c r="G8378" s="74">
        <v>37.996086643221552</v>
      </c>
      <c r="H8378" s="74">
        <f t="shared" si="261"/>
        <v>2.4983137001109696</v>
      </c>
    </row>
    <row r="8379" spans="5:8" ht="15.6">
      <c r="E8379" s="279" t="s">
        <v>8705</v>
      </c>
      <c r="F8379" s="284">
        <f t="shared" ca="1" si="260"/>
        <v>0.64352688590624529</v>
      </c>
      <c r="G8379" s="74">
        <v>38.18949405610914</v>
      </c>
      <c r="H8379" s="74">
        <f t="shared" si="261"/>
        <v>2.3049062872233819</v>
      </c>
    </row>
    <row r="8380" spans="5:8" ht="15.6">
      <c r="E8380" s="279" t="s">
        <v>8706</v>
      </c>
      <c r="F8380" s="284">
        <f t="shared" ca="1" si="260"/>
        <v>0.38644671580804035</v>
      </c>
      <c r="G8380" s="74">
        <v>36.634283719227447</v>
      </c>
      <c r="H8380" s="74">
        <f t="shared" si="261"/>
        <v>3.8601166241050748</v>
      </c>
    </row>
    <row r="8381" spans="5:8" ht="15.6">
      <c r="E8381" s="279" t="s">
        <v>8707</v>
      </c>
      <c r="F8381" s="284">
        <f t="shared" ca="1" si="260"/>
        <v>0.21807082964119628</v>
      </c>
      <c r="G8381" s="74">
        <v>42.931340655591242</v>
      </c>
      <c r="H8381" s="74">
        <f t="shared" si="261"/>
        <v>-2.4369403122587201</v>
      </c>
    </row>
    <row r="8382" spans="5:8" ht="15.6">
      <c r="E8382" s="279" t="s">
        <v>8708</v>
      </c>
      <c r="F8382" s="284">
        <f t="shared" ca="1" si="260"/>
        <v>0.49481625520970041</v>
      </c>
      <c r="G8382" s="74">
        <v>41.213686577898507</v>
      </c>
      <c r="H8382" s="74">
        <f t="shared" si="261"/>
        <v>-0.71928623456598473</v>
      </c>
    </row>
    <row r="8383" spans="5:8" ht="15.6">
      <c r="E8383" s="279" t="s">
        <v>8709</v>
      </c>
      <c r="F8383" s="284">
        <f t="shared" ca="1" si="260"/>
        <v>0.48771404849173039</v>
      </c>
      <c r="G8383" s="74">
        <v>41.87450527530698</v>
      </c>
      <c r="H8383" s="74">
        <f t="shared" si="261"/>
        <v>-1.3801049319744578</v>
      </c>
    </row>
    <row r="8384" spans="5:8" ht="15.6">
      <c r="E8384" s="279" t="s">
        <v>8710</v>
      </c>
      <c r="F8384" s="284">
        <f t="shared" ca="1" si="260"/>
        <v>0.44680397712552167</v>
      </c>
      <c r="G8384" s="74">
        <v>39.624514406062545</v>
      </c>
      <c r="H8384" s="74">
        <f t="shared" si="261"/>
        <v>0.86988593726997721</v>
      </c>
    </row>
    <row r="8385" spans="5:8" ht="15.6">
      <c r="E8385" s="279" t="s">
        <v>8711</v>
      </c>
      <c r="F8385" s="284">
        <f t="shared" ca="1" si="260"/>
        <v>0.88554442524205146</v>
      </c>
      <c r="G8385" s="74">
        <v>45.434320640789345</v>
      </c>
      <c r="H8385" s="74">
        <f t="shared" si="261"/>
        <v>-4.9399202974568226</v>
      </c>
    </row>
    <row r="8386" spans="5:8" ht="15.6">
      <c r="E8386" s="279" t="s">
        <v>8712</v>
      </c>
      <c r="F8386" s="284">
        <f t="shared" ca="1" si="260"/>
        <v>4.7706597725799549E-3</v>
      </c>
      <c r="G8386" s="74">
        <v>43.504436285066362</v>
      </c>
      <c r="H8386" s="74">
        <f t="shared" si="261"/>
        <v>-3.0100359417338396</v>
      </c>
    </row>
    <row r="8387" spans="5:8" ht="15.6">
      <c r="E8387" s="279" t="s">
        <v>8713</v>
      </c>
      <c r="F8387" s="284">
        <f t="shared" ca="1" si="260"/>
        <v>0.9889690279186667</v>
      </c>
      <c r="G8387" s="74">
        <v>38.142597035729295</v>
      </c>
      <c r="H8387" s="74">
        <f t="shared" si="261"/>
        <v>2.3518033076032268</v>
      </c>
    </row>
    <row r="8388" spans="5:8" ht="15.6">
      <c r="E8388" s="279" t="s">
        <v>8714</v>
      </c>
      <c r="F8388" s="284">
        <f t="shared" ca="1" si="260"/>
        <v>0.6742983027415167</v>
      </c>
      <c r="G8388" s="74">
        <v>32.903968615299895</v>
      </c>
      <c r="H8388" s="74">
        <f t="shared" si="261"/>
        <v>7.5904317280326268</v>
      </c>
    </row>
    <row r="8389" spans="5:8" ht="15.6">
      <c r="E8389" s="279" t="s">
        <v>8715</v>
      </c>
      <c r="F8389" s="284">
        <f t="shared" ca="1" si="260"/>
        <v>0.70906380579299666</v>
      </c>
      <c r="G8389" s="74">
        <v>35.925908459665507</v>
      </c>
      <c r="H8389" s="74">
        <f t="shared" si="261"/>
        <v>4.568491883667015</v>
      </c>
    </row>
    <row r="8390" spans="5:8" ht="15.6">
      <c r="E8390" s="279" t="s">
        <v>8716</v>
      </c>
      <c r="F8390" s="284">
        <f t="shared" ca="1" si="260"/>
        <v>0.38647870550381891</v>
      </c>
      <c r="G8390" s="74">
        <v>35.583943051924066</v>
      </c>
      <c r="H8390" s="74">
        <f t="shared" si="261"/>
        <v>4.9104572914084557</v>
      </c>
    </row>
    <row r="8391" spans="5:8" ht="15.6">
      <c r="E8391" s="279" t="s">
        <v>8717</v>
      </c>
      <c r="F8391" s="284">
        <f t="shared" ca="1" si="260"/>
        <v>5.2871505687790421E-4</v>
      </c>
      <c r="G8391" s="74">
        <v>34.521088242425428</v>
      </c>
      <c r="H8391" s="74">
        <f t="shared" si="261"/>
        <v>5.9733121009070942</v>
      </c>
    </row>
    <row r="8392" spans="5:8" ht="15.6">
      <c r="E8392" s="279" t="s">
        <v>8718</v>
      </c>
      <c r="F8392" s="284">
        <f t="shared" ca="1" si="260"/>
        <v>0.72667600579850089</v>
      </c>
      <c r="G8392" s="74">
        <v>42.582521169289826</v>
      </c>
      <c r="H8392" s="74">
        <f t="shared" si="261"/>
        <v>-2.0881208259573043</v>
      </c>
    </row>
    <row r="8393" spans="5:8" ht="15.6">
      <c r="E8393" s="279" t="s">
        <v>8719</v>
      </c>
      <c r="F8393" s="284">
        <f t="shared" ca="1" si="260"/>
        <v>0.96194946840449913</v>
      </c>
      <c r="G8393" s="74">
        <v>41.491092502281738</v>
      </c>
      <c r="H8393" s="74">
        <f t="shared" si="261"/>
        <v>-0.99669215894921592</v>
      </c>
    </row>
    <row r="8394" spans="5:8" ht="15.6">
      <c r="E8394" s="279" t="s">
        <v>8720</v>
      </c>
      <c r="F8394" s="284">
        <f t="shared" ca="1" si="260"/>
        <v>0.25727090875638536</v>
      </c>
      <c r="G8394" s="74">
        <v>38.837435524233072</v>
      </c>
      <c r="H8394" s="74">
        <f t="shared" si="261"/>
        <v>1.6569648190994499</v>
      </c>
    </row>
    <row r="8395" spans="5:8" ht="15.6">
      <c r="E8395" s="279" t="s">
        <v>8721</v>
      </c>
      <c r="F8395" s="284">
        <f t="shared" ca="1" si="260"/>
        <v>0.34059248571975043</v>
      </c>
      <c r="G8395" s="74">
        <v>36.505235775734683</v>
      </c>
      <c r="H8395" s="74">
        <f t="shared" si="261"/>
        <v>3.9891645675978396</v>
      </c>
    </row>
    <row r="8396" spans="5:8" ht="15.6">
      <c r="E8396" s="279" t="s">
        <v>8722</v>
      </c>
      <c r="F8396" s="284">
        <f t="shared" ref="F8396:F8459" ca="1" si="262">RAND()</f>
        <v>4.2836908530942575E-2</v>
      </c>
      <c r="G8396" s="74">
        <v>34.898377709899627</v>
      </c>
      <c r="H8396" s="74">
        <f t="shared" ref="H8396:H8459" si="263">$D$2-G8396</f>
        <v>5.5960226334328951</v>
      </c>
    </row>
    <row r="8397" spans="5:8" ht="15.6">
      <c r="E8397" s="279" t="s">
        <v>8723</v>
      </c>
      <c r="F8397" s="284">
        <f t="shared" ca="1" si="262"/>
        <v>0.85977566105181613</v>
      </c>
      <c r="G8397" s="74">
        <v>34.913964102538714</v>
      </c>
      <c r="H8397" s="74">
        <f t="shared" si="263"/>
        <v>5.5804362407938086</v>
      </c>
    </row>
    <row r="8398" spans="5:8" ht="15.6">
      <c r="E8398" s="279" t="s">
        <v>8724</v>
      </c>
      <c r="F8398" s="284">
        <f t="shared" ca="1" si="262"/>
        <v>6.396015526072274E-4</v>
      </c>
      <c r="G8398" s="74">
        <v>35.387638317157851</v>
      </c>
      <c r="H8398" s="74">
        <f t="shared" si="263"/>
        <v>5.1067620261746711</v>
      </c>
    </row>
    <row r="8399" spans="5:8" ht="15.6">
      <c r="E8399" s="279" t="s">
        <v>8725</v>
      </c>
      <c r="F8399" s="284">
        <f t="shared" ca="1" si="262"/>
        <v>0.45635444988745855</v>
      </c>
      <c r="G8399" s="74">
        <v>41.618374002555527</v>
      </c>
      <c r="H8399" s="74">
        <f t="shared" si="263"/>
        <v>-1.1239736592230045</v>
      </c>
    </row>
    <row r="8400" spans="5:8" ht="15.6">
      <c r="E8400" s="279" t="s">
        <v>8726</v>
      </c>
      <c r="F8400" s="284">
        <f t="shared" ca="1" si="262"/>
        <v>0.21040829234204506</v>
      </c>
      <c r="G8400" s="74">
        <v>32.295836622801616</v>
      </c>
      <c r="H8400" s="74">
        <f t="shared" si="263"/>
        <v>8.1985637205309061</v>
      </c>
    </row>
    <row r="8401" spans="5:8" ht="15.6">
      <c r="E8401" s="279" t="s">
        <v>8727</v>
      </c>
      <c r="F8401" s="284">
        <f t="shared" ca="1" si="262"/>
        <v>0.9705611374141947</v>
      </c>
      <c r="G8401" s="74">
        <v>41.378329575329289</v>
      </c>
      <c r="H8401" s="74">
        <f t="shared" si="263"/>
        <v>-0.88392923199676687</v>
      </c>
    </row>
    <row r="8402" spans="5:8" ht="15.6">
      <c r="E8402" s="279" t="s">
        <v>8728</v>
      </c>
      <c r="F8402" s="284">
        <f t="shared" ca="1" si="262"/>
        <v>0.82977639972109085</v>
      </c>
      <c r="G8402" s="74">
        <v>34.782558038361401</v>
      </c>
      <c r="H8402" s="74">
        <f t="shared" si="263"/>
        <v>5.7118423049711211</v>
      </c>
    </row>
    <row r="8403" spans="5:8" ht="15.6">
      <c r="E8403" s="279" t="s">
        <v>8729</v>
      </c>
      <c r="F8403" s="284">
        <f t="shared" ca="1" si="262"/>
        <v>0.86790756999744945</v>
      </c>
      <c r="G8403" s="74">
        <v>40.283786249430527</v>
      </c>
      <c r="H8403" s="74">
        <f t="shared" si="263"/>
        <v>0.21061409390199515</v>
      </c>
    </row>
    <row r="8404" spans="5:8" ht="15.6">
      <c r="E8404" s="279" t="s">
        <v>8730</v>
      </c>
      <c r="F8404" s="284">
        <f t="shared" ca="1" si="262"/>
        <v>0.25227814696660855</v>
      </c>
      <c r="G8404" s="74">
        <v>41.029332355069187</v>
      </c>
      <c r="H8404" s="74">
        <f t="shared" si="263"/>
        <v>-0.53493201173666449</v>
      </c>
    </row>
    <row r="8405" spans="5:8" ht="15.6">
      <c r="E8405" s="279" t="s">
        <v>8731</v>
      </c>
      <c r="F8405" s="284">
        <f t="shared" ca="1" si="262"/>
        <v>0.89049749324787764</v>
      </c>
      <c r="G8405" s="74">
        <v>38.161095733408821</v>
      </c>
      <c r="H8405" s="74">
        <f t="shared" si="263"/>
        <v>2.3333046099237009</v>
      </c>
    </row>
    <row r="8406" spans="5:8" ht="15.6">
      <c r="E8406" s="279" t="s">
        <v>8732</v>
      </c>
      <c r="F8406" s="284">
        <f t="shared" ca="1" si="262"/>
        <v>0.26833785062287951</v>
      </c>
      <c r="G8406" s="74">
        <v>40.194764912737263</v>
      </c>
      <c r="H8406" s="74">
        <f t="shared" si="263"/>
        <v>0.29963543059525932</v>
      </c>
    </row>
    <row r="8407" spans="5:8" ht="15.6">
      <c r="E8407" s="279" t="s">
        <v>8733</v>
      </c>
      <c r="F8407" s="284">
        <f t="shared" ca="1" si="262"/>
        <v>0.67445548157190649</v>
      </c>
      <c r="G8407" s="74">
        <v>39.372964304986077</v>
      </c>
      <c r="H8407" s="74">
        <f t="shared" si="263"/>
        <v>1.1214360383464452</v>
      </c>
    </row>
    <row r="8408" spans="5:8" ht="15.6">
      <c r="E8408" s="279" t="s">
        <v>8734</v>
      </c>
      <c r="F8408" s="284">
        <f t="shared" ca="1" si="262"/>
        <v>0.14174710166453408</v>
      </c>
      <c r="G8408" s="74">
        <v>39.155004909669863</v>
      </c>
      <c r="H8408" s="74">
        <f t="shared" si="263"/>
        <v>1.3393954336626592</v>
      </c>
    </row>
    <row r="8409" spans="5:8" ht="15.6">
      <c r="E8409" s="279" t="s">
        <v>8735</v>
      </c>
      <c r="F8409" s="284">
        <f t="shared" ca="1" si="262"/>
        <v>0.35635226745730575</v>
      </c>
      <c r="G8409" s="74">
        <v>37.315776959821555</v>
      </c>
      <c r="H8409" s="74">
        <f t="shared" si="263"/>
        <v>3.178623383510967</v>
      </c>
    </row>
    <row r="8410" spans="5:8" ht="15.6">
      <c r="E8410" s="279" t="s">
        <v>8736</v>
      </c>
      <c r="F8410" s="284">
        <f t="shared" ca="1" si="262"/>
        <v>0.28810036094710878</v>
      </c>
      <c r="G8410" s="74">
        <v>39.90499097688128</v>
      </c>
      <c r="H8410" s="74">
        <f t="shared" si="263"/>
        <v>0.58940936645124253</v>
      </c>
    </row>
    <row r="8411" spans="5:8" ht="15.6">
      <c r="E8411" s="279" t="s">
        <v>8737</v>
      </c>
      <c r="F8411" s="284">
        <f t="shared" ca="1" si="262"/>
        <v>2.8963294208778856E-2</v>
      </c>
      <c r="G8411" s="74">
        <v>38.182301782149388</v>
      </c>
      <c r="H8411" s="74">
        <f t="shared" si="263"/>
        <v>2.3120985611831344</v>
      </c>
    </row>
    <row r="8412" spans="5:8" ht="15.6">
      <c r="E8412" s="279" t="s">
        <v>8738</v>
      </c>
      <c r="F8412" s="284">
        <f t="shared" ca="1" si="262"/>
        <v>0.55389330161536776</v>
      </c>
      <c r="G8412" s="74">
        <v>37.929947840879024</v>
      </c>
      <c r="H8412" s="74">
        <f t="shared" si="263"/>
        <v>2.5644525024534985</v>
      </c>
    </row>
    <row r="8413" spans="5:8" ht="15.6">
      <c r="E8413" s="279" t="s">
        <v>8739</v>
      </c>
      <c r="F8413" s="284">
        <f t="shared" ca="1" si="262"/>
        <v>0.8232296540604509</v>
      </c>
      <c r="G8413" s="74">
        <v>35.766358155167495</v>
      </c>
      <c r="H8413" s="74">
        <f t="shared" si="263"/>
        <v>4.728042188165027</v>
      </c>
    </row>
    <row r="8414" spans="5:8" ht="15.6">
      <c r="E8414" s="279" t="s">
        <v>8740</v>
      </c>
      <c r="F8414" s="284">
        <f t="shared" ca="1" si="262"/>
        <v>4.8323830144901936E-2</v>
      </c>
      <c r="G8414" s="74">
        <v>32.498223726762475</v>
      </c>
      <c r="H8414" s="74">
        <f t="shared" si="263"/>
        <v>7.9961766165700467</v>
      </c>
    </row>
    <row r="8415" spans="5:8" ht="15.6">
      <c r="E8415" s="279" t="s">
        <v>8741</v>
      </c>
      <c r="F8415" s="284">
        <f t="shared" ca="1" si="262"/>
        <v>1.2380547339944536E-2</v>
      </c>
      <c r="G8415" s="74">
        <v>33.799659236614836</v>
      </c>
      <c r="H8415" s="74">
        <f t="shared" si="263"/>
        <v>6.6947411067176859</v>
      </c>
    </row>
    <row r="8416" spans="5:8" ht="15.6">
      <c r="E8416" s="279" t="s">
        <v>8742</v>
      </c>
      <c r="F8416" s="284">
        <f t="shared" ca="1" si="262"/>
        <v>0.1076750683561899</v>
      </c>
      <c r="G8416" s="74">
        <v>40.156841529625162</v>
      </c>
      <c r="H8416" s="74">
        <f t="shared" si="263"/>
        <v>0.33755881370736063</v>
      </c>
    </row>
    <row r="8417" spans="5:8" ht="15.6">
      <c r="E8417" s="279" t="s">
        <v>8743</v>
      </c>
      <c r="F8417" s="284">
        <f t="shared" ca="1" si="262"/>
        <v>0.82527692062054803</v>
      </c>
      <c r="G8417" s="74">
        <v>35.353423795377473</v>
      </c>
      <c r="H8417" s="74">
        <f t="shared" si="263"/>
        <v>5.1409765479550487</v>
      </c>
    </row>
    <row r="8418" spans="5:8" ht="15.6">
      <c r="E8418" s="279" t="s">
        <v>8744</v>
      </c>
      <c r="F8418" s="284">
        <f t="shared" ca="1" si="262"/>
        <v>0.27573155081316492</v>
      </c>
      <c r="G8418" s="74">
        <v>39.790664027869411</v>
      </c>
      <c r="H8418" s="74">
        <f t="shared" si="263"/>
        <v>0.70373631546311088</v>
      </c>
    </row>
    <row r="8419" spans="5:8" ht="15.6">
      <c r="E8419" s="279" t="s">
        <v>8745</v>
      </c>
      <c r="F8419" s="284">
        <f t="shared" ca="1" si="262"/>
        <v>0.53027385322662923</v>
      </c>
      <c r="G8419" s="74">
        <v>41.459949538014541</v>
      </c>
      <c r="H8419" s="74">
        <f t="shared" si="263"/>
        <v>-0.96554919468201916</v>
      </c>
    </row>
    <row r="8420" spans="5:8" ht="15.6">
      <c r="E8420" s="279" t="s">
        <v>8746</v>
      </c>
      <c r="F8420" s="284">
        <f t="shared" ca="1" si="262"/>
        <v>0.57582627760484684</v>
      </c>
      <c r="G8420" s="74">
        <v>35.873576775074334</v>
      </c>
      <c r="H8420" s="74">
        <f t="shared" si="263"/>
        <v>4.6208235682581886</v>
      </c>
    </row>
    <row r="8421" spans="5:8" ht="15.6">
      <c r="E8421" s="279" t="s">
        <v>8747</v>
      </c>
      <c r="F8421" s="284">
        <f t="shared" ca="1" si="262"/>
        <v>0.46437392907826747</v>
      </c>
      <c r="G8421" s="74">
        <v>37.784481557321996</v>
      </c>
      <c r="H8421" s="74">
        <f t="shared" si="263"/>
        <v>2.709918786010526</v>
      </c>
    </row>
    <row r="8422" spans="5:8" ht="15.6">
      <c r="E8422" s="279" t="s">
        <v>8748</v>
      </c>
      <c r="F8422" s="284">
        <f t="shared" ca="1" si="262"/>
        <v>1.268764613122364E-2</v>
      </c>
      <c r="G8422" s="74">
        <v>43.68973784562445</v>
      </c>
      <c r="H8422" s="74">
        <f t="shared" si="263"/>
        <v>-3.1953375022919275</v>
      </c>
    </row>
    <row r="8423" spans="5:8" ht="15.6">
      <c r="E8423" s="279" t="s">
        <v>8749</v>
      </c>
      <c r="F8423" s="284">
        <f t="shared" ca="1" si="262"/>
        <v>4.7523127789116049E-2</v>
      </c>
      <c r="G8423" s="74">
        <v>38.923414332636078</v>
      </c>
      <c r="H8423" s="74">
        <f t="shared" si="263"/>
        <v>1.5709860106964442</v>
      </c>
    </row>
    <row r="8424" spans="5:8" ht="15.6">
      <c r="E8424" s="279" t="s">
        <v>8750</v>
      </c>
      <c r="F8424" s="284">
        <f t="shared" ca="1" si="262"/>
        <v>0.70898573054879888</v>
      </c>
      <c r="G8424" s="74">
        <v>35.537200994411307</v>
      </c>
      <c r="H8424" s="74">
        <f t="shared" si="263"/>
        <v>4.9571993489212147</v>
      </c>
    </row>
    <row r="8425" spans="5:8" ht="15.6">
      <c r="E8425" s="279" t="s">
        <v>8751</v>
      </c>
      <c r="F8425" s="284">
        <f t="shared" ca="1" si="262"/>
        <v>0.32462773826139624</v>
      </c>
      <c r="G8425" s="74">
        <v>39.956073811448952</v>
      </c>
      <c r="H8425" s="74">
        <f t="shared" si="263"/>
        <v>0.53832653188356971</v>
      </c>
    </row>
    <row r="8426" spans="5:8" ht="15.6">
      <c r="E8426" s="279" t="s">
        <v>8752</v>
      </c>
      <c r="F8426" s="284">
        <f t="shared" ca="1" si="262"/>
        <v>0.75331018811724915</v>
      </c>
      <c r="G8426" s="74">
        <v>36.439213229970726</v>
      </c>
      <c r="H8426" s="74">
        <f t="shared" si="263"/>
        <v>4.0551871133617965</v>
      </c>
    </row>
    <row r="8427" spans="5:8" ht="15.6">
      <c r="E8427" s="279" t="s">
        <v>8753</v>
      </c>
      <c r="F8427" s="284">
        <f t="shared" ca="1" si="262"/>
        <v>0.69296368865680091</v>
      </c>
      <c r="G8427" s="74">
        <v>39.170008631559149</v>
      </c>
      <c r="H8427" s="74">
        <f t="shared" si="263"/>
        <v>1.324391711773373</v>
      </c>
    </row>
    <row r="8428" spans="5:8" ht="15.6">
      <c r="E8428" s="279" t="s">
        <v>8754</v>
      </c>
      <c r="F8428" s="284">
        <f t="shared" ca="1" si="262"/>
        <v>0.38925993007801429</v>
      </c>
      <c r="G8428" s="74">
        <v>37.519289866184373</v>
      </c>
      <c r="H8428" s="74">
        <f t="shared" si="263"/>
        <v>2.9751104771481494</v>
      </c>
    </row>
    <row r="8429" spans="5:8" ht="15.6">
      <c r="E8429" s="279" t="s">
        <v>8755</v>
      </c>
      <c r="F8429" s="284">
        <f t="shared" ca="1" si="262"/>
        <v>0.8254995238556545</v>
      </c>
      <c r="G8429" s="74">
        <v>42.769371502790605</v>
      </c>
      <c r="H8429" s="74">
        <f t="shared" si="263"/>
        <v>-2.274971159458083</v>
      </c>
    </row>
    <row r="8430" spans="5:8" ht="15.6">
      <c r="E8430" s="279" t="s">
        <v>8756</v>
      </c>
      <c r="F8430" s="284">
        <f t="shared" ca="1" si="262"/>
        <v>0.46347057367092537</v>
      </c>
      <c r="G8430" s="74">
        <v>38.39840672489143</v>
      </c>
      <c r="H8430" s="74">
        <f t="shared" si="263"/>
        <v>2.0959936184410921</v>
      </c>
    </row>
    <row r="8431" spans="5:8" ht="15.6">
      <c r="E8431" s="279" t="s">
        <v>8757</v>
      </c>
      <c r="F8431" s="284">
        <f t="shared" ca="1" si="262"/>
        <v>0.35748990862639674</v>
      </c>
      <c r="G8431" s="74">
        <v>37.040867149891838</v>
      </c>
      <c r="H8431" s="74">
        <f t="shared" si="263"/>
        <v>3.4535331934406841</v>
      </c>
    </row>
    <row r="8432" spans="5:8" ht="15.6">
      <c r="E8432" s="279" t="s">
        <v>8758</v>
      </c>
      <c r="F8432" s="284">
        <f t="shared" ca="1" si="262"/>
        <v>0.92598287778201638</v>
      </c>
      <c r="G8432" s="74">
        <v>38.936864536990981</v>
      </c>
      <c r="H8432" s="74">
        <f t="shared" si="263"/>
        <v>1.5575358063415408</v>
      </c>
    </row>
    <row r="8433" spans="5:8" ht="15.6">
      <c r="E8433" s="279" t="s">
        <v>8759</v>
      </c>
      <c r="F8433" s="284">
        <f t="shared" ca="1" si="262"/>
        <v>0.56370977798322375</v>
      </c>
      <c r="G8433" s="74">
        <v>37.234253461586455</v>
      </c>
      <c r="H8433" s="74">
        <f t="shared" si="263"/>
        <v>3.260146881746067</v>
      </c>
    </row>
    <row r="8434" spans="5:8" ht="15.6">
      <c r="E8434" s="279" t="s">
        <v>8760</v>
      </c>
      <c r="F8434" s="284">
        <f t="shared" ca="1" si="262"/>
        <v>0.39513483777503389</v>
      </c>
      <c r="G8434" s="74">
        <v>38.65373768622478</v>
      </c>
      <c r="H8434" s="74">
        <f t="shared" si="263"/>
        <v>1.8406626571077425</v>
      </c>
    </row>
    <row r="8435" spans="5:8" ht="15.6">
      <c r="E8435" s="279" t="s">
        <v>8761</v>
      </c>
      <c r="F8435" s="284">
        <f t="shared" ca="1" si="262"/>
        <v>0.96685392783609037</v>
      </c>
      <c r="G8435" s="74">
        <v>40.810669663274645</v>
      </c>
      <c r="H8435" s="74">
        <f t="shared" si="263"/>
        <v>-0.31626931994212271</v>
      </c>
    </row>
    <row r="8436" spans="5:8" ht="15.6">
      <c r="E8436" s="279" t="s">
        <v>8762</v>
      </c>
      <c r="F8436" s="284">
        <f t="shared" ca="1" si="262"/>
        <v>5.9498800508133831E-2</v>
      </c>
      <c r="G8436" s="74">
        <v>37.424115611901954</v>
      </c>
      <c r="H8436" s="74">
        <f t="shared" si="263"/>
        <v>3.0702847314305686</v>
      </c>
    </row>
    <row r="8437" spans="5:8" ht="15.6">
      <c r="E8437" s="279" t="s">
        <v>8763</v>
      </c>
      <c r="F8437" s="284">
        <f t="shared" ca="1" si="262"/>
        <v>0.40519467814736465</v>
      </c>
      <c r="G8437" s="74">
        <v>38.500305431537726</v>
      </c>
      <c r="H8437" s="74">
        <f t="shared" si="263"/>
        <v>1.9940949117947966</v>
      </c>
    </row>
    <row r="8438" spans="5:8" ht="15.6">
      <c r="E8438" s="279" t="s">
        <v>8764</v>
      </c>
      <c r="F8438" s="284">
        <f t="shared" ca="1" si="262"/>
        <v>0.76856868698130698</v>
      </c>
      <c r="G8438" s="74">
        <v>37.93456460308817</v>
      </c>
      <c r="H8438" s="74">
        <f t="shared" si="263"/>
        <v>2.5598357402443526</v>
      </c>
    </row>
    <row r="8439" spans="5:8" ht="15.6">
      <c r="E8439" s="279" t="s">
        <v>8765</v>
      </c>
      <c r="F8439" s="284">
        <f t="shared" ca="1" si="262"/>
        <v>0.21392023065754528</v>
      </c>
      <c r="G8439" s="74">
        <v>38.788189849955138</v>
      </c>
      <c r="H8439" s="74">
        <f t="shared" si="263"/>
        <v>1.7062104933773838</v>
      </c>
    </row>
    <row r="8440" spans="5:8" ht="15.6">
      <c r="E8440" s="279" t="s">
        <v>8766</v>
      </c>
      <c r="F8440" s="284">
        <f t="shared" ca="1" si="262"/>
        <v>0.16589472098458247</v>
      </c>
      <c r="G8440" s="74">
        <v>36.128039609204201</v>
      </c>
      <c r="H8440" s="74">
        <f t="shared" si="263"/>
        <v>4.366360734128321</v>
      </c>
    </row>
    <row r="8441" spans="5:8" ht="15.6">
      <c r="E8441" s="279" t="s">
        <v>8767</v>
      </c>
      <c r="F8441" s="284">
        <f t="shared" ca="1" si="262"/>
        <v>0.75726984130741692</v>
      </c>
      <c r="G8441" s="74">
        <v>45.222653683695292</v>
      </c>
      <c r="H8441" s="74">
        <f t="shared" si="263"/>
        <v>-4.7282533403627696</v>
      </c>
    </row>
    <row r="8442" spans="5:8" ht="15.6">
      <c r="E8442" s="279" t="s">
        <v>8768</v>
      </c>
      <c r="F8442" s="284">
        <f t="shared" ca="1" si="262"/>
        <v>0.72058952271314647</v>
      </c>
      <c r="G8442" s="74">
        <v>36.7417761171113</v>
      </c>
      <c r="H8442" s="74">
        <f t="shared" si="263"/>
        <v>3.7526242262212222</v>
      </c>
    </row>
    <row r="8443" spans="5:8" ht="15.6">
      <c r="E8443" s="279" t="s">
        <v>8769</v>
      </c>
      <c r="F8443" s="284">
        <f t="shared" ca="1" si="262"/>
        <v>0.4316554041405184</v>
      </c>
      <c r="G8443" s="74">
        <v>39.62153832557582</v>
      </c>
      <c r="H8443" s="74">
        <f t="shared" si="263"/>
        <v>0.87286201775670236</v>
      </c>
    </row>
    <row r="8444" spans="5:8" ht="15.6">
      <c r="E8444" s="279" t="s">
        <v>8770</v>
      </c>
      <c r="F8444" s="284">
        <f t="shared" ca="1" si="262"/>
        <v>0.64861942501813463</v>
      </c>
      <c r="G8444" s="74">
        <v>38.934511437593507</v>
      </c>
      <c r="H8444" s="74">
        <f t="shared" si="263"/>
        <v>1.5598889057390153</v>
      </c>
    </row>
    <row r="8445" spans="5:8" ht="15.6">
      <c r="E8445" s="279" t="s">
        <v>8771</v>
      </c>
      <c r="F8445" s="284">
        <f t="shared" ca="1" si="262"/>
        <v>0.48998878281012626</v>
      </c>
      <c r="G8445" s="74">
        <v>39.334796524567039</v>
      </c>
      <c r="H8445" s="74">
        <f t="shared" si="263"/>
        <v>1.1596038187654827</v>
      </c>
    </row>
    <row r="8446" spans="5:8" ht="15.6">
      <c r="E8446" s="279" t="s">
        <v>8772</v>
      </c>
      <c r="F8446" s="284">
        <f t="shared" ca="1" si="262"/>
        <v>0.95664503935353129</v>
      </c>
      <c r="G8446" s="74">
        <v>35.738531462523483</v>
      </c>
      <c r="H8446" s="74">
        <f t="shared" si="263"/>
        <v>4.7558688808090395</v>
      </c>
    </row>
    <row r="8447" spans="5:8" ht="15.6">
      <c r="E8447" s="279" t="s">
        <v>8773</v>
      </c>
      <c r="F8447" s="284">
        <f t="shared" ca="1" si="262"/>
        <v>0.34409602278464935</v>
      </c>
      <c r="G8447" s="74">
        <v>39.951424860283403</v>
      </c>
      <c r="H8447" s="74">
        <f t="shared" si="263"/>
        <v>0.54297548304911913</v>
      </c>
    </row>
    <row r="8448" spans="5:8" ht="15.6">
      <c r="E8448" s="279" t="s">
        <v>8774</v>
      </c>
      <c r="F8448" s="284">
        <f t="shared" ca="1" si="262"/>
        <v>0.58680863004516248</v>
      </c>
      <c r="G8448" s="74">
        <v>39.933294451658725</v>
      </c>
      <c r="H8448" s="74">
        <f t="shared" si="263"/>
        <v>0.56110589167379743</v>
      </c>
    </row>
    <row r="8449" spans="5:8" ht="15.6">
      <c r="E8449" s="279" t="s">
        <v>8775</v>
      </c>
      <c r="F8449" s="284">
        <f t="shared" ca="1" si="262"/>
        <v>0.54290688736918591</v>
      </c>
      <c r="G8449" s="74">
        <v>45.61431659243528</v>
      </c>
      <c r="H8449" s="74">
        <f t="shared" si="263"/>
        <v>-5.1199162491027579</v>
      </c>
    </row>
    <row r="8450" spans="5:8" ht="15.6">
      <c r="E8450" s="279" t="s">
        <v>8776</v>
      </c>
      <c r="F8450" s="284">
        <f t="shared" ca="1" si="262"/>
        <v>0.72645502683452701</v>
      </c>
      <c r="G8450" s="74">
        <v>36.327092739601952</v>
      </c>
      <c r="H8450" s="74">
        <f t="shared" si="263"/>
        <v>4.1673076037305705</v>
      </c>
    </row>
    <row r="8451" spans="5:8" ht="15.6">
      <c r="E8451" s="279" t="s">
        <v>8777</v>
      </c>
      <c r="F8451" s="284">
        <f t="shared" ca="1" si="262"/>
        <v>0.97952157199403955</v>
      </c>
      <c r="G8451" s="74">
        <v>43.353476123276472</v>
      </c>
      <c r="H8451" s="74">
        <f t="shared" si="263"/>
        <v>-2.8590757799439501</v>
      </c>
    </row>
    <row r="8452" spans="5:8" ht="15.6">
      <c r="E8452" s="279" t="s">
        <v>8778</v>
      </c>
      <c r="F8452" s="284">
        <f t="shared" ca="1" si="262"/>
        <v>2.3839473058848704E-3</v>
      </c>
      <c r="G8452" s="74">
        <v>43.10371097137719</v>
      </c>
      <c r="H8452" s="74">
        <f t="shared" si="263"/>
        <v>-2.6093106280446676</v>
      </c>
    </row>
    <row r="8453" spans="5:8" ht="15.6">
      <c r="E8453" s="279" t="s">
        <v>8779</v>
      </c>
      <c r="F8453" s="284">
        <f t="shared" ca="1" si="262"/>
        <v>0.84399348454184719</v>
      </c>
      <c r="G8453" s="74">
        <v>41.52088100123872</v>
      </c>
      <c r="H8453" s="74">
        <f t="shared" si="263"/>
        <v>-1.0264806579061982</v>
      </c>
    </row>
    <row r="8454" spans="5:8" ht="15.6">
      <c r="E8454" s="279" t="s">
        <v>8780</v>
      </c>
      <c r="F8454" s="284">
        <f t="shared" ca="1" si="262"/>
        <v>0.94187320497703297</v>
      </c>
      <c r="G8454" s="74">
        <v>40.528619515660878</v>
      </c>
      <c r="H8454" s="74">
        <f t="shared" si="263"/>
        <v>-3.4219172328356251E-2</v>
      </c>
    </row>
    <row r="8455" spans="5:8" ht="15.6">
      <c r="E8455" s="279" t="s">
        <v>8781</v>
      </c>
      <c r="F8455" s="284">
        <f t="shared" ca="1" si="262"/>
        <v>0.16162428414536711</v>
      </c>
      <c r="G8455" s="74">
        <v>39.870255800732238</v>
      </c>
      <c r="H8455" s="74">
        <f t="shared" si="263"/>
        <v>0.62414454260028407</v>
      </c>
    </row>
    <row r="8456" spans="5:8" ht="15.6">
      <c r="E8456" s="279" t="s">
        <v>8782</v>
      </c>
      <c r="F8456" s="284">
        <f t="shared" ca="1" si="262"/>
        <v>0.7926285848875223</v>
      </c>
      <c r="G8456" s="74">
        <v>39.62331925774258</v>
      </c>
      <c r="H8456" s="74">
        <f t="shared" si="263"/>
        <v>0.87108108558994246</v>
      </c>
    </row>
    <row r="8457" spans="5:8" ht="15.6">
      <c r="E8457" s="279" t="s">
        <v>8783</v>
      </c>
      <c r="F8457" s="284">
        <f t="shared" ca="1" si="262"/>
        <v>0.11250399314929049</v>
      </c>
      <c r="G8457" s="74">
        <v>38.845096456418524</v>
      </c>
      <c r="H8457" s="74">
        <f t="shared" si="263"/>
        <v>1.649303886913998</v>
      </c>
    </row>
    <row r="8458" spans="5:8" ht="15.6">
      <c r="E8458" s="279" t="s">
        <v>8784</v>
      </c>
      <c r="F8458" s="284">
        <f t="shared" ca="1" si="262"/>
        <v>0.76886890307519706</v>
      </c>
      <c r="G8458" s="74">
        <v>39.041306464329601</v>
      </c>
      <c r="H8458" s="74">
        <f t="shared" si="263"/>
        <v>1.4530938790029211</v>
      </c>
    </row>
    <row r="8459" spans="5:8" ht="15.6">
      <c r="E8459" s="279" t="s">
        <v>8785</v>
      </c>
      <c r="F8459" s="284">
        <f t="shared" ca="1" si="262"/>
        <v>0.64762409117607855</v>
      </c>
      <c r="G8459" s="74">
        <v>39.809338379341689</v>
      </c>
      <c r="H8459" s="74">
        <f t="shared" si="263"/>
        <v>0.68506196399083308</v>
      </c>
    </row>
    <row r="8460" spans="5:8" ht="15.6">
      <c r="E8460" s="279" t="s">
        <v>8786</v>
      </c>
      <c r="F8460" s="284">
        <f t="shared" ref="F8460:F8523" ca="1" si="264">RAND()</f>
        <v>0.70154808117651812</v>
      </c>
      <c r="G8460" s="74">
        <v>36.893580836493918</v>
      </c>
      <c r="H8460" s="74">
        <f t="shared" ref="H8460:H8523" si="265">$D$2-G8460</f>
        <v>3.6008195068386044</v>
      </c>
    </row>
    <row r="8461" spans="5:8" ht="15.6">
      <c r="E8461" s="279" t="s">
        <v>8787</v>
      </c>
      <c r="F8461" s="284">
        <f t="shared" ca="1" si="264"/>
        <v>0.66206352261640655</v>
      </c>
      <c r="G8461" s="74">
        <v>41.78353586052117</v>
      </c>
      <c r="H8461" s="74">
        <f t="shared" si="265"/>
        <v>-1.2891355171886474</v>
      </c>
    </row>
    <row r="8462" spans="5:8" ht="15.6">
      <c r="E8462" s="279" t="s">
        <v>8788</v>
      </c>
      <c r="F8462" s="284">
        <f t="shared" ca="1" si="264"/>
        <v>0.76185854727906499</v>
      </c>
      <c r="G8462" s="74">
        <v>38.013299507032642</v>
      </c>
      <c r="H8462" s="74">
        <f t="shared" si="265"/>
        <v>2.4811008362998805</v>
      </c>
    </row>
    <row r="8463" spans="5:8" ht="15.6">
      <c r="E8463" s="279" t="s">
        <v>8789</v>
      </c>
      <c r="F8463" s="284">
        <f t="shared" ca="1" si="264"/>
        <v>0.11458817731930182</v>
      </c>
      <c r="G8463" s="74">
        <v>41.31652689636131</v>
      </c>
      <c r="H8463" s="74">
        <f t="shared" si="265"/>
        <v>-0.82212655302878801</v>
      </c>
    </row>
    <row r="8464" spans="5:8" ht="15.6">
      <c r="E8464" s="279" t="s">
        <v>8790</v>
      </c>
      <c r="F8464" s="284">
        <f t="shared" ca="1" si="264"/>
        <v>0.88268178609700998</v>
      </c>
      <c r="G8464" s="74">
        <v>45.862896108817438</v>
      </c>
      <c r="H8464" s="74">
        <f t="shared" si="265"/>
        <v>-5.3684957654849157</v>
      </c>
    </row>
    <row r="8465" spans="5:8" ht="15.6">
      <c r="E8465" s="279" t="s">
        <v>8791</v>
      </c>
      <c r="F8465" s="284">
        <f t="shared" ca="1" si="264"/>
        <v>0.28027111935316529</v>
      </c>
      <c r="G8465" s="74">
        <v>39.603441232874452</v>
      </c>
      <c r="H8465" s="74">
        <f t="shared" si="265"/>
        <v>0.89095911045806986</v>
      </c>
    </row>
    <row r="8466" spans="5:8" ht="15.6">
      <c r="E8466" s="279" t="s">
        <v>8792</v>
      </c>
      <c r="F8466" s="284">
        <f t="shared" ca="1" si="264"/>
        <v>0.29369350385113513</v>
      </c>
      <c r="G8466" s="74">
        <v>38.382935336252245</v>
      </c>
      <c r="H8466" s="74">
        <f t="shared" si="265"/>
        <v>2.1114650070802767</v>
      </c>
    </row>
    <row r="8467" spans="5:8" ht="15.6">
      <c r="E8467" s="279" t="s">
        <v>8793</v>
      </c>
      <c r="F8467" s="284">
        <f t="shared" ca="1" si="264"/>
        <v>0.6181453682378405</v>
      </c>
      <c r="G8467" s="74">
        <v>40.166330186914948</v>
      </c>
      <c r="H8467" s="74">
        <f t="shared" si="265"/>
        <v>0.32807015641757431</v>
      </c>
    </row>
    <row r="8468" spans="5:8" ht="15.6">
      <c r="E8468" s="279" t="s">
        <v>8794</v>
      </c>
      <c r="F8468" s="284">
        <f t="shared" ca="1" si="264"/>
        <v>0.79357715379096894</v>
      </c>
      <c r="G8468" s="74">
        <v>38.087375725713166</v>
      </c>
      <c r="H8468" s="74">
        <f t="shared" si="265"/>
        <v>2.4070246176193564</v>
      </c>
    </row>
    <row r="8469" spans="5:8" ht="15.6">
      <c r="E8469" s="279" t="s">
        <v>8795</v>
      </c>
      <c r="F8469" s="284">
        <f t="shared" ca="1" si="264"/>
        <v>0.27144691658128417</v>
      </c>
      <c r="G8469" s="74">
        <v>37.520075827381703</v>
      </c>
      <c r="H8469" s="74">
        <f t="shared" si="265"/>
        <v>2.9743245159508191</v>
      </c>
    </row>
    <row r="8470" spans="5:8" ht="15.6">
      <c r="E8470" s="279" t="s">
        <v>8796</v>
      </c>
      <c r="F8470" s="284">
        <f t="shared" ca="1" si="264"/>
        <v>4.5413398413068573E-2</v>
      </c>
      <c r="G8470" s="74">
        <v>39.580244097396353</v>
      </c>
      <c r="H8470" s="74">
        <f t="shared" si="265"/>
        <v>0.9141562459361694</v>
      </c>
    </row>
    <row r="8471" spans="5:8" ht="15.6">
      <c r="E8471" s="279" t="s">
        <v>8797</v>
      </c>
      <c r="F8471" s="284">
        <f t="shared" ca="1" si="264"/>
        <v>0.75926277070283632</v>
      </c>
      <c r="G8471" s="74">
        <v>37.849600753869638</v>
      </c>
      <c r="H8471" s="74">
        <f t="shared" si="265"/>
        <v>2.6447995894628846</v>
      </c>
    </row>
    <row r="8472" spans="5:8" ht="15.6">
      <c r="E8472" s="279" t="s">
        <v>8798</v>
      </c>
      <c r="F8472" s="284">
        <f t="shared" ca="1" si="264"/>
        <v>0.56191430437176337</v>
      </c>
      <c r="G8472" s="74">
        <v>37.742197172421008</v>
      </c>
      <c r="H8472" s="74">
        <f t="shared" si="265"/>
        <v>2.752203170911514</v>
      </c>
    </row>
    <row r="8473" spans="5:8" ht="15.6">
      <c r="E8473" s="279" t="s">
        <v>8799</v>
      </c>
      <c r="F8473" s="284">
        <f t="shared" ca="1" si="264"/>
        <v>0.88652439852756226</v>
      </c>
      <c r="G8473" s="74">
        <v>38.223933545380284</v>
      </c>
      <c r="H8473" s="74">
        <f t="shared" si="265"/>
        <v>2.2704667979522384</v>
      </c>
    </row>
    <row r="8474" spans="5:8" ht="15.6">
      <c r="E8474" s="279" t="s">
        <v>8800</v>
      </c>
      <c r="F8474" s="284">
        <f t="shared" ca="1" si="264"/>
        <v>0.80713880922552395</v>
      </c>
      <c r="G8474" s="74">
        <v>38.990201813728163</v>
      </c>
      <c r="H8474" s="74">
        <f t="shared" si="265"/>
        <v>1.5041985296043592</v>
      </c>
    </row>
    <row r="8475" spans="5:8" ht="15.6">
      <c r="E8475" s="279" t="s">
        <v>8801</v>
      </c>
      <c r="F8475" s="284">
        <f t="shared" ca="1" si="264"/>
        <v>0.2568784846444423</v>
      </c>
      <c r="G8475" s="74">
        <v>37.451752789673073</v>
      </c>
      <c r="H8475" s="74">
        <f t="shared" si="265"/>
        <v>3.0426475536594495</v>
      </c>
    </row>
    <row r="8476" spans="5:8" ht="15.6">
      <c r="E8476" s="279" t="s">
        <v>8802</v>
      </c>
      <c r="F8476" s="284">
        <f t="shared" ca="1" si="264"/>
        <v>0.62029259057032826</v>
      </c>
      <c r="G8476" s="74">
        <v>40.521436360947433</v>
      </c>
      <c r="H8476" s="74">
        <f t="shared" si="265"/>
        <v>-2.7036017614911145E-2</v>
      </c>
    </row>
    <row r="8477" spans="5:8" ht="15.6">
      <c r="E8477" s="279" t="s">
        <v>8803</v>
      </c>
      <c r="F8477" s="284">
        <f t="shared" ca="1" si="264"/>
        <v>0.27996839274433882</v>
      </c>
      <c r="G8477" s="74">
        <v>39.61266167118206</v>
      </c>
      <c r="H8477" s="74">
        <f t="shared" si="265"/>
        <v>0.88173867215046187</v>
      </c>
    </row>
    <row r="8478" spans="5:8" ht="15.6">
      <c r="E8478" s="279" t="s">
        <v>8804</v>
      </c>
      <c r="F8478" s="284">
        <f t="shared" ca="1" si="264"/>
        <v>0.52394203681095419</v>
      </c>
      <c r="G8478" s="74">
        <v>41.152359875006454</v>
      </c>
      <c r="H8478" s="74">
        <f t="shared" si="265"/>
        <v>-0.65795953167393151</v>
      </c>
    </row>
    <row r="8479" spans="5:8" ht="15.6">
      <c r="E8479" s="279" t="s">
        <v>8805</v>
      </c>
      <c r="F8479" s="284">
        <f t="shared" ca="1" si="264"/>
        <v>0.72568583804613573</v>
      </c>
      <c r="G8479" s="74">
        <v>39.688290084874197</v>
      </c>
      <c r="H8479" s="74">
        <f t="shared" si="265"/>
        <v>0.80611025845832529</v>
      </c>
    </row>
    <row r="8480" spans="5:8" ht="15.6">
      <c r="E8480" s="279" t="s">
        <v>8806</v>
      </c>
      <c r="F8480" s="284">
        <f t="shared" ca="1" si="264"/>
        <v>0.14290951637185811</v>
      </c>
      <c r="G8480" s="74">
        <v>39.669574671170473</v>
      </c>
      <c r="H8480" s="74">
        <f t="shared" si="265"/>
        <v>0.82482567216204927</v>
      </c>
    </row>
    <row r="8481" spans="5:8" ht="15.6">
      <c r="E8481" s="279" t="s">
        <v>8807</v>
      </c>
      <c r="F8481" s="284">
        <f t="shared" ca="1" si="264"/>
        <v>0.81780118310090866</v>
      </c>
      <c r="G8481" s="74">
        <v>45.372157703404092</v>
      </c>
      <c r="H8481" s="74">
        <f t="shared" si="265"/>
        <v>-4.8777573600715698</v>
      </c>
    </row>
    <row r="8482" spans="5:8" ht="15.6">
      <c r="E8482" s="279" t="s">
        <v>8808</v>
      </c>
      <c r="F8482" s="284">
        <f t="shared" ca="1" si="264"/>
        <v>0.47318559176144959</v>
      </c>
      <c r="G8482" s="74">
        <v>36.900115256547942</v>
      </c>
      <c r="H8482" s="74">
        <f t="shared" si="265"/>
        <v>3.5942850867845806</v>
      </c>
    </row>
    <row r="8483" spans="5:8" ht="15.6">
      <c r="E8483" s="279" t="s">
        <v>8809</v>
      </c>
      <c r="F8483" s="284">
        <f t="shared" ca="1" si="264"/>
        <v>1.1795998143723452E-2</v>
      </c>
      <c r="G8483" s="74">
        <v>46.527951188503465</v>
      </c>
      <c r="H8483" s="74">
        <f t="shared" si="265"/>
        <v>-6.033550845170943</v>
      </c>
    </row>
    <row r="8484" spans="5:8" ht="15.6">
      <c r="E8484" s="279" t="s">
        <v>8810</v>
      </c>
      <c r="F8484" s="284">
        <f t="shared" ca="1" si="264"/>
        <v>0.80640364674776555</v>
      </c>
      <c r="G8484" s="74">
        <v>43.060130721709143</v>
      </c>
      <c r="H8484" s="74">
        <f t="shared" si="265"/>
        <v>-2.565730378376621</v>
      </c>
    </row>
    <row r="8485" spans="5:8" ht="15.6">
      <c r="E8485" s="279" t="s">
        <v>8811</v>
      </c>
      <c r="F8485" s="284">
        <f t="shared" ca="1" si="264"/>
        <v>0.32712998413754946</v>
      </c>
      <c r="G8485" s="74">
        <v>42.455287516212351</v>
      </c>
      <c r="H8485" s="74">
        <f t="shared" si="265"/>
        <v>-1.9608871728798292</v>
      </c>
    </row>
    <row r="8486" spans="5:8" ht="15.6">
      <c r="E8486" s="279" t="s">
        <v>8812</v>
      </c>
      <c r="F8486" s="284">
        <f t="shared" ca="1" si="264"/>
        <v>0.25505418960688275</v>
      </c>
      <c r="G8486" s="74">
        <v>40.304876036440305</v>
      </c>
      <c r="H8486" s="74">
        <f t="shared" si="265"/>
        <v>0.189524306892217</v>
      </c>
    </row>
    <row r="8487" spans="5:8" ht="15.6">
      <c r="E8487" s="279" t="s">
        <v>8813</v>
      </c>
      <c r="F8487" s="284">
        <f t="shared" ca="1" si="264"/>
        <v>0.43015788112536368</v>
      </c>
      <c r="G8487" s="74">
        <v>43.936646849623273</v>
      </c>
      <c r="H8487" s="74">
        <f t="shared" si="265"/>
        <v>-3.4422465062907506</v>
      </c>
    </row>
    <row r="8488" spans="5:8" ht="15.6">
      <c r="E8488" s="279" t="s">
        <v>8814</v>
      </c>
      <c r="F8488" s="284">
        <f t="shared" ca="1" si="264"/>
        <v>0.93114917916313455</v>
      </c>
      <c r="G8488" s="74">
        <v>38.44261772597401</v>
      </c>
      <c r="H8488" s="74">
        <f t="shared" si="265"/>
        <v>2.0517826173585121</v>
      </c>
    </row>
    <row r="8489" spans="5:8" ht="15.6">
      <c r="E8489" s="279" t="s">
        <v>8815</v>
      </c>
      <c r="F8489" s="284">
        <f t="shared" ca="1" si="264"/>
        <v>1.6151026609459995E-2</v>
      </c>
      <c r="G8489" s="74">
        <v>41.243248724782433</v>
      </c>
      <c r="H8489" s="74">
        <f t="shared" si="265"/>
        <v>-0.74884838144991051</v>
      </c>
    </row>
    <row r="8490" spans="5:8" ht="15.6">
      <c r="E8490" s="279" t="s">
        <v>8816</v>
      </c>
      <c r="F8490" s="284">
        <f t="shared" ca="1" si="264"/>
        <v>9.8178622217316103E-2</v>
      </c>
      <c r="G8490" s="74">
        <v>37.924167550784148</v>
      </c>
      <c r="H8490" s="74">
        <f t="shared" si="265"/>
        <v>2.5702327925483743</v>
      </c>
    </row>
    <row r="8491" spans="5:8" ht="15.6">
      <c r="E8491" s="279" t="s">
        <v>8817</v>
      </c>
      <c r="F8491" s="284">
        <f t="shared" ca="1" si="264"/>
        <v>1.9063325098100825E-2</v>
      </c>
      <c r="G8491" s="74">
        <v>36.431997257972242</v>
      </c>
      <c r="H8491" s="74">
        <f t="shared" si="265"/>
        <v>4.0624030853602804</v>
      </c>
    </row>
    <row r="8492" spans="5:8" ht="15.6">
      <c r="E8492" s="279" t="s">
        <v>8818</v>
      </c>
      <c r="F8492" s="284">
        <f t="shared" ca="1" si="264"/>
        <v>0.16527909683578479</v>
      </c>
      <c r="G8492" s="74">
        <v>40.120455553367457</v>
      </c>
      <c r="H8492" s="74">
        <f t="shared" si="265"/>
        <v>0.37394478996506564</v>
      </c>
    </row>
    <row r="8493" spans="5:8" ht="15.6">
      <c r="E8493" s="279" t="s">
        <v>8819</v>
      </c>
      <c r="F8493" s="284">
        <f t="shared" ca="1" si="264"/>
        <v>0.49338827439321842</v>
      </c>
      <c r="G8493" s="74">
        <v>38.727481325232965</v>
      </c>
      <c r="H8493" s="74">
        <f t="shared" si="265"/>
        <v>1.7669190180995571</v>
      </c>
    </row>
    <row r="8494" spans="5:8" ht="15.6">
      <c r="E8494" s="279" t="s">
        <v>8820</v>
      </c>
      <c r="F8494" s="284">
        <f t="shared" ca="1" si="264"/>
        <v>0.78808808753617343</v>
      </c>
      <c r="G8494" s="74">
        <v>38.040638418236504</v>
      </c>
      <c r="H8494" s="74">
        <f t="shared" si="265"/>
        <v>2.4537619250960176</v>
      </c>
    </row>
    <row r="8495" spans="5:8" ht="15.6">
      <c r="E8495" s="279" t="s">
        <v>8821</v>
      </c>
      <c r="F8495" s="284">
        <f t="shared" ca="1" si="264"/>
        <v>0.75891221705330214</v>
      </c>
      <c r="G8495" s="74">
        <v>35.497334292253619</v>
      </c>
      <c r="H8495" s="74">
        <f t="shared" si="265"/>
        <v>4.9970660510789031</v>
      </c>
    </row>
    <row r="8496" spans="5:8" ht="15.6">
      <c r="E8496" s="279" t="s">
        <v>8822</v>
      </c>
      <c r="F8496" s="284">
        <f t="shared" ca="1" si="264"/>
        <v>0.75977212029151875</v>
      </c>
      <c r="G8496" s="74">
        <v>40.688626703796082</v>
      </c>
      <c r="H8496" s="74">
        <f t="shared" si="265"/>
        <v>-0.1942263604635599</v>
      </c>
    </row>
    <row r="8497" spans="5:8" ht="15.6">
      <c r="E8497" s="279" t="s">
        <v>8823</v>
      </c>
      <c r="F8497" s="284">
        <f t="shared" ca="1" si="264"/>
        <v>7.3313491453875224E-2</v>
      </c>
      <c r="G8497" s="74">
        <v>35.926883636190425</v>
      </c>
      <c r="H8497" s="74">
        <f t="shared" si="265"/>
        <v>4.5675167071420972</v>
      </c>
    </row>
    <row r="8498" spans="5:8" ht="15.6">
      <c r="E8498" s="279" t="s">
        <v>8824</v>
      </c>
      <c r="F8498" s="284">
        <f t="shared" ca="1" si="264"/>
        <v>0.89247501471254187</v>
      </c>
      <c r="G8498" s="74">
        <v>37.512163529190175</v>
      </c>
      <c r="H8498" s="74">
        <f t="shared" si="265"/>
        <v>2.9822368141423468</v>
      </c>
    </row>
    <row r="8499" spans="5:8" ht="15.6">
      <c r="E8499" s="279" t="s">
        <v>8825</v>
      </c>
      <c r="F8499" s="284">
        <f t="shared" ca="1" si="264"/>
        <v>0.98928534817554337</v>
      </c>
      <c r="G8499" s="74">
        <v>39.670295707711688</v>
      </c>
      <c r="H8499" s="74">
        <f t="shared" si="265"/>
        <v>0.82410463562083436</v>
      </c>
    </row>
    <row r="8500" spans="5:8" ht="15.6">
      <c r="E8500" s="279" t="s">
        <v>8826</v>
      </c>
      <c r="F8500" s="284">
        <f t="shared" ca="1" si="264"/>
        <v>0.38618507903255228</v>
      </c>
      <c r="G8500" s="74">
        <v>35.09180897155445</v>
      </c>
      <c r="H8500" s="74">
        <f t="shared" si="265"/>
        <v>5.4025913717780725</v>
      </c>
    </row>
    <row r="8501" spans="5:8" ht="15.6">
      <c r="E8501" s="279" t="s">
        <v>8827</v>
      </c>
      <c r="F8501" s="284">
        <f t="shared" ca="1" si="264"/>
        <v>0.1910316139959094</v>
      </c>
      <c r="G8501" s="74">
        <v>35.836105477234049</v>
      </c>
      <c r="H8501" s="74">
        <f t="shared" si="265"/>
        <v>4.6582948660984727</v>
      </c>
    </row>
    <row r="8502" spans="5:8" ht="15.6">
      <c r="E8502" s="279" t="s">
        <v>8828</v>
      </c>
      <c r="F8502" s="284">
        <f t="shared" ca="1" si="264"/>
        <v>9.6507996137980556E-2</v>
      </c>
      <c r="G8502" s="74">
        <v>35.137308372012029</v>
      </c>
      <c r="H8502" s="74">
        <f t="shared" si="265"/>
        <v>5.357091971320493</v>
      </c>
    </row>
    <row r="8503" spans="5:8" ht="15.6">
      <c r="E8503" s="279" t="s">
        <v>8829</v>
      </c>
      <c r="F8503" s="284">
        <f t="shared" ca="1" si="264"/>
        <v>0.18311089740674757</v>
      </c>
      <c r="G8503" s="74">
        <v>37.673729003000958</v>
      </c>
      <c r="H8503" s="74">
        <f t="shared" si="265"/>
        <v>2.8206713403315646</v>
      </c>
    </row>
    <row r="8504" spans="5:8" ht="15.6">
      <c r="E8504" s="279" t="s">
        <v>8830</v>
      </c>
      <c r="F8504" s="284">
        <f t="shared" ca="1" si="264"/>
        <v>0.64570760302983177</v>
      </c>
      <c r="G8504" s="74">
        <v>38.993875814710556</v>
      </c>
      <c r="H8504" s="74">
        <f t="shared" si="265"/>
        <v>1.5005245286219662</v>
      </c>
    </row>
    <row r="8505" spans="5:8" ht="15.6">
      <c r="E8505" s="279" t="s">
        <v>8831</v>
      </c>
      <c r="F8505" s="284">
        <f t="shared" ca="1" si="264"/>
        <v>0.88558925462193938</v>
      </c>
      <c r="G8505" s="74">
        <v>40.644591929027598</v>
      </c>
      <c r="H8505" s="74">
        <f t="shared" si="265"/>
        <v>-0.15019158569507596</v>
      </c>
    </row>
    <row r="8506" spans="5:8" ht="15.6">
      <c r="E8506" s="279" t="s">
        <v>8832</v>
      </c>
      <c r="F8506" s="284">
        <f t="shared" ca="1" si="264"/>
        <v>0.80587496041121265</v>
      </c>
      <c r="G8506" s="74">
        <v>38.510050930541333</v>
      </c>
      <c r="H8506" s="74">
        <f t="shared" si="265"/>
        <v>1.9843494127911896</v>
      </c>
    </row>
    <row r="8507" spans="5:8" ht="15.6">
      <c r="E8507" s="279" t="s">
        <v>8833</v>
      </c>
      <c r="F8507" s="284">
        <f t="shared" ca="1" si="264"/>
        <v>0.23507384301295486</v>
      </c>
      <c r="G8507" s="74">
        <v>37.019385690033005</v>
      </c>
      <c r="H8507" s="74">
        <f t="shared" si="265"/>
        <v>3.4750146532995174</v>
      </c>
    </row>
    <row r="8508" spans="5:8" ht="15.6">
      <c r="E8508" s="279" t="s">
        <v>8834</v>
      </c>
      <c r="F8508" s="284">
        <f t="shared" ca="1" si="264"/>
        <v>0.66877997848375192</v>
      </c>
      <c r="G8508" s="74">
        <v>38.452715818663407</v>
      </c>
      <c r="H8508" s="74">
        <f t="shared" si="265"/>
        <v>2.0416845246691153</v>
      </c>
    </row>
    <row r="8509" spans="5:8" ht="15.6">
      <c r="E8509" s="279" t="s">
        <v>8835</v>
      </c>
      <c r="F8509" s="284">
        <f t="shared" ca="1" si="264"/>
        <v>0.50605251992638289</v>
      </c>
      <c r="G8509" s="74">
        <v>39.057183632443447</v>
      </c>
      <c r="H8509" s="74">
        <f t="shared" si="265"/>
        <v>1.437216710889075</v>
      </c>
    </row>
    <row r="8510" spans="5:8" ht="15.6">
      <c r="E8510" s="279" t="s">
        <v>8836</v>
      </c>
      <c r="F8510" s="284">
        <f t="shared" ca="1" si="264"/>
        <v>0.36911468196985797</v>
      </c>
      <c r="G8510" s="74">
        <v>40.921246787039706</v>
      </c>
      <c r="H8510" s="74">
        <f t="shared" si="265"/>
        <v>-0.42684644370718416</v>
      </c>
    </row>
    <row r="8511" spans="5:8" ht="15.6">
      <c r="E8511" s="279" t="s">
        <v>8837</v>
      </c>
      <c r="F8511" s="284">
        <f t="shared" ca="1" si="264"/>
        <v>0.90708471400146184</v>
      </c>
      <c r="G8511" s="74">
        <v>40.31730250614666</v>
      </c>
      <c r="H8511" s="74">
        <f t="shared" si="265"/>
        <v>0.17709783718586181</v>
      </c>
    </row>
    <row r="8512" spans="5:8" ht="15.6">
      <c r="E8512" s="279" t="s">
        <v>8838</v>
      </c>
      <c r="F8512" s="284">
        <f t="shared" ca="1" si="264"/>
        <v>0.8124560943976592</v>
      </c>
      <c r="G8512" s="74">
        <v>39.425107064689577</v>
      </c>
      <c r="H8512" s="74">
        <f t="shared" si="265"/>
        <v>1.0692932786429452</v>
      </c>
    </row>
    <row r="8513" spans="5:8" ht="15.6">
      <c r="E8513" s="279" t="s">
        <v>8839</v>
      </c>
      <c r="F8513" s="284">
        <f t="shared" ca="1" si="264"/>
        <v>0.94107158753244102</v>
      </c>
      <c r="G8513" s="74">
        <v>35.98667105705097</v>
      </c>
      <c r="H8513" s="74">
        <f t="shared" si="265"/>
        <v>4.5077292862815526</v>
      </c>
    </row>
    <row r="8514" spans="5:8" ht="15.6">
      <c r="E8514" s="279" t="s">
        <v>8840</v>
      </c>
      <c r="F8514" s="284">
        <f t="shared" ca="1" si="264"/>
        <v>0.80718427302754603</v>
      </c>
      <c r="G8514" s="74">
        <v>39.854145056192834</v>
      </c>
      <c r="H8514" s="74">
        <f t="shared" si="265"/>
        <v>0.64025528713968782</v>
      </c>
    </row>
    <row r="8515" spans="5:8" ht="15.6">
      <c r="E8515" s="279" t="s">
        <v>8841</v>
      </c>
      <c r="F8515" s="284">
        <f t="shared" ca="1" si="264"/>
        <v>7.63145227349592E-2</v>
      </c>
      <c r="G8515" s="74">
        <v>45.027229723799202</v>
      </c>
      <c r="H8515" s="74">
        <f t="shared" si="265"/>
        <v>-4.5328293804666799</v>
      </c>
    </row>
    <row r="8516" spans="5:8" ht="15.6">
      <c r="E8516" s="279" t="s">
        <v>8842</v>
      </c>
      <c r="F8516" s="284">
        <f t="shared" ca="1" si="264"/>
        <v>0.51017574388895437</v>
      </c>
      <c r="G8516" s="74">
        <v>38.96753947958014</v>
      </c>
      <c r="H8516" s="74">
        <f t="shared" si="265"/>
        <v>1.5268608637523826</v>
      </c>
    </row>
    <row r="8517" spans="5:8" ht="15.6">
      <c r="E8517" s="279" t="s">
        <v>8843</v>
      </c>
      <c r="F8517" s="284">
        <f t="shared" ca="1" si="264"/>
        <v>0.48494902893182401</v>
      </c>
      <c r="G8517" s="74">
        <v>41.700436331546996</v>
      </c>
      <c r="H8517" s="74">
        <f t="shared" si="265"/>
        <v>-1.2060359882144738</v>
      </c>
    </row>
    <row r="8518" spans="5:8" ht="15.6">
      <c r="E8518" s="279" t="s">
        <v>8844</v>
      </c>
      <c r="F8518" s="284">
        <f t="shared" ca="1" si="264"/>
        <v>0.13218360951328678</v>
      </c>
      <c r="G8518" s="74">
        <v>39.115452342132379</v>
      </c>
      <c r="H8518" s="74">
        <f t="shared" si="265"/>
        <v>1.3789480012001434</v>
      </c>
    </row>
    <row r="8519" spans="5:8" ht="15.6">
      <c r="E8519" s="279" t="s">
        <v>8845</v>
      </c>
      <c r="F8519" s="284">
        <f t="shared" ca="1" si="264"/>
        <v>0.71143923276638188</v>
      </c>
      <c r="G8519" s="74">
        <v>41.790347497912904</v>
      </c>
      <c r="H8519" s="74">
        <f t="shared" si="265"/>
        <v>-1.2959471545803822</v>
      </c>
    </row>
    <row r="8520" spans="5:8" ht="15.6">
      <c r="E8520" s="279" t="s">
        <v>8846</v>
      </c>
      <c r="F8520" s="284">
        <f t="shared" ca="1" si="264"/>
        <v>0.40453231438686155</v>
      </c>
      <c r="G8520" s="74">
        <v>38.953078877658008</v>
      </c>
      <c r="H8520" s="74">
        <f t="shared" si="265"/>
        <v>1.541321465674514</v>
      </c>
    </row>
    <row r="8521" spans="5:8" ht="15.6">
      <c r="E8521" s="279" t="s">
        <v>8847</v>
      </c>
      <c r="F8521" s="284">
        <f t="shared" ca="1" si="264"/>
        <v>1.9008557038091234E-2</v>
      </c>
      <c r="G8521" s="74">
        <v>40.880160671142562</v>
      </c>
      <c r="H8521" s="74">
        <f t="shared" si="265"/>
        <v>-0.38576032781003988</v>
      </c>
    </row>
    <row r="8522" spans="5:8" ht="15.6">
      <c r="E8522" s="279" t="s">
        <v>8848</v>
      </c>
      <c r="F8522" s="284">
        <f t="shared" ca="1" si="264"/>
        <v>0.61200076630866085</v>
      </c>
      <c r="G8522" s="74">
        <v>37.470746273297323</v>
      </c>
      <c r="H8522" s="74">
        <f t="shared" si="265"/>
        <v>3.0236540700351995</v>
      </c>
    </row>
    <row r="8523" spans="5:8" ht="15.6">
      <c r="E8523" s="279" t="s">
        <v>8849</v>
      </c>
      <c r="F8523" s="284">
        <f t="shared" ca="1" si="264"/>
        <v>0.56046907218132802</v>
      </c>
      <c r="G8523" s="74">
        <v>34.971485664494757</v>
      </c>
      <c r="H8523" s="74">
        <f t="shared" si="265"/>
        <v>5.5229146788377648</v>
      </c>
    </row>
    <row r="8524" spans="5:8" ht="15.6">
      <c r="E8524" s="279" t="s">
        <v>8850</v>
      </c>
      <c r="F8524" s="284">
        <f t="shared" ref="F8524:F8587" ca="1" si="266">RAND()</f>
        <v>0.19387480802470858</v>
      </c>
      <c r="G8524" s="74">
        <v>39.955654753107652</v>
      </c>
      <c r="H8524" s="74">
        <f t="shared" ref="H8524:H8587" si="267">$D$2-G8524</f>
        <v>0.53874559022487034</v>
      </c>
    </row>
    <row r="8525" spans="5:8" ht="15.6">
      <c r="E8525" s="279" t="s">
        <v>8851</v>
      </c>
      <c r="F8525" s="284">
        <f t="shared" ca="1" si="266"/>
        <v>0.33730181397618486</v>
      </c>
      <c r="G8525" s="74">
        <v>37.374832334485191</v>
      </c>
      <c r="H8525" s="74">
        <f t="shared" si="267"/>
        <v>3.119568008847331</v>
      </c>
    </row>
    <row r="8526" spans="5:8" ht="15.6">
      <c r="E8526" s="279" t="s">
        <v>8852</v>
      </c>
      <c r="F8526" s="284">
        <f t="shared" ca="1" si="266"/>
        <v>0.32810925738113306</v>
      </c>
      <c r="G8526" s="74">
        <v>40.501479849176214</v>
      </c>
      <c r="H8526" s="74">
        <f t="shared" si="267"/>
        <v>-7.079505843691436E-3</v>
      </c>
    </row>
    <row r="8527" spans="5:8" ht="15.6">
      <c r="E8527" s="279" t="s">
        <v>8853</v>
      </c>
      <c r="F8527" s="284">
        <f t="shared" ca="1" si="266"/>
        <v>3.0051583060931697E-2</v>
      </c>
      <c r="G8527" s="74">
        <v>43.127712830365837</v>
      </c>
      <c r="H8527" s="74">
        <f t="shared" si="267"/>
        <v>-2.6333124870333151</v>
      </c>
    </row>
    <row r="8528" spans="5:8" ht="15.6">
      <c r="E8528" s="279" t="s">
        <v>8854</v>
      </c>
      <c r="F8528" s="284">
        <f t="shared" ca="1" si="266"/>
        <v>0.23836305226473431</v>
      </c>
      <c r="G8528" s="74">
        <v>41.846187519882335</v>
      </c>
      <c r="H8528" s="74">
        <f t="shared" si="267"/>
        <v>-1.3517871765498128</v>
      </c>
    </row>
    <row r="8529" spans="5:8" ht="15.6">
      <c r="E8529" s="279" t="s">
        <v>8855</v>
      </c>
      <c r="F8529" s="284">
        <f t="shared" ca="1" si="266"/>
        <v>0.38727379730134104</v>
      </c>
      <c r="G8529" s="74">
        <v>42.124390278170594</v>
      </c>
      <c r="H8529" s="74">
        <f t="shared" si="267"/>
        <v>-1.629989934838072</v>
      </c>
    </row>
    <row r="8530" spans="5:8" ht="15.6">
      <c r="E8530" s="279" t="s">
        <v>8856</v>
      </c>
      <c r="F8530" s="284">
        <f t="shared" ca="1" si="266"/>
        <v>0.19940443791660412</v>
      </c>
      <c r="G8530" s="74">
        <v>42.69790609409818</v>
      </c>
      <c r="H8530" s="74">
        <f t="shared" si="267"/>
        <v>-2.2035057507656575</v>
      </c>
    </row>
    <row r="8531" spans="5:8" ht="15.6">
      <c r="E8531" s="279" t="s">
        <v>8857</v>
      </c>
      <c r="F8531" s="284">
        <f t="shared" ca="1" si="266"/>
        <v>0.30407250899420157</v>
      </c>
      <c r="G8531" s="74">
        <v>36.705151373946421</v>
      </c>
      <c r="H8531" s="74">
        <f t="shared" si="267"/>
        <v>3.7892489693861009</v>
      </c>
    </row>
    <row r="8532" spans="5:8" ht="15.6">
      <c r="E8532" s="279" t="s">
        <v>8858</v>
      </c>
      <c r="F8532" s="284">
        <f t="shared" ca="1" si="266"/>
        <v>1.3252719301045546E-2</v>
      </c>
      <c r="G8532" s="74">
        <v>35.262450028669868</v>
      </c>
      <c r="H8532" s="74">
        <f t="shared" si="267"/>
        <v>5.2319503146626545</v>
      </c>
    </row>
    <row r="8533" spans="5:8" ht="15.6">
      <c r="E8533" s="279" t="s">
        <v>8859</v>
      </c>
      <c r="F8533" s="284">
        <f t="shared" ca="1" si="266"/>
        <v>0.49716153263202756</v>
      </c>
      <c r="G8533" s="74">
        <v>39.714551522204552</v>
      </c>
      <c r="H8533" s="74">
        <f t="shared" si="267"/>
        <v>0.77984882112797038</v>
      </c>
    </row>
    <row r="8534" spans="5:8" ht="15.6">
      <c r="E8534" s="279" t="s">
        <v>8860</v>
      </c>
      <c r="F8534" s="284">
        <f t="shared" ca="1" si="266"/>
        <v>0.34774722104191857</v>
      </c>
      <c r="G8534" s="74">
        <v>41.093889061326919</v>
      </c>
      <c r="H8534" s="74">
        <f t="shared" si="267"/>
        <v>-0.59948871799439729</v>
      </c>
    </row>
    <row r="8535" spans="5:8" ht="15.6">
      <c r="E8535" s="279" t="s">
        <v>8861</v>
      </c>
      <c r="F8535" s="284">
        <f t="shared" ca="1" si="266"/>
        <v>6.1109648729398947E-2</v>
      </c>
      <c r="G8535" s="74">
        <v>35.194862163785523</v>
      </c>
      <c r="H8535" s="74">
        <f t="shared" si="267"/>
        <v>5.2995381795469996</v>
      </c>
    </row>
    <row r="8536" spans="5:8" ht="15.6">
      <c r="E8536" s="279" t="s">
        <v>8862</v>
      </c>
      <c r="F8536" s="284">
        <f t="shared" ca="1" si="266"/>
        <v>0.41001781227384171</v>
      </c>
      <c r="G8536" s="74">
        <v>39.902184976942614</v>
      </c>
      <c r="H8536" s="74">
        <f t="shared" si="267"/>
        <v>0.59221536638990813</v>
      </c>
    </row>
    <row r="8537" spans="5:8" ht="15.6">
      <c r="E8537" s="279" t="s">
        <v>8863</v>
      </c>
      <c r="F8537" s="284">
        <f t="shared" ca="1" si="266"/>
        <v>0.10060195060581667</v>
      </c>
      <c r="G8537" s="74">
        <v>34.83830228498757</v>
      </c>
      <c r="H8537" s="74">
        <f t="shared" si="267"/>
        <v>5.6560980583449521</v>
      </c>
    </row>
    <row r="8538" spans="5:8" ht="15.6">
      <c r="E8538" s="279" t="s">
        <v>8864</v>
      </c>
      <c r="F8538" s="284">
        <f t="shared" ca="1" si="266"/>
        <v>0.50145721145830624</v>
      </c>
      <c r="G8538" s="74">
        <v>41.582575186349501</v>
      </c>
      <c r="H8538" s="74">
        <f t="shared" si="267"/>
        <v>-1.0881748430169793</v>
      </c>
    </row>
    <row r="8539" spans="5:8" ht="15.6">
      <c r="E8539" s="279" t="s">
        <v>8865</v>
      </c>
      <c r="F8539" s="284">
        <f t="shared" ca="1" si="266"/>
        <v>0.13862794893435504</v>
      </c>
      <c r="G8539" s="74">
        <v>40.262029908719299</v>
      </c>
      <c r="H8539" s="74">
        <f t="shared" si="267"/>
        <v>0.23237043461322315</v>
      </c>
    </row>
    <row r="8540" spans="5:8" ht="15.6">
      <c r="E8540" s="279" t="s">
        <v>8866</v>
      </c>
      <c r="F8540" s="284">
        <f t="shared" ca="1" si="266"/>
        <v>0.38367887231060394</v>
      </c>
      <c r="G8540" s="74">
        <v>42.491901932388622</v>
      </c>
      <c r="H8540" s="74">
        <f t="shared" si="267"/>
        <v>-1.9975015890560996</v>
      </c>
    </row>
    <row r="8541" spans="5:8" ht="15.6">
      <c r="E8541" s="279" t="s">
        <v>8867</v>
      </c>
      <c r="F8541" s="284">
        <f t="shared" ca="1" si="266"/>
        <v>1.6135523295365939E-2</v>
      </c>
      <c r="G8541" s="74">
        <v>38.886794541325514</v>
      </c>
      <c r="H8541" s="74">
        <f t="shared" si="267"/>
        <v>1.6076058020070079</v>
      </c>
    </row>
    <row r="8542" spans="5:8" ht="15.6">
      <c r="E8542" s="279" t="s">
        <v>8868</v>
      </c>
      <c r="F8542" s="284">
        <f t="shared" ca="1" si="266"/>
        <v>0.5413839713880394</v>
      </c>
      <c r="G8542" s="74">
        <v>41.475971668478969</v>
      </c>
      <c r="H8542" s="74">
        <f t="shared" si="267"/>
        <v>-0.98157132514644729</v>
      </c>
    </row>
    <row r="8543" spans="5:8" ht="15.6">
      <c r="E8543" s="279" t="s">
        <v>8869</v>
      </c>
      <c r="F8543" s="284">
        <f t="shared" ca="1" si="266"/>
        <v>0.9047753558357996</v>
      </c>
      <c r="G8543" s="74">
        <v>40.924567697834291</v>
      </c>
      <c r="H8543" s="74">
        <f t="shared" si="267"/>
        <v>-0.43016735450176924</v>
      </c>
    </row>
    <row r="8544" spans="5:8" ht="15.6">
      <c r="E8544" s="279" t="s">
        <v>8870</v>
      </c>
      <c r="F8544" s="284">
        <f t="shared" ca="1" si="266"/>
        <v>0.37292422416531812</v>
      </c>
      <c r="G8544" s="74">
        <v>36.937353997024381</v>
      </c>
      <c r="H8544" s="74">
        <f t="shared" si="267"/>
        <v>3.557046346308141</v>
      </c>
    </row>
    <row r="8545" spans="5:8" ht="15.6">
      <c r="E8545" s="279" t="s">
        <v>8871</v>
      </c>
      <c r="F8545" s="284">
        <f t="shared" ca="1" si="266"/>
        <v>0.76802964378752892</v>
      </c>
      <c r="G8545" s="74">
        <v>36.155618818956818</v>
      </c>
      <c r="H8545" s="74">
        <f t="shared" si="267"/>
        <v>4.3387815243757046</v>
      </c>
    </row>
    <row r="8546" spans="5:8" ht="15.6">
      <c r="E8546" s="279" t="s">
        <v>8872</v>
      </c>
      <c r="F8546" s="284">
        <f t="shared" ca="1" si="266"/>
        <v>0.6099838189921144</v>
      </c>
      <c r="G8546" s="74">
        <v>38.93954575511286</v>
      </c>
      <c r="H8546" s="74">
        <f t="shared" si="267"/>
        <v>1.554854588219662</v>
      </c>
    </row>
    <row r="8547" spans="5:8" ht="15.6">
      <c r="E8547" s="279" t="s">
        <v>8873</v>
      </c>
      <c r="F8547" s="284">
        <f t="shared" ca="1" si="266"/>
        <v>0.73770477036699134</v>
      </c>
      <c r="G8547" s="74">
        <v>36.405727243522016</v>
      </c>
      <c r="H8547" s="74">
        <f t="shared" si="267"/>
        <v>4.0886730998105065</v>
      </c>
    </row>
    <row r="8548" spans="5:8" ht="15.6">
      <c r="E8548" s="279" t="s">
        <v>8874</v>
      </c>
      <c r="F8548" s="284">
        <f t="shared" ca="1" si="266"/>
        <v>0.52915762885374351</v>
      </c>
      <c r="G8548" s="74">
        <v>37.570852880982358</v>
      </c>
      <c r="H8548" s="74">
        <f t="shared" si="267"/>
        <v>2.9235474623501645</v>
      </c>
    </row>
    <row r="8549" spans="5:8" ht="15.6">
      <c r="E8549" s="279" t="s">
        <v>8875</v>
      </c>
      <c r="F8549" s="284">
        <f t="shared" ca="1" si="266"/>
        <v>0.60350635047560419</v>
      </c>
      <c r="G8549" s="74">
        <v>40.323428574264533</v>
      </c>
      <c r="H8549" s="74">
        <f t="shared" si="267"/>
        <v>0.1709717690679895</v>
      </c>
    </row>
    <row r="8550" spans="5:8" ht="15.6">
      <c r="E8550" s="279" t="s">
        <v>8876</v>
      </c>
      <c r="F8550" s="284">
        <f t="shared" ca="1" si="266"/>
        <v>0.65935335143900331</v>
      </c>
      <c r="G8550" s="74">
        <v>44.886245467972159</v>
      </c>
      <c r="H8550" s="74">
        <f t="shared" si="267"/>
        <v>-4.3918451246396373</v>
      </c>
    </row>
    <row r="8551" spans="5:8" ht="15.6">
      <c r="E8551" s="279" t="s">
        <v>8877</v>
      </c>
      <c r="F8551" s="284">
        <f t="shared" ca="1" si="266"/>
        <v>0.70471249212848364</v>
      </c>
      <c r="G8551" s="74">
        <v>40.612953438933111</v>
      </c>
      <c r="H8551" s="74">
        <f t="shared" si="267"/>
        <v>-0.11855309560058913</v>
      </c>
    </row>
    <row r="8552" spans="5:8" ht="15.6">
      <c r="E8552" s="279" t="s">
        <v>8878</v>
      </c>
      <c r="F8552" s="284">
        <f t="shared" ca="1" si="266"/>
        <v>0.18980536612702936</v>
      </c>
      <c r="G8552" s="74">
        <v>40.062683869425534</v>
      </c>
      <c r="H8552" s="74">
        <f t="shared" si="267"/>
        <v>0.43171647390698809</v>
      </c>
    </row>
    <row r="8553" spans="5:8" ht="15.6">
      <c r="E8553" s="279" t="s">
        <v>8879</v>
      </c>
      <c r="F8553" s="284">
        <f t="shared" ca="1" si="266"/>
        <v>0.47528026182239125</v>
      </c>
      <c r="G8553" s="74">
        <v>38.541905743711339</v>
      </c>
      <c r="H8553" s="74">
        <f t="shared" si="267"/>
        <v>1.9524945996211827</v>
      </c>
    </row>
    <row r="8554" spans="5:8" ht="15.6">
      <c r="E8554" s="279" t="s">
        <v>8880</v>
      </c>
      <c r="F8554" s="284">
        <f t="shared" ca="1" si="266"/>
        <v>0.82229486565043863</v>
      </c>
      <c r="G8554" s="74">
        <v>40.589599493276339</v>
      </c>
      <c r="H8554" s="74">
        <f t="shared" si="267"/>
        <v>-9.5199149943816508E-2</v>
      </c>
    </row>
    <row r="8555" spans="5:8" ht="15.6">
      <c r="E8555" s="279" t="s">
        <v>8881</v>
      </c>
      <c r="F8555" s="284">
        <f t="shared" ca="1" si="266"/>
        <v>0.71460410969564125</v>
      </c>
      <c r="G8555" s="74">
        <v>37.756154538740205</v>
      </c>
      <c r="H8555" s="74">
        <f t="shared" si="267"/>
        <v>2.7382458045923173</v>
      </c>
    </row>
    <row r="8556" spans="5:8" ht="15.6">
      <c r="E8556" s="279" t="s">
        <v>8882</v>
      </c>
      <c r="F8556" s="284">
        <f t="shared" ca="1" si="266"/>
        <v>0.46092373715443402</v>
      </c>
      <c r="G8556" s="74">
        <v>41.1726758690262</v>
      </c>
      <c r="H8556" s="74">
        <f t="shared" si="267"/>
        <v>-0.67827552569367811</v>
      </c>
    </row>
    <row r="8557" spans="5:8" ht="15.6">
      <c r="E8557" s="279" t="s">
        <v>8883</v>
      </c>
      <c r="F8557" s="284">
        <f t="shared" ca="1" si="266"/>
        <v>0.99667815561949524</v>
      </c>
      <c r="G8557" s="74">
        <v>36.361790613756163</v>
      </c>
      <c r="H8557" s="74">
        <f t="shared" si="267"/>
        <v>4.1326097295763589</v>
      </c>
    </row>
    <row r="8558" spans="5:8" ht="15.6">
      <c r="E8558" s="279" t="s">
        <v>8884</v>
      </c>
      <c r="F8558" s="284">
        <f t="shared" ca="1" si="266"/>
        <v>0.49564612490392312</v>
      </c>
      <c r="G8558" s="74">
        <v>40.378972763352294</v>
      </c>
      <c r="H8558" s="74">
        <f t="shared" si="267"/>
        <v>0.11542757998022779</v>
      </c>
    </row>
    <row r="8559" spans="5:8" ht="15.6">
      <c r="E8559" s="279" t="s">
        <v>8885</v>
      </c>
      <c r="F8559" s="284">
        <f t="shared" ca="1" si="266"/>
        <v>3.2499109202674736E-2</v>
      </c>
      <c r="G8559" s="74">
        <v>40.578273293460974</v>
      </c>
      <c r="H8559" s="74">
        <f t="shared" si="267"/>
        <v>-8.3872950128451862E-2</v>
      </c>
    </row>
    <row r="8560" spans="5:8" ht="15.6">
      <c r="E8560" s="279" t="s">
        <v>8886</v>
      </c>
      <c r="F8560" s="284">
        <f t="shared" ca="1" si="266"/>
        <v>0.91718348867745847</v>
      </c>
      <c r="G8560" s="74">
        <v>38.101730562214954</v>
      </c>
      <c r="H8560" s="74">
        <f t="shared" si="267"/>
        <v>2.3926697811175686</v>
      </c>
    </row>
    <row r="8561" spans="5:8" ht="15.6">
      <c r="E8561" s="279" t="s">
        <v>8887</v>
      </c>
      <c r="F8561" s="284">
        <f t="shared" ca="1" si="266"/>
        <v>0.4322634763502512</v>
      </c>
      <c r="G8561" s="74">
        <v>37.189024123835075</v>
      </c>
      <c r="H8561" s="74">
        <f t="shared" si="267"/>
        <v>3.3053762194974468</v>
      </c>
    </row>
    <row r="8562" spans="5:8" ht="15.6">
      <c r="E8562" s="279" t="s">
        <v>8888</v>
      </c>
      <c r="F8562" s="284">
        <f t="shared" ca="1" si="266"/>
        <v>0.10147381850533277</v>
      </c>
      <c r="G8562" s="74">
        <v>35.195571555089565</v>
      </c>
      <c r="H8562" s="74">
        <f t="shared" si="267"/>
        <v>5.2988287882429574</v>
      </c>
    </row>
    <row r="8563" spans="5:8" ht="15.6">
      <c r="E8563" s="279" t="s">
        <v>8889</v>
      </c>
      <c r="F8563" s="284">
        <f t="shared" ca="1" si="266"/>
        <v>0.48196060250299666</v>
      </c>
      <c r="G8563" s="74">
        <v>38.93854727722924</v>
      </c>
      <c r="H8563" s="74">
        <f t="shared" si="267"/>
        <v>1.5558530661032819</v>
      </c>
    </row>
    <row r="8564" spans="5:8" ht="15.6">
      <c r="E8564" s="279" t="s">
        <v>8890</v>
      </c>
      <c r="F8564" s="284">
        <f t="shared" ca="1" si="266"/>
        <v>1.4114933578325828E-2</v>
      </c>
      <c r="G8564" s="74">
        <v>40.140326689321235</v>
      </c>
      <c r="H8564" s="74">
        <f t="shared" si="267"/>
        <v>0.35407365401128743</v>
      </c>
    </row>
    <row r="8565" spans="5:8" ht="15.6">
      <c r="E8565" s="279" t="s">
        <v>8891</v>
      </c>
      <c r="F8565" s="284">
        <f t="shared" ca="1" si="266"/>
        <v>0.68841090720991704</v>
      </c>
      <c r="G8565" s="74">
        <v>38.945811576586259</v>
      </c>
      <c r="H8565" s="74">
        <f t="shared" si="267"/>
        <v>1.5485887667462634</v>
      </c>
    </row>
    <row r="8566" spans="5:8" ht="15.6">
      <c r="E8566" s="279" t="s">
        <v>8892</v>
      </c>
      <c r="F8566" s="284">
        <f t="shared" ca="1" si="266"/>
        <v>0.637077845899368</v>
      </c>
      <c r="G8566" s="74">
        <v>39.100397036658514</v>
      </c>
      <c r="H8566" s="74">
        <f t="shared" si="267"/>
        <v>1.3940033066740085</v>
      </c>
    </row>
    <row r="8567" spans="5:8" ht="15.6">
      <c r="E8567" s="279" t="s">
        <v>8893</v>
      </c>
      <c r="F8567" s="284">
        <f t="shared" ca="1" si="266"/>
        <v>0.39809630550979502</v>
      </c>
      <c r="G8567" s="74">
        <v>38.073747823004226</v>
      </c>
      <c r="H8567" s="74">
        <f t="shared" si="267"/>
        <v>2.4206525203282965</v>
      </c>
    </row>
    <row r="8568" spans="5:8" ht="15.6">
      <c r="E8568" s="279" t="s">
        <v>8894</v>
      </c>
      <c r="F8568" s="284">
        <f t="shared" ca="1" si="266"/>
        <v>0.16208880323871089</v>
      </c>
      <c r="G8568" s="74">
        <v>42.575638506794093</v>
      </c>
      <c r="H8568" s="74">
        <f t="shared" si="267"/>
        <v>-2.0812381634615704</v>
      </c>
    </row>
    <row r="8569" spans="5:8" ht="15.6">
      <c r="E8569" s="279" t="s">
        <v>8895</v>
      </c>
      <c r="F8569" s="284">
        <f t="shared" ca="1" si="266"/>
        <v>0.39659115950124502</v>
      </c>
      <c r="G8569" s="74">
        <v>39.952871144375592</v>
      </c>
      <c r="H8569" s="74">
        <f t="shared" si="267"/>
        <v>0.54152919895692975</v>
      </c>
    </row>
    <row r="8570" spans="5:8" ht="15.6">
      <c r="E8570" s="279" t="s">
        <v>8896</v>
      </c>
      <c r="F8570" s="284">
        <f t="shared" ca="1" si="266"/>
        <v>0.73760550162261962</v>
      </c>
      <c r="G8570" s="74">
        <v>44.053912310612546</v>
      </c>
      <c r="H8570" s="74">
        <f t="shared" si="267"/>
        <v>-3.5595119672800237</v>
      </c>
    </row>
    <row r="8571" spans="5:8" ht="15.6">
      <c r="E8571" s="279" t="s">
        <v>8897</v>
      </c>
      <c r="F8571" s="284">
        <f t="shared" ca="1" si="266"/>
        <v>0.64546427352482838</v>
      </c>
      <c r="G8571" s="74">
        <v>40.174104545415716</v>
      </c>
      <c r="H8571" s="74">
        <f t="shared" si="267"/>
        <v>0.32029579791680618</v>
      </c>
    </row>
    <row r="8572" spans="5:8" ht="15.6">
      <c r="E8572" s="279" t="s">
        <v>8898</v>
      </c>
      <c r="F8572" s="284">
        <f t="shared" ca="1" si="266"/>
        <v>0.34591668957949373</v>
      </c>
      <c r="G8572" s="74">
        <v>35.658307837187301</v>
      </c>
      <c r="H8572" s="74">
        <f t="shared" si="267"/>
        <v>4.8360925061452207</v>
      </c>
    </row>
    <row r="8573" spans="5:8" ht="15.6">
      <c r="E8573" s="279" t="s">
        <v>8899</v>
      </c>
      <c r="F8573" s="284">
        <f t="shared" ca="1" si="266"/>
        <v>0.34488551112470001</v>
      </c>
      <c r="G8573" s="74">
        <v>37.172777302059004</v>
      </c>
      <c r="H8573" s="74">
        <f t="shared" si="267"/>
        <v>3.3216230412735186</v>
      </c>
    </row>
    <row r="8574" spans="5:8" ht="15.6">
      <c r="E8574" s="279" t="s">
        <v>8900</v>
      </c>
      <c r="F8574" s="284">
        <f t="shared" ca="1" si="266"/>
        <v>0.5305046543225429</v>
      </c>
      <c r="G8574" s="74">
        <v>39.467396870342519</v>
      </c>
      <c r="H8574" s="74">
        <f t="shared" si="267"/>
        <v>1.0270034729900033</v>
      </c>
    </row>
    <row r="8575" spans="5:8" ht="15.6">
      <c r="E8575" s="279" t="s">
        <v>8901</v>
      </c>
      <c r="F8575" s="284">
        <f t="shared" ca="1" si="266"/>
        <v>0.67098776370017166</v>
      </c>
      <c r="G8575" s="74">
        <v>39.839738661071486</v>
      </c>
      <c r="H8575" s="74">
        <f t="shared" si="267"/>
        <v>0.65466168226103605</v>
      </c>
    </row>
    <row r="8576" spans="5:8" ht="15.6">
      <c r="E8576" s="279" t="s">
        <v>8902</v>
      </c>
      <c r="F8576" s="284">
        <f t="shared" ca="1" si="266"/>
        <v>0.96057711179017602</v>
      </c>
      <c r="G8576" s="74">
        <v>40.521196841594993</v>
      </c>
      <c r="H8576" s="74">
        <f t="shared" si="267"/>
        <v>-2.6796498262470436E-2</v>
      </c>
    </row>
    <row r="8577" spans="5:8" ht="15.6">
      <c r="E8577" s="279" t="s">
        <v>8903</v>
      </c>
      <c r="F8577" s="284">
        <f t="shared" ca="1" si="266"/>
        <v>0.47834347859366133</v>
      </c>
      <c r="G8577" s="74">
        <v>38.42164504181271</v>
      </c>
      <c r="H8577" s="74">
        <f t="shared" si="267"/>
        <v>2.0727553015198126</v>
      </c>
    </row>
    <row r="8578" spans="5:8" ht="15.6">
      <c r="E8578" s="279" t="s">
        <v>8904</v>
      </c>
      <c r="F8578" s="284">
        <f t="shared" ca="1" si="266"/>
        <v>0.25864200582760954</v>
      </c>
      <c r="G8578" s="74">
        <v>39.416966877971532</v>
      </c>
      <c r="H8578" s="74">
        <f t="shared" si="267"/>
        <v>1.0774334653609898</v>
      </c>
    </row>
    <row r="8579" spans="5:8" ht="15.6">
      <c r="E8579" s="279" t="s">
        <v>8905</v>
      </c>
      <c r="F8579" s="284">
        <f t="shared" ca="1" si="266"/>
        <v>0.56379894066636604</v>
      </c>
      <c r="G8579" s="74">
        <v>42.869238159551024</v>
      </c>
      <c r="H8579" s="74">
        <f t="shared" si="267"/>
        <v>-2.374837816218502</v>
      </c>
    </row>
    <row r="8580" spans="5:8" ht="15.6">
      <c r="E8580" s="279" t="s">
        <v>8906</v>
      </c>
      <c r="F8580" s="284">
        <f t="shared" ca="1" si="266"/>
        <v>8.9097228627700642E-2</v>
      </c>
      <c r="G8580" s="74">
        <v>36.433652251307819</v>
      </c>
      <c r="H8580" s="74">
        <f t="shared" si="267"/>
        <v>4.0607480920247028</v>
      </c>
    </row>
    <row r="8581" spans="5:8" ht="15.6">
      <c r="E8581" s="279" t="s">
        <v>8907</v>
      </c>
      <c r="F8581" s="284">
        <f t="shared" ca="1" si="266"/>
        <v>0.72587772347780588</v>
      </c>
      <c r="G8581" s="74">
        <v>38.077375794089043</v>
      </c>
      <c r="H8581" s="74">
        <f t="shared" si="267"/>
        <v>2.4170245492434788</v>
      </c>
    </row>
    <row r="8582" spans="5:8" ht="15.6">
      <c r="E8582" s="279" t="s">
        <v>8908</v>
      </c>
      <c r="F8582" s="284">
        <f t="shared" ca="1" si="266"/>
        <v>0.6932678148846052</v>
      </c>
      <c r="G8582" s="74">
        <v>39.474518102444662</v>
      </c>
      <c r="H8582" s="74">
        <f t="shared" si="267"/>
        <v>1.0198822408878598</v>
      </c>
    </row>
    <row r="8583" spans="5:8" ht="15.6">
      <c r="E8583" s="279" t="s">
        <v>8909</v>
      </c>
      <c r="F8583" s="284">
        <f t="shared" ca="1" si="266"/>
        <v>0.28628030611489141</v>
      </c>
      <c r="G8583" s="74">
        <v>42.025767846926051</v>
      </c>
      <c r="H8583" s="74">
        <f t="shared" si="267"/>
        <v>-1.531367503593529</v>
      </c>
    </row>
    <row r="8584" spans="5:8" ht="15.6">
      <c r="E8584" s="279" t="s">
        <v>8910</v>
      </c>
      <c r="F8584" s="284">
        <f t="shared" ca="1" si="266"/>
        <v>0.79620067775450265</v>
      </c>
      <c r="G8584" s="74">
        <v>40.072626058673684</v>
      </c>
      <c r="H8584" s="74">
        <f t="shared" si="267"/>
        <v>0.42177428465883793</v>
      </c>
    </row>
    <row r="8585" spans="5:8" ht="15.6">
      <c r="E8585" s="279" t="s">
        <v>8911</v>
      </c>
      <c r="F8585" s="284">
        <f t="shared" ca="1" si="266"/>
        <v>0.84710585073023015</v>
      </c>
      <c r="G8585" s="74">
        <v>40.948159078685705</v>
      </c>
      <c r="H8585" s="74">
        <f t="shared" si="267"/>
        <v>-0.45375873535318334</v>
      </c>
    </row>
    <row r="8586" spans="5:8" ht="15.6">
      <c r="E8586" s="279" t="s">
        <v>8912</v>
      </c>
      <c r="F8586" s="284">
        <f t="shared" ca="1" si="266"/>
        <v>0.31617404000455751</v>
      </c>
      <c r="G8586" s="74">
        <v>43.281177174050498</v>
      </c>
      <c r="H8586" s="74">
        <f t="shared" si="267"/>
        <v>-2.7867768307179759</v>
      </c>
    </row>
    <row r="8587" spans="5:8" ht="15.6">
      <c r="E8587" s="279" t="s">
        <v>8913</v>
      </c>
      <c r="F8587" s="284">
        <f t="shared" ca="1" si="266"/>
        <v>2.1876164676887355E-2</v>
      </c>
      <c r="G8587" s="74">
        <v>38.580690564980451</v>
      </c>
      <c r="H8587" s="74">
        <f t="shared" si="267"/>
        <v>1.9137097783520716</v>
      </c>
    </row>
    <row r="8588" spans="5:8" ht="15.6">
      <c r="E8588" s="279" t="s">
        <v>8914</v>
      </c>
      <c r="F8588" s="284">
        <f t="shared" ref="F8588:F8651" ca="1" si="268">RAND()</f>
        <v>0.51670123803424794</v>
      </c>
      <c r="G8588" s="74">
        <v>41.43267851754544</v>
      </c>
      <c r="H8588" s="74">
        <f t="shared" ref="H8588:H8651" si="269">$D$2-G8588</f>
        <v>-0.93827817421291826</v>
      </c>
    </row>
    <row r="8589" spans="5:8" ht="15.6">
      <c r="E8589" s="279" t="s">
        <v>8915</v>
      </c>
      <c r="F8589" s="284">
        <f t="shared" ca="1" si="268"/>
        <v>0.31068351253252946</v>
      </c>
      <c r="G8589" s="74">
        <v>37.666909125164004</v>
      </c>
      <c r="H8589" s="74">
        <f t="shared" si="269"/>
        <v>2.8274912181685181</v>
      </c>
    </row>
    <row r="8590" spans="5:8" ht="15.6">
      <c r="E8590" s="279" t="s">
        <v>8916</v>
      </c>
      <c r="F8590" s="284">
        <f t="shared" ca="1" si="268"/>
        <v>0.41005579122363089</v>
      </c>
      <c r="G8590" s="74">
        <v>38.753750119441605</v>
      </c>
      <c r="H8590" s="74">
        <f t="shared" si="269"/>
        <v>1.7406502238909169</v>
      </c>
    </row>
    <row r="8591" spans="5:8" ht="15.6">
      <c r="E8591" s="279" t="s">
        <v>8917</v>
      </c>
      <c r="F8591" s="284">
        <f t="shared" ca="1" si="268"/>
        <v>0.38268001392189699</v>
      </c>
      <c r="G8591" s="74">
        <v>37.378862001066217</v>
      </c>
      <c r="H8591" s="74">
        <f t="shared" si="269"/>
        <v>3.115538342266305</v>
      </c>
    </row>
    <row r="8592" spans="5:8" ht="15.6">
      <c r="E8592" s="279" t="s">
        <v>8918</v>
      </c>
      <c r="F8592" s="284">
        <f t="shared" ca="1" si="268"/>
        <v>0.97484037380650101</v>
      </c>
      <c r="G8592" s="74">
        <v>41.438256636433806</v>
      </c>
      <c r="H8592" s="74">
        <f t="shared" si="269"/>
        <v>-0.94385629310128394</v>
      </c>
    </row>
    <row r="8593" spans="5:8" ht="15.6">
      <c r="E8593" s="279" t="s">
        <v>8919</v>
      </c>
      <c r="F8593" s="284">
        <f t="shared" ca="1" si="268"/>
        <v>0.179810767499471</v>
      </c>
      <c r="G8593" s="74">
        <v>35.794223633897275</v>
      </c>
      <c r="H8593" s="74">
        <f t="shared" si="269"/>
        <v>4.7001767094352473</v>
      </c>
    </row>
    <row r="8594" spans="5:8" ht="15.6">
      <c r="E8594" s="279" t="s">
        <v>8920</v>
      </c>
      <c r="F8594" s="284">
        <f t="shared" ca="1" si="268"/>
        <v>0.93359655712868095</v>
      </c>
      <c r="G8594" s="74">
        <v>40.981599557682074</v>
      </c>
      <c r="H8594" s="74">
        <f t="shared" si="269"/>
        <v>-0.48719921434955182</v>
      </c>
    </row>
    <row r="8595" spans="5:8" ht="15.6">
      <c r="E8595" s="279" t="s">
        <v>8921</v>
      </c>
      <c r="F8595" s="284">
        <f t="shared" ca="1" si="268"/>
        <v>0.70567215899213598</v>
      </c>
      <c r="G8595" s="74">
        <v>44.181547600878545</v>
      </c>
      <c r="H8595" s="74">
        <f t="shared" si="269"/>
        <v>-3.6871472575460231</v>
      </c>
    </row>
    <row r="8596" spans="5:8" ht="15.6">
      <c r="E8596" s="279" t="s">
        <v>8922</v>
      </c>
      <c r="F8596" s="284">
        <f t="shared" ca="1" si="268"/>
        <v>0.49465872127936994</v>
      </c>
      <c r="G8596" s="74">
        <v>33.640830465272195</v>
      </c>
      <c r="H8596" s="74">
        <f t="shared" si="269"/>
        <v>6.8535698780603269</v>
      </c>
    </row>
    <row r="8597" spans="5:8" ht="15.6">
      <c r="E8597" s="279" t="s">
        <v>8923</v>
      </c>
      <c r="F8597" s="284">
        <f t="shared" ca="1" si="268"/>
        <v>0.34790631245790971</v>
      </c>
      <c r="G8597" s="74">
        <v>33.860102290352636</v>
      </c>
      <c r="H8597" s="74">
        <f t="shared" si="269"/>
        <v>6.6342980529798865</v>
      </c>
    </row>
    <row r="8598" spans="5:8" ht="15.6">
      <c r="E8598" s="279" t="s">
        <v>8924</v>
      </c>
      <c r="F8598" s="284">
        <f t="shared" ca="1" si="268"/>
        <v>0.23845698882110444</v>
      </c>
      <c r="G8598" s="74">
        <v>37.071492623263147</v>
      </c>
      <c r="H8598" s="74">
        <f t="shared" si="269"/>
        <v>3.4229077200693752</v>
      </c>
    </row>
    <row r="8599" spans="5:8" ht="15.6">
      <c r="E8599" s="279" t="s">
        <v>8925</v>
      </c>
      <c r="F8599" s="284">
        <f t="shared" ca="1" si="268"/>
        <v>0.80208396753626643</v>
      </c>
      <c r="G8599" s="74">
        <v>38.928686528147779</v>
      </c>
      <c r="H8599" s="74">
        <f t="shared" si="269"/>
        <v>1.5657138151847434</v>
      </c>
    </row>
    <row r="8600" spans="5:8" ht="15.6">
      <c r="E8600" s="279" t="s">
        <v>8926</v>
      </c>
      <c r="F8600" s="284">
        <f t="shared" ca="1" si="268"/>
        <v>0.56483017126744128</v>
      </c>
      <c r="G8600" s="74">
        <v>45.900437929185898</v>
      </c>
      <c r="H8600" s="74">
        <f t="shared" si="269"/>
        <v>-5.406037585853376</v>
      </c>
    </row>
    <row r="8601" spans="5:8" ht="15.6">
      <c r="E8601" s="279" t="s">
        <v>8927</v>
      </c>
      <c r="F8601" s="284">
        <f t="shared" ca="1" si="268"/>
        <v>9.490716032120472E-2</v>
      </c>
      <c r="G8601" s="74">
        <v>41.907093949513452</v>
      </c>
      <c r="H8601" s="74">
        <f t="shared" si="269"/>
        <v>-1.4126936061809303</v>
      </c>
    </row>
    <row r="8602" spans="5:8" ht="15.6">
      <c r="E8602" s="279" t="s">
        <v>8928</v>
      </c>
      <c r="F8602" s="284">
        <f t="shared" ca="1" si="268"/>
        <v>0.47149183579432496</v>
      </c>
      <c r="G8602" s="74">
        <v>37.957499389516364</v>
      </c>
      <c r="H8602" s="74">
        <f t="shared" si="269"/>
        <v>2.5369009538161578</v>
      </c>
    </row>
    <row r="8603" spans="5:8" ht="15.6">
      <c r="E8603" s="279" t="s">
        <v>8929</v>
      </c>
      <c r="F8603" s="284">
        <f t="shared" ca="1" si="268"/>
        <v>0.43938870282389264</v>
      </c>
      <c r="G8603" s="74">
        <v>42.458099486007704</v>
      </c>
      <c r="H8603" s="74">
        <f t="shared" si="269"/>
        <v>-1.963699142675182</v>
      </c>
    </row>
    <row r="8604" spans="5:8" ht="15.6">
      <c r="E8604" s="279" t="s">
        <v>8930</v>
      </c>
      <c r="F8604" s="284">
        <f t="shared" ca="1" si="268"/>
        <v>0.2169725915736449</v>
      </c>
      <c r="G8604" s="74">
        <v>38.059762587347336</v>
      </c>
      <c r="H8604" s="74">
        <f t="shared" si="269"/>
        <v>2.4346377559851859</v>
      </c>
    </row>
    <row r="8605" spans="5:8" ht="15.6">
      <c r="E8605" s="279" t="s">
        <v>8931</v>
      </c>
      <c r="F8605" s="284">
        <f t="shared" ca="1" si="268"/>
        <v>0.15092534930247348</v>
      </c>
      <c r="G8605" s="74">
        <v>42.036077409384923</v>
      </c>
      <c r="H8605" s="74">
        <f t="shared" si="269"/>
        <v>-1.5416770660524008</v>
      </c>
    </row>
    <row r="8606" spans="5:8" ht="15.6">
      <c r="E8606" s="279" t="s">
        <v>8932</v>
      </c>
      <c r="F8606" s="284">
        <f t="shared" ca="1" si="268"/>
        <v>0.26292082597898891</v>
      </c>
      <c r="G8606" s="74">
        <v>37.382769974915838</v>
      </c>
      <c r="H8606" s="74">
        <f t="shared" si="269"/>
        <v>3.1116303684166837</v>
      </c>
    </row>
    <row r="8607" spans="5:8" ht="15.6">
      <c r="E8607" s="279" t="s">
        <v>8933</v>
      </c>
      <c r="F8607" s="284">
        <f t="shared" ca="1" si="268"/>
        <v>9.6427159675468332E-2</v>
      </c>
      <c r="G8607" s="74">
        <v>39.139944617094869</v>
      </c>
      <c r="H8607" s="74">
        <f t="shared" si="269"/>
        <v>1.3544557262376529</v>
      </c>
    </row>
    <row r="8608" spans="5:8" ht="15.6">
      <c r="E8608" s="279" t="s">
        <v>8934</v>
      </c>
      <c r="F8608" s="284">
        <f t="shared" ca="1" si="268"/>
        <v>7.8186810887395541E-2</v>
      </c>
      <c r="G8608" s="74">
        <v>40.438772042563322</v>
      </c>
      <c r="H8608" s="74">
        <f t="shared" si="269"/>
        <v>5.5628300769200223E-2</v>
      </c>
    </row>
    <row r="8609" spans="5:8" ht="15.6">
      <c r="E8609" s="279" t="s">
        <v>8935</v>
      </c>
      <c r="F8609" s="284">
        <f t="shared" ca="1" si="268"/>
        <v>0.20614305516039488</v>
      </c>
      <c r="G8609" s="74">
        <v>39.504338430919624</v>
      </c>
      <c r="H8609" s="74">
        <f t="shared" si="269"/>
        <v>0.99006191241289798</v>
      </c>
    </row>
    <row r="8610" spans="5:8" ht="15.6">
      <c r="E8610" s="279" t="s">
        <v>8936</v>
      </c>
      <c r="F8610" s="284">
        <f t="shared" ca="1" si="268"/>
        <v>0.75284364859591713</v>
      </c>
      <c r="G8610" s="74">
        <v>39.125077120972527</v>
      </c>
      <c r="H8610" s="74">
        <f t="shared" si="269"/>
        <v>1.3693232223599949</v>
      </c>
    </row>
    <row r="8611" spans="5:8" ht="15.6">
      <c r="E8611" s="279" t="s">
        <v>8937</v>
      </c>
      <c r="F8611" s="284">
        <f t="shared" ca="1" si="268"/>
        <v>0.27112011337098774</v>
      </c>
      <c r="G8611" s="74">
        <v>37.738286350185781</v>
      </c>
      <c r="H8611" s="74">
        <f t="shared" si="269"/>
        <v>2.7561139931467409</v>
      </c>
    </row>
    <row r="8612" spans="5:8" ht="15.6">
      <c r="E8612" s="279" t="s">
        <v>8938</v>
      </c>
      <c r="F8612" s="284">
        <f t="shared" ca="1" si="268"/>
        <v>0.99134380098586772</v>
      </c>
      <c r="G8612" s="74">
        <v>40.140540146425245</v>
      </c>
      <c r="H8612" s="74">
        <f t="shared" si="269"/>
        <v>0.35386019690727721</v>
      </c>
    </row>
    <row r="8613" spans="5:8" ht="15.6">
      <c r="E8613" s="279" t="s">
        <v>8939</v>
      </c>
      <c r="F8613" s="284">
        <f t="shared" ca="1" si="268"/>
        <v>0.36295785003305348</v>
      </c>
      <c r="G8613" s="74">
        <v>37.758183955930093</v>
      </c>
      <c r="H8613" s="74">
        <f t="shared" si="269"/>
        <v>2.736216387402429</v>
      </c>
    </row>
    <row r="8614" spans="5:8" ht="15.6">
      <c r="E8614" s="279" t="s">
        <v>8940</v>
      </c>
      <c r="F8614" s="284">
        <f t="shared" ca="1" si="268"/>
        <v>0.45825413456955444</v>
      </c>
      <c r="G8614" s="74">
        <v>38.90631366206145</v>
      </c>
      <c r="H8614" s="74">
        <f t="shared" si="269"/>
        <v>1.5880866812710721</v>
      </c>
    </row>
    <row r="8615" spans="5:8" ht="15.6">
      <c r="E8615" s="279" t="s">
        <v>8941</v>
      </c>
      <c r="F8615" s="284">
        <f t="shared" ca="1" si="268"/>
        <v>0.24517299593540709</v>
      </c>
      <c r="G8615" s="74">
        <v>45.228583114947071</v>
      </c>
      <c r="H8615" s="74">
        <f t="shared" si="269"/>
        <v>-4.7341827716145488</v>
      </c>
    </row>
    <row r="8616" spans="5:8" ht="15.6">
      <c r="E8616" s="279" t="s">
        <v>8942</v>
      </c>
      <c r="F8616" s="284">
        <f t="shared" ca="1" si="268"/>
        <v>0.70743187260273277</v>
      </c>
      <c r="G8616" s="74">
        <v>39.467290095835814</v>
      </c>
      <c r="H8616" s="74">
        <f t="shared" si="269"/>
        <v>1.027110247496708</v>
      </c>
    </row>
    <row r="8617" spans="5:8" ht="15.6">
      <c r="E8617" s="279" t="s">
        <v>8943</v>
      </c>
      <c r="F8617" s="284">
        <f t="shared" ca="1" si="268"/>
        <v>7.2614926087567588E-2</v>
      </c>
      <c r="G8617" s="74">
        <v>38.193104285965518</v>
      </c>
      <c r="H8617" s="74">
        <f t="shared" si="269"/>
        <v>2.3012960573670043</v>
      </c>
    </row>
    <row r="8618" spans="5:8" ht="15.6">
      <c r="E8618" s="279" t="s">
        <v>8944</v>
      </c>
      <c r="F8618" s="284">
        <f t="shared" ca="1" si="268"/>
        <v>0.99040133785997153</v>
      </c>
      <c r="G8618" s="74">
        <v>40.042693958798402</v>
      </c>
      <c r="H8618" s="74">
        <f t="shared" si="269"/>
        <v>0.45170638453411982</v>
      </c>
    </row>
    <row r="8619" spans="5:8" ht="15.6">
      <c r="E8619" s="279" t="s">
        <v>8945</v>
      </c>
      <c r="F8619" s="284">
        <f t="shared" ca="1" si="268"/>
        <v>0.66431392653129806</v>
      </c>
      <c r="G8619" s="74">
        <v>39.353262438423521</v>
      </c>
      <c r="H8619" s="74">
        <f t="shared" si="269"/>
        <v>1.1411379049090016</v>
      </c>
    </row>
    <row r="8620" spans="5:8" ht="15.6">
      <c r="E8620" s="279" t="s">
        <v>8946</v>
      </c>
      <c r="F8620" s="284">
        <f t="shared" ca="1" si="268"/>
        <v>0.23695161376201745</v>
      </c>
      <c r="G8620" s="74">
        <v>38.350480533209357</v>
      </c>
      <c r="H8620" s="74">
        <f t="shared" si="269"/>
        <v>2.1439198101231653</v>
      </c>
    </row>
    <row r="8621" spans="5:8" ht="15.6">
      <c r="E8621" s="279" t="s">
        <v>8947</v>
      </c>
      <c r="F8621" s="284">
        <f t="shared" ca="1" si="268"/>
        <v>5.228935624737463E-2</v>
      </c>
      <c r="G8621" s="74">
        <v>40.541675486866296</v>
      </c>
      <c r="H8621" s="74">
        <f t="shared" si="269"/>
        <v>-4.7275143533774155E-2</v>
      </c>
    </row>
    <row r="8622" spans="5:8" ht="15.6">
      <c r="E8622" s="279" t="s">
        <v>8948</v>
      </c>
      <c r="F8622" s="284">
        <f t="shared" ca="1" si="268"/>
        <v>3.3875175340219443E-2</v>
      </c>
      <c r="G8622" s="74">
        <v>39.020982966990445</v>
      </c>
      <c r="H8622" s="74">
        <f t="shared" si="269"/>
        <v>1.473417376342077</v>
      </c>
    </row>
    <row r="8623" spans="5:8" ht="15.6">
      <c r="E8623" s="279" t="s">
        <v>8949</v>
      </c>
      <c r="F8623" s="284">
        <f t="shared" ca="1" si="268"/>
        <v>0.40977458982182779</v>
      </c>
      <c r="G8623" s="74">
        <v>40.122469883601184</v>
      </c>
      <c r="H8623" s="74">
        <f t="shared" si="269"/>
        <v>0.3719304597313382</v>
      </c>
    </row>
    <row r="8624" spans="5:8" ht="15.6">
      <c r="E8624" s="279" t="s">
        <v>8950</v>
      </c>
      <c r="F8624" s="284">
        <f t="shared" ca="1" si="268"/>
        <v>0.1987820906889014</v>
      </c>
      <c r="G8624" s="74">
        <v>37.154126368016435</v>
      </c>
      <c r="H8624" s="74">
        <f t="shared" si="269"/>
        <v>3.3402739753160873</v>
      </c>
    </row>
    <row r="8625" spans="5:8" ht="15.6">
      <c r="E8625" s="279" t="s">
        <v>8951</v>
      </c>
      <c r="F8625" s="284">
        <f t="shared" ca="1" si="268"/>
        <v>0.32385589834256834</v>
      </c>
      <c r="G8625" s="74">
        <v>42.460289288740221</v>
      </c>
      <c r="H8625" s="74">
        <f t="shared" si="269"/>
        <v>-1.9658889454076984</v>
      </c>
    </row>
    <row r="8626" spans="5:8" ht="15.6">
      <c r="E8626" s="279" t="s">
        <v>8952</v>
      </c>
      <c r="F8626" s="284">
        <f t="shared" ca="1" si="268"/>
        <v>0.82937903886699826</v>
      </c>
      <c r="G8626" s="74">
        <v>37.398485533096618</v>
      </c>
      <c r="H8626" s="74">
        <f t="shared" si="269"/>
        <v>3.0959148102359038</v>
      </c>
    </row>
    <row r="8627" spans="5:8" ht="15.6">
      <c r="E8627" s="279" t="s">
        <v>8953</v>
      </c>
      <c r="F8627" s="284">
        <f t="shared" ca="1" si="268"/>
        <v>0.3199821600717323</v>
      </c>
      <c r="G8627" s="74">
        <v>36.995415636115247</v>
      </c>
      <c r="H8627" s="74">
        <f t="shared" si="269"/>
        <v>3.4989847072172751</v>
      </c>
    </row>
    <row r="8628" spans="5:8" ht="15.6">
      <c r="E8628" s="279" t="s">
        <v>8954</v>
      </c>
      <c r="F8628" s="284">
        <f t="shared" ca="1" si="268"/>
        <v>0.50500124791612833</v>
      </c>
      <c r="G8628" s="74">
        <v>37.601668343435385</v>
      </c>
      <c r="H8628" s="74">
        <f t="shared" si="269"/>
        <v>2.892731999897137</v>
      </c>
    </row>
    <row r="8629" spans="5:8" ht="15.6">
      <c r="E8629" s="279" t="s">
        <v>8955</v>
      </c>
      <c r="F8629" s="284">
        <f t="shared" ca="1" si="268"/>
        <v>0.5989786566732862</v>
      </c>
      <c r="G8629" s="74">
        <v>35.394251035006839</v>
      </c>
      <c r="H8629" s="74">
        <f t="shared" si="269"/>
        <v>5.1001493083256833</v>
      </c>
    </row>
    <row r="8630" spans="5:8" ht="15.6">
      <c r="E8630" s="279" t="s">
        <v>8956</v>
      </c>
      <c r="F8630" s="284">
        <f t="shared" ca="1" si="268"/>
        <v>4.1516094494771671E-2</v>
      </c>
      <c r="G8630" s="74">
        <v>40.394832865890379</v>
      </c>
      <c r="H8630" s="74">
        <f t="shared" si="269"/>
        <v>9.9567477442143115E-2</v>
      </c>
    </row>
    <row r="8631" spans="5:8" ht="15.6">
      <c r="E8631" s="279" t="s">
        <v>8957</v>
      </c>
      <c r="F8631" s="284">
        <f t="shared" ca="1" si="268"/>
        <v>0.80738079776851446</v>
      </c>
      <c r="G8631" s="74">
        <v>39.083989895708257</v>
      </c>
      <c r="H8631" s="74">
        <f t="shared" si="269"/>
        <v>1.4104104476242654</v>
      </c>
    </row>
    <row r="8632" spans="5:8" ht="15.6">
      <c r="E8632" s="279" t="s">
        <v>8958</v>
      </c>
      <c r="F8632" s="284">
        <f t="shared" ca="1" si="268"/>
        <v>0.99119729957110292</v>
      </c>
      <c r="G8632" s="74">
        <v>39.71461095118935</v>
      </c>
      <c r="H8632" s="74">
        <f t="shared" si="269"/>
        <v>0.77978939214317222</v>
      </c>
    </row>
    <row r="8633" spans="5:8" ht="15.6">
      <c r="E8633" s="279" t="s">
        <v>8959</v>
      </c>
      <c r="F8633" s="284">
        <f t="shared" ca="1" si="268"/>
        <v>0.77054846644621244</v>
      </c>
      <c r="G8633" s="74">
        <v>37.874138189487773</v>
      </c>
      <c r="H8633" s="74">
        <f t="shared" si="269"/>
        <v>2.6202621538447488</v>
      </c>
    </row>
    <row r="8634" spans="5:8" ht="15.6">
      <c r="E8634" s="279" t="s">
        <v>8960</v>
      </c>
      <c r="F8634" s="284">
        <f t="shared" ca="1" si="268"/>
        <v>0.29206190322956993</v>
      </c>
      <c r="G8634" s="74">
        <v>38.508549319320231</v>
      </c>
      <c r="H8634" s="74">
        <f t="shared" si="269"/>
        <v>1.9858510240122911</v>
      </c>
    </row>
    <row r="8635" spans="5:8" ht="15.6">
      <c r="E8635" s="279" t="s">
        <v>8961</v>
      </c>
      <c r="F8635" s="284">
        <f t="shared" ca="1" si="268"/>
        <v>0.54801729803133348</v>
      </c>
      <c r="G8635" s="74">
        <v>34.298307174797827</v>
      </c>
      <c r="H8635" s="74">
        <f t="shared" si="269"/>
        <v>6.1960931685346949</v>
      </c>
    </row>
    <row r="8636" spans="5:8" ht="15.6">
      <c r="E8636" s="279" t="s">
        <v>8962</v>
      </c>
      <c r="F8636" s="284">
        <f t="shared" ca="1" si="268"/>
        <v>0.41460053052268075</v>
      </c>
      <c r="G8636" s="74">
        <v>41.368657088341649</v>
      </c>
      <c r="H8636" s="74">
        <f t="shared" si="269"/>
        <v>-0.8742567450091272</v>
      </c>
    </row>
    <row r="8637" spans="5:8" ht="15.6">
      <c r="E8637" s="279" t="s">
        <v>8963</v>
      </c>
      <c r="F8637" s="284">
        <f t="shared" ca="1" si="268"/>
        <v>0.43256874709296733</v>
      </c>
      <c r="G8637" s="74">
        <v>39.321287452565969</v>
      </c>
      <c r="H8637" s="74">
        <f t="shared" si="269"/>
        <v>1.1731128907665536</v>
      </c>
    </row>
    <row r="8638" spans="5:8" ht="15.6">
      <c r="E8638" s="279" t="s">
        <v>8964</v>
      </c>
      <c r="F8638" s="284">
        <f t="shared" ca="1" si="268"/>
        <v>0.58111742742538408</v>
      </c>
      <c r="G8638" s="74">
        <v>36.246528583855799</v>
      </c>
      <c r="H8638" s="74">
        <f t="shared" si="269"/>
        <v>4.2478717594767232</v>
      </c>
    </row>
    <row r="8639" spans="5:8" ht="15.6">
      <c r="E8639" s="279" t="s">
        <v>8965</v>
      </c>
      <c r="F8639" s="284">
        <f t="shared" ca="1" si="268"/>
        <v>0.52234087498917836</v>
      </c>
      <c r="G8639" s="74">
        <v>41.206942195584581</v>
      </c>
      <c r="H8639" s="74">
        <f t="shared" si="269"/>
        <v>-0.71254185225205902</v>
      </c>
    </row>
    <row r="8640" spans="5:8" ht="15.6">
      <c r="E8640" s="279" t="s">
        <v>8966</v>
      </c>
      <c r="F8640" s="284">
        <f t="shared" ca="1" si="268"/>
        <v>0.57199177231491227</v>
      </c>
      <c r="G8640" s="74">
        <v>38.219430207763928</v>
      </c>
      <c r="H8640" s="74">
        <f t="shared" si="269"/>
        <v>2.2749701355685943</v>
      </c>
    </row>
    <row r="8641" spans="5:8" ht="15.6">
      <c r="E8641" s="279" t="s">
        <v>8967</v>
      </c>
      <c r="F8641" s="284">
        <f t="shared" ca="1" si="268"/>
        <v>0.58351527225552402</v>
      </c>
      <c r="G8641" s="74">
        <v>40.156962233926521</v>
      </c>
      <c r="H8641" s="74">
        <f t="shared" si="269"/>
        <v>0.33743810940600127</v>
      </c>
    </row>
    <row r="8642" spans="5:8" ht="15.6">
      <c r="E8642" s="279" t="s">
        <v>8968</v>
      </c>
      <c r="F8642" s="284">
        <f t="shared" ca="1" si="268"/>
        <v>0.96974834169124757</v>
      </c>
      <c r="G8642" s="74">
        <v>39.909085679765496</v>
      </c>
      <c r="H8642" s="74">
        <f t="shared" si="269"/>
        <v>0.58531466356702566</v>
      </c>
    </row>
    <row r="8643" spans="5:8" ht="15.6">
      <c r="E8643" s="279" t="s">
        <v>8969</v>
      </c>
      <c r="F8643" s="284">
        <f t="shared" ca="1" si="268"/>
        <v>0.73902975618951106</v>
      </c>
      <c r="G8643" s="74">
        <v>38.550879119320825</v>
      </c>
      <c r="H8643" s="74">
        <f t="shared" si="269"/>
        <v>1.9435212240116968</v>
      </c>
    </row>
    <row r="8644" spans="5:8" ht="15.6">
      <c r="E8644" s="279" t="s">
        <v>8970</v>
      </c>
      <c r="F8644" s="284">
        <f t="shared" ca="1" si="268"/>
        <v>0.32110173504722084</v>
      </c>
      <c r="G8644" s="74">
        <v>38.77747261097425</v>
      </c>
      <c r="H8644" s="74">
        <f t="shared" si="269"/>
        <v>1.7169277323582719</v>
      </c>
    </row>
    <row r="8645" spans="5:8" ht="15.6">
      <c r="E8645" s="279" t="s">
        <v>8971</v>
      </c>
      <c r="F8645" s="284">
        <f t="shared" ca="1" si="268"/>
        <v>7.5469408843295782E-2</v>
      </c>
      <c r="G8645" s="74">
        <v>42.299355541143157</v>
      </c>
      <c r="H8645" s="74">
        <f t="shared" si="269"/>
        <v>-1.8049551978106351</v>
      </c>
    </row>
    <row r="8646" spans="5:8" ht="15.6">
      <c r="E8646" s="279" t="s">
        <v>8972</v>
      </c>
      <c r="F8646" s="284">
        <f t="shared" ca="1" si="268"/>
        <v>0.97293296110996508</v>
      </c>
      <c r="G8646" s="74">
        <v>37.560258384354952</v>
      </c>
      <c r="H8646" s="74">
        <f t="shared" si="269"/>
        <v>2.9341419589775697</v>
      </c>
    </row>
    <row r="8647" spans="5:8" ht="15.6">
      <c r="E8647" s="279" t="s">
        <v>8973</v>
      </c>
      <c r="F8647" s="284">
        <f t="shared" ca="1" si="268"/>
        <v>0.53153674894043756</v>
      </c>
      <c r="G8647" s="74">
        <v>40.866319577790051</v>
      </c>
      <c r="H8647" s="74">
        <f t="shared" si="269"/>
        <v>-0.37191923445752906</v>
      </c>
    </row>
    <row r="8648" spans="5:8" ht="15.6">
      <c r="E8648" s="279" t="s">
        <v>8974</v>
      </c>
      <c r="F8648" s="284">
        <f t="shared" ca="1" si="268"/>
        <v>0.9108710930846613</v>
      </c>
      <c r="G8648" s="74">
        <v>38.89680019988036</v>
      </c>
      <c r="H8648" s="74">
        <f t="shared" si="269"/>
        <v>1.5976001434521621</v>
      </c>
    </row>
    <row r="8649" spans="5:8" ht="15.6">
      <c r="E8649" s="279" t="s">
        <v>8975</v>
      </c>
      <c r="F8649" s="284">
        <f t="shared" ca="1" si="268"/>
        <v>0.59024299915664091</v>
      </c>
      <c r="G8649" s="74">
        <v>39.817866632958193</v>
      </c>
      <c r="H8649" s="74">
        <f t="shared" si="269"/>
        <v>0.67653371037432919</v>
      </c>
    </row>
    <row r="8650" spans="5:8" ht="15.6">
      <c r="E8650" s="279" t="s">
        <v>8976</v>
      </c>
      <c r="F8650" s="284">
        <f t="shared" ca="1" si="268"/>
        <v>0.5504733392566018</v>
      </c>
      <c r="G8650" s="74">
        <v>40.156282551071705</v>
      </c>
      <c r="H8650" s="74">
        <f t="shared" si="269"/>
        <v>0.3381177922608174</v>
      </c>
    </row>
    <row r="8651" spans="5:8" ht="15.6">
      <c r="E8651" s="279" t="s">
        <v>8977</v>
      </c>
      <c r="F8651" s="284">
        <f t="shared" ca="1" si="268"/>
        <v>0.53022522573341568</v>
      </c>
      <c r="G8651" s="74">
        <v>41.654159875982224</v>
      </c>
      <c r="H8651" s="74">
        <f t="shared" si="269"/>
        <v>-1.1597595326497014</v>
      </c>
    </row>
    <row r="8652" spans="5:8" ht="15.6">
      <c r="E8652" s="279" t="s">
        <v>8978</v>
      </c>
      <c r="F8652" s="284">
        <f t="shared" ref="F8652:F8715" ca="1" si="270">RAND()</f>
        <v>0.610854519630599</v>
      </c>
      <c r="G8652" s="74">
        <v>39.962056317358424</v>
      </c>
      <c r="H8652" s="74">
        <f t="shared" ref="H8652:H8715" si="271">$D$2-G8652</f>
        <v>0.53234402597409769</v>
      </c>
    </row>
    <row r="8653" spans="5:8" ht="15.6">
      <c r="E8653" s="279" t="s">
        <v>8979</v>
      </c>
      <c r="F8653" s="284">
        <f t="shared" ca="1" si="270"/>
        <v>0.48348058157724627</v>
      </c>
      <c r="G8653" s="74">
        <v>39.179963529399153</v>
      </c>
      <c r="H8653" s="74">
        <f t="shared" si="271"/>
        <v>1.3144368139333693</v>
      </c>
    </row>
    <row r="8654" spans="5:8" ht="15.6">
      <c r="E8654" s="279" t="s">
        <v>8980</v>
      </c>
      <c r="F8654" s="284">
        <f t="shared" ca="1" si="270"/>
        <v>6.4189446256500027E-2</v>
      </c>
      <c r="G8654" s="74">
        <v>37.83947846677848</v>
      </c>
      <c r="H8654" s="74">
        <f t="shared" si="271"/>
        <v>2.6549218765540417</v>
      </c>
    </row>
    <row r="8655" spans="5:8" ht="15.6">
      <c r="E8655" s="279" t="s">
        <v>8981</v>
      </c>
      <c r="F8655" s="284">
        <f t="shared" ca="1" si="270"/>
        <v>0.87449511011931991</v>
      </c>
      <c r="G8655" s="74">
        <v>40.839699776284405</v>
      </c>
      <c r="H8655" s="74">
        <f t="shared" si="271"/>
        <v>-0.34529943295188303</v>
      </c>
    </row>
    <row r="8656" spans="5:8" ht="15.6">
      <c r="E8656" s="279" t="s">
        <v>8982</v>
      </c>
      <c r="F8656" s="284">
        <f t="shared" ca="1" si="270"/>
        <v>0.23317439978077437</v>
      </c>
      <c r="G8656" s="74">
        <v>38.816590687885629</v>
      </c>
      <c r="H8656" s="74">
        <f t="shared" si="271"/>
        <v>1.6778096554468931</v>
      </c>
    </row>
    <row r="8657" spans="5:8" ht="15.6">
      <c r="E8657" s="279" t="s">
        <v>8983</v>
      </c>
      <c r="F8657" s="284">
        <f t="shared" ca="1" si="270"/>
        <v>0.38996148303042832</v>
      </c>
      <c r="G8657" s="74">
        <v>37.225773017579925</v>
      </c>
      <c r="H8657" s="74">
        <f t="shared" si="271"/>
        <v>3.2686273257525968</v>
      </c>
    </row>
    <row r="8658" spans="5:8" ht="15.6">
      <c r="E8658" s="279" t="s">
        <v>8984</v>
      </c>
      <c r="F8658" s="284">
        <f t="shared" ca="1" si="270"/>
        <v>0.78854588403198955</v>
      </c>
      <c r="G8658" s="74">
        <v>37.332240498096624</v>
      </c>
      <c r="H8658" s="74">
        <f t="shared" si="271"/>
        <v>3.1621598452358981</v>
      </c>
    </row>
    <row r="8659" spans="5:8" ht="15.6">
      <c r="E8659" s="279" t="s">
        <v>8985</v>
      </c>
      <c r="F8659" s="284">
        <f t="shared" ca="1" si="270"/>
        <v>0.78944528925551494</v>
      </c>
      <c r="G8659" s="74">
        <v>33.936888363736642</v>
      </c>
      <c r="H8659" s="74">
        <f t="shared" si="271"/>
        <v>6.5575119795958798</v>
      </c>
    </row>
    <row r="8660" spans="5:8" ht="15.6">
      <c r="E8660" s="279" t="s">
        <v>8986</v>
      </c>
      <c r="F8660" s="284">
        <f t="shared" ca="1" si="270"/>
        <v>0.77146154929509325</v>
      </c>
      <c r="G8660" s="74">
        <v>37.851989905552784</v>
      </c>
      <c r="H8660" s="74">
        <f t="shared" si="271"/>
        <v>2.6424104377797377</v>
      </c>
    </row>
    <row r="8661" spans="5:8" ht="15.6">
      <c r="E8661" s="279" t="s">
        <v>8987</v>
      </c>
      <c r="F8661" s="284">
        <f t="shared" ca="1" si="270"/>
        <v>0.59217752504760335</v>
      </c>
      <c r="G8661" s="74">
        <v>41.627529840969892</v>
      </c>
      <c r="H8661" s="74">
        <f t="shared" si="271"/>
        <v>-1.1331294976373698</v>
      </c>
    </row>
    <row r="8662" spans="5:8" ht="15.6">
      <c r="E8662" s="279" t="s">
        <v>8988</v>
      </c>
      <c r="F8662" s="284">
        <f t="shared" ca="1" si="270"/>
        <v>0.89336505779452469</v>
      </c>
      <c r="G8662" s="74">
        <v>36.248203623772007</v>
      </c>
      <c r="H8662" s="74">
        <f t="shared" si="271"/>
        <v>4.2461967195605155</v>
      </c>
    </row>
    <row r="8663" spans="5:8" ht="15.6">
      <c r="E8663" s="279" t="s">
        <v>8989</v>
      </c>
      <c r="F8663" s="284">
        <f t="shared" ca="1" si="270"/>
        <v>0.73975917264360136</v>
      </c>
      <c r="G8663" s="74">
        <v>39.463453461057732</v>
      </c>
      <c r="H8663" s="74">
        <f t="shared" si="271"/>
        <v>1.0309468822747903</v>
      </c>
    </row>
    <row r="8664" spans="5:8" ht="15.6">
      <c r="E8664" s="279" t="s">
        <v>8990</v>
      </c>
      <c r="F8664" s="284">
        <f t="shared" ca="1" si="270"/>
        <v>0.6182649195478862</v>
      </c>
      <c r="G8664" s="74">
        <v>37.164499580150711</v>
      </c>
      <c r="H8664" s="74">
        <f t="shared" si="271"/>
        <v>3.3299007631818114</v>
      </c>
    </row>
    <row r="8665" spans="5:8" ht="15.6">
      <c r="E8665" s="279" t="s">
        <v>8991</v>
      </c>
      <c r="F8665" s="284">
        <f t="shared" ca="1" si="270"/>
        <v>0.17305044814401671</v>
      </c>
      <c r="G8665" s="74">
        <v>36.054622324554039</v>
      </c>
      <c r="H8665" s="74">
        <f t="shared" si="271"/>
        <v>4.4397780187784832</v>
      </c>
    </row>
    <row r="8666" spans="5:8" ht="15.6">
      <c r="E8666" s="279" t="s">
        <v>8992</v>
      </c>
      <c r="F8666" s="284">
        <f t="shared" ca="1" si="270"/>
        <v>3.012230673002958E-2</v>
      </c>
      <c r="G8666" s="74">
        <v>40.648868831599998</v>
      </c>
      <c r="H8666" s="74">
        <f t="shared" si="271"/>
        <v>-0.15446848826747583</v>
      </c>
    </row>
    <row r="8667" spans="5:8" ht="15.6">
      <c r="E8667" s="279" t="s">
        <v>8993</v>
      </c>
      <c r="F8667" s="284">
        <f t="shared" ca="1" si="270"/>
        <v>0.14785346433485202</v>
      </c>
      <c r="G8667" s="74">
        <v>41.109386459702733</v>
      </c>
      <c r="H8667" s="74">
        <f t="shared" si="271"/>
        <v>-0.61498611637021128</v>
      </c>
    </row>
    <row r="8668" spans="5:8" ht="15.6">
      <c r="E8668" s="279" t="s">
        <v>8994</v>
      </c>
      <c r="F8668" s="284">
        <f t="shared" ca="1" si="270"/>
        <v>0.91567618786323834</v>
      </c>
      <c r="G8668" s="74">
        <v>35.203519502457624</v>
      </c>
      <c r="H8668" s="74">
        <f t="shared" si="271"/>
        <v>5.2908808408748982</v>
      </c>
    </row>
    <row r="8669" spans="5:8" ht="15.6">
      <c r="E8669" s="279" t="s">
        <v>8995</v>
      </c>
      <c r="F8669" s="284">
        <f t="shared" ca="1" si="270"/>
        <v>4.4009396503785769E-2</v>
      </c>
      <c r="G8669" s="74">
        <v>41.063127480938299</v>
      </c>
      <c r="H8669" s="74">
        <f t="shared" si="271"/>
        <v>-0.56872713760577653</v>
      </c>
    </row>
    <row r="8670" spans="5:8" ht="15.6">
      <c r="E8670" s="279" t="s">
        <v>8996</v>
      </c>
      <c r="F8670" s="284">
        <f t="shared" ca="1" si="270"/>
        <v>0.46886957000163021</v>
      </c>
      <c r="G8670" s="74">
        <v>42.413454232697319</v>
      </c>
      <c r="H8670" s="74">
        <f t="shared" si="271"/>
        <v>-1.9190538893647968</v>
      </c>
    </row>
    <row r="8671" spans="5:8" ht="15.6">
      <c r="E8671" s="279" t="s">
        <v>8997</v>
      </c>
      <c r="F8671" s="284">
        <f t="shared" ca="1" si="270"/>
        <v>0.80641913655570163</v>
      </c>
      <c r="G8671" s="74">
        <v>41.665717477833404</v>
      </c>
      <c r="H8671" s="74">
        <f t="shared" si="271"/>
        <v>-1.1713171345008817</v>
      </c>
    </row>
    <row r="8672" spans="5:8" ht="15.6">
      <c r="E8672" s="279" t="s">
        <v>8998</v>
      </c>
      <c r="F8672" s="284">
        <f t="shared" ca="1" si="270"/>
        <v>0.23210654994151092</v>
      </c>
      <c r="G8672" s="74">
        <v>41.3755217487018</v>
      </c>
      <c r="H8672" s="74">
        <f t="shared" si="271"/>
        <v>-0.88112140536927797</v>
      </c>
    </row>
    <row r="8673" spans="5:8" ht="15.6">
      <c r="E8673" s="279" t="s">
        <v>8999</v>
      </c>
      <c r="F8673" s="284">
        <f t="shared" ca="1" si="270"/>
        <v>0.73151756071748131</v>
      </c>
      <c r="G8673" s="74">
        <v>38.686605576525544</v>
      </c>
      <c r="H8673" s="74">
        <f t="shared" si="271"/>
        <v>1.8077947668069783</v>
      </c>
    </row>
    <row r="8674" spans="5:8" ht="15.6">
      <c r="E8674" s="279" t="s">
        <v>9000</v>
      </c>
      <c r="F8674" s="284">
        <f t="shared" ca="1" si="270"/>
        <v>0.90297426717538998</v>
      </c>
      <c r="G8674" s="74">
        <v>45.618708497646622</v>
      </c>
      <c r="H8674" s="74">
        <f t="shared" si="271"/>
        <v>-5.1243081543141002</v>
      </c>
    </row>
    <row r="8675" spans="5:8" ht="15.6">
      <c r="E8675" s="279" t="s">
        <v>9001</v>
      </c>
      <c r="F8675" s="284">
        <f t="shared" ca="1" si="270"/>
        <v>0.21057193734915947</v>
      </c>
      <c r="G8675" s="74">
        <v>39.330514782318012</v>
      </c>
      <c r="H8675" s="74">
        <f t="shared" si="271"/>
        <v>1.16388556101451</v>
      </c>
    </row>
    <row r="8676" spans="5:8" ht="15.6">
      <c r="E8676" s="279" t="s">
        <v>9002</v>
      </c>
      <c r="F8676" s="284">
        <f t="shared" ca="1" si="270"/>
        <v>0.53105311820784418</v>
      </c>
      <c r="G8676" s="74">
        <v>37.657930691804545</v>
      </c>
      <c r="H8676" s="74">
        <f t="shared" si="271"/>
        <v>2.8364696515279775</v>
      </c>
    </row>
    <row r="8677" spans="5:8" ht="15.6">
      <c r="E8677" s="279" t="s">
        <v>9003</v>
      </c>
      <c r="F8677" s="284">
        <f t="shared" ca="1" si="270"/>
        <v>0.75875906531241</v>
      </c>
      <c r="G8677" s="74">
        <v>38.668327409138563</v>
      </c>
      <c r="H8677" s="74">
        <f t="shared" si="271"/>
        <v>1.8260729341939594</v>
      </c>
    </row>
    <row r="8678" spans="5:8" ht="15.6">
      <c r="E8678" s="279" t="s">
        <v>9004</v>
      </c>
      <c r="F8678" s="284">
        <f t="shared" ca="1" si="270"/>
        <v>0.43318548593456829</v>
      </c>
      <c r="G8678" s="74">
        <v>40.218177694811978</v>
      </c>
      <c r="H8678" s="74">
        <f t="shared" si="271"/>
        <v>0.27622264852054457</v>
      </c>
    </row>
    <row r="8679" spans="5:8" ht="15.6">
      <c r="E8679" s="279" t="s">
        <v>9005</v>
      </c>
      <c r="F8679" s="284">
        <f t="shared" ca="1" si="270"/>
        <v>0.94027404435387762</v>
      </c>
      <c r="G8679" s="74">
        <v>40.438589607212776</v>
      </c>
      <c r="H8679" s="74">
        <f t="shared" si="271"/>
        <v>5.5810736119745741E-2</v>
      </c>
    </row>
    <row r="8680" spans="5:8" ht="15.6">
      <c r="E8680" s="279" t="s">
        <v>9006</v>
      </c>
      <c r="F8680" s="284">
        <f t="shared" ca="1" si="270"/>
        <v>0.24938246836813605</v>
      </c>
      <c r="G8680" s="74">
        <v>41.520646415903315</v>
      </c>
      <c r="H8680" s="74">
        <f t="shared" si="271"/>
        <v>-1.0262460725707925</v>
      </c>
    </row>
    <row r="8681" spans="5:8" ht="15.6">
      <c r="E8681" s="279" t="s">
        <v>9007</v>
      </c>
      <c r="F8681" s="284">
        <f t="shared" ca="1" si="270"/>
        <v>0.46375732325543206</v>
      </c>
      <c r="G8681" s="74">
        <v>35.754057314960093</v>
      </c>
      <c r="H8681" s="74">
        <f t="shared" si="271"/>
        <v>4.740343028372429</v>
      </c>
    </row>
    <row r="8682" spans="5:8" ht="15.6">
      <c r="E8682" s="279" t="s">
        <v>9008</v>
      </c>
      <c r="F8682" s="284">
        <f t="shared" ca="1" si="270"/>
        <v>0.38929566755737266</v>
      </c>
      <c r="G8682" s="74">
        <v>39.298008946222744</v>
      </c>
      <c r="H8682" s="74">
        <f t="shared" si="271"/>
        <v>1.1963913971097782</v>
      </c>
    </row>
    <row r="8683" spans="5:8" ht="15.6">
      <c r="E8683" s="279" t="s">
        <v>9009</v>
      </c>
      <c r="F8683" s="284">
        <f t="shared" ca="1" si="270"/>
        <v>0.86441718001409262</v>
      </c>
      <c r="G8683" s="74">
        <v>38.763314539324682</v>
      </c>
      <c r="H8683" s="74">
        <f t="shared" si="271"/>
        <v>1.7310858040078401</v>
      </c>
    </row>
    <row r="8684" spans="5:8" ht="15.6">
      <c r="E8684" s="279" t="s">
        <v>9010</v>
      </c>
      <c r="F8684" s="284">
        <f t="shared" ca="1" si="270"/>
        <v>0.92191269574078882</v>
      </c>
      <c r="G8684" s="74">
        <v>42.625506809571114</v>
      </c>
      <c r="H8684" s="74">
        <f t="shared" si="271"/>
        <v>-2.1311064662385917</v>
      </c>
    </row>
    <row r="8685" spans="5:8" ht="15.6">
      <c r="E8685" s="279" t="s">
        <v>9011</v>
      </c>
      <c r="F8685" s="284">
        <f t="shared" ca="1" si="270"/>
        <v>0.64471690220113309</v>
      </c>
      <c r="G8685" s="74">
        <v>40.866845332371618</v>
      </c>
      <c r="H8685" s="74">
        <f t="shared" si="271"/>
        <v>-0.37244498903909573</v>
      </c>
    </row>
    <row r="8686" spans="5:8" ht="15.6">
      <c r="E8686" s="279" t="s">
        <v>9012</v>
      </c>
      <c r="F8686" s="284">
        <f t="shared" ca="1" si="270"/>
        <v>0.12508783137507995</v>
      </c>
      <c r="G8686" s="74">
        <v>39.588283411560148</v>
      </c>
      <c r="H8686" s="74">
        <f t="shared" si="271"/>
        <v>0.90611693177237385</v>
      </c>
    </row>
    <row r="8687" spans="5:8" ht="15.6">
      <c r="E8687" s="279" t="s">
        <v>9013</v>
      </c>
      <c r="F8687" s="284">
        <f t="shared" ca="1" si="270"/>
        <v>0.94836093937762589</v>
      </c>
      <c r="G8687" s="74">
        <v>43.266194965518388</v>
      </c>
      <c r="H8687" s="74">
        <f t="shared" si="271"/>
        <v>-2.7717946221858654</v>
      </c>
    </row>
    <row r="8688" spans="5:8" ht="15.6">
      <c r="E8688" s="279" t="s">
        <v>9014</v>
      </c>
      <c r="F8688" s="284">
        <f t="shared" ca="1" si="270"/>
        <v>0.71590360199256642</v>
      </c>
      <c r="G8688" s="74">
        <v>38.285138537813033</v>
      </c>
      <c r="H8688" s="74">
        <f t="shared" si="271"/>
        <v>2.209261805519489</v>
      </c>
    </row>
    <row r="8689" spans="5:8" ht="15.6">
      <c r="E8689" s="279" t="s">
        <v>9015</v>
      </c>
      <c r="F8689" s="284">
        <f t="shared" ca="1" si="270"/>
        <v>0.21291085647207164</v>
      </c>
      <c r="G8689" s="74">
        <v>41.531424705295827</v>
      </c>
      <c r="H8689" s="74">
        <f t="shared" si="271"/>
        <v>-1.0370243619633044</v>
      </c>
    </row>
    <row r="8690" spans="5:8" ht="15.6">
      <c r="E8690" s="279" t="s">
        <v>9016</v>
      </c>
      <c r="F8690" s="284">
        <f t="shared" ca="1" si="270"/>
        <v>0.86773533361278665</v>
      </c>
      <c r="G8690" s="74">
        <v>39.746568798695435</v>
      </c>
      <c r="H8690" s="74">
        <f t="shared" si="271"/>
        <v>0.74783154463708712</v>
      </c>
    </row>
    <row r="8691" spans="5:8" ht="15.6">
      <c r="E8691" s="279" t="s">
        <v>9017</v>
      </c>
      <c r="F8691" s="284">
        <f t="shared" ca="1" si="270"/>
        <v>0.11386713329925302</v>
      </c>
      <c r="G8691" s="74">
        <v>42.025303635887148</v>
      </c>
      <c r="H8691" s="74">
        <f t="shared" si="271"/>
        <v>-1.5309032925546262</v>
      </c>
    </row>
    <row r="8692" spans="5:8" ht="15.6">
      <c r="E8692" s="279" t="s">
        <v>9018</v>
      </c>
      <c r="F8692" s="284">
        <f t="shared" ca="1" si="270"/>
        <v>0.59813941483563471</v>
      </c>
      <c r="G8692" s="74">
        <v>37.85853503987915</v>
      </c>
      <c r="H8692" s="74">
        <f t="shared" si="271"/>
        <v>2.6358653034533717</v>
      </c>
    </row>
    <row r="8693" spans="5:8" ht="15.6">
      <c r="E8693" s="279" t="s">
        <v>9019</v>
      </c>
      <c r="F8693" s="284">
        <f t="shared" ca="1" si="270"/>
        <v>0.23878381732069232</v>
      </c>
      <c r="G8693" s="74">
        <v>39.364094330889671</v>
      </c>
      <c r="H8693" s="74">
        <f t="shared" si="271"/>
        <v>1.1303060124428512</v>
      </c>
    </row>
    <row r="8694" spans="5:8" ht="15.6">
      <c r="E8694" s="279" t="s">
        <v>9020</v>
      </c>
      <c r="F8694" s="284">
        <f t="shared" ca="1" si="270"/>
        <v>0.37045172936515725</v>
      </c>
      <c r="G8694" s="74">
        <v>45.174833955561624</v>
      </c>
      <c r="H8694" s="74">
        <f t="shared" si="271"/>
        <v>-4.6804336122291019</v>
      </c>
    </row>
    <row r="8695" spans="5:8" ht="15.6">
      <c r="E8695" s="279" t="s">
        <v>9021</v>
      </c>
      <c r="F8695" s="284">
        <f t="shared" ca="1" si="270"/>
        <v>3.6632119030351795E-2</v>
      </c>
      <c r="G8695" s="74">
        <v>41.386467749683852</v>
      </c>
      <c r="H8695" s="74">
        <f t="shared" si="271"/>
        <v>-0.89206740635133031</v>
      </c>
    </row>
    <row r="8696" spans="5:8" ht="15.6">
      <c r="E8696" s="279" t="s">
        <v>9022</v>
      </c>
      <c r="F8696" s="284">
        <f t="shared" ca="1" si="270"/>
        <v>0.21382353104435303</v>
      </c>
      <c r="G8696" s="74">
        <v>38.894260228159645</v>
      </c>
      <c r="H8696" s="74">
        <f t="shared" si="271"/>
        <v>1.6001401151728771</v>
      </c>
    </row>
    <row r="8697" spans="5:8" ht="15.6">
      <c r="E8697" s="279" t="s">
        <v>9023</v>
      </c>
      <c r="F8697" s="284">
        <f t="shared" ca="1" si="270"/>
        <v>0.30896451876799913</v>
      </c>
      <c r="G8697" s="74">
        <v>41.64685725885851</v>
      </c>
      <c r="H8697" s="74">
        <f t="shared" si="271"/>
        <v>-1.1524569155259883</v>
      </c>
    </row>
    <row r="8698" spans="5:8" ht="15.6">
      <c r="E8698" s="279" t="s">
        <v>9024</v>
      </c>
      <c r="F8698" s="284">
        <f t="shared" ca="1" si="270"/>
        <v>0.35386780828897824</v>
      </c>
      <c r="G8698" s="74">
        <v>38.183272107484605</v>
      </c>
      <c r="H8698" s="74">
        <f t="shared" si="271"/>
        <v>2.3111282358479173</v>
      </c>
    </row>
    <row r="8699" spans="5:8" ht="15.6">
      <c r="E8699" s="279" t="s">
        <v>9025</v>
      </c>
      <c r="F8699" s="284">
        <f t="shared" ca="1" si="270"/>
        <v>4.7985100452626606E-2</v>
      </c>
      <c r="G8699" s="74">
        <v>35.432957162521532</v>
      </c>
      <c r="H8699" s="74">
        <f t="shared" si="271"/>
        <v>5.0614431808109899</v>
      </c>
    </row>
    <row r="8700" spans="5:8" ht="15.6">
      <c r="E8700" s="279" t="s">
        <v>9026</v>
      </c>
      <c r="F8700" s="284">
        <f t="shared" ca="1" si="270"/>
        <v>0.8897518706484433</v>
      </c>
      <c r="G8700" s="74">
        <v>43.011760049463028</v>
      </c>
      <c r="H8700" s="74">
        <f t="shared" si="271"/>
        <v>-2.517359706130506</v>
      </c>
    </row>
    <row r="8701" spans="5:8" ht="15.6">
      <c r="E8701" s="279" t="s">
        <v>9027</v>
      </c>
      <c r="F8701" s="284">
        <f t="shared" ca="1" si="270"/>
        <v>0.42647619374426127</v>
      </c>
      <c r="G8701" s="74">
        <v>37.980248618257768</v>
      </c>
      <c r="H8701" s="74">
        <f t="shared" si="271"/>
        <v>2.514151725074754</v>
      </c>
    </row>
    <row r="8702" spans="5:8" ht="15.6">
      <c r="E8702" s="279" t="s">
        <v>9028</v>
      </c>
      <c r="F8702" s="284">
        <f t="shared" ca="1" si="270"/>
        <v>0.30346338607107459</v>
      </c>
      <c r="G8702" s="74">
        <v>33.544271573478468</v>
      </c>
      <c r="H8702" s="74">
        <f t="shared" si="271"/>
        <v>6.9501287698540537</v>
      </c>
    </row>
    <row r="8703" spans="5:8" ht="15.6">
      <c r="E8703" s="279" t="s">
        <v>9029</v>
      </c>
      <c r="F8703" s="284">
        <f t="shared" ca="1" si="270"/>
        <v>0.41564009334651408</v>
      </c>
      <c r="G8703" s="74">
        <v>37.954215270681438</v>
      </c>
      <c r="H8703" s="74">
        <f t="shared" si="271"/>
        <v>2.5401850726510844</v>
      </c>
    </row>
    <row r="8704" spans="5:8" ht="15.6">
      <c r="E8704" s="279" t="s">
        <v>9030</v>
      </c>
      <c r="F8704" s="284">
        <f t="shared" ca="1" si="270"/>
        <v>0.53441543541555447</v>
      </c>
      <c r="G8704" s="74">
        <v>39.756029915170906</v>
      </c>
      <c r="H8704" s="74">
        <f t="shared" si="271"/>
        <v>0.73837042816161613</v>
      </c>
    </row>
    <row r="8705" spans="5:8" ht="15.6">
      <c r="E8705" s="279" t="s">
        <v>9031</v>
      </c>
      <c r="F8705" s="284">
        <f t="shared" ca="1" si="270"/>
        <v>0.54096722360526084</v>
      </c>
      <c r="G8705" s="74">
        <v>39.884089984568242</v>
      </c>
      <c r="H8705" s="74">
        <f t="shared" si="271"/>
        <v>0.61031035876428064</v>
      </c>
    </row>
    <row r="8706" spans="5:8" ht="15.6">
      <c r="E8706" s="279" t="s">
        <v>9032</v>
      </c>
      <c r="F8706" s="284">
        <f t="shared" ca="1" si="270"/>
        <v>0.88142820961055346</v>
      </c>
      <c r="G8706" s="74">
        <v>37.754660568382775</v>
      </c>
      <c r="H8706" s="74">
        <f t="shared" si="271"/>
        <v>2.7397397749497472</v>
      </c>
    </row>
    <row r="8707" spans="5:8" ht="15.6">
      <c r="E8707" s="279" t="s">
        <v>9033</v>
      </c>
      <c r="F8707" s="284">
        <f t="shared" ca="1" si="270"/>
        <v>0.80550776971756111</v>
      </c>
      <c r="G8707" s="74">
        <v>40.995960966965335</v>
      </c>
      <c r="H8707" s="74">
        <f t="shared" si="271"/>
        <v>-0.50156062363281251</v>
      </c>
    </row>
    <row r="8708" spans="5:8" ht="15.6">
      <c r="E8708" s="279" t="s">
        <v>9034</v>
      </c>
      <c r="F8708" s="284">
        <f t="shared" ca="1" si="270"/>
        <v>0.28235890034069866</v>
      </c>
      <c r="G8708" s="74">
        <v>44.864911644518173</v>
      </c>
      <c r="H8708" s="74">
        <f t="shared" si="271"/>
        <v>-4.3705113011856511</v>
      </c>
    </row>
    <row r="8709" spans="5:8" ht="15.6">
      <c r="E8709" s="279" t="s">
        <v>9035</v>
      </c>
      <c r="F8709" s="284">
        <f t="shared" ca="1" si="270"/>
        <v>0.75994086720931464</v>
      </c>
      <c r="G8709" s="74">
        <v>37.5935533008265</v>
      </c>
      <c r="H8709" s="74">
        <f t="shared" si="271"/>
        <v>2.9008470425060224</v>
      </c>
    </row>
    <row r="8710" spans="5:8" ht="15.6">
      <c r="E8710" s="279" t="s">
        <v>9036</v>
      </c>
      <c r="F8710" s="284">
        <f t="shared" ca="1" si="270"/>
        <v>0.43688840096956594</v>
      </c>
      <c r="G8710" s="74">
        <v>38.985860917395399</v>
      </c>
      <c r="H8710" s="74">
        <f t="shared" si="271"/>
        <v>1.5085394259371228</v>
      </c>
    </row>
    <row r="8711" spans="5:8" ht="15.6">
      <c r="E8711" s="279" t="s">
        <v>9037</v>
      </c>
      <c r="F8711" s="284">
        <f t="shared" ca="1" si="270"/>
        <v>0.71407779584077424</v>
      </c>
      <c r="G8711" s="74">
        <v>41.437598316648035</v>
      </c>
      <c r="H8711" s="74">
        <f t="shared" si="271"/>
        <v>-0.94319797331551314</v>
      </c>
    </row>
    <row r="8712" spans="5:8" ht="15.6">
      <c r="E8712" s="279" t="s">
        <v>9038</v>
      </c>
      <c r="F8712" s="284">
        <f t="shared" ca="1" si="270"/>
        <v>0.35483471649051745</v>
      </c>
      <c r="G8712" s="74">
        <v>39.013484258993948</v>
      </c>
      <c r="H8712" s="74">
        <f t="shared" si="271"/>
        <v>1.480916084338574</v>
      </c>
    </row>
    <row r="8713" spans="5:8" ht="15.6">
      <c r="E8713" s="279" t="s">
        <v>9039</v>
      </c>
      <c r="F8713" s="284">
        <f t="shared" ca="1" si="270"/>
        <v>0.5483424005809604</v>
      </c>
      <c r="G8713" s="74">
        <v>36.322793592626951</v>
      </c>
      <c r="H8713" s="74">
        <f t="shared" si="271"/>
        <v>4.1716067507055712</v>
      </c>
    </row>
    <row r="8714" spans="5:8" ht="15.6">
      <c r="E8714" s="279" t="s">
        <v>9040</v>
      </c>
      <c r="F8714" s="284">
        <f t="shared" ca="1" si="270"/>
        <v>0.36973001803390615</v>
      </c>
      <c r="G8714" s="74">
        <v>37.162116115571365</v>
      </c>
      <c r="H8714" s="74">
        <f t="shared" si="271"/>
        <v>3.3322842277611571</v>
      </c>
    </row>
    <row r="8715" spans="5:8" ht="15.6">
      <c r="E8715" s="279" t="s">
        <v>9041</v>
      </c>
      <c r="F8715" s="284">
        <f t="shared" ca="1" si="270"/>
        <v>0.57483290562338607</v>
      </c>
      <c r="G8715" s="74">
        <v>38.522468035353846</v>
      </c>
      <c r="H8715" s="74">
        <f t="shared" si="271"/>
        <v>1.9719323079786761</v>
      </c>
    </row>
    <row r="8716" spans="5:8" ht="15.6">
      <c r="E8716" s="279" t="s">
        <v>9042</v>
      </c>
      <c r="F8716" s="284">
        <f t="shared" ref="F8716:F8779" ca="1" si="272">RAND()</f>
        <v>0.67014099546077965</v>
      </c>
      <c r="G8716" s="74">
        <v>38.838118725340834</v>
      </c>
      <c r="H8716" s="74">
        <f t="shared" ref="H8716:H8779" si="273">$D$2-G8716</f>
        <v>1.6562816179916879</v>
      </c>
    </row>
    <row r="8717" spans="5:8" ht="15.6">
      <c r="E8717" s="279" t="s">
        <v>9043</v>
      </c>
      <c r="F8717" s="284">
        <f t="shared" ca="1" si="272"/>
        <v>5.4715921140873092E-2</v>
      </c>
      <c r="G8717" s="74">
        <v>43.633191903199098</v>
      </c>
      <c r="H8717" s="74">
        <f t="shared" si="273"/>
        <v>-3.1387915598665757</v>
      </c>
    </row>
    <row r="8718" spans="5:8" ht="15.6">
      <c r="E8718" s="279" t="s">
        <v>9044</v>
      </c>
      <c r="F8718" s="284">
        <f t="shared" ca="1" si="272"/>
        <v>0.69159272679192396</v>
      </c>
      <c r="G8718" s="74">
        <v>36.11851103064874</v>
      </c>
      <c r="H8718" s="74">
        <f t="shared" si="273"/>
        <v>4.3758893126837819</v>
      </c>
    </row>
    <row r="8719" spans="5:8" ht="15.6">
      <c r="E8719" s="279" t="s">
        <v>9045</v>
      </c>
      <c r="F8719" s="284">
        <f t="shared" ca="1" si="272"/>
        <v>0.80602313130452674</v>
      </c>
      <c r="G8719" s="74">
        <v>37.114538905514785</v>
      </c>
      <c r="H8719" s="74">
        <f t="shared" si="273"/>
        <v>3.3798614378177376</v>
      </c>
    </row>
    <row r="8720" spans="5:8" ht="15.6">
      <c r="E8720" s="279" t="s">
        <v>9046</v>
      </c>
      <c r="F8720" s="284">
        <f t="shared" ca="1" si="272"/>
        <v>0.95424916093534395</v>
      </c>
      <c r="G8720" s="74">
        <v>37.64974265948586</v>
      </c>
      <c r="H8720" s="74">
        <f t="shared" si="273"/>
        <v>2.8446576838466626</v>
      </c>
    </row>
    <row r="8721" spans="5:8" ht="15.6">
      <c r="E8721" s="279" t="s">
        <v>9047</v>
      </c>
      <c r="F8721" s="284">
        <f t="shared" ca="1" si="272"/>
        <v>0.41090713048260208</v>
      </c>
      <c r="G8721" s="74">
        <v>39.57882357129057</v>
      </c>
      <c r="H8721" s="74">
        <f t="shared" si="273"/>
        <v>0.91557677204195187</v>
      </c>
    </row>
    <row r="8722" spans="5:8" ht="15.6">
      <c r="E8722" s="279" t="s">
        <v>9048</v>
      </c>
      <c r="F8722" s="284">
        <f t="shared" ca="1" si="272"/>
        <v>0.39980980628228568</v>
      </c>
      <c r="G8722" s="74">
        <v>36.646624312152611</v>
      </c>
      <c r="H8722" s="74">
        <f t="shared" si="273"/>
        <v>3.8477760311799116</v>
      </c>
    </row>
    <row r="8723" spans="5:8" ht="15.6">
      <c r="E8723" s="279" t="s">
        <v>9049</v>
      </c>
      <c r="F8723" s="284">
        <f t="shared" ca="1" si="272"/>
        <v>0.56631911588361683</v>
      </c>
      <c r="G8723" s="74">
        <v>38.253217973723942</v>
      </c>
      <c r="H8723" s="74">
        <f t="shared" si="273"/>
        <v>2.2411823696085804</v>
      </c>
    </row>
    <row r="8724" spans="5:8" ht="15.6">
      <c r="E8724" s="279" t="s">
        <v>9050</v>
      </c>
      <c r="F8724" s="284">
        <f t="shared" ca="1" si="272"/>
        <v>0.13876574205198311</v>
      </c>
      <c r="G8724" s="74">
        <v>42.527233017606541</v>
      </c>
      <c r="H8724" s="74">
        <f t="shared" si="273"/>
        <v>-2.0328326742740188</v>
      </c>
    </row>
    <row r="8725" spans="5:8" ht="15.6">
      <c r="E8725" s="279" t="s">
        <v>9051</v>
      </c>
      <c r="F8725" s="284">
        <f t="shared" ca="1" si="272"/>
        <v>0.59886345732147517</v>
      </c>
      <c r="G8725" s="74">
        <v>38.427356767851265</v>
      </c>
      <c r="H8725" s="74">
        <f t="shared" si="273"/>
        <v>2.0670435754812573</v>
      </c>
    </row>
    <row r="8726" spans="5:8" ht="15.6">
      <c r="E8726" s="279" t="s">
        <v>9052</v>
      </c>
      <c r="F8726" s="284">
        <f t="shared" ca="1" si="272"/>
        <v>0.24191663721420442</v>
      </c>
      <c r="G8726" s="74">
        <v>36.567497236771871</v>
      </c>
      <c r="H8726" s="74">
        <f t="shared" si="273"/>
        <v>3.9269031065606512</v>
      </c>
    </row>
    <row r="8727" spans="5:8" ht="15.6">
      <c r="E8727" s="279" t="s">
        <v>9053</v>
      </c>
      <c r="F8727" s="284">
        <f t="shared" ca="1" si="272"/>
        <v>0.17454212180878437</v>
      </c>
      <c r="G8727" s="74">
        <v>39.795164358676217</v>
      </c>
      <c r="H8727" s="74">
        <f t="shared" si="273"/>
        <v>0.69923598465630477</v>
      </c>
    </row>
    <row r="8728" spans="5:8" ht="15.6">
      <c r="E8728" s="279" t="s">
        <v>9054</v>
      </c>
      <c r="F8728" s="284">
        <f t="shared" ca="1" si="272"/>
        <v>0.33277378294266469</v>
      </c>
      <c r="G8728" s="74">
        <v>41.759970973725309</v>
      </c>
      <c r="H8728" s="74">
        <f t="shared" si="273"/>
        <v>-1.2655706303927872</v>
      </c>
    </row>
    <row r="8729" spans="5:8" ht="15.6">
      <c r="E8729" s="279" t="s">
        <v>9055</v>
      </c>
      <c r="F8729" s="284">
        <f t="shared" ca="1" si="272"/>
        <v>0.21248711197947534</v>
      </c>
      <c r="G8729" s="74">
        <v>39.316839291909602</v>
      </c>
      <c r="H8729" s="74">
        <f t="shared" si="273"/>
        <v>1.17756105142292</v>
      </c>
    </row>
    <row r="8730" spans="5:8" ht="15.6">
      <c r="E8730" s="279" t="s">
        <v>9056</v>
      </c>
      <c r="F8730" s="284">
        <f t="shared" ca="1" si="272"/>
        <v>0.36602816301477104</v>
      </c>
      <c r="G8730" s="74">
        <v>34.024544461400779</v>
      </c>
      <c r="H8730" s="74">
        <f t="shared" si="273"/>
        <v>6.4698558819317427</v>
      </c>
    </row>
    <row r="8731" spans="5:8" ht="15.6">
      <c r="E8731" s="279" t="s">
        <v>9057</v>
      </c>
      <c r="F8731" s="284">
        <f t="shared" ca="1" si="272"/>
        <v>0.37004772501535088</v>
      </c>
      <c r="G8731" s="74">
        <v>36.649388395157281</v>
      </c>
      <c r="H8731" s="74">
        <f t="shared" si="273"/>
        <v>3.8450119481752409</v>
      </c>
    </row>
    <row r="8732" spans="5:8" ht="15.6">
      <c r="E8732" s="279" t="s">
        <v>9058</v>
      </c>
      <c r="F8732" s="284">
        <f t="shared" ca="1" si="272"/>
        <v>0.60769512987134</v>
      </c>
      <c r="G8732" s="74">
        <v>39.080553914360124</v>
      </c>
      <c r="H8732" s="74">
        <f t="shared" si="273"/>
        <v>1.4138464289723984</v>
      </c>
    </row>
    <row r="8733" spans="5:8" ht="15.6">
      <c r="E8733" s="279" t="s">
        <v>9059</v>
      </c>
      <c r="F8733" s="284">
        <f t="shared" ca="1" si="272"/>
        <v>0.69097377933295934</v>
      </c>
      <c r="G8733" s="74">
        <v>38.845717163767432</v>
      </c>
      <c r="H8733" s="74">
        <f t="shared" si="273"/>
        <v>1.64868317956509</v>
      </c>
    </row>
    <row r="8734" spans="5:8" ht="15.6">
      <c r="E8734" s="279" t="s">
        <v>9060</v>
      </c>
      <c r="F8734" s="284">
        <f t="shared" ca="1" si="272"/>
        <v>0.52096285550126575</v>
      </c>
      <c r="G8734" s="74">
        <v>41.748407392198381</v>
      </c>
      <c r="H8734" s="74">
        <f t="shared" si="273"/>
        <v>-1.2540070488658586</v>
      </c>
    </row>
    <row r="8735" spans="5:8" ht="15.6">
      <c r="E8735" s="279" t="s">
        <v>9061</v>
      </c>
      <c r="F8735" s="284">
        <f t="shared" ca="1" si="272"/>
        <v>0.60846871302075534</v>
      </c>
      <c r="G8735" s="74">
        <v>37.129662309945836</v>
      </c>
      <c r="H8735" s="74">
        <f t="shared" si="273"/>
        <v>3.3647380333866863</v>
      </c>
    </row>
    <row r="8736" spans="5:8" ht="15.6">
      <c r="E8736" s="279" t="s">
        <v>9062</v>
      </c>
      <c r="F8736" s="284">
        <f t="shared" ca="1" si="272"/>
        <v>0.61591378123037077</v>
      </c>
      <c r="G8736" s="74">
        <v>41.373023321363405</v>
      </c>
      <c r="H8736" s="74">
        <f t="shared" si="273"/>
        <v>-0.87862297803088296</v>
      </c>
    </row>
    <row r="8737" spans="5:8" ht="15.6">
      <c r="E8737" s="279" t="s">
        <v>9063</v>
      </c>
      <c r="F8737" s="284">
        <f t="shared" ca="1" si="272"/>
        <v>0.29572145262278349</v>
      </c>
      <c r="G8737" s="74">
        <v>41.14405737512805</v>
      </c>
      <c r="H8737" s="74">
        <f t="shared" si="273"/>
        <v>-0.64965703179552747</v>
      </c>
    </row>
    <row r="8738" spans="5:8" ht="15.6">
      <c r="E8738" s="279" t="s">
        <v>9064</v>
      </c>
      <c r="F8738" s="284">
        <f t="shared" ca="1" si="272"/>
        <v>0.17167911342037834</v>
      </c>
      <c r="G8738" s="74">
        <v>37.557121059624492</v>
      </c>
      <c r="H8738" s="74">
        <f t="shared" si="273"/>
        <v>2.9372792837080297</v>
      </c>
    </row>
    <row r="8739" spans="5:8" ht="15.6">
      <c r="E8739" s="279" t="s">
        <v>9065</v>
      </c>
      <c r="F8739" s="284">
        <f t="shared" ca="1" si="272"/>
        <v>0.11127984465070107</v>
      </c>
      <c r="G8739" s="74">
        <v>45.085560228937986</v>
      </c>
      <c r="H8739" s="74">
        <f t="shared" si="273"/>
        <v>-4.5911598856054638</v>
      </c>
    </row>
    <row r="8740" spans="5:8" ht="15.6">
      <c r="E8740" s="279" t="s">
        <v>9066</v>
      </c>
      <c r="F8740" s="284">
        <f t="shared" ca="1" si="272"/>
        <v>0.95860330337163879</v>
      </c>
      <c r="G8740" s="74">
        <v>36.786593815462759</v>
      </c>
      <c r="H8740" s="74">
        <f t="shared" si="273"/>
        <v>3.7078065278697636</v>
      </c>
    </row>
    <row r="8741" spans="5:8" ht="15.6">
      <c r="E8741" s="279" t="s">
        <v>9067</v>
      </c>
      <c r="F8741" s="284">
        <f t="shared" ca="1" si="272"/>
        <v>0.91974981486099472</v>
      </c>
      <c r="G8741" s="74">
        <v>46.175599943159561</v>
      </c>
      <c r="H8741" s="74">
        <f t="shared" si="273"/>
        <v>-5.681199599827039</v>
      </c>
    </row>
    <row r="8742" spans="5:8" ht="15.6">
      <c r="E8742" s="279" t="s">
        <v>9068</v>
      </c>
      <c r="F8742" s="284">
        <f t="shared" ca="1" si="272"/>
        <v>0.113617075006196</v>
      </c>
      <c r="G8742" s="74">
        <v>37.593960768792869</v>
      </c>
      <c r="H8742" s="74">
        <f t="shared" si="273"/>
        <v>2.9004395745396536</v>
      </c>
    </row>
    <row r="8743" spans="5:8" ht="15.6">
      <c r="E8743" s="279" t="s">
        <v>9069</v>
      </c>
      <c r="F8743" s="284">
        <f t="shared" ca="1" si="272"/>
        <v>0.55884531918001534</v>
      </c>
      <c r="G8743" s="74">
        <v>43.941804906132667</v>
      </c>
      <c r="H8743" s="74">
        <f t="shared" si="273"/>
        <v>-3.4474045628001448</v>
      </c>
    </row>
    <row r="8744" spans="5:8" ht="15.6">
      <c r="E8744" s="279" t="s">
        <v>9070</v>
      </c>
      <c r="F8744" s="284">
        <f t="shared" ca="1" si="272"/>
        <v>0.94008699513150762</v>
      </c>
      <c r="G8744" s="74">
        <v>36.476728590550643</v>
      </c>
      <c r="H8744" s="74">
        <f t="shared" si="273"/>
        <v>4.0176717527818795</v>
      </c>
    </row>
    <row r="8745" spans="5:8" ht="15.6">
      <c r="E8745" s="279" t="s">
        <v>9071</v>
      </c>
      <c r="F8745" s="284">
        <f t="shared" ca="1" si="272"/>
        <v>0.39056524094754341</v>
      </c>
      <c r="G8745" s="74">
        <v>45.8673347761099</v>
      </c>
      <c r="H8745" s="74">
        <f t="shared" si="273"/>
        <v>-5.3729344327773774</v>
      </c>
    </row>
    <row r="8746" spans="5:8" ht="15.6">
      <c r="E8746" s="279" t="s">
        <v>9072</v>
      </c>
      <c r="F8746" s="284">
        <f t="shared" ca="1" si="272"/>
        <v>0.12747272097201023</v>
      </c>
      <c r="G8746" s="74">
        <v>39.931110390268827</v>
      </c>
      <c r="H8746" s="74">
        <f t="shared" si="273"/>
        <v>0.56328995306369478</v>
      </c>
    </row>
    <row r="8747" spans="5:8" ht="15.6">
      <c r="E8747" s="279" t="s">
        <v>9073</v>
      </c>
      <c r="F8747" s="284">
        <f t="shared" ca="1" si="272"/>
        <v>0.60619121349879612</v>
      </c>
      <c r="G8747" s="74">
        <v>36.293819446219629</v>
      </c>
      <c r="H8747" s="74">
        <f t="shared" si="273"/>
        <v>4.2005808971128928</v>
      </c>
    </row>
    <row r="8748" spans="5:8" ht="15.6">
      <c r="E8748" s="279" t="s">
        <v>9074</v>
      </c>
      <c r="F8748" s="284">
        <f t="shared" ca="1" si="272"/>
        <v>7.5103439940305994E-2</v>
      </c>
      <c r="G8748" s="74">
        <v>35.22101026466958</v>
      </c>
      <c r="H8748" s="74">
        <f t="shared" si="273"/>
        <v>5.273390078662942</v>
      </c>
    </row>
    <row r="8749" spans="5:8" ht="15.6">
      <c r="E8749" s="279" t="s">
        <v>9075</v>
      </c>
      <c r="F8749" s="284">
        <f t="shared" ca="1" si="272"/>
        <v>0.95134399700659555</v>
      </c>
      <c r="G8749" s="74">
        <v>41.459431091510716</v>
      </c>
      <c r="H8749" s="74">
        <f t="shared" si="273"/>
        <v>-0.96503074817819368</v>
      </c>
    </row>
    <row r="8750" spans="5:8" ht="15.6">
      <c r="E8750" s="279" t="s">
        <v>9076</v>
      </c>
      <c r="F8750" s="284">
        <f t="shared" ca="1" si="272"/>
        <v>0.35531438685091543</v>
      </c>
      <c r="G8750" s="74">
        <v>40.16958458735283</v>
      </c>
      <c r="H8750" s="74">
        <f t="shared" si="273"/>
        <v>0.32481575597969226</v>
      </c>
    </row>
    <row r="8751" spans="5:8" ht="15.6">
      <c r="E8751" s="279" t="s">
        <v>9077</v>
      </c>
      <c r="F8751" s="284">
        <f t="shared" ca="1" si="272"/>
        <v>0.78553949361953934</v>
      </c>
      <c r="G8751" s="74">
        <v>41.649242266421005</v>
      </c>
      <c r="H8751" s="74">
        <f t="shared" si="273"/>
        <v>-1.1548419230884832</v>
      </c>
    </row>
    <row r="8752" spans="5:8" ht="15.6">
      <c r="E8752" s="279" t="s">
        <v>9078</v>
      </c>
      <c r="F8752" s="284">
        <f t="shared" ca="1" si="272"/>
        <v>0.39775530953988791</v>
      </c>
      <c r="G8752" s="74">
        <v>38.760844998212221</v>
      </c>
      <c r="H8752" s="74">
        <f t="shared" si="273"/>
        <v>1.7335553451203012</v>
      </c>
    </row>
    <row r="8753" spans="5:8" ht="15.6">
      <c r="E8753" s="279" t="s">
        <v>9079</v>
      </c>
      <c r="F8753" s="284">
        <f t="shared" ca="1" si="272"/>
        <v>0.68773964646902774</v>
      </c>
      <c r="G8753" s="74">
        <v>37.27205814744093</v>
      </c>
      <c r="H8753" s="74">
        <f t="shared" si="273"/>
        <v>3.2223421958915921</v>
      </c>
    </row>
    <row r="8754" spans="5:8" ht="15.6">
      <c r="E8754" s="279" t="s">
        <v>9080</v>
      </c>
      <c r="F8754" s="284">
        <f t="shared" ca="1" si="272"/>
        <v>8.9596272756396145E-2</v>
      </c>
      <c r="G8754" s="74">
        <v>40.496943554124179</v>
      </c>
      <c r="H8754" s="74">
        <f t="shared" si="273"/>
        <v>-2.5432107916572022E-3</v>
      </c>
    </row>
    <row r="8755" spans="5:8" ht="15.6">
      <c r="E8755" s="279" t="s">
        <v>9081</v>
      </c>
      <c r="F8755" s="284">
        <f t="shared" ca="1" si="272"/>
        <v>0.76577105960974834</v>
      </c>
      <c r="G8755" s="74">
        <v>42.185577070781008</v>
      </c>
      <c r="H8755" s="74">
        <f t="shared" si="273"/>
        <v>-1.6911767274484859</v>
      </c>
    </row>
    <row r="8756" spans="5:8" ht="15.6">
      <c r="E8756" s="279" t="s">
        <v>9082</v>
      </c>
      <c r="F8756" s="284">
        <f t="shared" ca="1" si="272"/>
        <v>0.50071732185599727</v>
      </c>
      <c r="G8756" s="74">
        <v>36.594541210462452</v>
      </c>
      <c r="H8756" s="74">
        <f t="shared" si="273"/>
        <v>3.8998591328700698</v>
      </c>
    </row>
    <row r="8757" spans="5:8" ht="15.6">
      <c r="E8757" s="279" t="s">
        <v>9083</v>
      </c>
      <c r="F8757" s="284">
        <f t="shared" ca="1" si="272"/>
        <v>0.70687919066904636</v>
      </c>
      <c r="G8757" s="74">
        <v>37.126621239735854</v>
      </c>
      <c r="H8757" s="74">
        <f t="shared" si="273"/>
        <v>3.3677791035966678</v>
      </c>
    </row>
    <row r="8758" spans="5:8" ht="15.6">
      <c r="E8758" s="279" t="s">
        <v>9084</v>
      </c>
      <c r="F8758" s="284">
        <f t="shared" ca="1" si="272"/>
        <v>0.49717150982049629</v>
      </c>
      <c r="G8758" s="74">
        <v>37.624727370415201</v>
      </c>
      <c r="H8758" s="74">
        <f t="shared" si="273"/>
        <v>2.8696729729173214</v>
      </c>
    </row>
    <row r="8759" spans="5:8" ht="15.6">
      <c r="E8759" s="279" t="s">
        <v>9085</v>
      </c>
      <c r="F8759" s="284">
        <f t="shared" ca="1" si="272"/>
        <v>0.20887202922227444</v>
      </c>
      <c r="G8759" s="74">
        <v>34.75825076909495</v>
      </c>
      <c r="H8759" s="74">
        <f t="shared" si="273"/>
        <v>5.7361495742375723</v>
      </c>
    </row>
    <row r="8760" spans="5:8" ht="15.6">
      <c r="E8760" s="279" t="s">
        <v>9086</v>
      </c>
      <c r="F8760" s="284">
        <f t="shared" ca="1" si="272"/>
        <v>0.25472284748145857</v>
      </c>
      <c r="G8760" s="74">
        <v>40.37835973894056</v>
      </c>
      <c r="H8760" s="74">
        <f t="shared" si="273"/>
        <v>0.11604060439196218</v>
      </c>
    </row>
    <row r="8761" spans="5:8" ht="15.6">
      <c r="E8761" s="279" t="s">
        <v>9087</v>
      </c>
      <c r="F8761" s="284">
        <f t="shared" ca="1" si="272"/>
        <v>0.43711908658877574</v>
      </c>
      <c r="G8761" s="74">
        <v>41.751070861213655</v>
      </c>
      <c r="H8761" s="74">
        <f t="shared" si="273"/>
        <v>-1.2566705178811333</v>
      </c>
    </row>
    <row r="8762" spans="5:8" ht="15.6">
      <c r="E8762" s="279" t="s">
        <v>9088</v>
      </c>
      <c r="F8762" s="284">
        <f t="shared" ca="1" si="272"/>
        <v>0.12210733891700476</v>
      </c>
      <c r="G8762" s="74">
        <v>41.658260035314761</v>
      </c>
      <c r="H8762" s="74">
        <f t="shared" si="273"/>
        <v>-1.163859691982239</v>
      </c>
    </row>
    <row r="8763" spans="5:8" ht="15.6">
      <c r="E8763" s="279" t="s">
        <v>9089</v>
      </c>
      <c r="F8763" s="284">
        <f t="shared" ca="1" si="272"/>
        <v>0.32710549980767978</v>
      </c>
      <c r="G8763" s="74">
        <v>42.742237042842184</v>
      </c>
      <c r="H8763" s="74">
        <f t="shared" si="273"/>
        <v>-2.2478366995096621</v>
      </c>
    </row>
    <row r="8764" spans="5:8" ht="15.6">
      <c r="E8764" s="279" t="s">
        <v>9090</v>
      </c>
      <c r="F8764" s="284">
        <f t="shared" ca="1" si="272"/>
        <v>0.51443355998678753</v>
      </c>
      <c r="G8764" s="74">
        <v>36.27829633487589</v>
      </c>
      <c r="H8764" s="74">
        <f t="shared" si="273"/>
        <v>4.2161040084566324</v>
      </c>
    </row>
    <row r="8765" spans="5:8" ht="15.6">
      <c r="E8765" s="279" t="s">
        <v>9091</v>
      </c>
      <c r="F8765" s="284">
        <f t="shared" ca="1" si="272"/>
        <v>0.19019292180950376</v>
      </c>
      <c r="G8765" s="74">
        <v>41.174377649776844</v>
      </c>
      <c r="H8765" s="74">
        <f t="shared" si="273"/>
        <v>-0.67997730644432153</v>
      </c>
    </row>
    <row r="8766" spans="5:8" ht="15.6">
      <c r="E8766" s="279" t="s">
        <v>9092</v>
      </c>
      <c r="F8766" s="284">
        <f t="shared" ca="1" si="272"/>
        <v>0.10444996794760597</v>
      </c>
      <c r="G8766" s="74">
        <v>38.868479993858351</v>
      </c>
      <c r="H8766" s="74">
        <f t="shared" si="273"/>
        <v>1.6259203494741712</v>
      </c>
    </row>
    <row r="8767" spans="5:8" ht="15.6">
      <c r="E8767" s="279" t="s">
        <v>9093</v>
      </c>
      <c r="F8767" s="284">
        <f t="shared" ca="1" si="272"/>
        <v>0.56659810971835745</v>
      </c>
      <c r="G8767" s="74">
        <v>44.849856530991225</v>
      </c>
      <c r="H8767" s="74">
        <f t="shared" si="273"/>
        <v>-4.355456187658703</v>
      </c>
    </row>
    <row r="8768" spans="5:8" ht="15.6">
      <c r="E8768" s="279" t="s">
        <v>9094</v>
      </c>
      <c r="F8768" s="284">
        <f t="shared" ca="1" si="272"/>
        <v>0.25761738982349291</v>
      </c>
      <c r="G8768" s="74">
        <v>39.749825354547703</v>
      </c>
      <c r="H8768" s="74">
        <f t="shared" si="273"/>
        <v>0.74457498878481942</v>
      </c>
    </row>
    <row r="8769" spans="5:8" ht="15.6">
      <c r="E8769" s="279" t="s">
        <v>9095</v>
      </c>
      <c r="F8769" s="284">
        <f t="shared" ca="1" si="272"/>
        <v>0.94939468660477444</v>
      </c>
      <c r="G8769" s="74">
        <v>42.596799818649984</v>
      </c>
      <c r="H8769" s="74">
        <f t="shared" si="273"/>
        <v>-2.102399475317462</v>
      </c>
    </row>
    <row r="8770" spans="5:8" ht="15.6">
      <c r="E8770" s="279" t="s">
        <v>9096</v>
      </c>
      <c r="F8770" s="284">
        <f t="shared" ca="1" si="272"/>
        <v>0.19783842038105581</v>
      </c>
      <c r="G8770" s="74">
        <v>37.384069369860292</v>
      </c>
      <c r="H8770" s="74">
        <f t="shared" si="273"/>
        <v>3.1103309734722302</v>
      </c>
    </row>
    <row r="8771" spans="5:8" ht="15.6">
      <c r="E8771" s="279" t="s">
        <v>9097</v>
      </c>
      <c r="F8771" s="284">
        <f t="shared" ca="1" si="272"/>
        <v>0.56827923758500232</v>
      </c>
      <c r="G8771" s="74">
        <v>42.747138006990617</v>
      </c>
      <c r="H8771" s="74">
        <f t="shared" si="273"/>
        <v>-2.2527376636580954</v>
      </c>
    </row>
    <row r="8772" spans="5:8" ht="15.6">
      <c r="E8772" s="279" t="s">
        <v>9098</v>
      </c>
      <c r="F8772" s="284">
        <f t="shared" ca="1" si="272"/>
        <v>0.17459660689524559</v>
      </c>
      <c r="G8772" s="74">
        <v>39.168306619474876</v>
      </c>
      <c r="H8772" s="74">
        <f t="shared" si="273"/>
        <v>1.326093723857646</v>
      </c>
    </row>
    <row r="8773" spans="5:8" ht="15.6">
      <c r="E8773" s="279" t="s">
        <v>9099</v>
      </c>
      <c r="F8773" s="284">
        <f t="shared" ca="1" si="272"/>
        <v>0.95499060402001534</v>
      </c>
      <c r="G8773" s="74">
        <v>41.250777654056407</v>
      </c>
      <c r="H8773" s="74">
        <f t="shared" si="273"/>
        <v>-0.75637731072388448</v>
      </c>
    </row>
    <row r="8774" spans="5:8" ht="15.6">
      <c r="E8774" s="279" t="s">
        <v>9100</v>
      </c>
      <c r="F8774" s="284">
        <f t="shared" ca="1" si="272"/>
        <v>0.35813919379684733</v>
      </c>
      <c r="G8774" s="74">
        <v>41.565309581728783</v>
      </c>
      <c r="H8774" s="74">
        <f t="shared" si="273"/>
        <v>-1.0709092383962613</v>
      </c>
    </row>
    <row r="8775" spans="5:8" ht="15.6">
      <c r="E8775" s="279" t="s">
        <v>9101</v>
      </c>
      <c r="F8775" s="284">
        <f t="shared" ca="1" si="272"/>
        <v>0.74577951241437079</v>
      </c>
      <c r="G8775" s="74">
        <v>42.369887324094364</v>
      </c>
      <c r="H8775" s="74">
        <f t="shared" si="273"/>
        <v>-1.8754869807618419</v>
      </c>
    </row>
    <row r="8776" spans="5:8" ht="15.6">
      <c r="E8776" s="279" t="s">
        <v>9102</v>
      </c>
      <c r="F8776" s="284">
        <f t="shared" ca="1" si="272"/>
        <v>0.3980340180908013</v>
      </c>
      <c r="G8776" s="74">
        <v>40.458099241461348</v>
      </c>
      <c r="H8776" s="74">
        <f t="shared" si="273"/>
        <v>3.6301101871174524E-2</v>
      </c>
    </row>
    <row r="8777" spans="5:8" ht="15.6">
      <c r="E8777" s="279" t="s">
        <v>9103</v>
      </c>
      <c r="F8777" s="284">
        <f t="shared" ca="1" si="272"/>
        <v>0.6379736908359418</v>
      </c>
      <c r="G8777" s="74">
        <v>38.180234240824682</v>
      </c>
      <c r="H8777" s="74">
        <f t="shared" si="273"/>
        <v>2.3141661025078406</v>
      </c>
    </row>
    <row r="8778" spans="5:8" ht="15.6">
      <c r="E8778" s="279" t="s">
        <v>9104</v>
      </c>
      <c r="F8778" s="284">
        <f t="shared" ca="1" si="272"/>
        <v>0.27085512776834619</v>
      </c>
      <c r="G8778" s="74">
        <v>43.851905793438114</v>
      </c>
      <c r="H8778" s="74">
        <f t="shared" si="273"/>
        <v>-3.3575054501055916</v>
      </c>
    </row>
    <row r="8779" spans="5:8" ht="15.6">
      <c r="E8779" s="279" t="s">
        <v>9105</v>
      </c>
      <c r="F8779" s="284">
        <f t="shared" ca="1" si="272"/>
        <v>0.17934091451354583</v>
      </c>
      <c r="G8779" s="74">
        <v>45.462474615224252</v>
      </c>
      <c r="H8779" s="74">
        <f t="shared" si="273"/>
        <v>-4.9680742718917301</v>
      </c>
    </row>
    <row r="8780" spans="5:8" ht="15.6">
      <c r="E8780" s="279" t="s">
        <v>9106</v>
      </c>
      <c r="F8780" s="284">
        <f t="shared" ref="F8780:F8843" ca="1" si="274">RAND()</f>
        <v>0.92522201496809764</v>
      </c>
      <c r="G8780" s="74">
        <v>40.168589775304682</v>
      </c>
      <c r="H8780" s="74">
        <f t="shared" ref="H8780:H8843" si="275">$D$2-G8780</f>
        <v>0.32581056802784047</v>
      </c>
    </row>
    <row r="8781" spans="5:8" ht="15.6">
      <c r="E8781" s="279" t="s">
        <v>9107</v>
      </c>
      <c r="F8781" s="284">
        <f t="shared" ca="1" si="274"/>
        <v>0.47776498107851251</v>
      </c>
      <c r="G8781" s="74">
        <v>36.116357015602077</v>
      </c>
      <c r="H8781" s="74">
        <f t="shared" si="275"/>
        <v>4.3780433277304454</v>
      </c>
    </row>
    <row r="8782" spans="5:8" ht="15.6">
      <c r="E8782" s="279" t="s">
        <v>9108</v>
      </c>
      <c r="F8782" s="284">
        <f t="shared" ca="1" si="274"/>
        <v>0.72059003636457675</v>
      </c>
      <c r="G8782" s="74">
        <v>40.070040705062951</v>
      </c>
      <c r="H8782" s="74">
        <f t="shared" si="275"/>
        <v>0.42435963826957135</v>
      </c>
    </row>
    <row r="8783" spans="5:8" ht="15.6">
      <c r="E8783" s="279" t="s">
        <v>9109</v>
      </c>
      <c r="F8783" s="284">
        <f t="shared" ca="1" si="274"/>
        <v>0.87716995144555165</v>
      </c>
      <c r="G8783" s="74">
        <v>37.38187243341676</v>
      </c>
      <c r="H8783" s="74">
        <f t="shared" si="275"/>
        <v>3.1125279099157623</v>
      </c>
    </row>
    <row r="8784" spans="5:8" ht="15.6">
      <c r="E8784" s="279" t="s">
        <v>9110</v>
      </c>
      <c r="F8784" s="284">
        <f t="shared" ca="1" si="274"/>
        <v>0.32811039548576282</v>
      </c>
      <c r="G8784" s="74">
        <v>38.387227675478144</v>
      </c>
      <c r="H8784" s="74">
        <f t="shared" si="275"/>
        <v>2.1071726678543783</v>
      </c>
    </row>
    <row r="8785" spans="5:8" ht="15.6">
      <c r="E8785" s="279" t="s">
        <v>9111</v>
      </c>
      <c r="F8785" s="284">
        <f t="shared" ca="1" si="274"/>
        <v>0.7537573821598732</v>
      </c>
      <c r="G8785" s="74">
        <v>39.584313323900432</v>
      </c>
      <c r="H8785" s="74">
        <f t="shared" si="275"/>
        <v>0.91008701943209047</v>
      </c>
    </row>
    <row r="8786" spans="5:8" ht="15.6">
      <c r="E8786" s="279" t="s">
        <v>9112</v>
      </c>
      <c r="F8786" s="284">
        <f t="shared" ca="1" si="274"/>
        <v>8.281664412825529E-2</v>
      </c>
      <c r="G8786" s="74">
        <v>39.320321075248337</v>
      </c>
      <c r="H8786" s="74">
        <f t="shared" si="275"/>
        <v>1.1740792680841849</v>
      </c>
    </row>
    <row r="8787" spans="5:8" ht="15.6">
      <c r="E8787" s="279" t="s">
        <v>9113</v>
      </c>
      <c r="F8787" s="284">
        <f t="shared" ca="1" si="274"/>
        <v>0.95928128937468682</v>
      </c>
      <c r="G8787" s="74">
        <v>38.881522901470383</v>
      </c>
      <c r="H8787" s="74">
        <f t="shared" si="275"/>
        <v>1.612877441862139</v>
      </c>
    </row>
    <row r="8788" spans="5:8" ht="15.6">
      <c r="E8788" s="279" t="s">
        <v>9114</v>
      </c>
      <c r="F8788" s="284">
        <f t="shared" ca="1" si="274"/>
        <v>0.30471402087404853</v>
      </c>
      <c r="G8788" s="74">
        <v>41.619822346782229</v>
      </c>
      <c r="H8788" s="74">
        <f t="shared" si="275"/>
        <v>-1.1254220034497067</v>
      </c>
    </row>
    <row r="8789" spans="5:8" ht="15.6">
      <c r="E8789" s="279" t="s">
        <v>9115</v>
      </c>
      <c r="F8789" s="284">
        <f t="shared" ca="1" si="274"/>
        <v>0.72031371091166607</v>
      </c>
      <c r="G8789" s="74">
        <v>38.126971916103159</v>
      </c>
      <c r="H8789" s="74">
        <f t="shared" si="275"/>
        <v>2.3674284272293633</v>
      </c>
    </row>
    <row r="8790" spans="5:8" ht="15.6">
      <c r="E8790" s="279" t="s">
        <v>9116</v>
      </c>
      <c r="F8790" s="284">
        <f t="shared" ca="1" si="274"/>
        <v>0.90005188999032826</v>
      </c>
      <c r="G8790" s="74">
        <v>45.193701547264034</v>
      </c>
      <c r="H8790" s="74">
        <f t="shared" si="275"/>
        <v>-4.6993012039315118</v>
      </c>
    </row>
    <row r="8791" spans="5:8" ht="15.6">
      <c r="E8791" s="279" t="s">
        <v>9117</v>
      </c>
      <c r="F8791" s="284">
        <f t="shared" ca="1" si="274"/>
        <v>0.2585689125041305</v>
      </c>
      <c r="G8791" s="74">
        <v>36.640208746906893</v>
      </c>
      <c r="H8791" s="74">
        <f t="shared" si="275"/>
        <v>3.854191596425629</v>
      </c>
    </row>
    <row r="8792" spans="5:8" ht="15.6">
      <c r="E8792" s="279" t="s">
        <v>9118</v>
      </c>
      <c r="F8792" s="284">
        <f t="shared" ca="1" si="274"/>
        <v>0.52655606288132761</v>
      </c>
      <c r="G8792" s="74">
        <v>41.289568860783355</v>
      </c>
      <c r="H8792" s="74">
        <f t="shared" si="275"/>
        <v>-0.79516851745083272</v>
      </c>
    </row>
    <row r="8793" spans="5:8" ht="15.6">
      <c r="E8793" s="279" t="s">
        <v>9119</v>
      </c>
      <c r="F8793" s="284">
        <f t="shared" ca="1" si="274"/>
        <v>0.65817465924048058</v>
      </c>
      <c r="G8793" s="74">
        <v>39.088708605010872</v>
      </c>
      <c r="H8793" s="74">
        <f t="shared" si="275"/>
        <v>1.4056917383216501</v>
      </c>
    </row>
    <row r="8794" spans="5:8" ht="15.6">
      <c r="E8794" s="279" t="s">
        <v>9120</v>
      </c>
      <c r="F8794" s="284">
        <f t="shared" ca="1" si="274"/>
        <v>0.42482344684984585</v>
      </c>
      <c r="G8794" s="74">
        <v>39.08945794283327</v>
      </c>
      <c r="H8794" s="74">
        <f t="shared" si="275"/>
        <v>1.4049424004992517</v>
      </c>
    </row>
    <row r="8795" spans="5:8" ht="15.6">
      <c r="E8795" s="279" t="s">
        <v>9121</v>
      </c>
      <c r="F8795" s="284">
        <f t="shared" ca="1" si="274"/>
        <v>0.29805978282309697</v>
      </c>
      <c r="G8795" s="74">
        <v>41.56424941530981</v>
      </c>
      <c r="H8795" s="74">
        <f t="shared" si="275"/>
        <v>-1.0698490719772877</v>
      </c>
    </row>
    <row r="8796" spans="5:8" ht="15.6">
      <c r="E8796" s="279" t="s">
        <v>9122</v>
      </c>
      <c r="F8796" s="284">
        <f t="shared" ca="1" si="274"/>
        <v>0.89207614396608215</v>
      </c>
      <c r="G8796" s="74">
        <v>37.677734588907036</v>
      </c>
      <c r="H8796" s="74">
        <f t="shared" si="275"/>
        <v>2.8166657544254861</v>
      </c>
    </row>
    <row r="8797" spans="5:8" ht="15.6">
      <c r="E8797" s="279" t="s">
        <v>9123</v>
      </c>
      <c r="F8797" s="284">
        <f t="shared" ca="1" si="274"/>
        <v>0.24983666348061229</v>
      </c>
      <c r="G8797" s="74">
        <v>35.994618087662786</v>
      </c>
      <c r="H8797" s="74">
        <f t="shared" si="275"/>
        <v>4.4997822556697358</v>
      </c>
    </row>
    <row r="8798" spans="5:8" ht="15.6">
      <c r="E8798" s="279" t="s">
        <v>9124</v>
      </c>
      <c r="F8798" s="284">
        <f t="shared" ca="1" si="274"/>
        <v>0.98054329448398359</v>
      </c>
      <c r="G8798" s="74">
        <v>37.722655458676627</v>
      </c>
      <c r="H8798" s="74">
        <f t="shared" si="275"/>
        <v>2.7717448846558952</v>
      </c>
    </row>
    <row r="8799" spans="5:8" ht="15.6">
      <c r="E8799" s="279" t="s">
        <v>9125</v>
      </c>
      <c r="F8799" s="284">
        <f t="shared" ca="1" si="274"/>
        <v>0.47176359971878623</v>
      </c>
      <c r="G8799" s="74">
        <v>43.198908122029991</v>
      </c>
      <c r="H8799" s="74">
        <f t="shared" si="275"/>
        <v>-2.7045077786974687</v>
      </c>
    </row>
    <row r="8800" spans="5:8" ht="15.6">
      <c r="E8800" s="279" t="s">
        <v>9126</v>
      </c>
      <c r="F8800" s="284">
        <f t="shared" ca="1" si="274"/>
        <v>2.2019431344272311E-3</v>
      </c>
      <c r="G8800" s="74">
        <v>38.908188369442996</v>
      </c>
      <c r="H8800" s="74">
        <f t="shared" si="275"/>
        <v>1.586211973889526</v>
      </c>
    </row>
    <row r="8801" spans="5:8" ht="15.6">
      <c r="E8801" s="279" t="s">
        <v>9127</v>
      </c>
      <c r="F8801" s="284">
        <f t="shared" ca="1" si="274"/>
        <v>0.41403608232040678</v>
      </c>
      <c r="G8801" s="74">
        <v>37.22843416726414</v>
      </c>
      <c r="H8801" s="74">
        <f t="shared" si="275"/>
        <v>3.2659661760683818</v>
      </c>
    </row>
    <row r="8802" spans="5:8" ht="15.6">
      <c r="E8802" s="279" t="s">
        <v>9128</v>
      </c>
      <c r="F8802" s="284">
        <f t="shared" ca="1" si="274"/>
        <v>0.69321108136103393</v>
      </c>
      <c r="G8802" s="74">
        <v>34.926167580761224</v>
      </c>
      <c r="H8802" s="74">
        <f t="shared" si="275"/>
        <v>5.5682327625712986</v>
      </c>
    </row>
    <row r="8803" spans="5:8" ht="15.6">
      <c r="E8803" s="279" t="s">
        <v>9129</v>
      </c>
      <c r="F8803" s="284">
        <f t="shared" ca="1" si="274"/>
        <v>0.97024317192006593</v>
      </c>
      <c r="G8803" s="74">
        <v>39.655095008421391</v>
      </c>
      <c r="H8803" s="74">
        <f t="shared" si="275"/>
        <v>0.83930533491113124</v>
      </c>
    </row>
    <row r="8804" spans="5:8" ht="15.6">
      <c r="E8804" s="279" t="s">
        <v>9130</v>
      </c>
      <c r="F8804" s="284">
        <f t="shared" ca="1" si="274"/>
        <v>0.10804113198050358</v>
      </c>
      <c r="G8804" s="74">
        <v>38.7158556590392</v>
      </c>
      <c r="H8804" s="74">
        <f t="shared" si="275"/>
        <v>1.7785446842933226</v>
      </c>
    </row>
    <row r="8805" spans="5:8" ht="15.6">
      <c r="E8805" s="279" t="s">
        <v>9131</v>
      </c>
      <c r="F8805" s="284">
        <f t="shared" ca="1" si="274"/>
        <v>0.52625835548474587</v>
      </c>
      <c r="G8805" s="74">
        <v>38.146884839185262</v>
      </c>
      <c r="H8805" s="74">
        <f t="shared" si="275"/>
        <v>2.3475155041472604</v>
      </c>
    </row>
    <row r="8806" spans="5:8" ht="15.6">
      <c r="E8806" s="279" t="s">
        <v>9132</v>
      </c>
      <c r="F8806" s="284">
        <f t="shared" ca="1" si="274"/>
        <v>0.32617173572224745</v>
      </c>
      <c r="G8806" s="74">
        <v>36.846505777937701</v>
      </c>
      <c r="H8806" s="74">
        <f t="shared" si="275"/>
        <v>3.6478945653948216</v>
      </c>
    </row>
    <row r="8807" spans="5:8" ht="15.6">
      <c r="E8807" s="279" t="s">
        <v>9133</v>
      </c>
      <c r="F8807" s="284">
        <f t="shared" ca="1" si="274"/>
        <v>0.16733080122093569</v>
      </c>
      <c r="G8807" s="74">
        <v>39.617666147489146</v>
      </c>
      <c r="H8807" s="74">
        <f t="shared" si="275"/>
        <v>0.87673419584337609</v>
      </c>
    </row>
    <row r="8808" spans="5:8" ht="15.6">
      <c r="E8808" s="279" t="s">
        <v>9134</v>
      </c>
      <c r="F8808" s="284">
        <f t="shared" ca="1" si="274"/>
        <v>0.29494810169498631</v>
      </c>
      <c r="G8808" s="74">
        <v>37.004243937666359</v>
      </c>
      <c r="H8808" s="74">
        <f t="shared" si="275"/>
        <v>3.4901564056661627</v>
      </c>
    </row>
    <row r="8809" spans="5:8" ht="15.6">
      <c r="E8809" s="279" t="s">
        <v>9135</v>
      </c>
      <c r="F8809" s="284">
        <f t="shared" ca="1" si="274"/>
        <v>0.8451297027611423</v>
      </c>
      <c r="G8809" s="74">
        <v>40.644434688170904</v>
      </c>
      <c r="H8809" s="74">
        <f t="shared" si="275"/>
        <v>-0.15003434483838163</v>
      </c>
    </row>
    <row r="8810" spans="5:8" ht="15.6">
      <c r="E8810" s="279" t="s">
        <v>9136</v>
      </c>
      <c r="F8810" s="284">
        <f t="shared" ca="1" si="274"/>
        <v>0.42681878223297831</v>
      </c>
      <c r="G8810" s="74">
        <v>43.860207053925457</v>
      </c>
      <c r="H8810" s="74">
        <f t="shared" si="275"/>
        <v>-3.3658067105929348</v>
      </c>
    </row>
    <row r="8811" spans="5:8" ht="15.6">
      <c r="E8811" s="279" t="s">
        <v>9137</v>
      </c>
      <c r="F8811" s="284">
        <f t="shared" ca="1" si="274"/>
        <v>0.87099289792344992</v>
      </c>
      <c r="G8811" s="74">
        <v>39.694048321842004</v>
      </c>
      <c r="H8811" s="74">
        <f t="shared" si="275"/>
        <v>0.80035202149051798</v>
      </c>
    </row>
    <row r="8812" spans="5:8" ht="15.6">
      <c r="E8812" s="279" t="s">
        <v>9138</v>
      </c>
      <c r="F8812" s="284">
        <f t="shared" ca="1" si="274"/>
        <v>0.27103086647633456</v>
      </c>
      <c r="G8812" s="74">
        <v>39.925944998714172</v>
      </c>
      <c r="H8812" s="74">
        <f t="shared" si="275"/>
        <v>0.56845534461835001</v>
      </c>
    </row>
    <row r="8813" spans="5:8" ht="15.6">
      <c r="E8813" s="279" t="s">
        <v>9139</v>
      </c>
      <c r="F8813" s="284">
        <f t="shared" ca="1" si="274"/>
        <v>0.73612065842835084</v>
      </c>
      <c r="G8813" s="74">
        <v>35.735771971885178</v>
      </c>
      <c r="H8813" s="74">
        <f t="shared" si="275"/>
        <v>4.7586283714473439</v>
      </c>
    </row>
    <row r="8814" spans="5:8" ht="15.6">
      <c r="E8814" s="279" t="s">
        <v>9140</v>
      </c>
      <c r="F8814" s="284">
        <f t="shared" ca="1" si="274"/>
        <v>0.66438345051056102</v>
      </c>
      <c r="G8814" s="74">
        <v>38.830672867354032</v>
      </c>
      <c r="H8814" s="74">
        <f t="shared" si="275"/>
        <v>1.6637274759784901</v>
      </c>
    </row>
    <row r="8815" spans="5:8" ht="15.6">
      <c r="E8815" s="279" t="s">
        <v>9141</v>
      </c>
      <c r="F8815" s="284">
        <f t="shared" ca="1" si="274"/>
        <v>0.22193373524679016</v>
      </c>
      <c r="G8815" s="74">
        <v>40.111469403746426</v>
      </c>
      <c r="H8815" s="74">
        <f t="shared" si="275"/>
        <v>0.38293093958609603</v>
      </c>
    </row>
    <row r="8816" spans="5:8" ht="15.6">
      <c r="E8816" s="279" t="s">
        <v>9142</v>
      </c>
      <c r="F8816" s="284">
        <f t="shared" ca="1" si="274"/>
        <v>0.38994323222297544</v>
      </c>
      <c r="G8816" s="74">
        <v>37.946508149762266</v>
      </c>
      <c r="H8816" s="74">
        <f t="shared" si="275"/>
        <v>2.5478921935702559</v>
      </c>
    </row>
    <row r="8817" spans="5:8" ht="15.6">
      <c r="E8817" s="279" t="s">
        <v>9143</v>
      </c>
      <c r="F8817" s="284">
        <f t="shared" ca="1" si="274"/>
        <v>0.52464187770719994</v>
      </c>
      <c r="G8817" s="74">
        <v>38.429739971793666</v>
      </c>
      <c r="H8817" s="74">
        <f t="shared" si="275"/>
        <v>2.0646603715388565</v>
      </c>
    </row>
    <row r="8818" spans="5:8" ht="15.6">
      <c r="E8818" s="279" t="s">
        <v>9144</v>
      </c>
      <c r="F8818" s="284">
        <f t="shared" ca="1" si="274"/>
        <v>0.96687329541485267</v>
      </c>
      <c r="G8818" s="74">
        <v>43.366838428066117</v>
      </c>
      <c r="H8818" s="74">
        <f t="shared" si="275"/>
        <v>-2.8724380847335951</v>
      </c>
    </row>
    <row r="8819" spans="5:8" ht="15.6">
      <c r="E8819" s="279" t="s">
        <v>9145</v>
      </c>
      <c r="F8819" s="284">
        <f t="shared" ca="1" si="274"/>
        <v>0.14856970313309326</v>
      </c>
      <c r="G8819" s="74">
        <v>36.384312551871901</v>
      </c>
      <c r="H8819" s="74">
        <f t="shared" si="275"/>
        <v>4.1100877914606215</v>
      </c>
    </row>
    <row r="8820" spans="5:8" ht="15.6">
      <c r="E8820" s="279" t="s">
        <v>9146</v>
      </c>
      <c r="F8820" s="284">
        <f t="shared" ca="1" si="274"/>
        <v>0.3017553342561331</v>
      </c>
      <c r="G8820" s="74">
        <v>39.879728534887732</v>
      </c>
      <c r="H8820" s="74">
        <f t="shared" si="275"/>
        <v>0.61467180844478975</v>
      </c>
    </row>
    <row r="8821" spans="5:8" ht="15.6">
      <c r="E8821" s="279" t="s">
        <v>9147</v>
      </c>
      <c r="F8821" s="284">
        <f t="shared" ca="1" si="274"/>
        <v>0.65505121562720314</v>
      </c>
      <c r="G8821" s="74">
        <v>42.335142340992938</v>
      </c>
      <c r="H8821" s="74">
        <f t="shared" si="275"/>
        <v>-1.840741997660416</v>
      </c>
    </row>
    <row r="8822" spans="5:8" ht="15.6">
      <c r="E8822" s="279" t="s">
        <v>9148</v>
      </c>
      <c r="F8822" s="284">
        <f t="shared" ca="1" si="274"/>
        <v>0.81495638560734962</v>
      </c>
      <c r="G8822" s="74">
        <v>35.59307754333026</v>
      </c>
      <c r="H8822" s="74">
        <f t="shared" si="275"/>
        <v>4.9013228000022622</v>
      </c>
    </row>
    <row r="8823" spans="5:8" ht="15.6">
      <c r="E8823" s="279" t="s">
        <v>9149</v>
      </c>
      <c r="F8823" s="284">
        <f t="shared" ca="1" si="274"/>
        <v>0.91185438715593992</v>
      </c>
      <c r="G8823" s="74">
        <v>35.221431315324544</v>
      </c>
      <c r="H8823" s="74">
        <f t="shared" si="275"/>
        <v>5.272969028007978</v>
      </c>
    </row>
    <row r="8824" spans="5:8" ht="15.6">
      <c r="E8824" s="279" t="s">
        <v>9150</v>
      </c>
      <c r="F8824" s="284">
        <f t="shared" ca="1" si="274"/>
        <v>0.44888395892186062</v>
      </c>
      <c r="G8824" s="74">
        <v>38.572404879534872</v>
      </c>
      <c r="H8824" s="74">
        <f t="shared" si="275"/>
        <v>1.92199546379765</v>
      </c>
    </row>
    <row r="8825" spans="5:8" ht="15.6">
      <c r="E8825" s="279" t="s">
        <v>9151</v>
      </c>
      <c r="F8825" s="284">
        <f t="shared" ca="1" si="274"/>
        <v>0.96279284342081373</v>
      </c>
      <c r="G8825" s="74">
        <v>37.054383916210703</v>
      </c>
      <c r="H8825" s="74">
        <f t="shared" si="275"/>
        <v>3.4400164271218188</v>
      </c>
    </row>
    <row r="8826" spans="5:8" ht="15.6">
      <c r="E8826" s="279" t="s">
        <v>9152</v>
      </c>
      <c r="F8826" s="284">
        <f t="shared" ca="1" si="274"/>
        <v>0.66244895931205605</v>
      </c>
      <c r="G8826" s="74">
        <v>34.69532510130189</v>
      </c>
      <c r="H8826" s="74">
        <f t="shared" si="275"/>
        <v>5.7990752420306322</v>
      </c>
    </row>
    <row r="8827" spans="5:8" ht="15.6">
      <c r="E8827" s="279" t="s">
        <v>9153</v>
      </c>
      <c r="F8827" s="284">
        <f t="shared" ca="1" si="274"/>
        <v>0.16184045085665533</v>
      </c>
      <c r="G8827" s="74">
        <v>44.282503789472592</v>
      </c>
      <c r="H8827" s="74">
        <f t="shared" si="275"/>
        <v>-3.7881034461400702</v>
      </c>
    </row>
    <row r="8828" spans="5:8" ht="15.6">
      <c r="E8828" s="279" t="s">
        <v>9154</v>
      </c>
      <c r="F8828" s="284">
        <f t="shared" ca="1" si="274"/>
        <v>0.75749302841687927</v>
      </c>
      <c r="G8828" s="74">
        <v>37.919019773675899</v>
      </c>
      <c r="H8828" s="74">
        <f t="shared" si="275"/>
        <v>2.5753805696566232</v>
      </c>
    </row>
    <row r="8829" spans="5:8" ht="15.6">
      <c r="E8829" s="279" t="s">
        <v>9155</v>
      </c>
      <c r="F8829" s="284">
        <f t="shared" ca="1" si="274"/>
        <v>0.94502040778408569</v>
      </c>
      <c r="G8829" s="74">
        <v>39.44824302760518</v>
      </c>
      <c r="H8829" s="74">
        <f t="shared" si="275"/>
        <v>1.0461573157273421</v>
      </c>
    </row>
    <row r="8830" spans="5:8" ht="15.6">
      <c r="E8830" s="279" t="s">
        <v>9156</v>
      </c>
      <c r="F8830" s="284">
        <f t="shared" ca="1" si="274"/>
        <v>0.76741273936353183</v>
      </c>
      <c r="G8830" s="74">
        <v>42.65180068314659</v>
      </c>
      <c r="H8830" s="74">
        <f t="shared" si="275"/>
        <v>-2.1574003398140675</v>
      </c>
    </row>
    <row r="8831" spans="5:8" ht="15.6">
      <c r="E8831" s="279" t="s">
        <v>9157</v>
      </c>
      <c r="F8831" s="284">
        <f t="shared" ca="1" si="274"/>
        <v>0.49702766808980992</v>
      </c>
      <c r="G8831" s="74">
        <v>36.090607481555928</v>
      </c>
      <c r="H8831" s="74">
        <f t="shared" si="275"/>
        <v>4.4037928617765942</v>
      </c>
    </row>
    <row r="8832" spans="5:8" ht="15.6">
      <c r="E8832" s="279" t="s">
        <v>9158</v>
      </c>
      <c r="F8832" s="284">
        <f t="shared" ca="1" si="274"/>
        <v>0.83800760422445286</v>
      </c>
      <c r="G8832" s="74">
        <v>39.188666579919527</v>
      </c>
      <c r="H8832" s="74">
        <f t="shared" si="275"/>
        <v>1.3057337634129951</v>
      </c>
    </row>
    <row r="8833" spans="5:8" ht="15.6">
      <c r="E8833" s="279" t="s">
        <v>9159</v>
      </c>
      <c r="F8833" s="284">
        <f t="shared" ca="1" si="274"/>
        <v>0.7666565201550738</v>
      </c>
      <c r="G8833" s="74">
        <v>38.403236077424403</v>
      </c>
      <c r="H8833" s="74">
        <f t="shared" si="275"/>
        <v>2.0911642659081195</v>
      </c>
    </row>
    <row r="8834" spans="5:8" ht="15.6">
      <c r="E8834" s="279" t="s">
        <v>9160</v>
      </c>
      <c r="F8834" s="284">
        <f t="shared" ca="1" si="274"/>
        <v>0.29028343537008239</v>
      </c>
      <c r="G8834" s="74">
        <v>38.934011005433568</v>
      </c>
      <c r="H8834" s="74">
        <f t="shared" si="275"/>
        <v>1.560389337898954</v>
      </c>
    </row>
    <row r="8835" spans="5:8" ht="15.6">
      <c r="E8835" s="279" t="s">
        <v>9161</v>
      </c>
      <c r="F8835" s="284">
        <f t="shared" ca="1" si="274"/>
        <v>0.23857958055115069</v>
      </c>
      <c r="G8835" s="74">
        <v>42.413113814417571</v>
      </c>
      <c r="H8835" s="74">
        <f t="shared" si="275"/>
        <v>-1.9187134710850486</v>
      </c>
    </row>
    <row r="8836" spans="5:8" ht="15.6">
      <c r="E8836" s="279" t="s">
        <v>9162</v>
      </c>
      <c r="F8836" s="284">
        <f t="shared" ca="1" si="274"/>
        <v>0.57992884217945073</v>
      </c>
      <c r="G8836" s="74">
        <v>42.507769852881665</v>
      </c>
      <c r="H8836" s="74">
        <f t="shared" si="275"/>
        <v>-2.0133695095491433</v>
      </c>
    </row>
    <row r="8837" spans="5:8" ht="15.6">
      <c r="E8837" s="279" t="s">
        <v>9163</v>
      </c>
      <c r="F8837" s="284">
        <f t="shared" ca="1" si="274"/>
        <v>0.60976611346941534</v>
      </c>
      <c r="G8837" s="74">
        <v>38.402163577241964</v>
      </c>
      <c r="H8837" s="74">
        <f t="shared" si="275"/>
        <v>2.0922367660905579</v>
      </c>
    </row>
    <row r="8838" spans="5:8" ht="15.6">
      <c r="E8838" s="279" t="s">
        <v>9164</v>
      </c>
      <c r="F8838" s="284">
        <f t="shared" ca="1" si="274"/>
        <v>0.761894770441637</v>
      </c>
      <c r="G8838" s="74">
        <v>40.371220219001351</v>
      </c>
      <c r="H8838" s="74">
        <f t="shared" si="275"/>
        <v>0.12318012433117076</v>
      </c>
    </row>
    <row r="8839" spans="5:8" ht="15.6">
      <c r="E8839" s="279" t="s">
        <v>9165</v>
      </c>
      <c r="F8839" s="284">
        <f t="shared" ca="1" si="274"/>
        <v>0.31441115504520734</v>
      </c>
      <c r="G8839" s="74">
        <v>40.782099007435662</v>
      </c>
      <c r="H8839" s="74">
        <f t="shared" si="275"/>
        <v>-0.28769866410313938</v>
      </c>
    </row>
    <row r="8840" spans="5:8" ht="15.6">
      <c r="E8840" s="279" t="s">
        <v>9166</v>
      </c>
      <c r="F8840" s="284">
        <f t="shared" ca="1" si="274"/>
        <v>0.31242537985932206</v>
      </c>
      <c r="G8840" s="74">
        <v>40.51213298038337</v>
      </c>
      <c r="H8840" s="74">
        <f t="shared" si="275"/>
        <v>-1.7732637050848155E-2</v>
      </c>
    </row>
    <row r="8841" spans="5:8" ht="15.6">
      <c r="E8841" s="279" t="s">
        <v>9167</v>
      </c>
      <c r="F8841" s="284">
        <f t="shared" ca="1" si="274"/>
        <v>0.60372303954286344</v>
      </c>
      <c r="G8841" s="74">
        <v>40.773615970993568</v>
      </c>
      <c r="H8841" s="74">
        <f t="shared" si="275"/>
        <v>-0.27921562766104557</v>
      </c>
    </row>
    <row r="8842" spans="5:8" ht="15.6">
      <c r="E8842" s="279" t="s">
        <v>9168</v>
      </c>
      <c r="F8842" s="284">
        <f t="shared" ca="1" si="274"/>
        <v>0.5195338536391525</v>
      </c>
      <c r="G8842" s="74">
        <v>35.008621292813871</v>
      </c>
      <c r="H8842" s="74">
        <f t="shared" si="275"/>
        <v>5.4857790505186514</v>
      </c>
    </row>
    <row r="8843" spans="5:8" ht="15.6">
      <c r="E8843" s="279" t="s">
        <v>9169</v>
      </c>
      <c r="F8843" s="284">
        <f t="shared" ca="1" si="274"/>
        <v>9.0187441806456325E-3</v>
      </c>
      <c r="G8843" s="74">
        <v>39.065818429257853</v>
      </c>
      <c r="H8843" s="74">
        <f t="shared" si="275"/>
        <v>1.4285819140746696</v>
      </c>
    </row>
    <row r="8844" spans="5:8" ht="15.6">
      <c r="E8844" s="279" t="s">
        <v>9170</v>
      </c>
      <c r="F8844" s="284">
        <f t="shared" ref="F8844:F8907" ca="1" si="276">RAND()</f>
        <v>3.0207980433335835E-2</v>
      </c>
      <c r="G8844" s="74">
        <v>41.844149466581783</v>
      </c>
      <c r="H8844" s="74">
        <f t="shared" ref="H8844:H8907" si="277">$D$2-G8844</f>
        <v>-1.3497491232492607</v>
      </c>
    </row>
    <row r="8845" spans="5:8" ht="15.6">
      <c r="E8845" s="279" t="s">
        <v>9171</v>
      </c>
      <c r="F8845" s="284">
        <f t="shared" ca="1" si="276"/>
        <v>0.59740684861688564</v>
      </c>
      <c r="G8845" s="74">
        <v>42.404718302615272</v>
      </c>
      <c r="H8845" s="74">
        <f t="shared" si="277"/>
        <v>-1.9103179592827502</v>
      </c>
    </row>
    <row r="8846" spans="5:8" ht="15.6">
      <c r="E8846" s="279" t="s">
        <v>9172</v>
      </c>
      <c r="F8846" s="284">
        <f t="shared" ca="1" si="276"/>
        <v>0.19177465140228012</v>
      </c>
      <c r="G8846" s="74">
        <v>39.840092137666552</v>
      </c>
      <c r="H8846" s="74">
        <f t="shared" si="277"/>
        <v>0.65430820566596992</v>
      </c>
    </row>
    <row r="8847" spans="5:8" ht="15.6">
      <c r="E8847" s="279" t="s">
        <v>9173</v>
      </c>
      <c r="F8847" s="284">
        <f t="shared" ca="1" si="276"/>
        <v>2.8032730669855788E-3</v>
      </c>
      <c r="G8847" s="74">
        <v>38.969025083305134</v>
      </c>
      <c r="H8847" s="74">
        <f t="shared" si="277"/>
        <v>1.5253752600273884</v>
      </c>
    </row>
    <row r="8848" spans="5:8" ht="15.6">
      <c r="E8848" s="279" t="s">
        <v>9174</v>
      </c>
      <c r="F8848" s="284">
        <f t="shared" ca="1" si="276"/>
        <v>0.22240410332956406</v>
      </c>
      <c r="G8848" s="74">
        <v>39.836001470690164</v>
      </c>
      <c r="H8848" s="74">
        <f t="shared" si="277"/>
        <v>0.65839887264235841</v>
      </c>
    </row>
    <row r="8849" spans="5:8" ht="15.6">
      <c r="E8849" s="279" t="s">
        <v>9175</v>
      </c>
      <c r="F8849" s="284">
        <f t="shared" ca="1" si="276"/>
        <v>0.65595554968387437</v>
      </c>
      <c r="G8849" s="74">
        <v>37.281797434364954</v>
      </c>
      <c r="H8849" s="74">
        <f t="shared" si="277"/>
        <v>3.2126029089675683</v>
      </c>
    </row>
    <row r="8850" spans="5:8" ht="15.6">
      <c r="E8850" s="279" t="s">
        <v>9176</v>
      </c>
      <c r="F8850" s="284">
        <f t="shared" ca="1" si="276"/>
        <v>0.87430388206513743</v>
      </c>
      <c r="G8850" s="74">
        <v>31.592186808205188</v>
      </c>
      <c r="H8850" s="74">
        <f t="shared" si="277"/>
        <v>8.9022135351273342</v>
      </c>
    </row>
    <row r="8851" spans="5:8" ht="15.6">
      <c r="E8851" s="279" t="s">
        <v>9177</v>
      </c>
      <c r="F8851" s="284">
        <f t="shared" ca="1" si="276"/>
        <v>0.88817852092442695</v>
      </c>
      <c r="G8851" s="74">
        <v>40.885845309000473</v>
      </c>
      <c r="H8851" s="74">
        <f t="shared" si="277"/>
        <v>-0.39144496566795084</v>
      </c>
    </row>
    <row r="8852" spans="5:8" ht="15.6">
      <c r="E8852" s="279" t="s">
        <v>9178</v>
      </c>
      <c r="F8852" s="284">
        <f t="shared" ca="1" si="276"/>
        <v>0.97780315087577108</v>
      </c>
      <c r="G8852" s="74">
        <v>43.987396332552436</v>
      </c>
      <c r="H8852" s="74">
        <f t="shared" si="277"/>
        <v>-3.4929959892199136</v>
      </c>
    </row>
    <row r="8853" spans="5:8" ht="15.6">
      <c r="E8853" s="279" t="s">
        <v>9179</v>
      </c>
      <c r="F8853" s="284">
        <f t="shared" ca="1" si="276"/>
        <v>0.61958258079012229</v>
      </c>
      <c r="G8853" s="74">
        <v>36.552028376595651</v>
      </c>
      <c r="H8853" s="74">
        <f t="shared" si="277"/>
        <v>3.9423719667368715</v>
      </c>
    </row>
    <row r="8854" spans="5:8" ht="15.6">
      <c r="E8854" s="279" t="s">
        <v>9180</v>
      </c>
      <c r="F8854" s="284">
        <f t="shared" ca="1" si="276"/>
        <v>0.9035463046727833</v>
      </c>
      <c r="G8854" s="74">
        <v>44.157586304788502</v>
      </c>
      <c r="H8854" s="74">
        <f t="shared" si="277"/>
        <v>-3.6631859614559801</v>
      </c>
    </row>
    <row r="8855" spans="5:8" ht="15.6">
      <c r="E8855" s="279" t="s">
        <v>9181</v>
      </c>
      <c r="F8855" s="284">
        <f t="shared" ca="1" si="276"/>
        <v>0.50994981117787519</v>
      </c>
      <c r="G8855" s="74">
        <v>40.671760047668457</v>
      </c>
      <c r="H8855" s="74">
        <f t="shared" si="277"/>
        <v>-0.17735970433593451</v>
      </c>
    </row>
    <row r="8856" spans="5:8" ht="15.6">
      <c r="E8856" s="279" t="s">
        <v>9182</v>
      </c>
      <c r="F8856" s="284">
        <f t="shared" ca="1" si="276"/>
        <v>0.45814886191401516</v>
      </c>
      <c r="G8856" s="74">
        <v>40.382079686848343</v>
      </c>
      <c r="H8856" s="74">
        <f t="shared" si="277"/>
        <v>0.11232065648417944</v>
      </c>
    </row>
    <row r="8857" spans="5:8" ht="15.6">
      <c r="E8857" s="279" t="s">
        <v>9183</v>
      </c>
      <c r="F8857" s="284">
        <f t="shared" ca="1" si="276"/>
        <v>0.42962215311129559</v>
      </c>
      <c r="G8857" s="74">
        <v>42.310824518836839</v>
      </c>
      <c r="H8857" s="74">
        <f t="shared" si="277"/>
        <v>-1.8164241755043165</v>
      </c>
    </row>
    <row r="8858" spans="5:8" ht="15.6">
      <c r="E8858" s="279" t="s">
        <v>9184</v>
      </c>
      <c r="F8858" s="284">
        <f t="shared" ca="1" si="276"/>
        <v>0.32179972605318652</v>
      </c>
      <c r="G8858" s="74">
        <v>44.819473060719531</v>
      </c>
      <c r="H8858" s="74">
        <f t="shared" si="277"/>
        <v>-4.3250727173870089</v>
      </c>
    </row>
    <row r="8859" spans="5:8" ht="15.6">
      <c r="E8859" s="279" t="s">
        <v>9185</v>
      </c>
      <c r="F8859" s="284">
        <f t="shared" ca="1" si="276"/>
        <v>0.858503438266775</v>
      </c>
      <c r="G8859" s="74">
        <v>42.054468948180421</v>
      </c>
      <c r="H8859" s="74">
        <f t="shared" si="277"/>
        <v>-1.5600686048478991</v>
      </c>
    </row>
    <row r="8860" spans="5:8" ht="15.6">
      <c r="E8860" s="279" t="s">
        <v>9186</v>
      </c>
      <c r="F8860" s="284">
        <f t="shared" ca="1" si="276"/>
        <v>0.11617172745105231</v>
      </c>
      <c r="G8860" s="74">
        <v>38.136611220141575</v>
      </c>
      <c r="H8860" s="74">
        <f t="shared" si="277"/>
        <v>2.3577891231909476</v>
      </c>
    </row>
    <row r="8861" spans="5:8" ht="15.6">
      <c r="E8861" s="279" t="s">
        <v>9187</v>
      </c>
      <c r="F8861" s="284">
        <f t="shared" ca="1" si="276"/>
        <v>0.73028978841056102</v>
      </c>
      <c r="G8861" s="74">
        <v>41.240595875444122</v>
      </c>
      <c r="H8861" s="74">
        <f t="shared" si="277"/>
        <v>-0.74619553211159939</v>
      </c>
    </row>
    <row r="8862" spans="5:8" ht="15.6">
      <c r="E8862" s="279" t="s">
        <v>9188</v>
      </c>
      <c r="F8862" s="284">
        <f t="shared" ca="1" si="276"/>
        <v>0.44120549359876382</v>
      </c>
      <c r="G8862" s="74">
        <v>41.244653006951488</v>
      </c>
      <c r="H8862" s="74">
        <f t="shared" si="277"/>
        <v>-0.7502526636189657</v>
      </c>
    </row>
    <row r="8863" spans="5:8" ht="15.6">
      <c r="E8863" s="279" t="s">
        <v>9189</v>
      </c>
      <c r="F8863" s="284">
        <f t="shared" ca="1" si="276"/>
        <v>0.19522498011099343</v>
      </c>
      <c r="G8863" s="74">
        <v>45.63863775168749</v>
      </c>
      <c r="H8863" s="74">
        <f t="shared" si="277"/>
        <v>-5.144237408354968</v>
      </c>
    </row>
    <row r="8864" spans="5:8" ht="15.6">
      <c r="E8864" s="279" t="s">
        <v>9190</v>
      </c>
      <c r="F8864" s="284">
        <f t="shared" ca="1" si="276"/>
        <v>0.29611426646408578</v>
      </c>
      <c r="G8864" s="74">
        <v>38.892810207061878</v>
      </c>
      <c r="H8864" s="74">
        <f t="shared" si="277"/>
        <v>1.6015901362706444</v>
      </c>
    </row>
    <row r="8865" spans="5:8" ht="15.6">
      <c r="E8865" s="279" t="s">
        <v>9191</v>
      </c>
      <c r="F8865" s="284">
        <f t="shared" ca="1" si="276"/>
        <v>0.33911506770934707</v>
      </c>
      <c r="G8865" s="74">
        <v>42.643721239925362</v>
      </c>
      <c r="H8865" s="74">
        <f t="shared" si="277"/>
        <v>-2.1493208965928403</v>
      </c>
    </row>
    <row r="8866" spans="5:8" ht="15.6">
      <c r="E8866" s="279" t="s">
        <v>9192</v>
      </c>
      <c r="F8866" s="284">
        <f t="shared" ca="1" si="276"/>
        <v>0.85616222996391111</v>
      </c>
      <c r="G8866" s="74">
        <v>39.843565242115965</v>
      </c>
      <c r="H8866" s="74">
        <f t="shared" si="277"/>
        <v>0.65083510121655763</v>
      </c>
    </row>
    <row r="8867" spans="5:8" ht="15.6">
      <c r="E8867" s="279" t="s">
        <v>9193</v>
      </c>
      <c r="F8867" s="284">
        <f t="shared" ca="1" si="276"/>
        <v>0.67173600907577691</v>
      </c>
      <c r="G8867" s="74">
        <v>38.829359910600409</v>
      </c>
      <c r="H8867" s="74">
        <f t="shared" si="277"/>
        <v>1.6650404327321127</v>
      </c>
    </row>
    <row r="8868" spans="5:8" ht="15.6">
      <c r="E8868" s="279" t="s">
        <v>9194</v>
      </c>
      <c r="F8868" s="284">
        <f t="shared" ca="1" si="276"/>
        <v>0.53342651615306502</v>
      </c>
      <c r="G8868" s="74">
        <v>41.415826817077367</v>
      </c>
      <c r="H8868" s="74">
        <f t="shared" si="277"/>
        <v>-0.92142647374484454</v>
      </c>
    </row>
    <row r="8869" spans="5:8" ht="15.6">
      <c r="E8869" s="279" t="s">
        <v>9195</v>
      </c>
      <c r="F8869" s="284">
        <f t="shared" ca="1" si="276"/>
        <v>0.42831505002976689</v>
      </c>
      <c r="G8869" s="74">
        <v>39.978483602915375</v>
      </c>
      <c r="H8869" s="74">
        <f t="shared" si="277"/>
        <v>0.51591674041714697</v>
      </c>
    </row>
    <row r="8870" spans="5:8" ht="15.6">
      <c r="E8870" s="279" t="s">
        <v>9196</v>
      </c>
      <c r="F8870" s="284">
        <f t="shared" ca="1" si="276"/>
        <v>0.32713375192082328</v>
      </c>
      <c r="G8870" s="74">
        <v>41.988252782373856</v>
      </c>
      <c r="H8870" s="74">
        <f t="shared" si="277"/>
        <v>-1.4938524390413335</v>
      </c>
    </row>
    <row r="8871" spans="5:8" ht="15.6">
      <c r="E8871" s="279" t="s">
        <v>9197</v>
      </c>
      <c r="F8871" s="284">
        <f t="shared" ca="1" si="276"/>
        <v>2.2393793087797098E-2</v>
      </c>
      <c r="G8871" s="74">
        <v>40.431758191140382</v>
      </c>
      <c r="H8871" s="74">
        <f t="shared" si="277"/>
        <v>6.2642152192140088E-2</v>
      </c>
    </row>
    <row r="8872" spans="5:8" ht="15.6">
      <c r="E8872" s="279" t="s">
        <v>9198</v>
      </c>
      <c r="F8872" s="284">
        <f t="shared" ca="1" si="276"/>
        <v>0.97247104677084506</v>
      </c>
      <c r="G8872" s="74">
        <v>42.496977522077387</v>
      </c>
      <c r="H8872" s="74">
        <f t="shared" si="277"/>
        <v>-2.0025771787448647</v>
      </c>
    </row>
    <row r="8873" spans="5:8" ht="15.6">
      <c r="E8873" s="279" t="s">
        <v>9199</v>
      </c>
      <c r="F8873" s="284">
        <f t="shared" ca="1" si="276"/>
        <v>0.55353805279339408</v>
      </c>
      <c r="G8873" s="74">
        <v>38.796925985700689</v>
      </c>
      <c r="H8873" s="74">
        <f t="shared" si="277"/>
        <v>1.6974743576318332</v>
      </c>
    </row>
    <row r="8874" spans="5:8" ht="15.6">
      <c r="E8874" s="279" t="s">
        <v>9200</v>
      </c>
      <c r="F8874" s="284">
        <f t="shared" ca="1" si="276"/>
        <v>0.72566109272910262</v>
      </c>
      <c r="G8874" s="74">
        <v>41.701466614205806</v>
      </c>
      <c r="H8874" s="74">
        <f t="shared" si="277"/>
        <v>-1.207066270873284</v>
      </c>
    </row>
    <row r="8875" spans="5:8" ht="15.6">
      <c r="E8875" s="279" t="s">
        <v>9201</v>
      </c>
      <c r="F8875" s="284">
        <f t="shared" ca="1" si="276"/>
        <v>0.50303233882903664</v>
      </c>
      <c r="G8875" s="74">
        <v>43.514387291130376</v>
      </c>
      <c r="H8875" s="74">
        <f t="shared" si="277"/>
        <v>-3.0199869477978538</v>
      </c>
    </row>
    <row r="8876" spans="5:8" ht="15.6">
      <c r="E8876" s="279" t="s">
        <v>9202</v>
      </c>
      <c r="F8876" s="284">
        <f t="shared" ca="1" si="276"/>
        <v>0.60203040698131582</v>
      </c>
      <c r="G8876" s="74">
        <v>39.25226302173342</v>
      </c>
      <c r="H8876" s="74">
        <f t="shared" si="277"/>
        <v>1.2421373215991025</v>
      </c>
    </row>
    <row r="8877" spans="5:8" ht="15.6">
      <c r="E8877" s="279" t="s">
        <v>9203</v>
      </c>
      <c r="F8877" s="284">
        <f t="shared" ca="1" si="276"/>
        <v>0.6303024641878755</v>
      </c>
      <c r="G8877" s="74">
        <v>39.277563312320034</v>
      </c>
      <c r="H8877" s="74">
        <f t="shared" si="277"/>
        <v>1.2168370310124885</v>
      </c>
    </row>
    <row r="8878" spans="5:8" ht="15.6">
      <c r="E8878" s="279" t="s">
        <v>9204</v>
      </c>
      <c r="F8878" s="284">
        <f t="shared" ca="1" si="276"/>
        <v>0.12529476831284747</v>
      </c>
      <c r="G8878" s="74">
        <v>35.564171443068346</v>
      </c>
      <c r="H8878" s="74">
        <f t="shared" si="277"/>
        <v>4.9302289002641757</v>
      </c>
    </row>
    <row r="8879" spans="5:8" ht="15.6">
      <c r="E8879" s="279" t="s">
        <v>9205</v>
      </c>
      <c r="F8879" s="284">
        <f t="shared" ca="1" si="276"/>
        <v>0.22308790480795093</v>
      </c>
      <c r="G8879" s="74">
        <v>35.92325932361301</v>
      </c>
      <c r="H8879" s="74">
        <f t="shared" si="277"/>
        <v>4.5711410197195121</v>
      </c>
    </row>
    <row r="8880" spans="5:8" ht="15.6">
      <c r="E8880" s="279" t="s">
        <v>9206</v>
      </c>
      <c r="F8880" s="284">
        <f t="shared" ca="1" si="276"/>
        <v>0.96688217713650515</v>
      </c>
      <c r="G8880" s="74">
        <v>41.070436590484157</v>
      </c>
      <c r="H8880" s="74">
        <f t="shared" si="277"/>
        <v>-0.57603624715163448</v>
      </c>
    </row>
    <row r="8881" spans="5:8" ht="15.6">
      <c r="E8881" s="279" t="s">
        <v>9207</v>
      </c>
      <c r="F8881" s="284">
        <f t="shared" ca="1" si="276"/>
        <v>0.23951240289801956</v>
      </c>
      <c r="G8881" s="74">
        <v>34.549129091675347</v>
      </c>
      <c r="H8881" s="74">
        <f t="shared" si="277"/>
        <v>5.9452712516571751</v>
      </c>
    </row>
    <row r="8882" spans="5:8" ht="15.6">
      <c r="E8882" s="279" t="s">
        <v>9208</v>
      </c>
      <c r="F8882" s="284">
        <f t="shared" ca="1" si="276"/>
        <v>0.96970284893590908</v>
      </c>
      <c r="G8882" s="74">
        <v>41.799235344460328</v>
      </c>
      <c r="H8882" s="74">
        <f t="shared" si="277"/>
        <v>-1.304835001127806</v>
      </c>
    </row>
    <row r="8883" spans="5:8" ht="15.6">
      <c r="E8883" s="279" t="s">
        <v>9209</v>
      </c>
      <c r="F8883" s="284">
        <f t="shared" ca="1" si="276"/>
        <v>0.78152735482795377</v>
      </c>
      <c r="G8883" s="74">
        <v>37.539264711771587</v>
      </c>
      <c r="H8883" s="74">
        <f t="shared" si="277"/>
        <v>2.9551356315609354</v>
      </c>
    </row>
    <row r="8884" spans="5:8" ht="15.6">
      <c r="E8884" s="279" t="s">
        <v>9210</v>
      </c>
      <c r="F8884" s="284">
        <f t="shared" ca="1" si="276"/>
        <v>0.62607786466904569</v>
      </c>
      <c r="G8884" s="74">
        <v>42.993432784389739</v>
      </c>
      <c r="H8884" s="74">
        <f t="shared" si="277"/>
        <v>-2.4990324410572171</v>
      </c>
    </row>
    <row r="8885" spans="5:8" ht="15.6">
      <c r="E8885" s="279" t="s">
        <v>9211</v>
      </c>
      <c r="F8885" s="284">
        <f t="shared" ca="1" si="276"/>
        <v>0.24173341030780082</v>
      </c>
      <c r="G8885" s="74">
        <v>38.581345137833651</v>
      </c>
      <c r="H8885" s="74">
        <f t="shared" si="277"/>
        <v>1.9130552054988712</v>
      </c>
    </row>
    <row r="8886" spans="5:8" ht="15.6">
      <c r="E8886" s="279" t="s">
        <v>9212</v>
      </c>
      <c r="F8886" s="284">
        <f t="shared" ca="1" si="276"/>
        <v>0.77041971690590005</v>
      </c>
      <c r="G8886" s="74">
        <v>39.082905092697125</v>
      </c>
      <c r="H8886" s="74">
        <f t="shared" si="277"/>
        <v>1.4114952506353973</v>
      </c>
    </row>
    <row r="8887" spans="5:8" ht="15.6">
      <c r="E8887" s="279" t="s">
        <v>9213</v>
      </c>
      <c r="F8887" s="284">
        <f t="shared" ca="1" si="276"/>
        <v>0.91279346968722319</v>
      </c>
      <c r="G8887" s="74">
        <v>39.403986177362093</v>
      </c>
      <c r="H8887" s="74">
        <f t="shared" si="277"/>
        <v>1.0904141659704294</v>
      </c>
    </row>
    <row r="8888" spans="5:8" ht="15.6">
      <c r="E8888" s="279" t="s">
        <v>9214</v>
      </c>
      <c r="F8888" s="284">
        <f t="shared" ca="1" si="276"/>
        <v>0.4666329320789242</v>
      </c>
      <c r="G8888" s="74">
        <v>39.633030795540222</v>
      </c>
      <c r="H8888" s="74">
        <f t="shared" si="277"/>
        <v>0.86136954779230024</v>
      </c>
    </row>
    <row r="8889" spans="5:8" ht="15.6">
      <c r="E8889" s="279" t="s">
        <v>9215</v>
      </c>
      <c r="F8889" s="284">
        <f t="shared" ca="1" si="276"/>
        <v>0.36077152593397677</v>
      </c>
      <c r="G8889" s="74">
        <v>39.240105135736243</v>
      </c>
      <c r="H8889" s="74">
        <f t="shared" si="277"/>
        <v>1.2542952075962788</v>
      </c>
    </row>
    <row r="8890" spans="5:8" ht="15.6">
      <c r="E8890" s="279" t="s">
        <v>9216</v>
      </c>
      <c r="F8890" s="284">
        <f t="shared" ca="1" si="276"/>
        <v>0.82784284934149988</v>
      </c>
      <c r="G8890" s="74">
        <v>31.108681594162594</v>
      </c>
      <c r="H8890" s="74">
        <f t="shared" si="277"/>
        <v>9.3857187491699285</v>
      </c>
    </row>
    <row r="8891" spans="5:8" ht="15.6">
      <c r="E8891" s="279" t="s">
        <v>9217</v>
      </c>
      <c r="F8891" s="284">
        <f t="shared" ca="1" si="276"/>
        <v>0.91645684164134111</v>
      </c>
      <c r="G8891" s="74">
        <v>40.187116889560869</v>
      </c>
      <c r="H8891" s="74">
        <f t="shared" si="277"/>
        <v>0.30728345377165311</v>
      </c>
    </row>
    <row r="8892" spans="5:8" ht="15.6">
      <c r="E8892" s="279" t="s">
        <v>9218</v>
      </c>
      <c r="F8892" s="284">
        <f t="shared" ca="1" si="276"/>
        <v>0.80920020472698173</v>
      </c>
      <c r="G8892" s="74">
        <v>42.173348798192094</v>
      </c>
      <c r="H8892" s="74">
        <f t="shared" si="277"/>
        <v>-1.6789484548595723</v>
      </c>
    </row>
    <row r="8893" spans="5:8" ht="15.6">
      <c r="E8893" s="279" t="s">
        <v>9219</v>
      </c>
      <c r="F8893" s="284">
        <f t="shared" ca="1" si="276"/>
        <v>7.1826103015421916E-2</v>
      </c>
      <c r="G8893" s="74">
        <v>37.252032967079145</v>
      </c>
      <c r="H8893" s="74">
        <f t="shared" si="277"/>
        <v>3.2423673762533767</v>
      </c>
    </row>
    <row r="8894" spans="5:8" ht="15.6">
      <c r="E8894" s="279" t="s">
        <v>9220</v>
      </c>
      <c r="F8894" s="284">
        <f t="shared" ca="1" si="276"/>
        <v>0.21408360483768973</v>
      </c>
      <c r="G8894" s="74">
        <v>43.68479917132813</v>
      </c>
      <c r="H8894" s="74">
        <f t="shared" si="277"/>
        <v>-3.1903988279956081</v>
      </c>
    </row>
    <row r="8895" spans="5:8" ht="15.6">
      <c r="E8895" s="279" t="s">
        <v>9221</v>
      </c>
      <c r="F8895" s="284">
        <f t="shared" ca="1" si="276"/>
        <v>0.45316879412774214</v>
      </c>
      <c r="G8895" s="74">
        <v>34.818716251695008</v>
      </c>
      <c r="H8895" s="74">
        <f t="shared" si="277"/>
        <v>5.675684091637514</v>
      </c>
    </row>
    <row r="8896" spans="5:8" ht="15.6">
      <c r="E8896" s="279" t="s">
        <v>9222</v>
      </c>
      <c r="F8896" s="284">
        <f t="shared" ca="1" si="276"/>
        <v>3.2691766116536236E-2</v>
      </c>
      <c r="G8896" s="74">
        <v>41.581914671940702</v>
      </c>
      <c r="H8896" s="74">
        <f t="shared" si="277"/>
        <v>-1.0875143286081794</v>
      </c>
    </row>
    <row r="8897" spans="5:8" ht="15.6">
      <c r="E8897" s="279" t="s">
        <v>9223</v>
      </c>
      <c r="F8897" s="284">
        <f t="shared" ca="1" si="276"/>
        <v>0.54353147862063256</v>
      </c>
      <c r="G8897" s="74">
        <v>37.558317333211626</v>
      </c>
      <c r="H8897" s="74">
        <f t="shared" si="277"/>
        <v>2.9360830101208961</v>
      </c>
    </row>
    <row r="8898" spans="5:8" ht="15.6">
      <c r="E8898" s="279" t="s">
        <v>9224</v>
      </c>
      <c r="F8898" s="284">
        <f t="shared" ca="1" si="276"/>
        <v>0.80266326647915931</v>
      </c>
      <c r="G8898" s="74">
        <v>41.515515500362774</v>
      </c>
      <c r="H8898" s="74">
        <f t="shared" si="277"/>
        <v>-1.0211151570302519</v>
      </c>
    </row>
    <row r="8899" spans="5:8" ht="15.6">
      <c r="E8899" s="279" t="s">
        <v>9225</v>
      </c>
      <c r="F8899" s="284">
        <f t="shared" ca="1" si="276"/>
        <v>0.86303228265426402</v>
      </c>
      <c r="G8899" s="74">
        <v>40.281436124957231</v>
      </c>
      <c r="H8899" s="74">
        <f t="shared" si="277"/>
        <v>0.21296421837529067</v>
      </c>
    </row>
    <row r="8900" spans="5:8" ht="15.6">
      <c r="E8900" s="279" t="s">
        <v>9226</v>
      </c>
      <c r="F8900" s="284">
        <f t="shared" ca="1" si="276"/>
        <v>0.66233838762381869</v>
      </c>
      <c r="G8900" s="74">
        <v>35.389992856182118</v>
      </c>
      <c r="H8900" s="74">
        <f t="shared" si="277"/>
        <v>5.1044074871504037</v>
      </c>
    </row>
    <row r="8901" spans="5:8" ht="15.6">
      <c r="E8901" s="279" t="s">
        <v>9227</v>
      </c>
      <c r="F8901" s="284">
        <f t="shared" ca="1" si="276"/>
        <v>0.89905865555756703</v>
      </c>
      <c r="G8901" s="74">
        <v>41.778701256217502</v>
      </c>
      <c r="H8901" s="74">
        <f t="shared" si="277"/>
        <v>-1.2843009128849801</v>
      </c>
    </row>
    <row r="8902" spans="5:8" ht="15.6">
      <c r="E8902" s="279" t="s">
        <v>9228</v>
      </c>
      <c r="F8902" s="284">
        <f t="shared" ca="1" si="276"/>
        <v>0.87359881784486193</v>
      </c>
      <c r="G8902" s="74">
        <v>38.431646705773595</v>
      </c>
      <c r="H8902" s="74">
        <f t="shared" si="277"/>
        <v>2.0627536375589273</v>
      </c>
    </row>
    <row r="8903" spans="5:8" ht="15.6">
      <c r="E8903" s="279" t="s">
        <v>9229</v>
      </c>
      <c r="F8903" s="284">
        <f t="shared" ca="1" si="276"/>
        <v>0.72042401003720147</v>
      </c>
      <c r="G8903" s="74">
        <v>39.270611519040202</v>
      </c>
      <c r="H8903" s="74">
        <f t="shared" si="277"/>
        <v>1.2237888242923205</v>
      </c>
    </row>
    <row r="8904" spans="5:8" ht="15.6">
      <c r="E8904" s="279" t="s">
        <v>9230</v>
      </c>
      <c r="F8904" s="284">
        <f t="shared" ca="1" si="276"/>
        <v>0.55668725317120871</v>
      </c>
      <c r="G8904" s="74">
        <v>39.103508137976597</v>
      </c>
      <c r="H8904" s="74">
        <f t="shared" si="277"/>
        <v>1.3908922053559252</v>
      </c>
    </row>
    <row r="8905" spans="5:8" ht="15.6">
      <c r="E8905" s="279" t="s">
        <v>9231</v>
      </c>
      <c r="F8905" s="284">
        <f t="shared" ca="1" si="276"/>
        <v>0.80441904649758234</v>
      </c>
      <c r="G8905" s="74">
        <v>41.225560107208629</v>
      </c>
      <c r="H8905" s="74">
        <f t="shared" si="277"/>
        <v>-0.73115976387610715</v>
      </c>
    </row>
    <row r="8906" spans="5:8" ht="15.6">
      <c r="E8906" s="279" t="s">
        <v>9232</v>
      </c>
      <c r="F8906" s="284">
        <f t="shared" ca="1" si="276"/>
        <v>0.80032049081201717</v>
      </c>
      <c r="G8906" s="74">
        <v>40.402962308678717</v>
      </c>
      <c r="H8906" s="74">
        <f t="shared" si="277"/>
        <v>9.1438034653805289E-2</v>
      </c>
    </row>
    <row r="8907" spans="5:8" ht="15.6">
      <c r="E8907" s="279" t="s">
        <v>9233</v>
      </c>
      <c r="F8907" s="284">
        <f t="shared" ca="1" si="276"/>
        <v>0.21013474711882696</v>
      </c>
      <c r="G8907" s="74">
        <v>37.199108541646893</v>
      </c>
      <c r="H8907" s="74">
        <f t="shared" si="277"/>
        <v>3.2952918016856287</v>
      </c>
    </row>
    <row r="8908" spans="5:8" ht="15.6">
      <c r="E8908" s="279" t="s">
        <v>9234</v>
      </c>
      <c r="F8908" s="284">
        <f t="shared" ref="F8908:F8971" ca="1" si="278">RAND()</f>
        <v>0.55881394630954406</v>
      </c>
      <c r="G8908" s="74">
        <v>38.794647047150676</v>
      </c>
      <c r="H8908" s="74">
        <f t="shared" ref="H8908:H8971" si="279">$D$2-G8908</f>
        <v>1.6997532961818465</v>
      </c>
    </row>
    <row r="8909" spans="5:8" ht="15.6">
      <c r="E8909" s="279" t="s">
        <v>9235</v>
      </c>
      <c r="F8909" s="284">
        <f t="shared" ca="1" si="278"/>
        <v>0.55298283577631813</v>
      </c>
      <c r="G8909" s="74">
        <v>39.670831194876868</v>
      </c>
      <c r="H8909" s="74">
        <f t="shared" si="279"/>
        <v>0.82356914845565399</v>
      </c>
    </row>
    <row r="8910" spans="5:8" ht="15.6">
      <c r="E8910" s="279" t="s">
        <v>9236</v>
      </c>
      <c r="F8910" s="284">
        <f t="shared" ca="1" si="278"/>
        <v>0.55215709265728141</v>
      </c>
      <c r="G8910" s="74">
        <v>37.188429212887542</v>
      </c>
      <c r="H8910" s="74">
        <f t="shared" si="279"/>
        <v>3.3059711304449806</v>
      </c>
    </row>
    <row r="8911" spans="5:8" ht="15.6">
      <c r="E8911" s="279" t="s">
        <v>9237</v>
      </c>
      <c r="F8911" s="284">
        <f t="shared" ca="1" si="278"/>
        <v>9.9628500446648061E-2</v>
      </c>
      <c r="G8911" s="74">
        <v>42.413075203254436</v>
      </c>
      <c r="H8911" s="74">
        <f t="shared" si="279"/>
        <v>-1.9186748599219143</v>
      </c>
    </row>
    <row r="8912" spans="5:8" ht="15.6">
      <c r="E8912" s="279" t="s">
        <v>9238</v>
      </c>
      <c r="F8912" s="284">
        <f t="shared" ca="1" si="278"/>
        <v>0.67486637673135874</v>
      </c>
      <c r="G8912" s="74">
        <v>40.268394750730202</v>
      </c>
      <c r="H8912" s="74">
        <f t="shared" si="279"/>
        <v>0.22600559260231989</v>
      </c>
    </row>
    <row r="8913" spans="5:8" ht="15.6">
      <c r="E8913" s="279" t="s">
        <v>9239</v>
      </c>
      <c r="F8913" s="284">
        <f t="shared" ca="1" si="278"/>
        <v>0.49069817114068714</v>
      </c>
      <c r="G8913" s="74">
        <v>40.341120513965492</v>
      </c>
      <c r="H8913" s="74">
        <f t="shared" si="279"/>
        <v>0.15327982936702966</v>
      </c>
    </row>
    <row r="8914" spans="5:8" ht="15.6">
      <c r="E8914" s="279" t="s">
        <v>9240</v>
      </c>
      <c r="F8914" s="284">
        <f t="shared" ca="1" si="278"/>
        <v>0.34174461836677084</v>
      </c>
      <c r="G8914" s="74">
        <v>36.886366664037737</v>
      </c>
      <c r="H8914" s="74">
        <f t="shared" si="279"/>
        <v>3.6080336792947847</v>
      </c>
    </row>
    <row r="8915" spans="5:8" ht="15.6">
      <c r="E8915" s="279" t="s">
        <v>9241</v>
      </c>
      <c r="F8915" s="284">
        <f t="shared" ca="1" si="278"/>
        <v>8.3350510574914383E-3</v>
      </c>
      <c r="G8915" s="74">
        <v>36.223578457413083</v>
      </c>
      <c r="H8915" s="74">
        <f t="shared" si="279"/>
        <v>4.2708218859194389</v>
      </c>
    </row>
    <row r="8916" spans="5:8" ht="15.6">
      <c r="E8916" s="279" t="s">
        <v>9242</v>
      </c>
      <c r="F8916" s="284">
        <f t="shared" ca="1" si="278"/>
        <v>0.72542220787629152</v>
      </c>
      <c r="G8916" s="74">
        <v>42.184590328993515</v>
      </c>
      <c r="H8916" s="74">
        <f t="shared" si="279"/>
        <v>-1.690189985660993</v>
      </c>
    </row>
    <row r="8917" spans="5:8" ht="15.6">
      <c r="E8917" s="279" t="s">
        <v>9243</v>
      </c>
      <c r="F8917" s="284">
        <f t="shared" ca="1" si="278"/>
        <v>0.11467711914740308</v>
      </c>
      <c r="G8917" s="74">
        <v>39.286267033579549</v>
      </c>
      <c r="H8917" s="74">
        <f t="shared" si="279"/>
        <v>1.2081333097529736</v>
      </c>
    </row>
    <row r="8918" spans="5:8" ht="15.6">
      <c r="E8918" s="279" t="s">
        <v>9244</v>
      </c>
      <c r="F8918" s="284">
        <f t="shared" ca="1" si="278"/>
        <v>0.44034819124220959</v>
      </c>
      <c r="G8918" s="74">
        <v>35.267474364670989</v>
      </c>
      <c r="H8918" s="74">
        <f t="shared" si="279"/>
        <v>5.2269259786615336</v>
      </c>
    </row>
    <row r="8919" spans="5:8" ht="15.6">
      <c r="E8919" s="279" t="s">
        <v>9245</v>
      </c>
      <c r="F8919" s="284">
        <f t="shared" ca="1" si="278"/>
        <v>0.74295902080440368</v>
      </c>
      <c r="G8919" s="74">
        <v>39.260165497145515</v>
      </c>
      <c r="H8919" s="74">
        <f t="shared" si="279"/>
        <v>1.2342348461870074</v>
      </c>
    </row>
    <row r="8920" spans="5:8" ht="15.6">
      <c r="E8920" s="279" t="s">
        <v>9246</v>
      </c>
      <c r="F8920" s="284">
        <f t="shared" ca="1" si="278"/>
        <v>0.5929416788334656</v>
      </c>
      <c r="G8920" s="74">
        <v>37.143490121678397</v>
      </c>
      <c r="H8920" s="74">
        <f t="shared" si="279"/>
        <v>3.3509102216541251</v>
      </c>
    </row>
    <row r="8921" spans="5:8" ht="15.6">
      <c r="E8921" s="279" t="s">
        <v>9247</v>
      </c>
      <c r="F8921" s="284">
        <f t="shared" ca="1" si="278"/>
        <v>0.96715538957144298</v>
      </c>
      <c r="G8921" s="74">
        <v>37.991064692695538</v>
      </c>
      <c r="H8921" s="74">
        <f t="shared" si="279"/>
        <v>2.5033356506369842</v>
      </c>
    </row>
    <row r="8922" spans="5:8" ht="15.6">
      <c r="E8922" s="279" t="s">
        <v>9248</v>
      </c>
      <c r="F8922" s="284">
        <f t="shared" ca="1" si="278"/>
        <v>0.50323768626508969</v>
      </c>
      <c r="G8922" s="74">
        <v>37.609798373644665</v>
      </c>
      <c r="H8922" s="74">
        <f t="shared" si="279"/>
        <v>2.8846019696878571</v>
      </c>
    </row>
    <row r="8923" spans="5:8" ht="15.6">
      <c r="E8923" s="279" t="s">
        <v>9249</v>
      </c>
      <c r="F8923" s="284">
        <f t="shared" ca="1" si="278"/>
        <v>0.65759386463220448</v>
      </c>
      <c r="G8923" s="74">
        <v>41.9327284312321</v>
      </c>
      <c r="H8923" s="74">
        <f t="shared" si="279"/>
        <v>-1.4383280878995777</v>
      </c>
    </row>
    <row r="8924" spans="5:8" ht="15.6">
      <c r="E8924" s="279" t="s">
        <v>9250</v>
      </c>
      <c r="F8924" s="284">
        <f t="shared" ca="1" si="278"/>
        <v>0.40028012997745432</v>
      </c>
      <c r="G8924" s="74">
        <v>37.950472765159233</v>
      </c>
      <c r="H8924" s="74">
        <f t="shared" si="279"/>
        <v>2.5439275781732889</v>
      </c>
    </row>
    <row r="8925" spans="5:8" ht="15.6">
      <c r="E8925" s="279" t="s">
        <v>9251</v>
      </c>
      <c r="F8925" s="284">
        <f t="shared" ca="1" si="278"/>
        <v>0.25391785422470681</v>
      </c>
      <c r="G8925" s="74">
        <v>39.262158358269964</v>
      </c>
      <c r="H8925" s="74">
        <f t="shared" si="279"/>
        <v>1.2322419850625579</v>
      </c>
    </row>
    <row r="8926" spans="5:8" ht="15.6">
      <c r="E8926" s="279" t="s">
        <v>9252</v>
      </c>
      <c r="F8926" s="284">
        <f t="shared" ca="1" si="278"/>
        <v>0.47494134022652201</v>
      </c>
      <c r="G8926" s="74">
        <v>41.169299899717217</v>
      </c>
      <c r="H8926" s="74">
        <f t="shared" si="279"/>
        <v>-0.67489955638469468</v>
      </c>
    </row>
    <row r="8927" spans="5:8" ht="15.6">
      <c r="E8927" s="279" t="s">
        <v>9253</v>
      </c>
      <c r="F8927" s="284">
        <f t="shared" ca="1" si="278"/>
        <v>0.32054311963063187</v>
      </c>
      <c r="G8927" s="74">
        <v>40.450352606836915</v>
      </c>
      <c r="H8927" s="74">
        <f t="shared" si="279"/>
        <v>4.4047736495606671E-2</v>
      </c>
    </row>
    <row r="8928" spans="5:8" ht="15.6">
      <c r="E8928" s="279" t="s">
        <v>9254</v>
      </c>
      <c r="F8928" s="284">
        <f t="shared" ca="1" si="278"/>
        <v>0.25239498486155398</v>
      </c>
      <c r="G8928" s="74">
        <v>40.749493084503065</v>
      </c>
      <c r="H8928" s="74">
        <f t="shared" si="279"/>
        <v>-0.25509274117054304</v>
      </c>
    </row>
    <row r="8929" spans="5:8" ht="15.6">
      <c r="E8929" s="279" t="s">
        <v>9255</v>
      </c>
      <c r="F8929" s="284">
        <f t="shared" ca="1" si="278"/>
        <v>0.77403188962071268</v>
      </c>
      <c r="G8929" s="74">
        <v>35.050332114156724</v>
      </c>
      <c r="H8929" s="74">
        <f t="shared" si="279"/>
        <v>5.444068229175798</v>
      </c>
    </row>
    <row r="8930" spans="5:8" ht="15.6">
      <c r="E8930" s="279" t="s">
        <v>9256</v>
      </c>
      <c r="F8930" s="284">
        <f t="shared" ca="1" si="278"/>
        <v>0.86980419862210656</v>
      </c>
      <c r="G8930" s="74">
        <v>38.036227892274745</v>
      </c>
      <c r="H8930" s="74">
        <f t="shared" si="279"/>
        <v>2.4581724510577772</v>
      </c>
    </row>
    <row r="8931" spans="5:8" ht="15.6">
      <c r="E8931" s="279" t="s">
        <v>9257</v>
      </c>
      <c r="F8931" s="284">
        <f t="shared" ca="1" si="278"/>
        <v>0.75479955153604683</v>
      </c>
      <c r="G8931" s="74">
        <v>44.837930670528557</v>
      </c>
      <c r="H8931" s="74">
        <f t="shared" si="279"/>
        <v>-4.343530327196035</v>
      </c>
    </row>
    <row r="8932" spans="5:8" ht="15.6">
      <c r="E8932" s="279" t="s">
        <v>9258</v>
      </c>
      <c r="F8932" s="284">
        <f t="shared" ca="1" si="278"/>
        <v>0.77363982178693746</v>
      </c>
      <c r="G8932" s="74">
        <v>40.355829660993606</v>
      </c>
      <c r="H8932" s="74">
        <f t="shared" si="279"/>
        <v>0.13857068233891567</v>
      </c>
    </row>
    <row r="8933" spans="5:8" ht="15.6">
      <c r="E8933" s="279" t="s">
        <v>9259</v>
      </c>
      <c r="F8933" s="284">
        <f t="shared" ca="1" si="278"/>
        <v>7.2524897905903107E-2</v>
      </c>
      <c r="G8933" s="74">
        <v>44.118557007983362</v>
      </c>
      <c r="H8933" s="74">
        <f t="shared" si="279"/>
        <v>-3.6241566646508403</v>
      </c>
    </row>
    <row r="8934" spans="5:8" ht="15.6">
      <c r="E8934" s="279" t="s">
        <v>9260</v>
      </c>
      <c r="F8934" s="284">
        <f t="shared" ca="1" si="278"/>
        <v>0.96330767899533032</v>
      </c>
      <c r="G8934" s="74">
        <v>42.187507883499485</v>
      </c>
      <c r="H8934" s="74">
        <f t="shared" si="279"/>
        <v>-1.6931075401669631</v>
      </c>
    </row>
    <row r="8935" spans="5:8" ht="15.6">
      <c r="E8935" s="279" t="s">
        <v>9261</v>
      </c>
      <c r="F8935" s="284">
        <f t="shared" ca="1" si="278"/>
        <v>0.2938375642168185</v>
      </c>
      <c r="G8935" s="74">
        <v>38.063099318196599</v>
      </c>
      <c r="H8935" s="74">
        <f t="shared" si="279"/>
        <v>2.4313010251359231</v>
      </c>
    </row>
    <row r="8936" spans="5:8" ht="15.6">
      <c r="E8936" s="279" t="s">
        <v>9262</v>
      </c>
      <c r="F8936" s="284">
        <f t="shared" ca="1" si="278"/>
        <v>0.59000813642410355</v>
      </c>
      <c r="G8936" s="74">
        <v>37.483630400440369</v>
      </c>
      <c r="H8936" s="74">
        <f t="shared" si="279"/>
        <v>3.0107699428921535</v>
      </c>
    </row>
    <row r="8937" spans="5:8" ht="15.6">
      <c r="E8937" s="279" t="s">
        <v>9263</v>
      </c>
      <c r="F8937" s="284">
        <f t="shared" ca="1" si="278"/>
        <v>0.86305608182957105</v>
      </c>
      <c r="G8937" s="74">
        <v>41.388778353950606</v>
      </c>
      <c r="H8937" s="74">
        <f t="shared" si="279"/>
        <v>-0.89437801061808386</v>
      </c>
    </row>
    <row r="8938" spans="5:8" ht="15.6">
      <c r="E8938" s="279" t="s">
        <v>9264</v>
      </c>
      <c r="F8938" s="284">
        <f t="shared" ca="1" si="278"/>
        <v>0.56995071593536406</v>
      </c>
      <c r="G8938" s="74">
        <v>38.176132317155535</v>
      </c>
      <c r="H8938" s="74">
        <f t="shared" si="279"/>
        <v>2.3182680261769875</v>
      </c>
    </row>
    <row r="8939" spans="5:8" ht="15.6">
      <c r="E8939" s="279" t="s">
        <v>9265</v>
      </c>
      <c r="F8939" s="284">
        <f t="shared" ca="1" si="278"/>
        <v>0.19578231715967376</v>
      </c>
      <c r="G8939" s="74">
        <v>35.760477252504501</v>
      </c>
      <c r="H8939" s="74">
        <f t="shared" si="279"/>
        <v>4.7339230908280214</v>
      </c>
    </row>
    <row r="8940" spans="5:8" ht="15.6">
      <c r="E8940" s="279" t="s">
        <v>9266</v>
      </c>
      <c r="F8940" s="284">
        <f t="shared" ca="1" si="278"/>
        <v>0.9368211013654586</v>
      </c>
      <c r="G8940" s="74">
        <v>37.261923838316086</v>
      </c>
      <c r="H8940" s="74">
        <f t="shared" si="279"/>
        <v>3.2324765050164359</v>
      </c>
    </row>
    <row r="8941" spans="5:8" ht="15.6">
      <c r="E8941" s="279" t="s">
        <v>9267</v>
      </c>
      <c r="F8941" s="284">
        <f t="shared" ca="1" si="278"/>
        <v>0.60965950242857725</v>
      </c>
      <c r="G8941" s="74">
        <v>36.665394172493691</v>
      </c>
      <c r="H8941" s="74">
        <f t="shared" si="279"/>
        <v>3.8290061708388308</v>
      </c>
    </row>
    <row r="8942" spans="5:8" ht="15.6">
      <c r="E8942" s="279" t="s">
        <v>9268</v>
      </c>
      <c r="F8942" s="284">
        <f t="shared" ca="1" si="278"/>
        <v>0.76194894487801423</v>
      </c>
      <c r="G8942" s="74">
        <v>41.16127675393551</v>
      </c>
      <c r="H8942" s="74">
        <f t="shared" si="279"/>
        <v>-0.6668764106029883</v>
      </c>
    </row>
    <row r="8943" spans="5:8" ht="15.6">
      <c r="E8943" s="279" t="s">
        <v>9269</v>
      </c>
      <c r="F8943" s="284">
        <f t="shared" ca="1" si="278"/>
        <v>0.22185999565743297</v>
      </c>
      <c r="G8943" s="74">
        <v>41.620507298494296</v>
      </c>
      <c r="H8943" s="74">
        <f t="shared" si="279"/>
        <v>-1.1261069551617737</v>
      </c>
    </row>
    <row r="8944" spans="5:8" ht="15.6">
      <c r="E8944" s="279" t="s">
        <v>9270</v>
      </c>
      <c r="F8944" s="284">
        <f t="shared" ca="1" si="278"/>
        <v>0.60959987534816662</v>
      </c>
      <c r="G8944" s="74">
        <v>40.455664763189155</v>
      </c>
      <c r="H8944" s="74">
        <f t="shared" si="279"/>
        <v>3.8735580143367088E-2</v>
      </c>
    </row>
    <row r="8945" spans="5:8" ht="15.6">
      <c r="E8945" s="279" t="s">
        <v>9271</v>
      </c>
      <c r="F8945" s="284">
        <f t="shared" ca="1" si="278"/>
        <v>5.6074159969912496E-2</v>
      </c>
      <c r="G8945" s="74">
        <v>35.768651693056142</v>
      </c>
      <c r="H8945" s="74">
        <f t="shared" si="279"/>
        <v>4.7257486502763797</v>
      </c>
    </row>
    <row r="8946" spans="5:8" ht="15.6">
      <c r="E8946" s="279" t="s">
        <v>9272</v>
      </c>
      <c r="F8946" s="284">
        <f t="shared" ca="1" si="278"/>
        <v>0.42501342895337968</v>
      </c>
      <c r="G8946" s="74">
        <v>38.942820601989361</v>
      </c>
      <c r="H8946" s="74">
        <f t="shared" si="279"/>
        <v>1.5515797413431613</v>
      </c>
    </row>
    <row r="8947" spans="5:8" ht="15.6">
      <c r="E8947" s="279" t="s">
        <v>9273</v>
      </c>
      <c r="F8947" s="284">
        <f t="shared" ca="1" si="278"/>
        <v>0.1847992453966375</v>
      </c>
      <c r="G8947" s="74">
        <v>38.148873564771542</v>
      </c>
      <c r="H8947" s="74">
        <f t="shared" si="279"/>
        <v>2.3455267785609806</v>
      </c>
    </row>
    <row r="8948" spans="5:8" ht="15.6">
      <c r="E8948" s="279" t="s">
        <v>9274</v>
      </c>
      <c r="F8948" s="284">
        <f t="shared" ca="1" si="278"/>
        <v>0.69283982259705046</v>
      </c>
      <c r="G8948" s="74">
        <v>38.448669083269287</v>
      </c>
      <c r="H8948" s="74">
        <f t="shared" si="279"/>
        <v>2.0457312600632349</v>
      </c>
    </row>
    <row r="8949" spans="5:8" ht="15.6">
      <c r="E8949" s="279" t="s">
        <v>9275</v>
      </c>
      <c r="F8949" s="284">
        <f t="shared" ca="1" si="278"/>
        <v>7.5183312026822602E-2</v>
      </c>
      <c r="G8949" s="74">
        <v>42.074789240208183</v>
      </c>
      <c r="H8949" s="74">
        <f t="shared" si="279"/>
        <v>-1.580388896875661</v>
      </c>
    </row>
    <row r="8950" spans="5:8" ht="15.6">
      <c r="E8950" s="279" t="s">
        <v>9276</v>
      </c>
      <c r="F8950" s="284">
        <f t="shared" ca="1" si="278"/>
        <v>0.3355803054495976</v>
      </c>
      <c r="G8950" s="74">
        <v>38.853200751725666</v>
      </c>
      <c r="H8950" s="74">
        <f t="shared" si="279"/>
        <v>1.6411995916068562</v>
      </c>
    </row>
    <row r="8951" spans="5:8" ht="15.6">
      <c r="E8951" s="279" t="s">
        <v>9277</v>
      </c>
      <c r="F8951" s="284">
        <f t="shared" ca="1" si="278"/>
        <v>9.5106891470199573E-2</v>
      </c>
      <c r="G8951" s="74">
        <v>36.573199713632057</v>
      </c>
      <c r="H8951" s="74">
        <f t="shared" si="279"/>
        <v>3.9212006297004649</v>
      </c>
    </row>
    <row r="8952" spans="5:8" ht="15.6">
      <c r="E8952" s="279" t="s">
        <v>9278</v>
      </c>
      <c r="F8952" s="284">
        <f t="shared" ca="1" si="278"/>
        <v>5.3160340768124925E-2</v>
      </c>
      <c r="G8952" s="74">
        <v>44.184821786853625</v>
      </c>
      <c r="H8952" s="74">
        <f t="shared" si="279"/>
        <v>-3.6904214435211031</v>
      </c>
    </row>
    <row r="8953" spans="5:8" ht="15.6">
      <c r="E8953" s="279" t="s">
        <v>9279</v>
      </c>
      <c r="F8953" s="284">
        <f t="shared" ca="1" si="278"/>
        <v>0.87805646063925968</v>
      </c>
      <c r="G8953" s="74">
        <v>36.166171800092584</v>
      </c>
      <c r="H8953" s="74">
        <f t="shared" si="279"/>
        <v>4.3282285432399377</v>
      </c>
    </row>
    <row r="8954" spans="5:8" ht="15.6">
      <c r="E8954" s="279" t="s">
        <v>9280</v>
      </c>
      <c r="F8954" s="284">
        <f t="shared" ca="1" si="278"/>
        <v>0.85668888674210431</v>
      </c>
      <c r="G8954" s="74">
        <v>36.903455717203109</v>
      </c>
      <c r="H8954" s="74">
        <f t="shared" si="279"/>
        <v>3.5909446261294136</v>
      </c>
    </row>
    <row r="8955" spans="5:8" ht="15.6">
      <c r="E8955" s="279" t="s">
        <v>9281</v>
      </c>
      <c r="F8955" s="284">
        <f t="shared" ca="1" si="278"/>
        <v>0.28412017987310334</v>
      </c>
      <c r="G8955" s="74">
        <v>39.376970790295765</v>
      </c>
      <c r="H8955" s="74">
        <f t="shared" si="279"/>
        <v>1.1174295530367573</v>
      </c>
    </row>
    <row r="8956" spans="5:8" ht="15.6">
      <c r="E8956" s="279" t="s">
        <v>9282</v>
      </c>
      <c r="F8956" s="284">
        <f t="shared" ca="1" si="278"/>
        <v>0.61702865854461852</v>
      </c>
      <c r="G8956" s="74">
        <v>38.45648710636263</v>
      </c>
      <c r="H8956" s="74">
        <f t="shared" si="279"/>
        <v>2.0379132369698922</v>
      </c>
    </row>
    <row r="8957" spans="5:8" ht="15.6">
      <c r="E8957" s="279" t="s">
        <v>9283</v>
      </c>
      <c r="F8957" s="284">
        <f t="shared" ca="1" si="278"/>
        <v>0.67386717287783204</v>
      </c>
      <c r="G8957" s="74">
        <v>36.154034066190093</v>
      </c>
      <c r="H8957" s="74">
        <f t="shared" si="279"/>
        <v>4.3403662771424294</v>
      </c>
    </row>
    <row r="8958" spans="5:8" ht="15.6">
      <c r="E8958" s="279" t="s">
        <v>9284</v>
      </c>
      <c r="F8958" s="284">
        <f t="shared" ca="1" si="278"/>
        <v>0.938207635494133</v>
      </c>
      <c r="G8958" s="74">
        <v>38.189556779410118</v>
      </c>
      <c r="H8958" s="74">
        <f t="shared" si="279"/>
        <v>2.3048435639224039</v>
      </c>
    </row>
    <row r="8959" spans="5:8" ht="15.6">
      <c r="E8959" s="279" t="s">
        <v>9285</v>
      </c>
      <c r="F8959" s="284">
        <f t="shared" ca="1" si="278"/>
        <v>0.72247339059689641</v>
      </c>
      <c r="G8959" s="74">
        <v>42.862086741575411</v>
      </c>
      <c r="H8959" s="74">
        <f t="shared" si="279"/>
        <v>-2.3676863982428884</v>
      </c>
    </row>
    <row r="8960" spans="5:8" ht="15.6">
      <c r="E8960" s="279" t="s">
        <v>9286</v>
      </c>
      <c r="F8960" s="284">
        <f t="shared" ca="1" si="278"/>
        <v>0.70465778891156605</v>
      </c>
      <c r="G8960" s="74">
        <v>38.91796507588586</v>
      </c>
      <c r="H8960" s="74">
        <f t="shared" si="279"/>
        <v>1.5764352674466622</v>
      </c>
    </row>
    <row r="8961" spans="5:8" ht="15.6">
      <c r="E8961" s="279" t="s">
        <v>9287</v>
      </c>
      <c r="F8961" s="284">
        <f t="shared" ca="1" si="278"/>
        <v>0.19848884565614255</v>
      </c>
      <c r="G8961" s="74">
        <v>37.707931002535538</v>
      </c>
      <c r="H8961" s="74">
        <f t="shared" si="279"/>
        <v>2.7864693407969838</v>
      </c>
    </row>
    <row r="8962" spans="5:8" ht="15.6">
      <c r="E8962" s="279" t="s">
        <v>9288</v>
      </c>
      <c r="F8962" s="284">
        <f t="shared" ca="1" si="278"/>
        <v>0.12253648670373085</v>
      </c>
      <c r="G8962" s="74">
        <v>40.332211321678777</v>
      </c>
      <c r="H8962" s="74">
        <f t="shared" si="279"/>
        <v>0.16218902165374516</v>
      </c>
    </row>
    <row r="8963" spans="5:8" ht="15.6">
      <c r="E8963" s="279" t="s">
        <v>9289</v>
      </c>
      <c r="F8963" s="284">
        <f t="shared" ca="1" si="278"/>
        <v>0.34184386530417077</v>
      </c>
      <c r="G8963" s="74">
        <v>43.782158669386455</v>
      </c>
      <c r="H8963" s="74">
        <f t="shared" si="279"/>
        <v>-3.2877583260539325</v>
      </c>
    </row>
    <row r="8964" spans="5:8" ht="15.6">
      <c r="E8964" s="279" t="s">
        <v>9290</v>
      </c>
      <c r="F8964" s="284">
        <f t="shared" ca="1" si="278"/>
        <v>5.9162952165042748E-3</v>
      </c>
      <c r="G8964" s="74">
        <v>38.902909713904911</v>
      </c>
      <c r="H8964" s="74">
        <f t="shared" si="279"/>
        <v>1.5914906294276108</v>
      </c>
    </row>
    <row r="8965" spans="5:8" ht="15.6">
      <c r="E8965" s="279" t="s">
        <v>9291</v>
      </c>
      <c r="F8965" s="284">
        <f t="shared" ca="1" si="278"/>
        <v>0.39672455004532758</v>
      </c>
      <c r="G8965" s="74">
        <v>40.742708391958132</v>
      </c>
      <c r="H8965" s="74">
        <f t="shared" si="279"/>
        <v>-0.24830804862560996</v>
      </c>
    </row>
    <row r="8966" spans="5:8" ht="15.6">
      <c r="E8966" s="279" t="s">
        <v>9292</v>
      </c>
      <c r="F8966" s="284">
        <f t="shared" ca="1" si="278"/>
        <v>0.50090183603140559</v>
      </c>
      <c r="G8966" s="74">
        <v>40.922006144384746</v>
      </c>
      <c r="H8966" s="74">
        <f t="shared" si="279"/>
        <v>-0.42760580105222346</v>
      </c>
    </row>
    <row r="8967" spans="5:8" ht="15.6">
      <c r="E8967" s="279" t="s">
        <v>9293</v>
      </c>
      <c r="F8967" s="284">
        <f t="shared" ca="1" si="278"/>
        <v>0.90168683554648976</v>
      </c>
      <c r="G8967" s="74">
        <v>37.218034544362439</v>
      </c>
      <c r="H8967" s="74">
        <f t="shared" si="279"/>
        <v>3.2763657989700832</v>
      </c>
    </row>
    <row r="8968" spans="5:8" ht="15.6">
      <c r="E8968" s="279" t="s">
        <v>9294</v>
      </c>
      <c r="F8968" s="284">
        <f t="shared" ca="1" si="278"/>
        <v>0.37591298817302443</v>
      </c>
      <c r="G8968" s="74">
        <v>37.623503143195521</v>
      </c>
      <c r="H8968" s="74">
        <f t="shared" si="279"/>
        <v>2.8708972001370014</v>
      </c>
    </row>
    <row r="8969" spans="5:8" ht="15.6">
      <c r="E8969" s="279" t="s">
        <v>9295</v>
      </c>
      <c r="F8969" s="284">
        <f t="shared" ca="1" si="278"/>
        <v>0.47881481761012612</v>
      </c>
      <c r="G8969" s="74">
        <v>40.200614518112396</v>
      </c>
      <c r="H8969" s="74">
        <f t="shared" si="279"/>
        <v>0.29378582522012664</v>
      </c>
    </row>
    <row r="8970" spans="5:8" ht="15.6">
      <c r="E8970" s="279" t="s">
        <v>9296</v>
      </c>
      <c r="F8970" s="284">
        <f t="shared" ca="1" si="278"/>
        <v>0.35310407839461233</v>
      </c>
      <c r="G8970" s="74">
        <v>40.909333171906603</v>
      </c>
      <c r="H8970" s="74">
        <f t="shared" si="279"/>
        <v>-0.41493282857408076</v>
      </c>
    </row>
    <row r="8971" spans="5:8" ht="15.6">
      <c r="E8971" s="279" t="s">
        <v>9297</v>
      </c>
      <c r="F8971" s="284">
        <f t="shared" ca="1" si="278"/>
        <v>0.69200552862789566</v>
      </c>
      <c r="G8971" s="74">
        <v>41.5129837759305</v>
      </c>
      <c r="H8971" s="74">
        <f t="shared" si="279"/>
        <v>-1.0185834325979783</v>
      </c>
    </row>
    <row r="8972" spans="5:8" ht="15.6">
      <c r="E8972" s="279" t="s">
        <v>9298</v>
      </c>
      <c r="F8972" s="284">
        <f t="shared" ref="F8972:F9035" ca="1" si="280">RAND()</f>
        <v>0.3088337046841233</v>
      </c>
      <c r="G8972" s="74">
        <v>45.643331015603465</v>
      </c>
      <c r="H8972" s="74">
        <f t="shared" ref="H8972:H9035" si="281">$D$2-G8972</f>
        <v>-5.1489306722709429</v>
      </c>
    </row>
    <row r="8973" spans="5:8" ht="15.6">
      <c r="E8973" s="279" t="s">
        <v>9299</v>
      </c>
      <c r="F8973" s="284">
        <f t="shared" ca="1" si="280"/>
        <v>0.93117905516690513</v>
      </c>
      <c r="G8973" s="74">
        <v>43.139335761242982</v>
      </c>
      <c r="H8973" s="74">
        <f t="shared" si="281"/>
        <v>-2.6449354179104603</v>
      </c>
    </row>
    <row r="8974" spans="5:8" ht="15.6">
      <c r="E8974" s="279" t="s">
        <v>9300</v>
      </c>
      <c r="F8974" s="284">
        <f t="shared" ca="1" si="280"/>
        <v>0.72928766532142641</v>
      </c>
      <c r="G8974" s="74">
        <v>42.850095391150148</v>
      </c>
      <c r="H8974" s="74">
        <f t="shared" si="281"/>
        <v>-2.3556950478176262</v>
      </c>
    </row>
    <row r="8975" spans="5:8" ht="15.6">
      <c r="E8975" s="279" t="s">
        <v>9301</v>
      </c>
      <c r="F8975" s="284">
        <f t="shared" ca="1" si="280"/>
        <v>0.43157973649448678</v>
      </c>
      <c r="G8975" s="74">
        <v>37.664356845101992</v>
      </c>
      <c r="H8975" s="74">
        <f t="shared" si="281"/>
        <v>2.8300434982305305</v>
      </c>
    </row>
    <row r="8976" spans="5:8" ht="15.6">
      <c r="E8976" s="279" t="s">
        <v>9302</v>
      </c>
      <c r="F8976" s="284">
        <f t="shared" ca="1" si="280"/>
        <v>7.8685819099310272E-2</v>
      </c>
      <c r="G8976" s="74">
        <v>36.319381953008161</v>
      </c>
      <c r="H8976" s="74">
        <f t="shared" si="281"/>
        <v>4.175018390324361</v>
      </c>
    </row>
    <row r="8977" spans="5:8" ht="15.6">
      <c r="E8977" s="279" t="s">
        <v>9303</v>
      </c>
      <c r="F8977" s="284">
        <f t="shared" ca="1" si="280"/>
        <v>0.23517972352125771</v>
      </c>
      <c r="G8977" s="74">
        <v>37.430596295545321</v>
      </c>
      <c r="H8977" s="74">
        <f t="shared" si="281"/>
        <v>3.0638040477872011</v>
      </c>
    </row>
    <row r="8978" spans="5:8" ht="15.6">
      <c r="E8978" s="279" t="s">
        <v>9304</v>
      </c>
      <c r="F8978" s="284">
        <f t="shared" ca="1" si="280"/>
        <v>0.86297466639791642</v>
      </c>
      <c r="G8978" s="74">
        <v>36.889181755809723</v>
      </c>
      <c r="H8978" s="74">
        <f t="shared" si="281"/>
        <v>3.6052185875227991</v>
      </c>
    </row>
    <row r="8979" spans="5:8" ht="15.6">
      <c r="E8979" s="279" t="s">
        <v>9305</v>
      </c>
      <c r="F8979" s="284">
        <f t="shared" ca="1" si="280"/>
        <v>0.71887453191715878</v>
      </c>
      <c r="G8979" s="74">
        <v>38.745192851137034</v>
      </c>
      <c r="H8979" s="74">
        <f t="shared" si="281"/>
        <v>1.7492074921954881</v>
      </c>
    </row>
    <row r="8980" spans="5:8" ht="15.6">
      <c r="E8980" s="279" t="s">
        <v>9306</v>
      </c>
      <c r="F8980" s="284">
        <f t="shared" ca="1" si="280"/>
        <v>0.22068117053645464</v>
      </c>
      <c r="G8980" s="74">
        <v>41.599526872292529</v>
      </c>
      <c r="H8980" s="74">
        <f t="shared" si="281"/>
        <v>-1.1051265289600067</v>
      </c>
    </row>
    <row r="8981" spans="5:8" ht="15.6">
      <c r="E8981" s="279" t="s">
        <v>9307</v>
      </c>
      <c r="F8981" s="284">
        <f t="shared" ca="1" si="280"/>
        <v>0.15847333106213546</v>
      </c>
      <c r="G8981" s="74">
        <v>39.764239000956159</v>
      </c>
      <c r="H8981" s="74">
        <f t="shared" si="281"/>
        <v>0.73016134237636265</v>
      </c>
    </row>
    <row r="8982" spans="5:8" ht="15.6">
      <c r="E8982" s="279" t="s">
        <v>9308</v>
      </c>
      <c r="F8982" s="284">
        <f t="shared" ca="1" si="280"/>
        <v>0.96579263545212146</v>
      </c>
      <c r="G8982" s="74">
        <v>38.634332453119214</v>
      </c>
      <c r="H8982" s="74">
        <f t="shared" si="281"/>
        <v>1.8600678902133083</v>
      </c>
    </row>
    <row r="8983" spans="5:8" ht="15.6">
      <c r="E8983" s="279" t="s">
        <v>9309</v>
      </c>
      <c r="F8983" s="284">
        <f t="shared" ca="1" si="280"/>
        <v>0.25853508380028378</v>
      </c>
      <c r="G8983" s="74">
        <v>39.582460542037687</v>
      </c>
      <c r="H8983" s="74">
        <f t="shared" si="281"/>
        <v>0.91193980129483521</v>
      </c>
    </row>
    <row r="8984" spans="5:8" ht="15.6">
      <c r="E8984" s="279" t="s">
        <v>9310</v>
      </c>
      <c r="F8984" s="284">
        <f t="shared" ca="1" si="280"/>
        <v>0.31873968298413335</v>
      </c>
      <c r="G8984" s="74">
        <v>40.176777771980134</v>
      </c>
      <c r="H8984" s="74">
        <f t="shared" si="281"/>
        <v>0.31762257135238769</v>
      </c>
    </row>
    <row r="8985" spans="5:8" ht="15.6">
      <c r="E8985" s="279" t="s">
        <v>9311</v>
      </c>
      <c r="F8985" s="284">
        <f t="shared" ca="1" si="280"/>
        <v>0.87402648261351978</v>
      </c>
      <c r="G8985" s="74">
        <v>46.334944303198917</v>
      </c>
      <c r="H8985" s="74">
        <f t="shared" si="281"/>
        <v>-5.8405439598663946</v>
      </c>
    </row>
    <row r="8986" spans="5:8" ht="15.6">
      <c r="E8986" s="279" t="s">
        <v>9312</v>
      </c>
      <c r="F8986" s="284">
        <f t="shared" ca="1" si="280"/>
        <v>0.9058214554155698</v>
      </c>
      <c r="G8986" s="74">
        <v>37.389862344876228</v>
      </c>
      <c r="H8986" s="74">
        <f t="shared" si="281"/>
        <v>3.1045379984562942</v>
      </c>
    </row>
    <row r="8987" spans="5:8" ht="15.6">
      <c r="E8987" s="279" t="s">
        <v>9313</v>
      </c>
      <c r="F8987" s="284">
        <f t="shared" ca="1" si="280"/>
        <v>7.4398713033863584E-2</v>
      </c>
      <c r="G8987" s="74">
        <v>42.804060176877506</v>
      </c>
      <c r="H8987" s="74">
        <f t="shared" si="281"/>
        <v>-2.3096598335449841</v>
      </c>
    </row>
    <row r="8988" spans="5:8" ht="15.6">
      <c r="E8988" s="279" t="s">
        <v>9314</v>
      </c>
      <c r="F8988" s="284">
        <f t="shared" ca="1" si="280"/>
        <v>0.23556622158113483</v>
      </c>
      <c r="G8988" s="74">
        <v>37.573365007643716</v>
      </c>
      <c r="H8988" s="74">
        <f t="shared" si="281"/>
        <v>2.9210353356888064</v>
      </c>
    </row>
    <row r="8989" spans="5:8" ht="15.6">
      <c r="E8989" s="279" t="s">
        <v>9315</v>
      </c>
      <c r="F8989" s="284">
        <f t="shared" ca="1" si="280"/>
        <v>3.3888099467780153E-2</v>
      </c>
      <c r="G8989" s="74">
        <v>40.337610447282614</v>
      </c>
      <c r="H8989" s="74">
        <f t="shared" si="281"/>
        <v>0.1567898960499079</v>
      </c>
    </row>
    <row r="8990" spans="5:8" ht="15.6">
      <c r="E8990" s="279" t="s">
        <v>9316</v>
      </c>
      <c r="F8990" s="284">
        <f t="shared" ca="1" si="280"/>
        <v>0.28734732833993104</v>
      </c>
      <c r="G8990" s="74">
        <v>39.792382326937378</v>
      </c>
      <c r="H8990" s="74">
        <f t="shared" si="281"/>
        <v>0.70201801639514372</v>
      </c>
    </row>
    <row r="8991" spans="5:8" ht="15.6">
      <c r="E8991" s="279" t="s">
        <v>9317</v>
      </c>
      <c r="F8991" s="284">
        <f t="shared" ca="1" si="280"/>
        <v>0.67773175110503181</v>
      </c>
      <c r="G8991" s="74">
        <v>39.80124965236449</v>
      </c>
      <c r="H8991" s="74">
        <f t="shared" si="281"/>
        <v>0.69315069096803228</v>
      </c>
    </row>
    <row r="8992" spans="5:8" ht="15.6">
      <c r="E8992" s="279" t="s">
        <v>9318</v>
      </c>
      <c r="F8992" s="284">
        <f t="shared" ca="1" si="280"/>
        <v>0.11536968783193602</v>
      </c>
      <c r="G8992" s="74">
        <v>42.051109316497239</v>
      </c>
      <c r="H8992" s="74">
        <f t="shared" si="281"/>
        <v>-1.5567089731647172</v>
      </c>
    </row>
    <row r="8993" spans="5:8" ht="15.6">
      <c r="E8993" s="279" t="s">
        <v>9319</v>
      </c>
      <c r="F8993" s="284">
        <f t="shared" ca="1" si="280"/>
        <v>0.8543539108014917</v>
      </c>
      <c r="G8993" s="74">
        <v>38.283521282047055</v>
      </c>
      <c r="H8993" s="74">
        <f t="shared" si="281"/>
        <v>2.2108790612854676</v>
      </c>
    </row>
    <row r="8994" spans="5:8" ht="15.6">
      <c r="E8994" s="279" t="s">
        <v>9320</v>
      </c>
      <c r="F8994" s="284">
        <f t="shared" ca="1" si="280"/>
        <v>0.56528256386101772</v>
      </c>
      <c r="G8994" s="74">
        <v>33.178480101220245</v>
      </c>
      <c r="H8994" s="74">
        <f t="shared" si="281"/>
        <v>7.3159202421122771</v>
      </c>
    </row>
    <row r="8995" spans="5:8" ht="15.6">
      <c r="E8995" s="279" t="s">
        <v>9321</v>
      </c>
      <c r="F8995" s="284">
        <f t="shared" ca="1" si="280"/>
        <v>0.62138538633852569</v>
      </c>
      <c r="G8995" s="74">
        <v>40.359516575930343</v>
      </c>
      <c r="H8995" s="74">
        <f t="shared" si="281"/>
        <v>0.13488376740217944</v>
      </c>
    </row>
    <row r="8996" spans="5:8" ht="15.6">
      <c r="E8996" s="279" t="s">
        <v>9322</v>
      </c>
      <c r="F8996" s="284">
        <f t="shared" ca="1" si="280"/>
        <v>0.14770262889811181</v>
      </c>
      <c r="G8996" s="74">
        <v>39.539920051144577</v>
      </c>
      <c r="H8996" s="74">
        <f t="shared" si="281"/>
        <v>0.95448029218794517</v>
      </c>
    </row>
    <row r="8997" spans="5:8" ht="15.6">
      <c r="E8997" s="279" t="s">
        <v>9323</v>
      </c>
      <c r="F8997" s="284">
        <f t="shared" ca="1" si="280"/>
        <v>0.31293720661235258</v>
      </c>
      <c r="G8997" s="74">
        <v>43.179507106091911</v>
      </c>
      <c r="H8997" s="74">
        <f t="shared" si="281"/>
        <v>-2.6851067627593892</v>
      </c>
    </row>
    <row r="8998" spans="5:8" ht="15.6">
      <c r="E8998" s="279" t="s">
        <v>9324</v>
      </c>
      <c r="F8998" s="284">
        <f t="shared" ca="1" si="280"/>
        <v>0.18612170809298267</v>
      </c>
      <c r="G8998" s="74">
        <v>38.469809705853855</v>
      </c>
      <c r="H8998" s="74">
        <f t="shared" si="281"/>
        <v>2.0245906374786671</v>
      </c>
    </row>
    <row r="8999" spans="5:8" ht="15.6">
      <c r="E8999" s="279" t="s">
        <v>9325</v>
      </c>
      <c r="F8999" s="284">
        <f t="shared" ca="1" si="280"/>
        <v>0.69227069159291399</v>
      </c>
      <c r="G8999" s="74">
        <v>36.830776216197279</v>
      </c>
      <c r="H8999" s="74">
        <f t="shared" si="281"/>
        <v>3.6636241271352432</v>
      </c>
    </row>
    <row r="9000" spans="5:8" ht="15.6">
      <c r="E9000" s="279" t="s">
        <v>9326</v>
      </c>
      <c r="F9000" s="284">
        <f t="shared" ca="1" si="280"/>
        <v>0.34664764809171145</v>
      </c>
      <c r="G9000" s="74">
        <v>40.357029169253551</v>
      </c>
      <c r="H9000" s="74">
        <f t="shared" si="281"/>
        <v>0.13737117407897159</v>
      </c>
    </row>
    <row r="9001" spans="5:8" ht="15.6">
      <c r="E9001" s="279" t="s">
        <v>9327</v>
      </c>
      <c r="F9001" s="284">
        <f t="shared" ca="1" si="280"/>
        <v>0.18403338140772718</v>
      </c>
      <c r="G9001" s="74">
        <v>40.689228633505778</v>
      </c>
      <c r="H9001" s="74">
        <f t="shared" si="281"/>
        <v>-0.19482829017325543</v>
      </c>
    </row>
    <row r="9002" spans="5:8" ht="15.6">
      <c r="E9002" s="279" t="s">
        <v>9328</v>
      </c>
      <c r="F9002" s="284">
        <f t="shared" ca="1" si="280"/>
        <v>7.1870136293545328E-2</v>
      </c>
      <c r="G9002" s="74">
        <v>34.029841564228875</v>
      </c>
      <c r="H9002" s="74">
        <f t="shared" si="281"/>
        <v>6.4645587791036476</v>
      </c>
    </row>
    <row r="9003" spans="5:8" ht="15.6">
      <c r="E9003" s="279" t="s">
        <v>9329</v>
      </c>
      <c r="F9003" s="284">
        <f t="shared" ca="1" si="280"/>
        <v>8.6529992046116E-2</v>
      </c>
      <c r="G9003" s="74">
        <v>40.196195905851845</v>
      </c>
      <c r="H9003" s="74">
        <f t="shared" si="281"/>
        <v>0.2982044374806776</v>
      </c>
    </row>
    <row r="9004" spans="5:8" ht="15.6">
      <c r="E9004" s="279" t="s">
        <v>9330</v>
      </c>
      <c r="F9004" s="284">
        <f t="shared" ca="1" si="280"/>
        <v>0.29703709229063979</v>
      </c>
      <c r="G9004" s="74">
        <v>35.708386216580891</v>
      </c>
      <c r="H9004" s="74">
        <f t="shared" si="281"/>
        <v>4.7860141267516312</v>
      </c>
    </row>
    <row r="9005" spans="5:8" ht="15.6">
      <c r="E9005" s="279" t="s">
        <v>9331</v>
      </c>
      <c r="F9005" s="284">
        <f t="shared" ca="1" si="280"/>
        <v>0.22321961249808797</v>
      </c>
      <c r="G9005" s="74">
        <v>38.815154360766165</v>
      </c>
      <c r="H9005" s="74">
        <f t="shared" si="281"/>
        <v>1.679245982566357</v>
      </c>
    </row>
    <row r="9006" spans="5:8" ht="15.6">
      <c r="E9006" s="279" t="s">
        <v>9332</v>
      </c>
      <c r="F9006" s="284">
        <f t="shared" ca="1" si="280"/>
        <v>0.3063743640183022</v>
      </c>
      <c r="G9006" s="74">
        <v>39.021857388744962</v>
      </c>
      <c r="H9006" s="74">
        <f t="shared" si="281"/>
        <v>1.4725429545875599</v>
      </c>
    </row>
    <row r="9007" spans="5:8" ht="15.6">
      <c r="E9007" s="279" t="s">
        <v>9333</v>
      </c>
      <c r="F9007" s="284">
        <f t="shared" ca="1" si="280"/>
        <v>0.93213385124530368</v>
      </c>
      <c r="G9007" s="74">
        <v>37.807298859629256</v>
      </c>
      <c r="H9007" s="74">
        <f t="shared" si="281"/>
        <v>2.6871014837032661</v>
      </c>
    </row>
    <row r="9008" spans="5:8" ht="15.6">
      <c r="E9008" s="279" t="s">
        <v>9334</v>
      </c>
      <c r="F9008" s="284">
        <f t="shared" ca="1" si="280"/>
        <v>0.72450653039247159</v>
      </c>
      <c r="G9008" s="74">
        <v>37.871382486936433</v>
      </c>
      <c r="H9008" s="74">
        <f t="shared" si="281"/>
        <v>2.6230178563960891</v>
      </c>
    </row>
    <row r="9009" spans="5:8" ht="15.6">
      <c r="E9009" s="279" t="s">
        <v>9335</v>
      </c>
      <c r="F9009" s="284">
        <f t="shared" ca="1" si="280"/>
        <v>0.27995736534300975</v>
      </c>
      <c r="G9009" s="74">
        <v>40.118218695961467</v>
      </c>
      <c r="H9009" s="74">
        <f t="shared" si="281"/>
        <v>0.37618164737105531</v>
      </c>
    </row>
    <row r="9010" spans="5:8" ht="15.6">
      <c r="E9010" s="279" t="s">
        <v>9336</v>
      </c>
      <c r="F9010" s="284">
        <f t="shared" ca="1" si="280"/>
        <v>0.47966872198678268</v>
      </c>
      <c r="G9010" s="74">
        <v>39.539671642569083</v>
      </c>
      <c r="H9010" s="74">
        <f t="shared" si="281"/>
        <v>0.95472870076343952</v>
      </c>
    </row>
    <row r="9011" spans="5:8" ht="15.6">
      <c r="E9011" s="279" t="s">
        <v>9337</v>
      </c>
      <c r="F9011" s="284">
        <f t="shared" ca="1" si="280"/>
        <v>0.34512980303675289</v>
      </c>
      <c r="G9011" s="74">
        <v>39.900841519568466</v>
      </c>
      <c r="H9011" s="74">
        <f t="shared" si="281"/>
        <v>0.59355882376405589</v>
      </c>
    </row>
    <row r="9012" spans="5:8" ht="15.6">
      <c r="E9012" s="279" t="s">
        <v>9338</v>
      </c>
      <c r="F9012" s="284">
        <f t="shared" ca="1" si="280"/>
        <v>0.56836247123915817</v>
      </c>
      <c r="G9012" s="74">
        <v>35.501831452316594</v>
      </c>
      <c r="H9012" s="74">
        <f t="shared" si="281"/>
        <v>4.992568891015928</v>
      </c>
    </row>
    <row r="9013" spans="5:8" ht="15.6">
      <c r="E9013" s="279" t="s">
        <v>9339</v>
      </c>
      <c r="F9013" s="284">
        <f t="shared" ca="1" si="280"/>
        <v>0.14425806801153607</v>
      </c>
      <c r="G9013" s="74">
        <v>38.954110824125372</v>
      </c>
      <c r="H9013" s="74">
        <f t="shared" si="281"/>
        <v>1.5402895192071497</v>
      </c>
    </row>
    <row r="9014" spans="5:8" ht="15.6">
      <c r="E9014" s="279" t="s">
        <v>9340</v>
      </c>
      <c r="F9014" s="284">
        <f t="shared" ca="1" si="280"/>
        <v>0.66769041474624524</v>
      </c>
      <c r="G9014" s="74">
        <v>37.113995192777281</v>
      </c>
      <c r="H9014" s="74">
        <f t="shared" si="281"/>
        <v>3.3804051505552408</v>
      </c>
    </row>
    <row r="9015" spans="5:8" ht="15.6">
      <c r="E9015" s="279" t="s">
        <v>9341</v>
      </c>
      <c r="F9015" s="284">
        <f t="shared" ca="1" si="280"/>
        <v>0.10643508149989622</v>
      </c>
      <c r="G9015" s="74">
        <v>37.639243842525282</v>
      </c>
      <c r="H9015" s="74">
        <f t="shared" si="281"/>
        <v>2.8551565008072401</v>
      </c>
    </row>
    <row r="9016" spans="5:8" ht="15.6">
      <c r="E9016" s="279" t="s">
        <v>9342</v>
      </c>
      <c r="F9016" s="284">
        <f t="shared" ca="1" si="280"/>
        <v>0.98429743032789752</v>
      </c>
      <c r="G9016" s="74">
        <v>41.703596280721165</v>
      </c>
      <c r="H9016" s="74">
        <f t="shared" si="281"/>
        <v>-1.2091959373886425</v>
      </c>
    </row>
    <row r="9017" spans="5:8" ht="15.6">
      <c r="E9017" s="279" t="s">
        <v>9343</v>
      </c>
      <c r="F9017" s="284">
        <f t="shared" ca="1" si="280"/>
        <v>0.88637195893430543</v>
      </c>
      <c r="G9017" s="74">
        <v>37.520240022230439</v>
      </c>
      <c r="H9017" s="74">
        <f t="shared" si="281"/>
        <v>2.9741603211020831</v>
      </c>
    </row>
    <row r="9018" spans="5:8" ht="15.6">
      <c r="E9018" s="279" t="s">
        <v>9344</v>
      </c>
      <c r="F9018" s="284">
        <f t="shared" ca="1" si="280"/>
        <v>0.22071133275690091</v>
      </c>
      <c r="G9018" s="74">
        <v>34.945763003255728</v>
      </c>
      <c r="H9018" s="74">
        <f t="shared" si="281"/>
        <v>5.5486373400767945</v>
      </c>
    </row>
    <row r="9019" spans="5:8" ht="15.6">
      <c r="E9019" s="279" t="s">
        <v>9345</v>
      </c>
      <c r="F9019" s="284">
        <f t="shared" ca="1" si="280"/>
        <v>0.20621115494141373</v>
      </c>
      <c r="G9019" s="74">
        <v>39.882164734906418</v>
      </c>
      <c r="H9019" s="74">
        <f t="shared" si="281"/>
        <v>0.61223560842610425</v>
      </c>
    </row>
    <row r="9020" spans="5:8" ht="15.6">
      <c r="E9020" s="279" t="s">
        <v>9346</v>
      </c>
      <c r="F9020" s="284">
        <f t="shared" ca="1" si="280"/>
        <v>4.812166783459948E-2</v>
      </c>
      <c r="G9020" s="74">
        <v>38.975015541134198</v>
      </c>
      <c r="H9020" s="74">
        <f t="shared" si="281"/>
        <v>1.5193848021983243</v>
      </c>
    </row>
    <row r="9021" spans="5:8" ht="15.6">
      <c r="E9021" s="279" t="s">
        <v>9347</v>
      </c>
      <c r="F9021" s="284">
        <f t="shared" ca="1" si="280"/>
        <v>0.21198563078382915</v>
      </c>
      <c r="G9021" s="74">
        <v>41.871505000018125</v>
      </c>
      <c r="H9021" s="74">
        <f t="shared" si="281"/>
        <v>-1.3771046566856029</v>
      </c>
    </row>
    <row r="9022" spans="5:8" ht="15.6">
      <c r="E9022" s="279" t="s">
        <v>9348</v>
      </c>
      <c r="F9022" s="284">
        <f t="shared" ca="1" si="280"/>
        <v>0.21509774228187539</v>
      </c>
      <c r="G9022" s="74">
        <v>40.173793119669511</v>
      </c>
      <c r="H9022" s="74">
        <f t="shared" si="281"/>
        <v>0.32060722366301064</v>
      </c>
    </row>
    <row r="9023" spans="5:8" ht="15.6">
      <c r="E9023" s="279" t="s">
        <v>9349</v>
      </c>
      <c r="F9023" s="284">
        <f t="shared" ca="1" si="280"/>
        <v>0.78667427275911206</v>
      </c>
      <c r="G9023" s="74">
        <v>40.533304011191674</v>
      </c>
      <c r="H9023" s="74">
        <f t="shared" si="281"/>
        <v>-3.8903667859152335E-2</v>
      </c>
    </row>
    <row r="9024" spans="5:8" ht="15.6">
      <c r="E9024" s="279" t="s">
        <v>9350</v>
      </c>
      <c r="F9024" s="284">
        <f t="shared" ca="1" si="280"/>
        <v>0.42150242271252758</v>
      </c>
      <c r="G9024" s="74">
        <v>40.795189807751576</v>
      </c>
      <c r="H9024" s="74">
        <f t="shared" si="281"/>
        <v>-0.3007894644190543</v>
      </c>
    </row>
    <row r="9025" spans="5:8" ht="15.6">
      <c r="E9025" s="279" t="s">
        <v>9351</v>
      </c>
      <c r="F9025" s="284">
        <f t="shared" ca="1" si="280"/>
        <v>0.51297919559796556</v>
      </c>
      <c r="G9025" s="74">
        <v>39.753695370302701</v>
      </c>
      <c r="H9025" s="74">
        <f t="shared" si="281"/>
        <v>0.74070497302982119</v>
      </c>
    </row>
    <row r="9026" spans="5:8" ht="15.6">
      <c r="E9026" s="279" t="s">
        <v>9352</v>
      </c>
      <c r="F9026" s="284">
        <f t="shared" ca="1" si="280"/>
        <v>8.0641298355943358E-2</v>
      </c>
      <c r="G9026" s="74">
        <v>38.396673027917934</v>
      </c>
      <c r="H9026" s="74">
        <f t="shared" si="281"/>
        <v>2.0977273154145877</v>
      </c>
    </row>
    <row r="9027" spans="5:8" ht="15.6">
      <c r="E9027" s="279" t="s">
        <v>9353</v>
      </c>
      <c r="F9027" s="284">
        <f t="shared" ca="1" si="280"/>
        <v>0.51130674994207626</v>
      </c>
      <c r="G9027" s="74">
        <v>40.667367888937868</v>
      </c>
      <c r="H9027" s="74">
        <f t="shared" si="281"/>
        <v>-0.17296754560534566</v>
      </c>
    </row>
    <row r="9028" spans="5:8" ht="15.6">
      <c r="E9028" s="279" t="s">
        <v>9354</v>
      </c>
      <c r="F9028" s="284">
        <f t="shared" ca="1" si="280"/>
        <v>0.79968704264719559</v>
      </c>
      <c r="G9028" s="74">
        <v>37.914565774162632</v>
      </c>
      <c r="H9028" s="74">
        <f t="shared" si="281"/>
        <v>2.5798345691698898</v>
      </c>
    </row>
    <row r="9029" spans="5:8" ht="15.6">
      <c r="E9029" s="279" t="s">
        <v>9355</v>
      </c>
      <c r="F9029" s="284">
        <f t="shared" ca="1" si="280"/>
        <v>0.61462129991341097</v>
      </c>
      <c r="G9029" s="74">
        <v>41.643211616169651</v>
      </c>
      <c r="H9029" s="74">
        <f t="shared" si="281"/>
        <v>-1.1488112728371291</v>
      </c>
    </row>
    <row r="9030" spans="5:8" ht="15.6">
      <c r="E9030" s="279" t="s">
        <v>9356</v>
      </c>
      <c r="F9030" s="284">
        <f t="shared" ca="1" si="280"/>
        <v>0.93161796017111442</v>
      </c>
      <c r="G9030" s="74">
        <v>45.089078454731357</v>
      </c>
      <c r="H9030" s="74">
        <f t="shared" si="281"/>
        <v>-4.5946781113988351</v>
      </c>
    </row>
    <row r="9031" spans="5:8" ht="15.6">
      <c r="E9031" s="279" t="s">
        <v>9357</v>
      </c>
      <c r="F9031" s="284">
        <f t="shared" ca="1" si="280"/>
        <v>0.85923592059304366</v>
      </c>
      <c r="G9031" s="74">
        <v>42.258859318562394</v>
      </c>
      <c r="H9031" s="74">
        <f t="shared" si="281"/>
        <v>-1.7644589752298714</v>
      </c>
    </row>
    <row r="9032" spans="5:8" ht="15.6">
      <c r="E9032" s="279" t="s">
        <v>9358</v>
      </c>
      <c r="F9032" s="284">
        <f t="shared" ca="1" si="280"/>
        <v>6.3682451509806226E-2</v>
      </c>
      <c r="G9032" s="74">
        <v>38.043341952193131</v>
      </c>
      <c r="H9032" s="74">
        <f t="shared" si="281"/>
        <v>2.4510583911393908</v>
      </c>
    </row>
    <row r="9033" spans="5:8" ht="15.6">
      <c r="E9033" s="279" t="s">
        <v>9359</v>
      </c>
      <c r="F9033" s="284">
        <f t="shared" ca="1" si="280"/>
        <v>0.63486650194501726</v>
      </c>
      <c r="G9033" s="74">
        <v>46.485770687473263</v>
      </c>
      <c r="H9033" s="74">
        <f t="shared" si="281"/>
        <v>-5.9913703441407407</v>
      </c>
    </row>
    <row r="9034" spans="5:8" ht="15.6">
      <c r="E9034" s="279" t="s">
        <v>9360</v>
      </c>
      <c r="F9034" s="284">
        <f t="shared" ca="1" si="280"/>
        <v>0.42081745397108417</v>
      </c>
      <c r="G9034" s="74">
        <v>42.368223546894775</v>
      </c>
      <c r="H9034" s="74">
        <f t="shared" si="281"/>
        <v>-1.8738232035622531</v>
      </c>
    </row>
    <row r="9035" spans="5:8" ht="15.6">
      <c r="E9035" s="279" t="s">
        <v>9361</v>
      </c>
      <c r="F9035" s="284">
        <f t="shared" ca="1" si="280"/>
        <v>4.2715576825613222E-2</v>
      </c>
      <c r="G9035" s="74">
        <v>40.63237077351458</v>
      </c>
      <c r="H9035" s="74">
        <f t="shared" si="281"/>
        <v>-0.13797043018205812</v>
      </c>
    </row>
    <row r="9036" spans="5:8" ht="15.6">
      <c r="E9036" s="279" t="s">
        <v>9362</v>
      </c>
      <c r="F9036" s="284">
        <f t="shared" ref="F9036:F9099" ca="1" si="282">RAND()</f>
        <v>0.8828462761073621</v>
      </c>
      <c r="G9036" s="74">
        <v>39.559778689630953</v>
      </c>
      <c r="H9036" s="74">
        <f t="shared" ref="H9036:H9099" si="283">$D$2-G9036</f>
        <v>0.93462165370156924</v>
      </c>
    </row>
    <row r="9037" spans="5:8" ht="15.6">
      <c r="E9037" s="279" t="s">
        <v>9363</v>
      </c>
      <c r="F9037" s="284">
        <f t="shared" ca="1" si="282"/>
        <v>0.60661828049262922</v>
      </c>
      <c r="G9037" s="74">
        <v>44.183602076609439</v>
      </c>
      <c r="H9037" s="74">
        <f t="shared" si="283"/>
        <v>-3.6892017332769171</v>
      </c>
    </row>
    <row r="9038" spans="5:8" ht="15.6">
      <c r="E9038" s="279" t="s">
        <v>9364</v>
      </c>
      <c r="F9038" s="284">
        <f t="shared" ca="1" si="282"/>
        <v>0.94756190695605835</v>
      </c>
      <c r="G9038" s="74">
        <v>42.958558146419861</v>
      </c>
      <c r="H9038" s="74">
        <f t="shared" si="283"/>
        <v>-2.464157803087339</v>
      </c>
    </row>
    <row r="9039" spans="5:8" ht="15.6">
      <c r="E9039" s="279" t="s">
        <v>9365</v>
      </c>
      <c r="F9039" s="284">
        <f t="shared" ca="1" si="282"/>
        <v>3.0447008238288942E-2</v>
      </c>
      <c r="G9039" s="74">
        <v>45.424976125534478</v>
      </c>
      <c r="H9039" s="74">
        <f t="shared" si="283"/>
        <v>-4.9305757822019558</v>
      </c>
    </row>
    <row r="9040" spans="5:8" ht="15.6">
      <c r="E9040" s="279" t="s">
        <v>9366</v>
      </c>
      <c r="F9040" s="284">
        <f t="shared" ca="1" si="282"/>
        <v>0.62706489979126756</v>
      </c>
      <c r="G9040" s="74">
        <v>40.396078442215561</v>
      </c>
      <c r="H9040" s="74">
        <f t="shared" si="283"/>
        <v>9.832190111696093E-2</v>
      </c>
    </row>
    <row r="9041" spans="5:8" ht="15.6">
      <c r="E9041" s="279" t="s">
        <v>9367</v>
      </c>
      <c r="F9041" s="284">
        <f t="shared" ca="1" si="282"/>
        <v>0.52555991124592616</v>
      </c>
      <c r="G9041" s="74">
        <v>37.857042566610595</v>
      </c>
      <c r="H9041" s="74">
        <f t="shared" si="283"/>
        <v>2.6373577767219274</v>
      </c>
    </row>
    <row r="9042" spans="5:8" ht="15.6">
      <c r="E9042" s="279" t="s">
        <v>9368</v>
      </c>
      <c r="F9042" s="284">
        <f t="shared" ca="1" si="282"/>
        <v>6.3229875603028507E-2</v>
      </c>
      <c r="G9042" s="74">
        <v>40.7984501400339</v>
      </c>
      <c r="H9042" s="74">
        <f t="shared" si="283"/>
        <v>-0.30404979670137777</v>
      </c>
    </row>
    <row r="9043" spans="5:8" ht="15.6">
      <c r="E9043" s="279" t="s">
        <v>9369</v>
      </c>
      <c r="F9043" s="284">
        <f t="shared" ca="1" si="282"/>
        <v>0.61024507107502279</v>
      </c>
      <c r="G9043" s="74">
        <v>40.823689599320261</v>
      </c>
      <c r="H9043" s="74">
        <f t="shared" si="283"/>
        <v>-0.32928925598773873</v>
      </c>
    </row>
    <row r="9044" spans="5:8" ht="15.6">
      <c r="E9044" s="279" t="s">
        <v>9370</v>
      </c>
      <c r="F9044" s="284">
        <f t="shared" ca="1" si="282"/>
        <v>0.64479709214081204</v>
      </c>
      <c r="G9044" s="74">
        <v>37.754686356655967</v>
      </c>
      <c r="H9044" s="74">
        <f t="shared" si="283"/>
        <v>2.7397139866765556</v>
      </c>
    </row>
    <row r="9045" spans="5:8" ht="15.6">
      <c r="E9045" s="279" t="s">
        <v>9371</v>
      </c>
      <c r="F9045" s="284">
        <f t="shared" ca="1" si="282"/>
        <v>0.10473407448423588</v>
      </c>
      <c r="G9045" s="74">
        <v>37.418240127631883</v>
      </c>
      <c r="H9045" s="74">
        <f t="shared" si="283"/>
        <v>3.0761602157006394</v>
      </c>
    </row>
    <row r="9046" spans="5:8" ht="15.6">
      <c r="E9046" s="279" t="s">
        <v>9372</v>
      </c>
      <c r="F9046" s="284">
        <f t="shared" ca="1" si="282"/>
        <v>0.75272143408168324</v>
      </c>
      <c r="G9046" s="74">
        <v>39.484879387367073</v>
      </c>
      <c r="H9046" s="74">
        <f t="shared" si="283"/>
        <v>1.0095209559654492</v>
      </c>
    </row>
    <row r="9047" spans="5:8" ht="15.6">
      <c r="E9047" s="279" t="s">
        <v>9373</v>
      </c>
      <c r="F9047" s="284">
        <f t="shared" ca="1" si="282"/>
        <v>0.83114180532611448</v>
      </c>
      <c r="G9047" s="74">
        <v>34.143614085299888</v>
      </c>
      <c r="H9047" s="74">
        <f t="shared" si="283"/>
        <v>6.3507862580326346</v>
      </c>
    </row>
    <row r="9048" spans="5:8" ht="15.6">
      <c r="E9048" s="279" t="s">
        <v>9374</v>
      </c>
      <c r="F9048" s="284">
        <f t="shared" ca="1" si="282"/>
        <v>0.92366457112814837</v>
      </c>
      <c r="G9048" s="74">
        <v>44.871618458963844</v>
      </c>
      <c r="H9048" s="74">
        <f t="shared" si="283"/>
        <v>-4.3772181156313223</v>
      </c>
    </row>
    <row r="9049" spans="5:8" ht="15.6">
      <c r="E9049" s="279" t="s">
        <v>9375</v>
      </c>
      <c r="F9049" s="284">
        <f t="shared" ca="1" si="282"/>
        <v>0.72331010413244812</v>
      </c>
      <c r="G9049" s="74">
        <v>43.195839801392083</v>
      </c>
      <c r="H9049" s="74">
        <f t="shared" si="283"/>
        <v>-2.7014394580595606</v>
      </c>
    </row>
    <row r="9050" spans="5:8" ht="15.6">
      <c r="E9050" s="279" t="s">
        <v>9376</v>
      </c>
      <c r="F9050" s="284">
        <f t="shared" ca="1" si="282"/>
        <v>0.89612832588318214</v>
      </c>
      <c r="G9050" s="74">
        <v>36.965046204722739</v>
      </c>
      <c r="H9050" s="74">
        <f t="shared" si="283"/>
        <v>3.5293541386097829</v>
      </c>
    </row>
    <row r="9051" spans="5:8" ht="15.6">
      <c r="E9051" s="279" t="s">
        <v>9377</v>
      </c>
      <c r="F9051" s="284">
        <f t="shared" ca="1" si="282"/>
        <v>0.2391193080534002</v>
      </c>
      <c r="G9051" s="74">
        <v>34.91149219793764</v>
      </c>
      <c r="H9051" s="74">
        <f t="shared" si="283"/>
        <v>5.5829081453948817</v>
      </c>
    </row>
    <row r="9052" spans="5:8" ht="15.6">
      <c r="E9052" s="279" t="s">
        <v>9378</v>
      </c>
      <c r="F9052" s="284">
        <f t="shared" ca="1" si="282"/>
        <v>0.73104356847286489</v>
      </c>
      <c r="G9052" s="74">
        <v>39.780577801877172</v>
      </c>
      <c r="H9052" s="74">
        <f t="shared" si="283"/>
        <v>0.71382254145535029</v>
      </c>
    </row>
    <row r="9053" spans="5:8" ht="15.6">
      <c r="E9053" s="279" t="s">
        <v>9379</v>
      </c>
      <c r="F9053" s="284">
        <f t="shared" ca="1" si="282"/>
        <v>0.5354583279613091</v>
      </c>
      <c r="G9053" s="74">
        <v>39.170461409792559</v>
      </c>
      <c r="H9053" s="74">
        <f t="shared" si="283"/>
        <v>1.3239389335399636</v>
      </c>
    </row>
    <row r="9054" spans="5:8" ht="15.6">
      <c r="E9054" s="279" t="s">
        <v>9380</v>
      </c>
      <c r="F9054" s="284">
        <f t="shared" ca="1" si="282"/>
        <v>0.39674047010311553</v>
      </c>
      <c r="G9054" s="74">
        <v>36.872245780100982</v>
      </c>
      <c r="H9054" s="74">
        <f t="shared" si="283"/>
        <v>3.6221545632315397</v>
      </c>
    </row>
    <row r="9055" spans="5:8" ht="15.6">
      <c r="E9055" s="279" t="s">
        <v>9381</v>
      </c>
      <c r="F9055" s="284">
        <f t="shared" ca="1" si="282"/>
        <v>0.72745749957211048</v>
      </c>
      <c r="G9055" s="74">
        <v>37.010088857139543</v>
      </c>
      <c r="H9055" s="74">
        <f t="shared" si="283"/>
        <v>3.4843114861929791</v>
      </c>
    </row>
    <row r="9056" spans="5:8" ht="15.6">
      <c r="E9056" s="279" t="s">
        <v>9382</v>
      </c>
      <c r="F9056" s="284">
        <f t="shared" ca="1" si="282"/>
        <v>0.22683514271819982</v>
      </c>
      <c r="G9056" s="74">
        <v>37.419011652619552</v>
      </c>
      <c r="H9056" s="74">
        <f t="shared" si="283"/>
        <v>3.0753886907129697</v>
      </c>
    </row>
    <row r="9057" spans="5:8" ht="15.6">
      <c r="E9057" s="279" t="s">
        <v>9383</v>
      </c>
      <c r="F9057" s="284">
        <f t="shared" ca="1" si="282"/>
        <v>0.7885777906361664</v>
      </c>
      <c r="G9057" s="74">
        <v>36.324449661613194</v>
      </c>
      <c r="H9057" s="74">
        <f t="shared" si="283"/>
        <v>4.1699506817193281</v>
      </c>
    </row>
    <row r="9058" spans="5:8" ht="15.6">
      <c r="E9058" s="279" t="s">
        <v>9384</v>
      </c>
      <c r="F9058" s="284">
        <f t="shared" ca="1" si="282"/>
        <v>0.78433924409264077</v>
      </c>
      <c r="G9058" s="74">
        <v>40.232606692833706</v>
      </c>
      <c r="H9058" s="74">
        <f t="shared" si="283"/>
        <v>0.26179365049881653</v>
      </c>
    </row>
    <row r="9059" spans="5:8" ht="15.6">
      <c r="E9059" s="279" t="s">
        <v>9385</v>
      </c>
      <c r="F9059" s="284">
        <f t="shared" ca="1" si="282"/>
        <v>0.16299908292536414</v>
      </c>
      <c r="G9059" s="74">
        <v>37.743663739241924</v>
      </c>
      <c r="H9059" s="74">
        <f t="shared" si="283"/>
        <v>2.7507366040905978</v>
      </c>
    </row>
    <row r="9060" spans="5:8" ht="15.6">
      <c r="E9060" s="279" t="s">
        <v>9386</v>
      </c>
      <c r="F9060" s="284">
        <f t="shared" ca="1" si="282"/>
        <v>0.7510363707829053</v>
      </c>
      <c r="G9060" s="74">
        <v>38.204694562547608</v>
      </c>
      <c r="H9060" s="74">
        <f t="shared" si="283"/>
        <v>2.2897057807849137</v>
      </c>
    </row>
    <row r="9061" spans="5:8" ht="15.6">
      <c r="E9061" s="279" t="s">
        <v>9387</v>
      </c>
      <c r="F9061" s="284">
        <f t="shared" ca="1" si="282"/>
        <v>0.79711942445362438</v>
      </c>
      <c r="G9061" s="74">
        <v>39.887084082099918</v>
      </c>
      <c r="H9061" s="74">
        <f t="shared" si="283"/>
        <v>0.6073162612326044</v>
      </c>
    </row>
    <row r="9062" spans="5:8" ht="15.6">
      <c r="E9062" s="279" t="s">
        <v>9388</v>
      </c>
      <c r="F9062" s="284">
        <f t="shared" ca="1" si="282"/>
        <v>0.85668401502762392</v>
      </c>
      <c r="G9062" s="74">
        <v>42.060895924069683</v>
      </c>
      <c r="H9062" s="74">
        <f t="shared" si="283"/>
        <v>-1.5664955807371612</v>
      </c>
    </row>
    <row r="9063" spans="5:8" ht="15.6">
      <c r="E9063" s="279" t="s">
        <v>9389</v>
      </c>
      <c r="F9063" s="284">
        <f t="shared" ca="1" si="282"/>
        <v>0.70632043511375253</v>
      </c>
      <c r="G9063" s="74">
        <v>40.544251172232372</v>
      </c>
      <c r="H9063" s="74">
        <f t="shared" si="283"/>
        <v>-4.9850828899849375E-2</v>
      </c>
    </row>
    <row r="9064" spans="5:8" ht="15.6">
      <c r="E9064" s="279" t="s">
        <v>9390</v>
      </c>
      <c r="F9064" s="284">
        <f t="shared" ca="1" si="282"/>
        <v>0.89016306945572254</v>
      </c>
      <c r="G9064" s="74">
        <v>40.070910097403754</v>
      </c>
      <c r="H9064" s="74">
        <f t="shared" si="283"/>
        <v>0.42349024592876816</v>
      </c>
    </row>
    <row r="9065" spans="5:8" ht="15.6">
      <c r="E9065" s="279" t="s">
        <v>9391</v>
      </c>
      <c r="F9065" s="284">
        <f t="shared" ca="1" si="282"/>
        <v>7.3508917250915906E-2</v>
      </c>
      <c r="G9065" s="74">
        <v>40.343906254602821</v>
      </c>
      <c r="H9065" s="74">
        <f t="shared" si="283"/>
        <v>0.15049408872970105</v>
      </c>
    </row>
    <row r="9066" spans="5:8" ht="15.6">
      <c r="E9066" s="279" t="s">
        <v>9392</v>
      </c>
      <c r="F9066" s="284">
        <f t="shared" ca="1" si="282"/>
        <v>0.79456829858179223</v>
      </c>
      <c r="G9066" s="74">
        <v>46.316328432271106</v>
      </c>
      <c r="H9066" s="74">
        <f t="shared" si="283"/>
        <v>-5.8219280889385843</v>
      </c>
    </row>
    <row r="9067" spans="5:8" ht="15.6">
      <c r="E9067" s="279" t="s">
        <v>9393</v>
      </c>
      <c r="F9067" s="284">
        <f t="shared" ca="1" si="282"/>
        <v>0.56904816935425395</v>
      </c>
      <c r="G9067" s="74">
        <v>36.221103776910319</v>
      </c>
      <c r="H9067" s="74">
        <f t="shared" si="283"/>
        <v>4.2732965664222036</v>
      </c>
    </row>
    <row r="9068" spans="5:8" ht="15.6">
      <c r="E9068" s="279" t="s">
        <v>9394</v>
      </c>
      <c r="F9068" s="284">
        <f t="shared" ca="1" si="282"/>
        <v>0.18640443176173571</v>
      </c>
      <c r="G9068" s="74">
        <v>38.927708671689622</v>
      </c>
      <c r="H9068" s="74">
        <f t="shared" si="283"/>
        <v>1.5666916716429</v>
      </c>
    </row>
    <row r="9069" spans="5:8" ht="15.6">
      <c r="E9069" s="279" t="s">
        <v>9395</v>
      </c>
      <c r="F9069" s="284">
        <f t="shared" ca="1" si="282"/>
        <v>0.55788992145032945</v>
      </c>
      <c r="G9069" s="74">
        <v>42.629808993568552</v>
      </c>
      <c r="H9069" s="74">
        <f t="shared" si="283"/>
        <v>-2.1354086502360303</v>
      </c>
    </row>
    <row r="9070" spans="5:8" ht="15.6">
      <c r="E9070" s="279" t="s">
        <v>9396</v>
      </c>
      <c r="F9070" s="284">
        <f t="shared" ca="1" si="282"/>
        <v>0.22433927971008294</v>
      </c>
      <c r="G9070" s="74">
        <v>39.290412344355559</v>
      </c>
      <c r="H9070" s="74">
        <f t="shared" si="283"/>
        <v>1.2039879989769631</v>
      </c>
    </row>
    <row r="9071" spans="5:8" ht="15.6">
      <c r="E9071" s="279" t="s">
        <v>9397</v>
      </c>
      <c r="F9071" s="284">
        <f t="shared" ca="1" si="282"/>
        <v>0.92384816884095655</v>
      </c>
      <c r="G9071" s="74">
        <v>33.852872080954477</v>
      </c>
      <c r="H9071" s="74">
        <f t="shared" si="283"/>
        <v>6.6415282623780456</v>
      </c>
    </row>
    <row r="9072" spans="5:8" ht="15.6">
      <c r="E9072" s="279" t="s">
        <v>9398</v>
      </c>
      <c r="F9072" s="284">
        <f t="shared" ca="1" si="282"/>
        <v>0.23550149371775309</v>
      </c>
      <c r="G9072" s="74">
        <v>40.119627185138754</v>
      </c>
      <c r="H9072" s="74">
        <f t="shared" si="283"/>
        <v>0.37477315819376855</v>
      </c>
    </row>
    <row r="9073" spans="5:8" ht="15.6">
      <c r="E9073" s="279" t="s">
        <v>9399</v>
      </c>
      <c r="F9073" s="284">
        <f t="shared" ca="1" si="282"/>
        <v>0.74559279957809499</v>
      </c>
      <c r="G9073" s="74">
        <v>39.463673069885836</v>
      </c>
      <c r="H9073" s="74">
        <f t="shared" si="283"/>
        <v>1.0307272734466864</v>
      </c>
    </row>
    <row r="9074" spans="5:8" ht="15.6">
      <c r="E9074" s="279" t="s">
        <v>9400</v>
      </c>
      <c r="F9074" s="284">
        <f t="shared" ca="1" si="282"/>
        <v>0.58064258434736504</v>
      </c>
      <c r="G9074" s="74">
        <v>38.469310670908207</v>
      </c>
      <c r="H9074" s="74">
        <f t="shared" si="283"/>
        <v>2.0250896724243148</v>
      </c>
    </row>
    <row r="9075" spans="5:8" ht="15.6">
      <c r="E9075" s="279" t="s">
        <v>9401</v>
      </c>
      <c r="F9075" s="284">
        <f t="shared" ca="1" si="282"/>
        <v>0.6484820446134465</v>
      </c>
      <c r="G9075" s="74">
        <v>43.15086966944957</v>
      </c>
      <c r="H9075" s="74">
        <f t="shared" si="283"/>
        <v>-2.6564693261170476</v>
      </c>
    </row>
    <row r="9076" spans="5:8" ht="15.6">
      <c r="E9076" s="279" t="s">
        <v>9402</v>
      </c>
      <c r="F9076" s="284">
        <f t="shared" ca="1" si="282"/>
        <v>0.73484322661866497</v>
      </c>
      <c r="G9076" s="74">
        <v>38.269608123332098</v>
      </c>
      <c r="H9076" s="74">
        <f t="shared" si="283"/>
        <v>2.224792220000424</v>
      </c>
    </row>
    <row r="9077" spans="5:8" ht="15.6">
      <c r="E9077" s="279" t="s">
        <v>9403</v>
      </c>
      <c r="F9077" s="284">
        <f t="shared" ca="1" si="282"/>
        <v>0.25957689858268962</v>
      </c>
      <c r="G9077" s="74">
        <v>39.384309674756082</v>
      </c>
      <c r="H9077" s="74">
        <f t="shared" si="283"/>
        <v>1.11009066857644</v>
      </c>
    </row>
    <row r="9078" spans="5:8" ht="15.6">
      <c r="E9078" s="279" t="s">
        <v>9404</v>
      </c>
      <c r="F9078" s="284">
        <f t="shared" ca="1" si="282"/>
        <v>0.23386180910850429</v>
      </c>
      <c r="G9078" s="74">
        <v>38.412150101029084</v>
      </c>
      <c r="H9078" s="74">
        <f t="shared" si="283"/>
        <v>2.0822502423034379</v>
      </c>
    </row>
    <row r="9079" spans="5:8" ht="15.6">
      <c r="E9079" s="279" t="s">
        <v>9405</v>
      </c>
      <c r="F9079" s="284">
        <f t="shared" ca="1" si="282"/>
        <v>0.15318824821687016</v>
      </c>
      <c r="G9079" s="74">
        <v>39.767665695227187</v>
      </c>
      <c r="H9079" s="74">
        <f t="shared" si="283"/>
        <v>0.72673464810533517</v>
      </c>
    </row>
    <row r="9080" spans="5:8" ht="15.6">
      <c r="E9080" s="279" t="s">
        <v>9406</v>
      </c>
      <c r="F9080" s="284">
        <f t="shared" ca="1" si="282"/>
        <v>0.22072483216136041</v>
      </c>
      <c r="G9080" s="74">
        <v>41.372193161482052</v>
      </c>
      <c r="H9080" s="74">
        <f t="shared" si="283"/>
        <v>-0.87779281814952981</v>
      </c>
    </row>
    <row r="9081" spans="5:8" ht="15.6">
      <c r="E9081" s="279" t="s">
        <v>9407</v>
      </c>
      <c r="F9081" s="284">
        <f t="shared" ca="1" si="282"/>
        <v>0.86403259380150588</v>
      </c>
      <c r="G9081" s="74">
        <v>39.463235913199263</v>
      </c>
      <c r="H9081" s="74">
        <f t="shared" si="283"/>
        <v>1.0311644301332592</v>
      </c>
    </row>
    <row r="9082" spans="5:8" ht="15.6">
      <c r="E9082" s="279" t="s">
        <v>9408</v>
      </c>
      <c r="F9082" s="284">
        <f t="shared" ca="1" si="282"/>
        <v>0.35267578738652694</v>
      </c>
      <c r="G9082" s="74">
        <v>40.584490477189583</v>
      </c>
      <c r="H9082" s="74">
        <f t="shared" si="283"/>
        <v>-9.009013385706055E-2</v>
      </c>
    </row>
    <row r="9083" spans="5:8" ht="15.6">
      <c r="E9083" s="279" t="s">
        <v>9409</v>
      </c>
      <c r="F9083" s="284">
        <f t="shared" ca="1" si="282"/>
        <v>0.56954588621300561</v>
      </c>
      <c r="G9083" s="74">
        <v>38.522225564336694</v>
      </c>
      <c r="H9083" s="74">
        <f t="shared" si="283"/>
        <v>1.9721747789958286</v>
      </c>
    </row>
    <row r="9084" spans="5:8" ht="15.6">
      <c r="E9084" s="279" t="s">
        <v>9410</v>
      </c>
      <c r="F9084" s="284">
        <f t="shared" ca="1" si="282"/>
        <v>0.228799687536416</v>
      </c>
      <c r="G9084" s="74">
        <v>37.048083129764464</v>
      </c>
      <c r="H9084" s="74">
        <f t="shared" si="283"/>
        <v>3.446317213568058</v>
      </c>
    </row>
    <row r="9085" spans="5:8" ht="15.6">
      <c r="E9085" s="279" t="s">
        <v>9411</v>
      </c>
      <c r="F9085" s="284">
        <f t="shared" ca="1" si="282"/>
        <v>0.3862840241100991</v>
      </c>
      <c r="G9085" s="74">
        <v>37.068792943467074</v>
      </c>
      <c r="H9085" s="74">
        <f t="shared" si="283"/>
        <v>3.4256073998654486</v>
      </c>
    </row>
    <row r="9086" spans="5:8" ht="15.6">
      <c r="E9086" s="279" t="s">
        <v>9412</v>
      </c>
      <c r="F9086" s="284">
        <f t="shared" ca="1" si="282"/>
        <v>0.8688711291608735</v>
      </c>
      <c r="G9086" s="74">
        <v>38.378375616215926</v>
      </c>
      <c r="H9086" s="74">
        <f t="shared" si="283"/>
        <v>2.1160247271165957</v>
      </c>
    </row>
    <row r="9087" spans="5:8" ht="15.6">
      <c r="E9087" s="279" t="s">
        <v>9413</v>
      </c>
      <c r="F9087" s="284">
        <f t="shared" ca="1" si="282"/>
        <v>0.18891889278523211</v>
      </c>
      <c r="G9087" s="74">
        <v>39.458913882202836</v>
      </c>
      <c r="H9087" s="74">
        <f t="shared" si="283"/>
        <v>1.0354864611296861</v>
      </c>
    </row>
    <row r="9088" spans="5:8" ht="15.6">
      <c r="E9088" s="279" t="s">
        <v>9414</v>
      </c>
      <c r="F9088" s="284">
        <f t="shared" ca="1" si="282"/>
        <v>0.68548012519942658</v>
      </c>
      <c r="G9088" s="74">
        <v>36.689351964192824</v>
      </c>
      <c r="H9088" s="74">
        <f t="shared" si="283"/>
        <v>3.8050483791396985</v>
      </c>
    </row>
    <row r="9089" spans="5:8" ht="15.6">
      <c r="E9089" s="279" t="s">
        <v>9415</v>
      </c>
      <c r="F9089" s="284">
        <f t="shared" ca="1" si="282"/>
        <v>0.39079050921687264</v>
      </c>
      <c r="G9089" s="74">
        <v>37.324955967131508</v>
      </c>
      <c r="H9089" s="74">
        <f t="shared" si="283"/>
        <v>3.1694443762010138</v>
      </c>
    </row>
    <row r="9090" spans="5:8" ht="15.6">
      <c r="E9090" s="279" t="s">
        <v>9416</v>
      </c>
      <c r="F9090" s="284">
        <f t="shared" ca="1" si="282"/>
        <v>5.488727243739433E-2</v>
      </c>
      <c r="G9090" s="74">
        <v>39.865622892122573</v>
      </c>
      <c r="H9090" s="74">
        <f t="shared" si="283"/>
        <v>0.62877745120994888</v>
      </c>
    </row>
    <row r="9091" spans="5:8" ht="15.6">
      <c r="E9091" s="279" t="s">
        <v>9417</v>
      </c>
      <c r="F9091" s="284">
        <f t="shared" ca="1" si="282"/>
        <v>0.45205984544016087</v>
      </c>
      <c r="G9091" s="74">
        <v>37.792153204190967</v>
      </c>
      <c r="H9091" s="74">
        <f t="shared" si="283"/>
        <v>2.702247139141555</v>
      </c>
    </row>
    <row r="9092" spans="5:8" ht="15.6">
      <c r="E9092" s="279" t="s">
        <v>9418</v>
      </c>
      <c r="F9092" s="284">
        <f t="shared" ca="1" si="282"/>
        <v>0.7080574429726989</v>
      </c>
      <c r="G9092" s="74">
        <v>37.719709815642112</v>
      </c>
      <c r="H9092" s="74">
        <f t="shared" si="283"/>
        <v>2.7746905276904101</v>
      </c>
    </row>
    <row r="9093" spans="5:8" ht="15.6">
      <c r="E9093" s="279" t="s">
        <v>9419</v>
      </c>
      <c r="F9093" s="284">
        <f t="shared" ca="1" si="282"/>
        <v>9.9209617448635656E-2</v>
      </c>
      <c r="G9093" s="74">
        <v>34.17356202523095</v>
      </c>
      <c r="H9093" s="74">
        <f t="shared" si="283"/>
        <v>6.3208383181015719</v>
      </c>
    </row>
    <row r="9094" spans="5:8" ht="15.6">
      <c r="E9094" s="279" t="s">
        <v>9420</v>
      </c>
      <c r="F9094" s="284">
        <f t="shared" ca="1" si="282"/>
        <v>0.19124621912447082</v>
      </c>
      <c r="G9094" s="74">
        <v>37.883228997880416</v>
      </c>
      <c r="H9094" s="74">
        <f t="shared" si="283"/>
        <v>2.6111713454521066</v>
      </c>
    </row>
    <row r="9095" spans="5:8" ht="15.6">
      <c r="E9095" s="279" t="s">
        <v>9421</v>
      </c>
      <c r="F9095" s="284">
        <f t="shared" ca="1" si="282"/>
        <v>0.34763843301678998</v>
      </c>
      <c r="G9095" s="74">
        <v>34.818938653145068</v>
      </c>
      <c r="H9095" s="74">
        <f t="shared" si="283"/>
        <v>5.6754616901874542</v>
      </c>
    </row>
    <row r="9096" spans="5:8" ht="15.6">
      <c r="E9096" s="279" t="s">
        <v>9422</v>
      </c>
      <c r="F9096" s="284">
        <f t="shared" ca="1" si="282"/>
        <v>0.68873605995013609</v>
      </c>
      <c r="G9096" s="74">
        <v>42.427039826853786</v>
      </c>
      <c r="H9096" s="74">
        <f t="shared" si="283"/>
        <v>-1.9326394835212639</v>
      </c>
    </row>
    <row r="9097" spans="5:8" ht="15.6">
      <c r="E9097" s="279" t="s">
        <v>9423</v>
      </c>
      <c r="F9097" s="284">
        <f t="shared" ca="1" si="282"/>
        <v>0.38419360565568028</v>
      </c>
      <c r="G9097" s="74">
        <v>36.517386204615356</v>
      </c>
      <c r="H9097" s="74">
        <f t="shared" si="283"/>
        <v>3.9770141387171662</v>
      </c>
    </row>
    <row r="9098" spans="5:8" ht="15.6">
      <c r="E9098" s="279" t="s">
        <v>9424</v>
      </c>
      <c r="F9098" s="284">
        <f t="shared" ca="1" si="282"/>
        <v>0.41277990287635147</v>
      </c>
      <c r="G9098" s="74">
        <v>37.265196200108889</v>
      </c>
      <c r="H9098" s="74">
        <f t="shared" si="283"/>
        <v>3.2292041432236331</v>
      </c>
    </row>
    <row r="9099" spans="5:8" ht="15.6">
      <c r="E9099" s="279" t="s">
        <v>9425</v>
      </c>
      <c r="F9099" s="284">
        <f t="shared" ca="1" si="282"/>
        <v>0.92191112450535562</v>
      </c>
      <c r="G9099" s="74">
        <v>38.185994509862731</v>
      </c>
      <c r="H9099" s="74">
        <f t="shared" si="283"/>
        <v>2.3084058334697914</v>
      </c>
    </row>
    <row r="9100" spans="5:8" ht="15.6">
      <c r="E9100" s="279" t="s">
        <v>9426</v>
      </c>
      <c r="F9100" s="284">
        <f t="shared" ref="F9100:F9163" ca="1" si="284">RAND()</f>
        <v>0.12330926429812017</v>
      </c>
      <c r="G9100" s="74">
        <v>34.563575264146706</v>
      </c>
      <c r="H9100" s="74">
        <f t="shared" ref="H9100:H9163" si="285">$D$2-G9100</f>
        <v>5.9308250791858157</v>
      </c>
    </row>
    <row r="9101" spans="5:8" ht="15.6">
      <c r="E9101" s="279" t="s">
        <v>9427</v>
      </c>
      <c r="F9101" s="284">
        <f t="shared" ca="1" si="284"/>
        <v>0.82488989816027913</v>
      </c>
      <c r="G9101" s="74">
        <v>38.475351664783474</v>
      </c>
      <c r="H9101" s="74">
        <f t="shared" si="285"/>
        <v>2.0190486785490478</v>
      </c>
    </row>
    <row r="9102" spans="5:8" ht="15.6">
      <c r="E9102" s="279" t="s">
        <v>9428</v>
      </c>
      <c r="F9102" s="284">
        <f t="shared" ca="1" si="284"/>
        <v>0.96201486206049336</v>
      </c>
      <c r="G9102" s="74">
        <v>40.505339971294674</v>
      </c>
      <c r="H9102" s="74">
        <f t="shared" si="285"/>
        <v>-1.0939627962152088E-2</v>
      </c>
    </row>
    <row r="9103" spans="5:8" ht="15.6">
      <c r="E9103" s="279" t="s">
        <v>9429</v>
      </c>
      <c r="F9103" s="284">
        <f t="shared" ca="1" si="284"/>
        <v>0.81262558269688168</v>
      </c>
      <c r="G9103" s="74">
        <v>41.776494391964235</v>
      </c>
      <c r="H9103" s="74">
        <f t="shared" si="285"/>
        <v>-1.2820940486317127</v>
      </c>
    </row>
    <row r="9104" spans="5:8" ht="15.6">
      <c r="E9104" s="279" t="s">
        <v>9430</v>
      </c>
      <c r="F9104" s="284">
        <f t="shared" ca="1" si="284"/>
        <v>0.74759700096937476</v>
      </c>
      <c r="G9104" s="74">
        <v>38.660641678954661</v>
      </c>
      <c r="H9104" s="74">
        <f t="shared" si="285"/>
        <v>1.8337586643778607</v>
      </c>
    </row>
    <row r="9105" spans="5:8" ht="15.6">
      <c r="E9105" s="279" t="s">
        <v>9431</v>
      </c>
      <c r="F9105" s="284">
        <f t="shared" ca="1" si="284"/>
        <v>0.60156343871475471</v>
      </c>
      <c r="G9105" s="74">
        <v>40.567244526424403</v>
      </c>
      <c r="H9105" s="74">
        <f t="shared" si="285"/>
        <v>-7.2844183091881121E-2</v>
      </c>
    </row>
    <row r="9106" spans="5:8" ht="15.6">
      <c r="E9106" s="279" t="s">
        <v>9432</v>
      </c>
      <c r="F9106" s="284">
        <f t="shared" ca="1" si="284"/>
        <v>0.82365770989296005</v>
      </c>
      <c r="G9106" s="74">
        <v>43.103908145369374</v>
      </c>
      <c r="H9106" s="74">
        <f t="shared" si="285"/>
        <v>-2.6095078020368518</v>
      </c>
    </row>
    <row r="9107" spans="5:8" ht="15.6">
      <c r="E9107" s="279" t="s">
        <v>9433</v>
      </c>
      <c r="F9107" s="284">
        <f t="shared" ca="1" si="284"/>
        <v>0.17799132323608069</v>
      </c>
      <c r="G9107" s="74">
        <v>38.632043378401249</v>
      </c>
      <c r="H9107" s="74">
        <f t="shared" si="285"/>
        <v>1.8623569649312728</v>
      </c>
    </row>
    <row r="9108" spans="5:8" ht="15.6">
      <c r="E9108" s="279" t="s">
        <v>9434</v>
      </c>
      <c r="F9108" s="284">
        <f t="shared" ca="1" si="284"/>
        <v>0.34619675126442484</v>
      </c>
      <c r="G9108" s="74">
        <v>42.711336027561053</v>
      </c>
      <c r="H9108" s="74">
        <f t="shared" si="285"/>
        <v>-2.216935684228531</v>
      </c>
    </row>
    <row r="9109" spans="5:8" ht="15.6">
      <c r="E9109" s="279" t="s">
        <v>9435</v>
      </c>
      <c r="F9109" s="284">
        <f t="shared" ca="1" si="284"/>
        <v>0.40496133148423752</v>
      </c>
      <c r="G9109" s="74">
        <v>35.878765231047382</v>
      </c>
      <c r="H9109" s="74">
        <f t="shared" si="285"/>
        <v>4.6156351122851405</v>
      </c>
    </row>
    <row r="9110" spans="5:8" ht="15.6">
      <c r="E9110" s="279" t="s">
        <v>9436</v>
      </c>
      <c r="F9110" s="284">
        <f t="shared" ca="1" si="284"/>
        <v>0.8230036823102066</v>
      </c>
      <c r="G9110" s="74">
        <v>40.371857885733974</v>
      </c>
      <c r="H9110" s="74">
        <f t="shared" si="285"/>
        <v>0.12254245759854854</v>
      </c>
    </row>
    <row r="9111" spans="5:8" ht="15.6">
      <c r="E9111" s="279" t="s">
        <v>9437</v>
      </c>
      <c r="F9111" s="284">
        <f t="shared" ca="1" si="284"/>
        <v>0.7841713789981184</v>
      </c>
      <c r="G9111" s="74">
        <v>38.493414928335618</v>
      </c>
      <c r="H9111" s="74">
        <f t="shared" si="285"/>
        <v>2.0009854149969044</v>
      </c>
    </row>
    <row r="9112" spans="5:8" ht="15.6">
      <c r="E9112" s="279" t="s">
        <v>9438</v>
      </c>
      <c r="F9112" s="284">
        <f t="shared" ca="1" si="284"/>
        <v>0.65574399292910757</v>
      </c>
      <c r="G9112" s="74">
        <v>34.883921881279825</v>
      </c>
      <c r="H9112" s="74">
        <f t="shared" si="285"/>
        <v>5.6104784620526971</v>
      </c>
    </row>
    <row r="9113" spans="5:8" ht="15.6">
      <c r="E9113" s="279" t="s">
        <v>9439</v>
      </c>
      <c r="F9113" s="284">
        <f t="shared" ca="1" si="284"/>
        <v>0.72084680011884472</v>
      </c>
      <c r="G9113" s="74">
        <v>38.219420319978319</v>
      </c>
      <c r="H9113" s="74">
        <f t="shared" si="285"/>
        <v>2.2749800233542032</v>
      </c>
    </row>
    <row r="9114" spans="5:8" ht="15.6">
      <c r="E9114" s="279" t="s">
        <v>9440</v>
      </c>
      <c r="F9114" s="284">
        <f t="shared" ca="1" si="284"/>
        <v>0.37840190287989273</v>
      </c>
      <c r="G9114" s="74">
        <v>37.449926795832731</v>
      </c>
      <c r="H9114" s="74">
        <f t="shared" si="285"/>
        <v>3.0444735474997913</v>
      </c>
    </row>
    <row r="9115" spans="5:8" ht="15.6">
      <c r="E9115" s="279" t="s">
        <v>9441</v>
      </c>
      <c r="F9115" s="284">
        <f t="shared" ca="1" si="284"/>
        <v>0.40377738617882797</v>
      </c>
      <c r="G9115" s="74">
        <v>39.238886621385795</v>
      </c>
      <c r="H9115" s="74">
        <f t="shared" si="285"/>
        <v>1.2555137219467269</v>
      </c>
    </row>
    <row r="9116" spans="5:8" ht="15.6">
      <c r="E9116" s="279" t="s">
        <v>9442</v>
      </c>
      <c r="F9116" s="284">
        <f t="shared" ca="1" si="284"/>
        <v>0.10508532339512644</v>
      </c>
      <c r="G9116" s="74">
        <v>38.951038529220355</v>
      </c>
      <c r="H9116" s="74">
        <f t="shared" si="285"/>
        <v>1.543361814112167</v>
      </c>
    </row>
    <row r="9117" spans="5:8" ht="15.6">
      <c r="E9117" s="279" t="s">
        <v>9443</v>
      </c>
      <c r="F9117" s="284">
        <f t="shared" ca="1" si="284"/>
        <v>0.10528042178710006</v>
      </c>
      <c r="G9117" s="74">
        <v>35.578849225176555</v>
      </c>
      <c r="H9117" s="74">
        <f t="shared" si="285"/>
        <v>4.9155511181559675</v>
      </c>
    </row>
    <row r="9118" spans="5:8" ht="15.6">
      <c r="E9118" s="279" t="s">
        <v>9444</v>
      </c>
      <c r="F9118" s="284">
        <f t="shared" ca="1" si="284"/>
        <v>4.7429562581586038E-2</v>
      </c>
      <c r="G9118" s="74">
        <v>38.536613611675222</v>
      </c>
      <c r="H9118" s="74">
        <f t="shared" si="285"/>
        <v>1.9577867316573005</v>
      </c>
    </row>
    <row r="9119" spans="5:8" ht="15.6">
      <c r="E9119" s="279" t="s">
        <v>9445</v>
      </c>
      <c r="F9119" s="284">
        <f t="shared" ca="1" si="284"/>
        <v>0.19287184983881611</v>
      </c>
      <c r="G9119" s="74">
        <v>37.802822799754743</v>
      </c>
      <c r="H9119" s="74">
        <f t="shared" si="285"/>
        <v>2.6915775435777789</v>
      </c>
    </row>
    <row r="9120" spans="5:8" ht="15.6">
      <c r="E9120" s="279" t="s">
        <v>9446</v>
      </c>
      <c r="F9120" s="284">
        <f t="shared" ca="1" si="284"/>
        <v>0.26813562038539851</v>
      </c>
      <c r="G9120" s="74">
        <v>37.947877487187554</v>
      </c>
      <c r="H9120" s="74">
        <f t="shared" si="285"/>
        <v>2.5465228561449678</v>
      </c>
    </row>
    <row r="9121" spans="5:8" ht="15.6">
      <c r="E9121" s="279" t="s">
        <v>9447</v>
      </c>
      <c r="F9121" s="284">
        <f t="shared" ca="1" si="284"/>
        <v>0.93401862617627307</v>
      </c>
      <c r="G9121" s="74">
        <v>36.239667251112891</v>
      </c>
      <c r="H9121" s="74">
        <f t="shared" si="285"/>
        <v>4.2547330922196309</v>
      </c>
    </row>
    <row r="9122" spans="5:8" ht="15.6">
      <c r="E9122" s="279" t="s">
        <v>9448</v>
      </c>
      <c r="F9122" s="284">
        <f t="shared" ca="1" si="284"/>
        <v>0.56876955298292653</v>
      </c>
      <c r="G9122" s="74">
        <v>40.022452848023825</v>
      </c>
      <c r="H9122" s="74">
        <f t="shared" si="285"/>
        <v>0.47194749530869728</v>
      </c>
    </row>
    <row r="9123" spans="5:8" ht="15.6">
      <c r="E9123" s="279" t="s">
        <v>9449</v>
      </c>
      <c r="F9123" s="284">
        <f t="shared" ca="1" si="284"/>
        <v>0.35552401712124437</v>
      </c>
      <c r="G9123" s="74">
        <v>41.038936170823568</v>
      </c>
      <c r="H9123" s="74">
        <f t="shared" si="285"/>
        <v>-0.54453582749104612</v>
      </c>
    </row>
    <row r="9124" spans="5:8" ht="15.6">
      <c r="E9124" s="279" t="s">
        <v>9450</v>
      </c>
      <c r="F9124" s="284">
        <f t="shared" ca="1" si="284"/>
        <v>7.0315187221553055E-2</v>
      </c>
      <c r="G9124" s="74">
        <v>41.94498957319702</v>
      </c>
      <c r="H9124" s="74">
        <f t="shared" si="285"/>
        <v>-1.450589229864498</v>
      </c>
    </row>
    <row r="9125" spans="5:8" ht="15.6">
      <c r="E9125" s="279" t="s">
        <v>9451</v>
      </c>
      <c r="F9125" s="284">
        <f t="shared" ca="1" si="284"/>
        <v>0.5013784890279499</v>
      </c>
      <c r="G9125" s="74">
        <v>37.604234926685741</v>
      </c>
      <c r="H9125" s="74">
        <f t="shared" si="285"/>
        <v>2.8901654166467807</v>
      </c>
    </row>
    <row r="9126" spans="5:8" ht="15.6">
      <c r="E9126" s="279" t="s">
        <v>9452</v>
      </c>
      <c r="F9126" s="284">
        <f t="shared" ca="1" si="284"/>
        <v>0.4054790116699486</v>
      </c>
      <c r="G9126" s="74">
        <v>36.04011386406215</v>
      </c>
      <c r="H9126" s="74">
        <f t="shared" si="285"/>
        <v>4.4542864792703725</v>
      </c>
    </row>
    <row r="9127" spans="5:8" ht="15.6">
      <c r="E9127" s="279" t="s">
        <v>9453</v>
      </c>
      <c r="F9127" s="284">
        <f t="shared" ca="1" si="284"/>
        <v>0.99702282117820362</v>
      </c>
      <c r="G9127" s="74">
        <v>34.75981352059992</v>
      </c>
      <c r="H9127" s="74">
        <f t="shared" si="285"/>
        <v>5.7345868227326022</v>
      </c>
    </row>
    <row r="9128" spans="5:8" ht="15.6">
      <c r="E9128" s="279" t="s">
        <v>9454</v>
      </c>
      <c r="F9128" s="284">
        <f t="shared" ca="1" si="284"/>
        <v>0.36806920927460052</v>
      </c>
      <c r="G9128" s="74">
        <v>38.494269131149125</v>
      </c>
      <c r="H9128" s="74">
        <f t="shared" si="285"/>
        <v>2.0001312121833976</v>
      </c>
    </row>
    <row r="9129" spans="5:8" ht="15.6">
      <c r="E9129" s="279" t="s">
        <v>9455</v>
      </c>
      <c r="F9129" s="284">
        <f t="shared" ca="1" si="284"/>
        <v>0.4769975461111956</v>
      </c>
      <c r="G9129" s="74">
        <v>40.28047816034352</v>
      </c>
      <c r="H9129" s="74">
        <f t="shared" si="285"/>
        <v>0.2139221829890019</v>
      </c>
    </row>
    <row r="9130" spans="5:8" ht="15.6">
      <c r="E9130" s="279" t="s">
        <v>9456</v>
      </c>
      <c r="F9130" s="284">
        <f t="shared" ca="1" si="284"/>
        <v>0.64524402534244529</v>
      </c>
      <c r="G9130" s="74">
        <v>43.900302232850201</v>
      </c>
      <c r="H9130" s="74">
        <f t="shared" si="285"/>
        <v>-3.4059018895176791</v>
      </c>
    </row>
    <row r="9131" spans="5:8" ht="15.6">
      <c r="E9131" s="279" t="s">
        <v>9457</v>
      </c>
      <c r="F9131" s="284">
        <f t="shared" ca="1" si="284"/>
        <v>0.95727898002118639</v>
      </c>
      <c r="G9131" s="74">
        <v>44.221094608690862</v>
      </c>
      <c r="H9131" s="74">
        <f t="shared" si="285"/>
        <v>-3.7266942653583399</v>
      </c>
    </row>
    <row r="9132" spans="5:8" ht="15.6">
      <c r="E9132" s="279" t="s">
        <v>9458</v>
      </c>
      <c r="F9132" s="284">
        <f t="shared" ca="1" si="284"/>
        <v>0.17820086443668659</v>
      </c>
      <c r="G9132" s="74">
        <v>38.414659942233108</v>
      </c>
      <c r="H9132" s="74">
        <f t="shared" si="285"/>
        <v>2.0797404010994143</v>
      </c>
    </row>
    <row r="9133" spans="5:8" ht="15.6">
      <c r="E9133" s="279" t="s">
        <v>9459</v>
      </c>
      <c r="F9133" s="284">
        <f t="shared" ca="1" si="284"/>
        <v>0.64112744179435111</v>
      </c>
      <c r="G9133" s="74">
        <v>36.285797674371395</v>
      </c>
      <c r="H9133" s="74">
        <f t="shared" si="285"/>
        <v>4.2086026689611273</v>
      </c>
    </row>
    <row r="9134" spans="5:8" ht="15.6">
      <c r="E9134" s="279" t="s">
        <v>9460</v>
      </c>
      <c r="F9134" s="284">
        <f t="shared" ca="1" si="284"/>
        <v>0.85501979517692939</v>
      </c>
      <c r="G9134" s="74">
        <v>38.199093741232538</v>
      </c>
      <c r="H9134" s="74">
        <f t="shared" si="285"/>
        <v>2.2953066020999842</v>
      </c>
    </row>
    <row r="9135" spans="5:8" ht="15.6">
      <c r="E9135" s="279" t="s">
        <v>9461</v>
      </c>
      <c r="F9135" s="284">
        <f t="shared" ca="1" si="284"/>
        <v>0.29443879837839138</v>
      </c>
      <c r="G9135" s="74">
        <v>44.310752309006673</v>
      </c>
      <c r="H9135" s="74">
        <f t="shared" si="285"/>
        <v>-3.8163519656741514</v>
      </c>
    </row>
    <row r="9136" spans="5:8" ht="15.6">
      <c r="E9136" s="279" t="s">
        <v>9462</v>
      </c>
      <c r="F9136" s="284">
        <f t="shared" ca="1" si="284"/>
        <v>0.8921668632906351</v>
      </c>
      <c r="G9136" s="74">
        <v>41.25476930083228</v>
      </c>
      <c r="H9136" s="74">
        <f t="shared" si="285"/>
        <v>-0.76036895749975741</v>
      </c>
    </row>
    <row r="9137" spans="5:8" ht="15.6">
      <c r="E9137" s="279" t="s">
        <v>9463</v>
      </c>
      <c r="F9137" s="284">
        <f t="shared" ca="1" si="284"/>
        <v>0.84471330343763285</v>
      </c>
      <c r="G9137" s="74">
        <v>37.854442401270362</v>
      </c>
      <c r="H9137" s="74">
        <f t="shared" si="285"/>
        <v>2.6399579420621606</v>
      </c>
    </row>
    <row r="9138" spans="5:8" ht="15.6">
      <c r="E9138" s="279" t="s">
        <v>9464</v>
      </c>
      <c r="F9138" s="284">
        <f t="shared" ca="1" si="284"/>
        <v>0.87098554429854624</v>
      </c>
      <c r="G9138" s="74">
        <v>38.505682272395482</v>
      </c>
      <c r="H9138" s="74">
        <f t="shared" si="285"/>
        <v>1.9887180709370398</v>
      </c>
    </row>
    <row r="9139" spans="5:8" ht="15.6">
      <c r="E9139" s="279" t="s">
        <v>9465</v>
      </c>
      <c r="F9139" s="284">
        <f t="shared" ca="1" si="284"/>
        <v>0.1788348665189009</v>
      </c>
      <c r="G9139" s="74">
        <v>40.697524284589434</v>
      </c>
      <c r="H9139" s="74">
        <f t="shared" si="285"/>
        <v>-0.20312394125691213</v>
      </c>
    </row>
    <row r="9140" spans="5:8" ht="15.6">
      <c r="E9140" s="279" t="s">
        <v>9466</v>
      </c>
      <c r="F9140" s="284">
        <f t="shared" ca="1" si="284"/>
        <v>0.62607975463524934</v>
      </c>
      <c r="G9140" s="74">
        <v>41.022950863310463</v>
      </c>
      <c r="H9140" s="74">
        <f t="shared" si="285"/>
        <v>-0.52855051997794078</v>
      </c>
    </row>
    <row r="9141" spans="5:8" ht="15.6">
      <c r="E9141" s="279" t="s">
        <v>9467</v>
      </c>
      <c r="F9141" s="284">
        <f t="shared" ca="1" si="284"/>
        <v>7.9341534064120811E-2</v>
      </c>
      <c r="G9141" s="74">
        <v>40.084051443864368</v>
      </c>
      <c r="H9141" s="74">
        <f t="shared" si="285"/>
        <v>0.41034889946815412</v>
      </c>
    </row>
    <row r="9142" spans="5:8" ht="15.6">
      <c r="E9142" s="279" t="s">
        <v>9468</v>
      </c>
      <c r="F9142" s="284">
        <f t="shared" ca="1" si="284"/>
        <v>0.67685073977048915</v>
      </c>
      <c r="G9142" s="74">
        <v>37.718211247990489</v>
      </c>
      <c r="H9142" s="74">
        <f t="shared" si="285"/>
        <v>2.7761890953420334</v>
      </c>
    </row>
    <row r="9143" spans="5:8" ht="15.6">
      <c r="E9143" s="279" t="s">
        <v>9469</v>
      </c>
      <c r="F9143" s="284">
        <f t="shared" ca="1" si="284"/>
        <v>0.18761024502221391</v>
      </c>
      <c r="G9143" s="74">
        <v>40.323100558804299</v>
      </c>
      <c r="H9143" s="74">
        <f t="shared" si="285"/>
        <v>0.17129978452822314</v>
      </c>
    </row>
    <row r="9144" spans="5:8" ht="15.6">
      <c r="E9144" s="279" t="s">
        <v>9470</v>
      </c>
      <c r="F9144" s="284">
        <f t="shared" ca="1" si="284"/>
        <v>0.33281108390373371</v>
      </c>
      <c r="G9144" s="74">
        <v>34.316532990175645</v>
      </c>
      <c r="H9144" s="74">
        <f t="shared" si="285"/>
        <v>6.1778673531568771</v>
      </c>
    </row>
    <row r="9145" spans="5:8" ht="15.6">
      <c r="E9145" s="279" t="s">
        <v>9471</v>
      </c>
      <c r="F9145" s="284">
        <f t="shared" ca="1" si="284"/>
        <v>0.6048124250465855</v>
      </c>
      <c r="G9145" s="74">
        <v>36.253196381037696</v>
      </c>
      <c r="H9145" s="74">
        <f t="shared" si="285"/>
        <v>4.2412039622948257</v>
      </c>
    </row>
    <row r="9146" spans="5:8" ht="15.6">
      <c r="E9146" s="279" t="s">
        <v>9472</v>
      </c>
      <c r="F9146" s="284">
        <f t="shared" ca="1" si="284"/>
        <v>0.87146136078226533</v>
      </c>
      <c r="G9146" s="74">
        <v>39.771472522405979</v>
      </c>
      <c r="H9146" s="74">
        <f t="shared" si="285"/>
        <v>0.72292782092654306</v>
      </c>
    </row>
    <row r="9147" spans="5:8" ht="15.6">
      <c r="E9147" s="279" t="s">
        <v>9473</v>
      </c>
      <c r="F9147" s="284">
        <f t="shared" ca="1" si="284"/>
        <v>0.52809560047708981</v>
      </c>
      <c r="G9147" s="74">
        <v>36.595725423982081</v>
      </c>
      <c r="H9147" s="74">
        <f t="shared" si="285"/>
        <v>3.8986749193504409</v>
      </c>
    </row>
    <row r="9148" spans="5:8" ht="15.6">
      <c r="E9148" s="279" t="s">
        <v>9474</v>
      </c>
      <c r="F9148" s="284">
        <f t="shared" ca="1" si="284"/>
        <v>0.78374003960392369</v>
      </c>
      <c r="G9148" s="74">
        <v>34.067354808121337</v>
      </c>
      <c r="H9148" s="74">
        <f t="shared" si="285"/>
        <v>6.4270455352111853</v>
      </c>
    </row>
    <row r="9149" spans="5:8" ht="15.6">
      <c r="E9149" s="279" t="s">
        <v>9475</v>
      </c>
      <c r="F9149" s="284">
        <f t="shared" ca="1" si="284"/>
        <v>0.40159519640422892</v>
      </c>
      <c r="G9149" s="74">
        <v>39.040701751209099</v>
      </c>
      <c r="H9149" s="74">
        <f t="shared" si="285"/>
        <v>1.4536985921234233</v>
      </c>
    </row>
    <row r="9150" spans="5:8" ht="15.6">
      <c r="E9150" s="279" t="s">
        <v>9476</v>
      </c>
      <c r="F9150" s="284">
        <f t="shared" ca="1" si="284"/>
        <v>7.8661600962253941E-2</v>
      </c>
      <c r="G9150" s="74">
        <v>38.264629827102411</v>
      </c>
      <c r="H9150" s="74">
        <f t="shared" si="285"/>
        <v>2.2297705162301114</v>
      </c>
    </row>
    <row r="9151" spans="5:8" ht="15.6">
      <c r="E9151" s="279" t="s">
        <v>9477</v>
      </c>
      <c r="F9151" s="284">
        <f t="shared" ca="1" si="284"/>
        <v>0.81651379012687764</v>
      </c>
      <c r="G9151" s="74">
        <v>41.057147425568978</v>
      </c>
      <c r="H9151" s="74">
        <f t="shared" si="285"/>
        <v>-0.56274708223645575</v>
      </c>
    </row>
    <row r="9152" spans="5:8" ht="15.6">
      <c r="E9152" s="279" t="s">
        <v>9478</v>
      </c>
      <c r="F9152" s="284">
        <f t="shared" ca="1" si="284"/>
        <v>0.72807495830065883</v>
      </c>
      <c r="G9152" s="74">
        <v>42.557579522311251</v>
      </c>
      <c r="H9152" s="74">
        <f t="shared" si="285"/>
        <v>-2.0631791789787286</v>
      </c>
    </row>
    <row r="9153" spans="5:8" ht="15.6">
      <c r="E9153" s="279" t="s">
        <v>9479</v>
      </c>
      <c r="F9153" s="284">
        <f t="shared" ca="1" si="284"/>
        <v>0.17561807443329136</v>
      </c>
      <c r="G9153" s="74">
        <v>43.116045996230966</v>
      </c>
      <c r="H9153" s="74">
        <f t="shared" si="285"/>
        <v>-2.6216456528984438</v>
      </c>
    </row>
    <row r="9154" spans="5:8" ht="15.6">
      <c r="E9154" s="279" t="s">
        <v>9480</v>
      </c>
      <c r="F9154" s="284">
        <f t="shared" ca="1" si="284"/>
        <v>1.7428596497476301E-3</v>
      </c>
      <c r="G9154" s="74">
        <v>44.399919193828737</v>
      </c>
      <c r="H9154" s="74">
        <f t="shared" si="285"/>
        <v>-3.9055188504962146</v>
      </c>
    </row>
    <row r="9155" spans="5:8" ht="15.6">
      <c r="E9155" s="279" t="s">
        <v>9481</v>
      </c>
      <c r="F9155" s="284">
        <f t="shared" ca="1" si="284"/>
        <v>0.27648151659865028</v>
      </c>
      <c r="G9155" s="74">
        <v>41.795529365129369</v>
      </c>
      <c r="H9155" s="74">
        <f t="shared" si="285"/>
        <v>-1.3011290217968465</v>
      </c>
    </row>
    <row r="9156" spans="5:8" ht="15.6">
      <c r="E9156" s="279" t="s">
        <v>9482</v>
      </c>
      <c r="F9156" s="284">
        <f t="shared" ca="1" si="284"/>
        <v>7.071545106874999E-2</v>
      </c>
      <c r="G9156" s="74">
        <v>38.651346304219906</v>
      </c>
      <c r="H9156" s="74">
        <f t="shared" si="285"/>
        <v>1.8430540391126158</v>
      </c>
    </row>
    <row r="9157" spans="5:8" ht="15.6">
      <c r="E9157" s="279" t="s">
        <v>9483</v>
      </c>
      <c r="F9157" s="284">
        <f t="shared" ca="1" si="284"/>
        <v>0.28559509329706412</v>
      </c>
      <c r="G9157" s="74">
        <v>35.182372383858237</v>
      </c>
      <c r="H9157" s="74">
        <f t="shared" si="285"/>
        <v>5.3120279594742854</v>
      </c>
    </row>
    <row r="9158" spans="5:8" ht="15.6">
      <c r="E9158" s="279" t="s">
        <v>9484</v>
      </c>
      <c r="F9158" s="284">
        <f t="shared" ca="1" si="284"/>
        <v>0.70506898504127791</v>
      </c>
      <c r="G9158" s="74">
        <v>40.792969174226357</v>
      </c>
      <c r="H9158" s="74">
        <f t="shared" si="285"/>
        <v>-0.29856883089383501</v>
      </c>
    </row>
    <row r="9159" spans="5:8" ht="15.6">
      <c r="E9159" s="279" t="s">
        <v>9485</v>
      </c>
      <c r="F9159" s="284">
        <f t="shared" ca="1" si="284"/>
        <v>0.48909261676046845</v>
      </c>
      <c r="G9159" s="74">
        <v>36.065663250491433</v>
      </c>
      <c r="H9159" s="74">
        <f t="shared" si="285"/>
        <v>4.4287370928410894</v>
      </c>
    </row>
    <row r="9160" spans="5:8" ht="15.6">
      <c r="E9160" s="279" t="s">
        <v>9486</v>
      </c>
      <c r="F9160" s="284">
        <f t="shared" ca="1" si="284"/>
        <v>0.26698167132157269</v>
      </c>
      <c r="G9160" s="74">
        <v>40.821698622628027</v>
      </c>
      <c r="H9160" s="74">
        <f t="shared" si="285"/>
        <v>-0.32729827929550481</v>
      </c>
    </row>
    <row r="9161" spans="5:8" ht="15.6">
      <c r="E9161" s="279" t="s">
        <v>9487</v>
      </c>
      <c r="F9161" s="284">
        <f t="shared" ca="1" si="284"/>
        <v>7.0356732178204817E-2</v>
      </c>
      <c r="G9161" s="74">
        <v>34.84604523638469</v>
      </c>
      <c r="H9161" s="74">
        <f t="shared" si="285"/>
        <v>5.6483551069478324</v>
      </c>
    </row>
    <row r="9162" spans="5:8" ht="15.6">
      <c r="E9162" s="279" t="s">
        <v>9488</v>
      </c>
      <c r="F9162" s="284">
        <f t="shared" ca="1" si="284"/>
        <v>0.90038392680898927</v>
      </c>
      <c r="G9162" s="74">
        <v>43.317924592872792</v>
      </c>
      <c r="H9162" s="74">
        <f t="shared" si="285"/>
        <v>-2.8235242495402701</v>
      </c>
    </row>
    <row r="9163" spans="5:8" ht="15.6">
      <c r="E9163" s="279" t="s">
        <v>9489</v>
      </c>
      <c r="F9163" s="284">
        <f t="shared" ca="1" si="284"/>
        <v>0.61628029033857112</v>
      </c>
      <c r="G9163" s="74">
        <v>43.08838971306038</v>
      </c>
      <c r="H9163" s="74">
        <f t="shared" si="285"/>
        <v>-2.5939893697278578</v>
      </c>
    </row>
    <row r="9164" spans="5:8" ht="15.6">
      <c r="E9164" s="279" t="s">
        <v>9490</v>
      </c>
      <c r="F9164" s="284">
        <f t="shared" ref="F9164:F9227" ca="1" si="286">RAND()</f>
        <v>0.11910707146849298</v>
      </c>
      <c r="G9164" s="74">
        <v>37.862464294336419</v>
      </c>
      <c r="H9164" s="74">
        <f t="shared" ref="H9164:H9227" si="287">$D$2-G9164</f>
        <v>2.6319360489961028</v>
      </c>
    </row>
    <row r="9165" spans="5:8" ht="15.6">
      <c r="E9165" s="279" t="s">
        <v>9491</v>
      </c>
      <c r="F9165" s="284">
        <f t="shared" ca="1" si="286"/>
        <v>0.82167279198251897</v>
      </c>
      <c r="G9165" s="74">
        <v>44.269568393227487</v>
      </c>
      <c r="H9165" s="74">
        <f t="shared" si="287"/>
        <v>-3.7751680498949653</v>
      </c>
    </row>
    <row r="9166" spans="5:8" ht="15.6">
      <c r="E9166" s="279" t="s">
        <v>9492</v>
      </c>
      <c r="F9166" s="284">
        <f t="shared" ca="1" si="286"/>
        <v>0.96740657213825287</v>
      </c>
      <c r="G9166" s="74">
        <v>35.769012551419166</v>
      </c>
      <c r="H9166" s="74">
        <f t="shared" si="287"/>
        <v>4.7253877919133558</v>
      </c>
    </row>
    <row r="9167" spans="5:8" ht="15.6">
      <c r="E9167" s="279" t="s">
        <v>9493</v>
      </c>
      <c r="F9167" s="284">
        <f t="shared" ca="1" si="286"/>
        <v>7.0015240461417938E-2</v>
      </c>
      <c r="G9167" s="74">
        <v>34.818879156310864</v>
      </c>
      <c r="H9167" s="74">
        <f t="shared" si="287"/>
        <v>5.6755211870216584</v>
      </c>
    </row>
    <row r="9168" spans="5:8" ht="15.6">
      <c r="E9168" s="279" t="s">
        <v>9494</v>
      </c>
      <c r="F9168" s="284">
        <f t="shared" ca="1" si="286"/>
        <v>0.60111542500645621</v>
      </c>
      <c r="G9168" s="74">
        <v>38.319778075315469</v>
      </c>
      <c r="H9168" s="74">
        <f t="shared" si="287"/>
        <v>2.1746222680170533</v>
      </c>
    </row>
    <row r="9169" spans="5:8" ht="15.6">
      <c r="E9169" s="279" t="s">
        <v>9495</v>
      </c>
      <c r="F9169" s="284">
        <f t="shared" ca="1" si="286"/>
        <v>0.8260762315990976</v>
      </c>
      <c r="G9169" s="74">
        <v>44.814398399589329</v>
      </c>
      <c r="H9169" s="74">
        <f t="shared" si="287"/>
        <v>-4.3199980562568072</v>
      </c>
    </row>
    <row r="9170" spans="5:8" ht="15.6">
      <c r="E9170" s="279" t="s">
        <v>9496</v>
      </c>
      <c r="F9170" s="284">
        <f t="shared" ca="1" si="286"/>
        <v>0.12979039498838996</v>
      </c>
      <c r="G9170" s="74">
        <v>42.685213222304782</v>
      </c>
      <c r="H9170" s="74">
        <f t="shared" si="287"/>
        <v>-2.1908128789722596</v>
      </c>
    </row>
    <row r="9171" spans="5:8" ht="15.6">
      <c r="E9171" s="279" t="s">
        <v>9497</v>
      </c>
      <c r="F9171" s="284">
        <f t="shared" ca="1" si="286"/>
        <v>0.63873700788696608</v>
      </c>
      <c r="G9171" s="74">
        <v>42.573900182553814</v>
      </c>
      <c r="H9171" s="74">
        <f t="shared" si="287"/>
        <v>-2.0794998392212918</v>
      </c>
    </row>
    <row r="9172" spans="5:8" ht="15.6">
      <c r="E9172" s="279" t="s">
        <v>9498</v>
      </c>
      <c r="F9172" s="284">
        <f t="shared" ca="1" si="286"/>
        <v>0.98245538959833656</v>
      </c>
      <c r="G9172" s="74">
        <v>39.011047695162702</v>
      </c>
      <c r="H9172" s="74">
        <f t="shared" si="287"/>
        <v>1.48335264816982</v>
      </c>
    </row>
    <row r="9173" spans="5:8" ht="15.6">
      <c r="E9173" s="279" t="s">
        <v>9499</v>
      </c>
      <c r="F9173" s="284">
        <f t="shared" ca="1" si="286"/>
        <v>0.37624074387445061</v>
      </c>
      <c r="G9173" s="74">
        <v>34.551919059929546</v>
      </c>
      <c r="H9173" s="74">
        <f t="shared" si="287"/>
        <v>5.9424812834029765</v>
      </c>
    </row>
    <row r="9174" spans="5:8" ht="15.6">
      <c r="E9174" s="279" t="s">
        <v>9500</v>
      </c>
      <c r="F9174" s="284">
        <f t="shared" ca="1" si="286"/>
        <v>0.65453860948080089</v>
      </c>
      <c r="G9174" s="74">
        <v>40.951195720337807</v>
      </c>
      <c r="H9174" s="74">
        <f t="shared" si="287"/>
        <v>-0.45679537700528527</v>
      </c>
    </row>
    <row r="9175" spans="5:8" ht="15.6">
      <c r="E9175" s="279" t="s">
        <v>9501</v>
      </c>
      <c r="F9175" s="284">
        <f t="shared" ca="1" si="286"/>
        <v>0.95148715168576525</v>
      </c>
      <c r="G9175" s="74">
        <v>41.215208223888204</v>
      </c>
      <c r="H9175" s="74">
        <f t="shared" si="287"/>
        <v>-0.72080788055568235</v>
      </c>
    </row>
    <row r="9176" spans="5:8" ht="15.6">
      <c r="E9176" s="279" t="s">
        <v>9502</v>
      </c>
      <c r="F9176" s="284">
        <f t="shared" ca="1" si="286"/>
        <v>0.87258030624443272</v>
      </c>
      <c r="G9176" s="74">
        <v>40.924829184994572</v>
      </c>
      <c r="H9176" s="74">
        <f t="shared" si="287"/>
        <v>-0.43042884166204942</v>
      </c>
    </row>
    <row r="9177" spans="5:8" ht="15.6">
      <c r="E9177" s="279" t="s">
        <v>9503</v>
      </c>
      <c r="F9177" s="284">
        <f t="shared" ca="1" si="286"/>
        <v>0.61268409987636785</v>
      </c>
      <c r="G9177" s="74">
        <v>43.816253246035359</v>
      </c>
      <c r="H9177" s="74">
        <f t="shared" si="287"/>
        <v>-3.3218529027028367</v>
      </c>
    </row>
    <row r="9178" spans="5:8" ht="15.6">
      <c r="E9178" s="279" t="s">
        <v>9504</v>
      </c>
      <c r="F9178" s="284">
        <f t="shared" ca="1" si="286"/>
        <v>0.31500501769478151</v>
      </c>
      <c r="G9178" s="74">
        <v>38.297928613261433</v>
      </c>
      <c r="H9178" s="74">
        <f t="shared" si="287"/>
        <v>2.1964717300710888</v>
      </c>
    </row>
    <row r="9179" spans="5:8" ht="15.6">
      <c r="E9179" s="279" t="s">
        <v>9505</v>
      </c>
      <c r="F9179" s="284">
        <f t="shared" ca="1" si="286"/>
        <v>0.82977326913552785</v>
      </c>
      <c r="G9179" s="74">
        <v>43.520752206121294</v>
      </c>
      <c r="H9179" s="74">
        <f t="shared" si="287"/>
        <v>-3.026351862788772</v>
      </c>
    </row>
    <row r="9180" spans="5:8" ht="15.6">
      <c r="E9180" s="279" t="s">
        <v>9506</v>
      </c>
      <c r="F9180" s="284">
        <f t="shared" ca="1" si="286"/>
        <v>0.41905080615886448</v>
      </c>
      <c r="G9180" s="74">
        <v>39.244052143662962</v>
      </c>
      <c r="H9180" s="74">
        <f t="shared" si="287"/>
        <v>1.2503481996695598</v>
      </c>
    </row>
    <row r="9181" spans="5:8" ht="15.6">
      <c r="E9181" s="279" t="s">
        <v>9507</v>
      </c>
      <c r="F9181" s="284">
        <f t="shared" ca="1" si="286"/>
        <v>0.97997981271675172</v>
      </c>
      <c r="G9181" s="74">
        <v>35.721858687250389</v>
      </c>
      <c r="H9181" s="74">
        <f t="shared" si="287"/>
        <v>4.772541656082133</v>
      </c>
    </row>
    <row r="9182" spans="5:8" ht="15.6">
      <c r="E9182" s="279" t="s">
        <v>9508</v>
      </c>
      <c r="F9182" s="284">
        <f t="shared" ca="1" si="286"/>
        <v>7.1948739161516229E-2</v>
      </c>
      <c r="G9182" s="74">
        <v>36.226051067448211</v>
      </c>
      <c r="H9182" s="74">
        <f t="shared" si="287"/>
        <v>4.2683492758843116</v>
      </c>
    </row>
    <row r="9183" spans="5:8" ht="15.6">
      <c r="E9183" s="279" t="s">
        <v>9509</v>
      </c>
      <c r="F9183" s="284">
        <f t="shared" ca="1" si="286"/>
        <v>0.31738983227722806</v>
      </c>
      <c r="G9183" s="74">
        <v>41.558853779005389</v>
      </c>
      <c r="H9183" s="74">
        <f t="shared" si="287"/>
        <v>-1.064453435672867</v>
      </c>
    </row>
    <row r="9184" spans="5:8" ht="15.6">
      <c r="E9184" s="279" t="s">
        <v>9510</v>
      </c>
      <c r="F9184" s="284">
        <f t="shared" ca="1" si="286"/>
        <v>9.6256986316110127E-2</v>
      </c>
      <c r="G9184" s="74">
        <v>37.823893128126009</v>
      </c>
      <c r="H9184" s="74">
        <f t="shared" si="287"/>
        <v>2.6705072152065128</v>
      </c>
    </row>
    <row r="9185" spans="5:8" ht="15.6">
      <c r="E9185" s="279" t="s">
        <v>9511</v>
      </c>
      <c r="F9185" s="284">
        <f t="shared" ca="1" si="286"/>
        <v>0.78359099919799269</v>
      </c>
      <c r="G9185" s="74">
        <v>36.897625200973771</v>
      </c>
      <c r="H9185" s="74">
        <f t="shared" si="287"/>
        <v>3.5967751423587515</v>
      </c>
    </row>
    <row r="9186" spans="5:8" ht="15.6">
      <c r="E9186" s="279" t="s">
        <v>9512</v>
      </c>
      <c r="F9186" s="284">
        <f t="shared" ca="1" si="286"/>
        <v>0.65104274950433372</v>
      </c>
      <c r="G9186" s="74">
        <v>36.647084016608716</v>
      </c>
      <c r="H9186" s="74">
        <f t="shared" si="287"/>
        <v>3.8473163267238064</v>
      </c>
    </row>
    <row r="9187" spans="5:8" ht="15.6">
      <c r="E9187" s="279" t="s">
        <v>9513</v>
      </c>
      <c r="F9187" s="284">
        <f t="shared" ca="1" si="286"/>
        <v>0.25902032047739676</v>
      </c>
      <c r="G9187" s="74">
        <v>40.833273637907332</v>
      </c>
      <c r="H9187" s="74">
        <f t="shared" si="287"/>
        <v>-0.3388732945748103</v>
      </c>
    </row>
    <row r="9188" spans="5:8" ht="15.6">
      <c r="E9188" s="279" t="s">
        <v>9514</v>
      </c>
      <c r="F9188" s="284">
        <f t="shared" ca="1" si="286"/>
        <v>0.24863918388136197</v>
      </c>
      <c r="G9188" s="74">
        <v>38.018186073664111</v>
      </c>
      <c r="H9188" s="74">
        <f t="shared" si="287"/>
        <v>2.4762142696684109</v>
      </c>
    </row>
    <row r="9189" spans="5:8" ht="15.6">
      <c r="E9189" s="279" t="s">
        <v>9515</v>
      </c>
      <c r="F9189" s="284">
        <f t="shared" ca="1" si="286"/>
        <v>0.68461638328169305</v>
      </c>
      <c r="G9189" s="74">
        <v>34.574423722574231</v>
      </c>
      <c r="H9189" s="74">
        <f t="shared" si="287"/>
        <v>5.9199766207582911</v>
      </c>
    </row>
    <row r="9190" spans="5:8" ht="15.6">
      <c r="E9190" s="279" t="s">
        <v>9516</v>
      </c>
      <c r="F9190" s="284">
        <f t="shared" ca="1" si="286"/>
        <v>0.40678083381212105</v>
      </c>
      <c r="G9190" s="74">
        <v>41.574532524623315</v>
      </c>
      <c r="H9190" s="74">
        <f t="shared" si="287"/>
        <v>-1.0801321812907929</v>
      </c>
    </row>
    <row r="9191" spans="5:8" ht="15.6">
      <c r="E9191" s="279" t="s">
        <v>9517</v>
      </c>
      <c r="F9191" s="284">
        <f t="shared" ca="1" si="286"/>
        <v>0.41661309639360344</v>
      </c>
      <c r="G9191" s="74">
        <v>44.045361679252416</v>
      </c>
      <c r="H9191" s="74">
        <f t="shared" si="287"/>
        <v>-3.5509613359198937</v>
      </c>
    </row>
    <row r="9192" spans="5:8" ht="15.6">
      <c r="E9192" s="279" t="s">
        <v>9518</v>
      </c>
      <c r="F9192" s="284">
        <f t="shared" ca="1" si="286"/>
        <v>0.49059267540607265</v>
      </c>
      <c r="G9192" s="74">
        <v>40.575401915445255</v>
      </c>
      <c r="H9192" s="74">
        <f t="shared" si="287"/>
        <v>-8.1001572112732845E-2</v>
      </c>
    </row>
    <row r="9193" spans="5:8" ht="15.6">
      <c r="E9193" s="279" t="s">
        <v>9519</v>
      </c>
      <c r="F9193" s="284">
        <f t="shared" ca="1" si="286"/>
        <v>0.44545089788631642</v>
      </c>
      <c r="G9193" s="74">
        <v>40.19310959765297</v>
      </c>
      <c r="H9193" s="74">
        <f t="shared" si="287"/>
        <v>0.30129074567955172</v>
      </c>
    </row>
    <row r="9194" spans="5:8" ht="15.6">
      <c r="E9194" s="279" t="s">
        <v>9520</v>
      </c>
      <c r="F9194" s="284">
        <f t="shared" ca="1" si="286"/>
        <v>2.5010728938698601E-2</v>
      </c>
      <c r="G9194" s="74">
        <v>40.735754663152115</v>
      </c>
      <c r="H9194" s="74">
        <f t="shared" si="287"/>
        <v>-0.24135431981959243</v>
      </c>
    </row>
    <row r="9195" spans="5:8" ht="15.6">
      <c r="E9195" s="279" t="s">
        <v>9521</v>
      </c>
      <c r="F9195" s="284">
        <f t="shared" ca="1" si="286"/>
        <v>0.5194990871708981</v>
      </c>
      <c r="G9195" s="74">
        <v>37.462556338185877</v>
      </c>
      <c r="H9195" s="74">
        <f t="shared" si="287"/>
        <v>3.0318440051466453</v>
      </c>
    </row>
    <row r="9196" spans="5:8" ht="15.6">
      <c r="E9196" s="279" t="s">
        <v>9522</v>
      </c>
      <c r="F9196" s="284">
        <f t="shared" ca="1" si="286"/>
        <v>0.59252095289709605</v>
      </c>
      <c r="G9196" s="74">
        <v>40.589223621815208</v>
      </c>
      <c r="H9196" s="74">
        <f t="shared" si="287"/>
        <v>-9.482327848268568E-2</v>
      </c>
    </row>
    <row r="9197" spans="5:8" ht="15.6">
      <c r="E9197" s="279" t="s">
        <v>9523</v>
      </c>
      <c r="F9197" s="284">
        <f t="shared" ca="1" si="286"/>
        <v>0.86822693735195888</v>
      </c>
      <c r="G9197" s="74">
        <v>39.295817700671947</v>
      </c>
      <c r="H9197" s="74">
        <f t="shared" si="287"/>
        <v>1.1985826426605755</v>
      </c>
    </row>
    <row r="9198" spans="5:8" ht="15.6">
      <c r="E9198" s="279" t="s">
        <v>9524</v>
      </c>
      <c r="F9198" s="284">
        <f t="shared" ca="1" si="286"/>
        <v>0.22105900973068893</v>
      </c>
      <c r="G9198" s="74">
        <v>38.107426087955162</v>
      </c>
      <c r="H9198" s="74">
        <f t="shared" si="287"/>
        <v>2.3869742553773605</v>
      </c>
    </row>
    <row r="9199" spans="5:8" ht="15.6">
      <c r="E9199" s="279" t="s">
        <v>9525</v>
      </c>
      <c r="F9199" s="284">
        <f t="shared" ca="1" si="286"/>
        <v>7.738633826231911E-2</v>
      </c>
      <c r="G9199" s="74">
        <v>39.482702728965705</v>
      </c>
      <c r="H9199" s="74">
        <f t="shared" si="287"/>
        <v>1.0116976143668168</v>
      </c>
    </row>
    <row r="9200" spans="5:8" ht="15.6">
      <c r="E9200" s="279" t="s">
        <v>9526</v>
      </c>
      <c r="F9200" s="284">
        <f t="shared" ca="1" si="286"/>
        <v>0.81211420099520271</v>
      </c>
      <c r="G9200" s="74">
        <v>40.393343120652673</v>
      </c>
      <c r="H9200" s="74">
        <f t="shared" si="287"/>
        <v>0.10105722267984873</v>
      </c>
    </row>
    <row r="9201" spans="5:8" ht="15.6">
      <c r="E9201" s="279" t="s">
        <v>9527</v>
      </c>
      <c r="F9201" s="284">
        <f t="shared" ca="1" si="286"/>
        <v>0.12362911579654046</v>
      </c>
      <c r="G9201" s="74">
        <v>38.820855427650997</v>
      </c>
      <c r="H9201" s="74">
        <f t="shared" si="287"/>
        <v>1.673544915681525</v>
      </c>
    </row>
    <row r="9202" spans="5:8" ht="15.6">
      <c r="E9202" s="279" t="s">
        <v>9528</v>
      </c>
      <c r="F9202" s="284">
        <f t="shared" ca="1" si="286"/>
        <v>0.64337956254262285</v>
      </c>
      <c r="G9202" s="74">
        <v>41.207943324650678</v>
      </c>
      <c r="H9202" s="74">
        <f t="shared" si="287"/>
        <v>-0.71354298131815597</v>
      </c>
    </row>
    <row r="9203" spans="5:8" ht="15.6">
      <c r="E9203" s="279" t="s">
        <v>9529</v>
      </c>
      <c r="F9203" s="284">
        <f t="shared" ca="1" si="286"/>
        <v>0.58159130836886341</v>
      </c>
      <c r="G9203" s="74">
        <v>40.018655889063034</v>
      </c>
      <c r="H9203" s="74">
        <f t="shared" si="287"/>
        <v>0.47574445426948841</v>
      </c>
    </row>
    <row r="9204" spans="5:8" ht="15.6">
      <c r="E9204" s="279" t="s">
        <v>9530</v>
      </c>
      <c r="F9204" s="284">
        <f t="shared" ca="1" si="286"/>
        <v>0.55546363991983805</v>
      </c>
      <c r="G9204" s="74">
        <v>36.088162340133742</v>
      </c>
      <c r="H9204" s="74">
        <f t="shared" si="287"/>
        <v>4.40623800319878</v>
      </c>
    </row>
    <row r="9205" spans="5:8" ht="15.6">
      <c r="E9205" s="279" t="s">
        <v>9531</v>
      </c>
      <c r="F9205" s="284">
        <f t="shared" ca="1" si="286"/>
        <v>0.83004842418793068</v>
      </c>
      <c r="G9205" s="74">
        <v>39.295373382862934</v>
      </c>
      <c r="H9205" s="74">
        <f t="shared" si="287"/>
        <v>1.1990269604695882</v>
      </c>
    </row>
    <row r="9206" spans="5:8" ht="15.6">
      <c r="E9206" s="279" t="s">
        <v>9532</v>
      </c>
      <c r="F9206" s="284">
        <f t="shared" ca="1" si="286"/>
        <v>0.45090259515436359</v>
      </c>
      <c r="G9206" s="74">
        <v>39.957375661150451</v>
      </c>
      <c r="H9206" s="74">
        <f t="shared" si="287"/>
        <v>0.53702468218207144</v>
      </c>
    </row>
    <row r="9207" spans="5:8" ht="15.6">
      <c r="E9207" s="279" t="s">
        <v>9533</v>
      </c>
      <c r="F9207" s="284">
        <f t="shared" ca="1" si="286"/>
        <v>0.45576487791120357</v>
      </c>
      <c r="G9207" s="74">
        <v>41.106630860420836</v>
      </c>
      <c r="H9207" s="74">
        <f t="shared" si="287"/>
        <v>-0.61223051708831377</v>
      </c>
    </row>
    <row r="9208" spans="5:8" ht="15.6">
      <c r="E9208" s="279" t="s">
        <v>9534</v>
      </c>
      <c r="F9208" s="284">
        <f t="shared" ca="1" si="286"/>
        <v>0.52258949213334727</v>
      </c>
      <c r="G9208" s="74">
        <v>40.293724926194614</v>
      </c>
      <c r="H9208" s="74">
        <f t="shared" si="287"/>
        <v>0.2006754171379086</v>
      </c>
    </row>
    <row r="9209" spans="5:8" ht="15.6">
      <c r="E9209" s="279" t="s">
        <v>9535</v>
      </c>
      <c r="F9209" s="284">
        <f t="shared" ca="1" si="286"/>
        <v>6.0249181780874128E-2</v>
      </c>
      <c r="G9209" s="74">
        <v>43.0707460120435</v>
      </c>
      <c r="H9209" s="74">
        <f t="shared" si="287"/>
        <v>-2.576345668710978</v>
      </c>
    </row>
    <row r="9210" spans="5:8" ht="15.6">
      <c r="E9210" s="279" t="s">
        <v>9536</v>
      </c>
      <c r="F9210" s="284">
        <f t="shared" ca="1" si="286"/>
        <v>0.91363719294827983</v>
      </c>
      <c r="G9210" s="74">
        <v>42.27412495485396</v>
      </c>
      <c r="H9210" s="74">
        <f t="shared" si="287"/>
        <v>-1.7797246115214378</v>
      </c>
    </row>
    <row r="9211" spans="5:8" ht="15.6">
      <c r="E9211" s="279" t="s">
        <v>9537</v>
      </c>
      <c r="F9211" s="284">
        <f t="shared" ca="1" si="286"/>
        <v>0.11476066039216637</v>
      </c>
      <c r="G9211" s="74">
        <v>38.31967201514199</v>
      </c>
      <c r="H9211" s="74">
        <f t="shared" si="287"/>
        <v>2.1747283281905325</v>
      </c>
    </row>
    <row r="9212" spans="5:8" ht="15.6">
      <c r="E9212" s="279" t="s">
        <v>9538</v>
      </c>
      <c r="F9212" s="284">
        <f t="shared" ca="1" si="286"/>
        <v>0.70966677045458471</v>
      </c>
      <c r="G9212" s="74">
        <v>39.602016943293791</v>
      </c>
      <c r="H9212" s="74">
        <f t="shared" si="287"/>
        <v>0.89238340003873162</v>
      </c>
    </row>
    <row r="9213" spans="5:8" ht="15.6">
      <c r="E9213" s="279" t="s">
        <v>9539</v>
      </c>
      <c r="F9213" s="284">
        <f t="shared" ca="1" si="286"/>
        <v>0.86881656847512057</v>
      </c>
      <c r="G9213" s="74">
        <v>40.027525455279886</v>
      </c>
      <c r="H9213" s="74">
        <f t="shared" si="287"/>
        <v>0.46687488805263655</v>
      </c>
    </row>
    <row r="9214" spans="5:8" ht="15.6">
      <c r="E9214" s="279" t="s">
        <v>9540</v>
      </c>
      <c r="F9214" s="284">
        <f t="shared" ca="1" si="286"/>
        <v>0.95870525950112229</v>
      </c>
      <c r="G9214" s="74">
        <v>40.735497454828696</v>
      </c>
      <c r="H9214" s="74">
        <f t="shared" si="287"/>
        <v>-0.24109711149617397</v>
      </c>
    </row>
    <row r="9215" spans="5:8" ht="15.6">
      <c r="E9215" s="279" t="s">
        <v>9541</v>
      </c>
      <c r="F9215" s="284">
        <f t="shared" ca="1" si="286"/>
        <v>0.13049119979949253</v>
      </c>
      <c r="G9215" s="74">
        <v>37.641667666967116</v>
      </c>
      <c r="H9215" s="74">
        <f t="shared" si="287"/>
        <v>2.852732676365406</v>
      </c>
    </row>
    <row r="9216" spans="5:8" ht="15.6">
      <c r="E9216" s="279" t="s">
        <v>9542</v>
      </c>
      <c r="F9216" s="284">
        <f t="shared" ca="1" si="286"/>
        <v>0.28942026581245728</v>
      </c>
      <c r="G9216" s="74">
        <v>36.105284134289008</v>
      </c>
      <c r="H9216" s="74">
        <f t="shared" si="287"/>
        <v>4.3891162090435145</v>
      </c>
    </row>
    <row r="9217" spans="5:8" ht="15.6">
      <c r="E9217" s="279" t="s">
        <v>9543</v>
      </c>
      <c r="F9217" s="284">
        <f t="shared" ca="1" si="286"/>
        <v>0.45676383017669531</v>
      </c>
      <c r="G9217" s="74">
        <v>37.55614872940717</v>
      </c>
      <c r="H9217" s="74">
        <f t="shared" si="287"/>
        <v>2.9382516139253525</v>
      </c>
    </row>
    <row r="9218" spans="5:8" ht="15.6">
      <c r="E9218" s="279" t="s">
        <v>9544</v>
      </c>
      <c r="F9218" s="284">
        <f t="shared" ca="1" si="286"/>
        <v>0.82244714169223365</v>
      </c>
      <c r="G9218" s="74">
        <v>38.099910540097781</v>
      </c>
      <c r="H9218" s="74">
        <f t="shared" si="287"/>
        <v>2.394489803234741</v>
      </c>
    </row>
    <row r="9219" spans="5:8" ht="15.6">
      <c r="E9219" s="279" t="s">
        <v>9545</v>
      </c>
      <c r="F9219" s="284">
        <f t="shared" ca="1" si="286"/>
        <v>0.73338428035580572</v>
      </c>
      <c r="G9219" s="74">
        <v>36.611993709187644</v>
      </c>
      <c r="H9219" s="74">
        <f t="shared" si="287"/>
        <v>3.8824066341448784</v>
      </c>
    </row>
    <row r="9220" spans="5:8" ht="15.6">
      <c r="E9220" s="279" t="s">
        <v>9546</v>
      </c>
      <c r="F9220" s="284">
        <f t="shared" ca="1" si="286"/>
        <v>0.96053675201270639</v>
      </c>
      <c r="G9220" s="74">
        <v>39.42906560425962</v>
      </c>
      <c r="H9220" s="74">
        <f t="shared" si="287"/>
        <v>1.0653347390729024</v>
      </c>
    </row>
    <row r="9221" spans="5:8" ht="15.6">
      <c r="E9221" s="279" t="s">
        <v>9547</v>
      </c>
      <c r="F9221" s="284">
        <f t="shared" ca="1" si="286"/>
        <v>0.36693935614510986</v>
      </c>
      <c r="G9221" s="74">
        <v>39.784772017491825</v>
      </c>
      <c r="H9221" s="74">
        <f t="shared" si="287"/>
        <v>0.70962832584069702</v>
      </c>
    </row>
    <row r="9222" spans="5:8" ht="15.6">
      <c r="E9222" s="279" t="s">
        <v>9548</v>
      </c>
      <c r="F9222" s="284">
        <f t="shared" ca="1" si="286"/>
        <v>0.74713296609900059</v>
      </c>
      <c r="G9222" s="74">
        <v>37.23567493512617</v>
      </c>
      <c r="H9222" s="74">
        <f t="shared" si="287"/>
        <v>3.2587254082063524</v>
      </c>
    </row>
    <row r="9223" spans="5:8" ht="15.6">
      <c r="E9223" s="279" t="s">
        <v>9549</v>
      </c>
      <c r="F9223" s="284">
        <f t="shared" ca="1" si="286"/>
        <v>0.81287806531068574</v>
      </c>
      <c r="G9223" s="74">
        <v>41.102262741343047</v>
      </c>
      <c r="H9223" s="74">
        <f t="shared" si="287"/>
        <v>-0.60786239801052488</v>
      </c>
    </row>
    <row r="9224" spans="5:8" ht="15.6">
      <c r="E9224" s="279" t="s">
        <v>9550</v>
      </c>
      <c r="F9224" s="284">
        <f t="shared" ca="1" si="286"/>
        <v>0.66098589429278898</v>
      </c>
      <c r="G9224" s="74">
        <v>42.226605124788748</v>
      </c>
      <c r="H9224" s="74">
        <f t="shared" si="287"/>
        <v>-1.7322047814562254</v>
      </c>
    </row>
    <row r="9225" spans="5:8" ht="15.6">
      <c r="E9225" s="279" t="s">
        <v>9551</v>
      </c>
      <c r="F9225" s="284">
        <f t="shared" ca="1" si="286"/>
        <v>0.26640640815971828</v>
      </c>
      <c r="G9225" s="74">
        <v>37.698059811963383</v>
      </c>
      <c r="H9225" s="74">
        <f t="shared" si="287"/>
        <v>2.7963405313691396</v>
      </c>
    </row>
    <row r="9226" spans="5:8" ht="15.6">
      <c r="E9226" s="279" t="s">
        <v>9552</v>
      </c>
      <c r="F9226" s="284">
        <f t="shared" ca="1" si="286"/>
        <v>9.2155998357720481E-2</v>
      </c>
      <c r="G9226" s="74">
        <v>40.713976749551293</v>
      </c>
      <c r="H9226" s="74">
        <f t="shared" si="287"/>
        <v>-0.21957640621877061</v>
      </c>
    </row>
    <row r="9227" spans="5:8" ht="15.6">
      <c r="E9227" s="279" t="s">
        <v>9553</v>
      </c>
      <c r="F9227" s="284">
        <f t="shared" ca="1" si="286"/>
        <v>0.1453439680551456</v>
      </c>
      <c r="G9227" s="74">
        <v>36.100726652098892</v>
      </c>
      <c r="H9227" s="74">
        <f t="shared" si="287"/>
        <v>4.3936736912336301</v>
      </c>
    </row>
    <row r="9228" spans="5:8" ht="15.6">
      <c r="E9228" s="279" t="s">
        <v>9554</v>
      </c>
      <c r="F9228" s="284">
        <f t="shared" ref="F9228:F9291" ca="1" si="288">RAND()</f>
        <v>0.45604746481788594</v>
      </c>
      <c r="G9228" s="74">
        <v>43.400359920284949</v>
      </c>
      <c r="H9228" s="74">
        <f t="shared" ref="H9228:H9291" si="289">$D$2-G9228</f>
        <v>-2.9059595769524265</v>
      </c>
    </row>
    <row r="9229" spans="5:8" ht="15.6">
      <c r="E9229" s="279" t="s">
        <v>9555</v>
      </c>
      <c r="F9229" s="284">
        <f t="shared" ca="1" si="288"/>
        <v>0.2880864046432523</v>
      </c>
      <c r="G9229" s="74">
        <v>36.909031241133547</v>
      </c>
      <c r="H9229" s="74">
        <f t="shared" si="289"/>
        <v>3.5853691021989746</v>
      </c>
    </row>
    <row r="9230" spans="5:8" ht="15.6">
      <c r="E9230" s="279" t="s">
        <v>9556</v>
      </c>
      <c r="F9230" s="284">
        <f t="shared" ca="1" si="288"/>
        <v>5.8657238479563945E-2</v>
      </c>
      <c r="G9230" s="74">
        <v>37.665068661837914</v>
      </c>
      <c r="H9230" s="74">
        <f t="shared" si="289"/>
        <v>2.8293316814946081</v>
      </c>
    </row>
    <row r="9231" spans="5:8" ht="15.6">
      <c r="E9231" s="279" t="s">
        <v>9557</v>
      </c>
      <c r="F9231" s="284">
        <f t="shared" ca="1" si="288"/>
        <v>0.34065908523120225</v>
      </c>
      <c r="G9231" s="74">
        <v>38.123845743776307</v>
      </c>
      <c r="H9231" s="74">
        <f t="shared" si="289"/>
        <v>2.3705545995562147</v>
      </c>
    </row>
    <row r="9232" spans="5:8" ht="15.6">
      <c r="E9232" s="279" t="s">
        <v>9558</v>
      </c>
      <c r="F9232" s="284">
        <f t="shared" ca="1" si="288"/>
        <v>0.13657079891777846</v>
      </c>
      <c r="G9232" s="74">
        <v>40.675733920360059</v>
      </c>
      <c r="H9232" s="74">
        <f t="shared" si="289"/>
        <v>-0.18133357702753727</v>
      </c>
    </row>
    <row r="9233" spans="5:8" ht="15.6">
      <c r="E9233" s="279" t="s">
        <v>9559</v>
      </c>
      <c r="F9233" s="284">
        <f t="shared" ca="1" si="288"/>
        <v>0.21850608642540448</v>
      </c>
      <c r="G9233" s="74">
        <v>41.130713566402271</v>
      </c>
      <c r="H9233" s="74">
        <f t="shared" si="289"/>
        <v>-0.6363132230697488</v>
      </c>
    </row>
    <row r="9234" spans="5:8" ht="15.6">
      <c r="E9234" s="279" t="s">
        <v>9560</v>
      </c>
      <c r="F9234" s="284">
        <f t="shared" ca="1" si="288"/>
        <v>9.3570147813054838E-2</v>
      </c>
      <c r="G9234" s="74">
        <v>39.811833474659899</v>
      </c>
      <c r="H9234" s="74">
        <f t="shared" si="289"/>
        <v>0.68256686867262317</v>
      </c>
    </row>
    <row r="9235" spans="5:8" ht="15.6">
      <c r="E9235" s="279" t="s">
        <v>9561</v>
      </c>
      <c r="F9235" s="284">
        <f t="shared" ca="1" si="288"/>
        <v>0.46749149441622773</v>
      </c>
      <c r="G9235" s="74">
        <v>40.905512114999851</v>
      </c>
      <c r="H9235" s="74">
        <f t="shared" si="289"/>
        <v>-0.41111177166732915</v>
      </c>
    </row>
    <row r="9236" spans="5:8" ht="15.6">
      <c r="E9236" s="279" t="s">
        <v>9562</v>
      </c>
      <c r="F9236" s="284">
        <f t="shared" ca="1" si="288"/>
        <v>0.60804926220475086</v>
      </c>
      <c r="G9236" s="74">
        <v>45.383112792914751</v>
      </c>
      <c r="H9236" s="74">
        <f t="shared" si="289"/>
        <v>-4.8887124495822292</v>
      </c>
    </row>
    <row r="9237" spans="5:8" ht="15.6">
      <c r="E9237" s="279" t="s">
        <v>9563</v>
      </c>
      <c r="F9237" s="284">
        <f t="shared" ca="1" si="288"/>
        <v>9.0704746524733926E-2</v>
      </c>
      <c r="G9237" s="74">
        <v>38.377161350156626</v>
      </c>
      <c r="H9237" s="74">
        <f t="shared" si="289"/>
        <v>2.1172389931758957</v>
      </c>
    </row>
    <row r="9238" spans="5:8" ht="15.6">
      <c r="E9238" s="279" t="s">
        <v>9564</v>
      </c>
      <c r="F9238" s="284">
        <f t="shared" ca="1" si="288"/>
        <v>0.46985223796758613</v>
      </c>
      <c r="G9238" s="74">
        <v>41.54733763598604</v>
      </c>
      <c r="H9238" s="74">
        <f t="shared" si="289"/>
        <v>-1.0529372926535174</v>
      </c>
    </row>
    <row r="9239" spans="5:8" ht="15.6">
      <c r="E9239" s="279" t="s">
        <v>9565</v>
      </c>
      <c r="F9239" s="284">
        <f t="shared" ca="1" si="288"/>
        <v>0.54456650920750094</v>
      </c>
      <c r="G9239" s="74">
        <v>40.055752322899032</v>
      </c>
      <c r="H9239" s="74">
        <f t="shared" si="289"/>
        <v>0.43864802043349016</v>
      </c>
    </row>
    <row r="9240" spans="5:8" ht="15.6">
      <c r="E9240" s="279" t="s">
        <v>9566</v>
      </c>
      <c r="F9240" s="284">
        <f t="shared" ca="1" si="288"/>
        <v>5.1448262485523699E-2</v>
      </c>
      <c r="G9240" s="74">
        <v>40.485810783677763</v>
      </c>
      <c r="H9240" s="74">
        <f t="shared" si="289"/>
        <v>8.5895596547587161E-3</v>
      </c>
    </row>
    <row r="9241" spans="5:8" ht="15.6">
      <c r="E9241" s="279" t="s">
        <v>9567</v>
      </c>
      <c r="F9241" s="284">
        <f t="shared" ca="1" si="288"/>
        <v>0.80435105050081679</v>
      </c>
      <c r="G9241" s="74">
        <v>41.804555979377852</v>
      </c>
      <c r="H9241" s="74">
        <f t="shared" si="289"/>
        <v>-1.3101556360453301</v>
      </c>
    </row>
    <row r="9242" spans="5:8" ht="15.6">
      <c r="E9242" s="279" t="s">
        <v>9568</v>
      </c>
      <c r="F9242" s="284">
        <f t="shared" ca="1" si="288"/>
        <v>0.746464860557433</v>
      </c>
      <c r="G9242" s="74">
        <v>39.861181109821302</v>
      </c>
      <c r="H9242" s="74">
        <f t="shared" si="289"/>
        <v>0.63321923351121967</v>
      </c>
    </row>
    <row r="9243" spans="5:8" ht="15.6">
      <c r="E9243" s="279" t="s">
        <v>9569</v>
      </c>
      <c r="F9243" s="284">
        <f t="shared" ca="1" si="288"/>
        <v>0.30920709634180621</v>
      </c>
      <c r="G9243" s="74">
        <v>41.855983828258822</v>
      </c>
      <c r="H9243" s="74">
        <f t="shared" si="289"/>
        <v>-1.3615834849262995</v>
      </c>
    </row>
    <row r="9244" spans="5:8" ht="15.6">
      <c r="E9244" s="279" t="s">
        <v>9570</v>
      </c>
      <c r="F9244" s="284">
        <f t="shared" ca="1" si="288"/>
        <v>0.62552930006567764</v>
      </c>
      <c r="G9244" s="74">
        <v>35.010221204214588</v>
      </c>
      <c r="H9244" s="74">
        <f t="shared" si="289"/>
        <v>5.4841791391179342</v>
      </c>
    </row>
    <row r="9245" spans="5:8" ht="15.6">
      <c r="E9245" s="279" t="s">
        <v>9571</v>
      </c>
      <c r="F9245" s="284">
        <f t="shared" ca="1" si="288"/>
        <v>0.44666468851302876</v>
      </c>
      <c r="G9245" s="74">
        <v>40.299053109768344</v>
      </c>
      <c r="H9245" s="74">
        <f t="shared" si="289"/>
        <v>0.19534723356417771</v>
      </c>
    </row>
    <row r="9246" spans="5:8" ht="15.6">
      <c r="E9246" s="279" t="s">
        <v>9572</v>
      </c>
      <c r="F9246" s="284">
        <f t="shared" ca="1" si="288"/>
        <v>0.84050038306229835</v>
      </c>
      <c r="G9246" s="74">
        <v>39.713992342837876</v>
      </c>
      <c r="H9246" s="74">
        <f t="shared" si="289"/>
        <v>0.78040800049464565</v>
      </c>
    </row>
    <row r="9247" spans="5:8" ht="15.6">
      <c r="E9247" s="279" t="s">
        <v>9573</v>
      </c>
      <c r="F9247" s="284">
        <f t="shared" ca="1" si="288"/>
        <v>0.91310555908959179</v>
      </c>
      <c r="G9247" s="74">
        <v>37.999317815818706</v>
      </c>
      <c r="H9247" s="74">
        <f t="shared" si="289"/>
        <v>2.4950825275138158</v>
      </c>
    </row>
    <row r="9248" spans="5:8" ht="15.6">
      <c r="E9248" s="279" t="s">
        <v>9574</v>
      </c>
      <c r="F9248" s="284">
        <f t="shared" ca="1" si="288"/>
        <v>0.34432304949128967</v>
      </c>
      <c r="G9248" s="74">
        <v>38.939117199033667</v>
      </c>
      <c r="H9248" s="74">
        <f t="shared" si="289"/>
        <v>1.5552831442988548</v>
      </c>
    </row>
    <row r="9249" spans="5:8" ht="15.6">
      <c r="E9249" s="279" t="s">
        <v>9575</v>
      </c>
      <c r="F9249" s="284">
        <f t="shared" ca="1" si="288"/>
        <v>0.33464906396245764</v>
      </c>
      <c r="G9249" s="74">
        <v>39.303808117406945</v>
      </c>
      <c r="H9249" s="74">
        <f t="shared" si="289"/>
        <v>1.1905922259255775</v>
      </c>
    </row>
    <row r="9250" spans="5:8" ht="15.6">
      <c r="E9250" s="279" t="s">
        <v>9576</v>
      </c>
      <c r="F9250" s="284">
        <f t="shared" ca="1" si="288"/>
        <v>0.47806156084682483</v>
      </c>
      <c r="G9250" s="74">
        <v>40.947286027655821</v>
      </c>
      <c r="H9250" s="74">
        <f t="shared" si="289"/>
        <v>-0.45288568432329868</v>
      </c>
    </row>
    <row r="9251" spans="5:8" ht="15.6">
      <c r="E9251" s="279" t="s">
        <v>9577</v>
      </c>
      <c r="F9251" s="284">
        <f t="shared" ca="1" si="288"/>
        <v>0.79796585721343483</v>
      </c>
      <c r="G9251" s="74">
        <v>33.324966965416728</v>
      </c>
      <c r="H9251" s="74">
        <f t="shared" si="289"/>
        <v>7.1694333779157944</v>
      </c>
    </row>
    <row r="9252" spans="5:8" ht="15.6">
      <c r="E9252" s="279" t="s">
        <v>9578</v>
      </c>
      <c r="F9252" s="284">
        <f t="shared" ca="1" si="288"/>
        <v>5.8764127879850192E-2</v>
      </c>
      <c r="G9252" s="74">
        <v>38.119982780277446</v>
      </c>
      <c r="H9252" s="74">
        <f t="shared" si="289"/>
        <v>2.3744175630550757</v>
      </c>
    </row>
    <row r="9253" spans="5:8" ht="15.6">
      <c r="E9253" s="279" t="s">
        <v>9579</v>
      </c>
      <c r="F9253" s="284">
        <f t="shared" ca="1" si="288"/>
        <v>0.85310955410682132</v>
      </c>
      <c r="G9253" s="74">
        <v>37.854223491295748</v>
      </c>
      <c r="H9253" s="74">
        <f t="shared" si="289"/>
        <v>2.6401768520367739</v>
      </c>
    </row>
    <row r="9254" spans="5:8" ht="15.6">
      <c r="E9254" s="279" t="s">
        <v>9580</v>
      </c>
      <c r="F9254" s="284">
        <f t="shared" ca="1" si="288"/>
        <v>0.76197345717206699</v>
      </c>
      <c r="G9254" s="74">
        <v>37.097687388663644</v>
      </c>
      <c r="H9254" s="74">
        <f t="shared" si="289"/>
        <v>3.3967129546688781</v>
      </c>
    </row>
    <row r="9255" spans="5:8" ht="15.6">
      <c r="E9255" s="279" t="s">
        <v>9581</v>
      </c>
      <c r="F9255" s="284">
        <f t="shared" ca="1" si="288"/>
        <v>0.57348119670868414</v>
      </c>
      <c r="G9255" s="74">
        <v>36.706535727954183</v>
      </c>
      <c r="H9255" s="74">
        <f t="shared" si="289"/>
        <v>3.7878646153783393</v>
      </c>
    </row>
    <row r="9256" spans="5:8" ht="15.6">
      <c r="E9256" s="279" t="s">
        <v>9582</v>
      </c>
      <c r="F9256" s="284">
        <f t="shared" ca="1" si="288"/>
        <v>0.41710777341381755</v>
      </c>
      <c r="G9256" s="74">
        <v>36.842319005600956</v>
      </c>
      <c r="H9256" s="74">
        <f t="shared" si="289"/>
        <v>3.6520813377315662</v>
      </c>
    </row>
    <row r="9257" spans="5:8" ht="15.6">
      <c r="E9257" s="279" t="s">
        <v>9583</v>
      </c>
      <c r="F9257" s="284">
        <f t="shared" ca="1" si="288"/>
        <v>0.13414196587849114</v>
      </c>
      <c r="G9257" s="74">
        <v>41.2837636338094</v>
      </c>
      <c r="H9257" s="74">
        <f t="shared" si="289"/>
        <v>-0.78936329047687792</v>
      </c>
    </row>
    <row r="9258" spans="5:8" ht="15.6">
      <c r="E9258" s="279" t="s">
        <v>9584</v>
      </c>
      <c r="F9258" s="284">
        <f t="shared" ca="1" si="288"/>
        <v>0.91299836622913821</v>
      </c>
      <c r="G9258" s="74">
        <v>41.402964011938202</v>
      </c>
      <c r="H9258" s="74">
        <f t="shared" si="289"/>
        <v>-0.90856366860568016</v>
      </c>
    </row>
    <row r="9259" spans="5:8" ht="15.6">
      <c r="E9259" s="279" t="s">
        <v>9585</v>
      </c>
      <c r="F9259" s="284">
        <f t="shared" ca="1" si="288"/>
        <v>0.22395029002847466</v>
      </c>
      <c r="G9259" s="74">
        <v>36.988965148723054</v>
      </c>
      <c r="H9259" s="74">
        <f t="shared" si="289"/>
        <v>3.5054351946094684</v>
      </c>
    </row>
    <row r="9260" spans="5:8" ht="15.6">
      <c r="E9260" s="279" t="s">
        <v>9586</v>
      </c>
      <c r="F9260" s="284">
        <f t="shared" ca="1" si="288"/>
        <v>0.65156170112930056</v>
      </c>
      <c r="G9260" s="74">
        <v>38.884082330244617</v>
      </c>
      <c r="H9260" s="74">
        <f t="shared" si="289"/>
        <v>1.6103180130879053</v>
      </c>
    </row>
    <row r="9261" spans="5:8" ht="15.6">
      <c r="E9261" s="279" t="s">
        <v>9587</v>
      </c>
      <c r="F9261" s="284">
        <f t="shared" ca="1" si="288"/>
        <v>0.69818340164657922</v>
      </c>
      <c r="G9261" s="74">
        <v>39.488183688232048</v>
      </c>
      <c r="H9261" s="74">
        <f t="shared" si="289"/>
        <v>1.0062166551004736</v>
      </c>
    </row>
    <row r="9262" spans="5:8" ht="15.6">
      <c r="E9262" s="279" t="s">
        <v>9588</v>
      </c>
      <c r="F9262" s="284">
        <f t="shared" ca="1" si="288"/>
        <v>0.48005561334044899</v>
      </c>
      <c r="G9262" s="74">
        <v>41.75075725247801</v>
      </c>
      <c r="H9262" s="74">
        <f t="shared" si="289"/>
        <v>-1.256356909145488</v>
      </c>
    </row>
    <row r="9263" spans="5:8" ht="15.6">
      <c r="E9263" s="279" t="s">
        <v>9589</v>
      </c>
      <c r="F9263" s="284">
        <f t="shared" ca="1" si="288"/>
        <v>0.68668163294573847</v>
      </c>
      <c r="G9263" s="74">
        <v>41.402614280631816</v>
      </c>
      <c r="H9263" s="74">
        <f t="shared" si="289"/>
        <v>-0.90821393729929412</v>
      </c>
    </row>
    <row r="9264" spans="5:8" ht="15.6">
      <c r="E9264" s="279" t="s">
        <v>9590</v>
      </c>
      <c r="F9264" s="284">
        <f t="shared" ca="1" si="288"/>
        <v>0.39095601973460659</v>
      </c>
      <c r="G9264" s="74">
        <v>40.504932947942514</v>
      </c>
      <c r="H9264" s="74">
        <f t="shared" si="289"/>
        <v>-1.0532604609991836E-2</v>
      </c>
    </row>
    <row r="9265" spans="5:8" ht="15.6">
      <c r="E9265" s="279" t="s">
        <v>9591</v>
      </c>
      <c r="F9265" s="284">
        <f t="shared" ca="1" si="288"/>
        <v>0.29213899542908184</v>
      </c>
      <c r="G9265" s="74">
        <v>34.453053932996781</v>
      </c>
      <c r="H9265" s="74">
        <f t="shared" si="289"/>
        <v>6.0413464103357413</v>
      </c>
    </row>
    <row r="9266" spans="5:8" ht="15.6">
      <c r="E9266" s="279" t="s">
        <v>9592</v>
      </c>
      <c r="F9266" s="284">
        <f t="shared" ca="1" si="288"/>
        <v>0.28767871353395591</v>
      </c>
      <c r="G9266" s="74">
        <v>44.562866309949079</v>
      </c>
      <c r="H9266" s="74">
        <f t="shared" si="289"/>
        <v>-4.0684659666165572</v>
      </c>
    </row>
    <row r="9267" spans="5:8" ht="15.6">
      <c r="E9267" s="279" t="s">
        <v>9593</v>
      </c>
      <c r="F9267" s="284">
        <f t="shared" ca="1" si="288"/>
        <v>0.94707737553874405</v>
      </c>
      <c r="G9267" s="74">
        <v>41.317601922072967</v>
      </c>
      <c r="H9267" s="74">
        <f t="shared" si="289"/>
        <v>-0.82320157874044497</v>
      </c>
    </row>
    <row r="9268" spans="5:8" ht="15.6">
      <c r="E9268" s="279" t="s">
        <v>9594</v>
      </c>
      <c r="F9268" s="284">
        <f t="shared" ca="1" si="288"/>
        <v>0.10343744538286648</v>
      </c>
      <c r="G9268" s="74">
        <v>39.548058262864622</v>
      </c>
      <c r="H9268" s="74">
        <f t="shared" si="289"/>
        <v>0.94634208046790036</v>
      </c>
    </row>
    <row r="9269" spans="5:8" ht="15.6">
      <c r="E9269" s="279" t="s">
        <v>9595</v>
      </c>
      <c r="F9269" s="284">
        <f t="shared" ca="1" si="288"/>
        <v>0.17178162607222913</v>
      </c>
      <c r="G9269" s="74">
        <v>36.093598413087108</v>
      </c>
      <c r="H9269" s="74">
        <f t="shared" si="289"/>
        <v>4.4008019302454144</v>
      </c>
    </row>
    <row r="9270" spans="5:8" ht="15.6">
      <c r="E9270" s="279" t="s">
        <v>9596</v>
      </c>
      <c r="F9270" s="284">
        <f t="shared" ca="1" si="288"/>
        <v>0.4096401741288489</v>
      </c>
      <c r="G9270" s="74">
        <v>37.02193819794752</v>
      </c>
      <c r="H9270" s="74">
        <f t="shared" si="289"/>
        <v>3.472462145385002</v>
      </c>
    </row>
    <row r="9271" spans="5:8" ht="15.6">
      <c r="E9271" s="279" t="s">
        <v>9597</v>
      </c>
      <c r="F9271" s="284">
        <f t="shared" ca="1" si="288"/>
        <v>0.78870697253041699</v>
      </c>
      <c r="G9271" s="74">
        <v>42.487371815050153</v>
      </c>
      <c r="H9271" s="74">
        <f t="shared" si="289"/>
        <v>-1.992971471717631</v>
      </c>
    </row>
    <row r="9272" spans="5:8" ht="15.6">
      <c r="E9272" s="279" t="s">
        <v>9598</v>
      </c>
      <c r="F9272" s="284">
        <f t="shared" ca="1" si="288"/>
        <v>0.32819336646402775</v>
      </c>
      <c r="G9272" s="74">
        <v>42.67339766237226</v>
      </c>
      <c r="H9272" s="74">
        <f t="shared" si="289"/>
        <v>-2.1789973190397376</v>
      </c>
    </row>
    <row r="9273" spans="5:8" ht="15.6">
      <c r="E9273" s="279" t="s">
        <v>9599</v>
      </c>
      <c r="F9273" s="284">
        <f t="shared" ca="1" si="288"/>
        <v>0.75271246984798645</v>
      </c>
      <c r="G9273" s="74">
        <v>37.648160075394593</v>
      </c>
      <c r="H9273" s="74">
        <f t="shared" si="289"/>
        <v>2.8462402679379295</v>
      </c>
    </row>
    <row r="9274" spans="5:8" ht="15.6">
      <c r="E9274" s="279" t="s">
        <v>9600</v>
      </c>
      <c r="F9274" s="284">
        <f t="shared" ca="1" si="288"/>
        <v>0.85866960476610499</v>
      </c>
      <c r="G9274" s="74">
        <v>41.601911797549448</v>
      </c>
      <c r="H9274" s="74">
        <f t="shared" si="289"/>
        <v>-1.107511454216926</v>
      </c>
    </row>
    <row r="9275" spans="5:8" ht="15.6">
      <c r="E9275" s="279" t="s">
        <v>9601</v>
      </c>
      <c r="F9275" s="284">
        <f t="shared" ca="1" si="288"/>
        <v>0.34951019290579877</v>
      </c>
      <c r="G9275" s="74">
        <v>36.305789809006242</v>
      </c>
      <c r="H9275" s="74">
        <f t="shared" si="289"/>
        <v>4.1886105343262798</v>
      </c>
    </row>
    <row r="9276" spans="5:8" ht="15.6">
      <c r="E9276" s="279" t="s">
        <v>9602</v>
      </c>
      <c r="F9276" s="284">
        <f t="shared" ca="1" si="288"/>
        <v>0.73733974286843018</v>
      </c>
      <c r="G9276" s="74">
        <v>39.474751123760079</v>
      </c>
      <c r="H9276" s="74">
        <f t="shared" si="289"/>
        <v>1.0196492195724431</v>
      </c>
    </row>
    <row r="9277" spans="5:8" ht="15.6">
      <c r="E9277" s="279" t="s">
        <v>9603</v>
      </c>
      <c r="F9277" s="284">
        <f t="shared" ca="1" si="288"/>
        <v>0.14537184082984211</v>
      </c>
      <c r="G9277" s="74">
        <v>37.552113225931848</v>
      </c>
      <c r="H9277" s="74">
        <f t="shared" si="289"/>
        <v>2.9422871174006744</v>
      </c>
    </row>
    <row r="9278" spans="5:8" ht="15.6">
      <c r="E9278" s="279" t="s">
        <v>9604</v>
      </c>
      <c r="F9278" s="284">
        <f t="shared" ca="1" si="288"/>
        <v>0.17465820961742651</v>
      </c>
      <c r="G9278" s="74">
        <v>43.714681111204193</v>
      </c>
      <c r="H9278" s="74">
        <f t="shared" si="289"/>
        <v>-3.2202807678716709</v>
      </c>
    </row>
    <row r="9279" spans="5:8" ht="15.6">
      <c r="E9279" s="279" t="s">
        <v>9605</v>
      </c>
      <c r="F9279" s="284">
        <f t="shared" ca="1" si="288"/>
        <v>0.8257473583608822</v>
      </c>
      <c r="G9279" s="74">
        <v>39.905221703095194</v>
      </c>
      <c r="H9279" s="74">
        <f t="shared" si="289"/>
        <v>0.58917864023732847</v>
      </c>
    </row>
    <row r="9280" spans="5:8" ht="15.6">
      <c r="E9280" s="279" t="s">
        <v>9606</v>
      </c>
      <c r="F9280" s="284">
        <f t="shared" ca="1" si="288"/>
        <v>0.7415281839419674</v>
      </c>
      <c r="G9280" s="74">
        <v>36.595860185050988</v>
      </c>
      <c r="H9280" s="74">
        <f t="shared" si="289"/>
        <v>3.8985401582815342</v>
      </c>
    </row>
    <row r="9281" spans="5:8" ht="15.6">
      <c r="E9281" s="279" t="s">
        <v>9607</v>
      </c>
      <c r="F9281" s="284">
        <f t="shared" ca="1" si="288"/>
        <v>0.29597424319960164</v>
      </c>
      <c r="G9281" s="74">
        <v>42.753977721040236</v>
      </c>
      <c r="H9281" s="74">
        <f t="shared" si="289"/>
        <v>-2.2595773777077142</v>
      </c>
    </row>
    <row r="9282" spans="5:8" ht="15.6">
      <c r="E9282" s="279" t="s">
        <v>9608</v>
      </c>
      <c r="F9282" s="284">
        <f t="shared" ca="1" si="288"/>
        <v>0.74312464993757377</v>
      </c>
      <c r="G9282" s="74">
        <v>36.001660033385861</v>
      </c>
      <c r="H9282" s="74">
        <f t="shared" si="289"/>
        <v>4.4927403099466616</v>
      </c>
    </row>
    <row r="9283" spans="5:8" ht="15.6">
      <c r="E9283" s="279" t="s">
        <v>9609</v>
      </c>
      <c r="F9283" s="284">
        <f t="shared" ca="1" si="288"/>
        <v>0.88023739493125364</v>
      </c>
      <c r="G9283" s="74">
        <v>42.048552639568776</v>
      </c>
      <c r="H9283" s="74">
        <f t="shared" si="289"/>
        <v>-1.5541522962362535</v>
      </c>
    </row>
    <row r="9284" spans="5:8" ht="15.6">
      <c r="E9284" s="279" t="s">
        <v>9610</v>
      </c>
      <c r="F9284" s="284">
        <f t="shared" ca="1" si="288"/>
        <v>0.35913157285745501</v>
      </c>
      <c r="G9284" s="74">
        <v>41.511035104548355</v>
      </c>
      <c r="H9284" s="74">
        <f t="shared" si="289"/>
        <v>-1.0166347612158333</v>
      </c>
    </row>
    <row r="9285" spans="5:8" ht="15.6">
      <c r="E9285" s="279" t="s">
        <v>9611</v>
      </c>
      <c r="F9285" s="284">
        <f t="shared" ca="1" si="288"/>
        <v>0.33798162692525646</v>
      </c>
      <c r="G9285" s="74">
        <v>39.56936942398702</v>
      </c>
      <c r="H9285" s="74">
        <f t="shared" si="289"/>
        <v>0.92503091934550241</v>
      </c>
    </row>
    <row r="9286" spans="5:8" ht="15.6">
      <c r="E9286" s="279" t="s">
        <v>9612</v>
      </c>
      <c r="F9286" s="284">
        <f t="shared" ca="1" si="288"/>
        <v>0.38070209667566413</v>
      </c>
      <c r="G9286" s="74">
        <v>38.594978364198738</v>
      </c>
      <c r="H9286" s="74">
        <f t="shared" si="289"/>
        <v>1.8994219791337841</v>
      </c>
    </row>
    <row r="9287" spans="5:8" ht="15.6">
      <c r="E9287" s="279" t="s">
        <v>9613</v>
      </c>
      <c r="F9287" s="284">
        <f t="shared" ca="1" si="288"/>
        <v>9.3428819201449742E-2</v>
      </c>
      <c r="G9287" s="74">
        <v>41.491930918763131</v>
      </c>
      <c r="H9287" s="74">
        <f t="shared" si="289"/>
        <v>-0.99753057543060919</v>
      </c>
    </row>
    <row r="9288" spans="5:8" ht="15.6">
      <c r="E9288" s="279" t="s">
        <v>9614</v>
      </c>
      <c r="F9288" s="284">
        <f t="shared" ca="1" si="288"/>
        <v>0.74855361158369793</v>
      </c>
      <c r="G9288" s="74">
        <v>36.599044971894571</v>
      </c>
      <c r="H9288" s="74">
        <f t="shared" si="289"/>
        <v>3.895355371437951</v>
      </c>
    </row>
    <row r="9289" spans="5:8" ht="15.6">
      <c r="E9289" s="279" t="s">
        <v>9615</v>
      </c>
      <c r="F9289" s="284">
        <f t="shared" ca="1" si="288"/>
        <v>0.21961947790792036</v>
      </c>
      <c r="G9289" s="74">
        <v>40.88500827479244</v>
      </c>
      <c r="H9289" s="74">
        <f t="shared" si="289"/>
        <v>-0.39060793145991823</v>
      </c>
    </row>
    <row r="9290" spans="5:8" ht="15.6">
      <c r="E9290" s="279" t="s">
        <v>9616</v>
      </c>
      <c r="F9290" s="284">
        <f t="shared" ca="1" si="288"/>
        <v>0.39429124420050821</v>
      </c>
      <c r="G9290" s="74">
        <v>33.591963430876163</v>
      </c>
      <c r="H9290" s="74">
        <f t="shared" si="289"/>
        <v>6.9024369124563592</v>
      </c>
    </row>
    <row r="9291" spans="5:8" ht="15.6">
      <c r="E9291" s="279" t="s">
        <v>9617</v>
      </c>
      <c r="F9291" s="284">
        <f t="shared" ca="1" si="288"/>
        <v>0.31652700754786645</v>
      </c>
      <c r="G9291" s="74">
        <v>39.905413088424794</v>
      </c>
      <c r="H9291" s="74">
        <f t="shared" si="289"/>
        <v>0.58898725490772819</v>
      </c>
    </row>
    <row r="9292" spans="5:8" ht="15.6">
      <c r="E9292" s="279" t="s">
        <v>9618</v>
      </c>
      <c r="F9292" s="284">
        <f t="shared" ref="F9292:F9355" ca="1" si="290">RAND()</f>
        <v>0.16441577398084739</v>
      </c>
      <c r="G9292" s="74">
        <v>39.311346986818826</v>
      </c>
      <c r="H9292" s="74">
        <f t="shared" ref="H9292:H9355" si="291">$D$2-G9292</f>
        <v>1.183053356513696</v>
      </c>
    </row>
    <row r="9293" spans="5:8" ht="15.6">
      <c r="E9293" s="279" t="s">
        <v>9619</v>
      </c>
      <c r="F9293" s="284">
        <f t="shared" ca="1" si="290"/>
        <v>0.36920489946516033</v>
      </c>
      <c r="G9293" s="74">
        <v>41.556329501664607</v>
      </c>
      <c r="H9293" s="74">
        <f t="shared" si="291"/>
        <v>-1.0619291583320845</v>
      </c>
    </row>
    <row r="9294" spans="5:8" ht="15.6">
      <c r="E9294" s="279" t="s">
        <v>9620</v>
      </c>
      <c r="F9294" s="284">
        <f t="shared" ca="1" si="290"/>
        <v>0.54910109241256488</v>
      </c>
      <c r="G9294" s="74">
        <v>38.206807025460741</v>
      </c>
      <c r="H9294" s="74">
        <f t="shared" si="291"/>
        <v>2.2875933178717816</v>
      </c>
    </row>
    <row r="9295" spans="5:8" ht="15.6">
      <c r="E9295" s="279" t="s">
        <v>9621</v>
      </c>
      <c r="F9295" s="284">
        <f t="shared" ca="1" si="290"/>
        <v>0.97083163189182875</v>
      </c>
      <c r="G9295" s="74">
        <v>36.760167959962779</v>
      </c>
      <c r="H9295" s="74">
        <f t="shared" si="291"/>
        <v>3.7342323833697435</v>
      </c>
    </row>
    <row r="9296" spans="5:8" ht="15.6">
      <c r="E9296" s="279" t="s">
        <v>9622</v>
      </c>
      <c r="F9296" s="284">
        <f t="shared" ca="1" si="290"/>
        <v>0.49406038705389255</v>
      </c>
      <c r="G9296" s="74">
        <v>34.760847026528808</v>
      </c>
      <c r="H9296" s="74">
        <f t="shared" si="291"/>
        <v>5.7335533168037145</v>
      </c>
    </row>
    <row r="9297" spans="5:8" ht="15.6">
      <c r="E9297" s="279" t="s">
        <v>9623</v>
      </c>
      <c r="F9297" s="284">
        <f t="shared" ca="1" si="290"/>
        <v>0.29847724303624867</v>
      </c>
      <c r="G9297" s="74">
        <v>35.518126806407999</v>
      </c>
      <c r="H9297" s="74">
        <f t="shared" si="291"/>
        <v>4.9762735369245235</v>
      </c>
    </row>
    <row r="9298" spans="5:8" ht="15.6">
      <c r="E9298" s="279" t="s">
        <v>9624</v>
      </c>
      <c r="F9298" s="284">
        <f t="shared" ca="1" si="290"/>
        <v>5.6442374805691475E-2</v>
      </c>
      <c r="G9298" s="74">
        <v>41.984986707883508</v>
      </c>
      <c r="H9298" s="74">
        <f t="shared" si="291"/>
        <v>-1.4905863645509854</v>
      </c>
    </row>
    <row r="9299" spans="5:8" ht="15.6">
      <c r="E9299" s="279" t="s">
        <v>9625</v>
      </c>
      <c r="F9299" s="284">
        <f t="shared" ca="1" si="290"/>
        <v>2.2103466926179705E-2</v>
      </c>
      <c r="G9299" s="74">
        <v>38.552046169693234</v>
      </c>
      <c r="H9299" s="74">
        <f t="shared" si="291"/>
        <v>1.9423541736392878</v>
      </c>
    </row>
    <row r="9300" spans="5:8" ht="15.6">
      <c r="E9300" s="279" t="s">
        <v>9626</v>
      </c>
      <c r="F9300" s="284">
        <f t="shared" ca="1" si="290"/>
        <v>0.77972704495478673</v>
      </c>
      <c r="G9300" s="74">
        <v>38.265320258720791</v>
      </c>
      <c r="H9300" s="74">
        <f t="shared" si="291"/>
        <v>2.2290800846117307</v>
      </c>
    </row>
    <row r="9301" spans="5:8" ht="15.6">
      <c r="E9301" s="279" t="s">
        <v>9627</v>
      </c>
      <c r="F9301" s="284">
        <f t="shared" ca="1" si="290"/>
        <v>3.3935001951006738E-2</v>
      </c>
      <c r="G9301" s="74">
        <v>40.131251135875459</v>
      </c>
      <c r="H9301" s="74">
        <f t="shared" si="291"/>
        <v>0.36314920745706303</v>
      </c>
    </row>
    <row r="9302" spans="5:8" ht="15.6">
      <c r="E9302" s="279" t="s">
        <v>9628</v>
      </c>
      <c r="F9302" s="284">
        <f t="shared" ca="1" si="290"/>
        <v>0.99141455524463118</v>
      </c>
      <c r="G9302" s="74">
        <v>40.297017977589491</v>
      </c>
      <c r="H9302" s="74">
        <f t="shared" si="291"/>
        <v>0.19738236574303158</v>
      </c>
    </row>
    <row r="9303" spans="5:8" ht="15.6">
      <c r="E9303" s="279" t="s">
        <v>9629</v>
      </c>
      <c r="F9303" s="284">
        <f t="shared" ca="1" si="290"/>
        <v>8.8574807546026202E-2</v>
      </c>
      <c r="G9303" s="74">
        <v>37.247913315716204</v>
      </c>
      <c r="H9303" s="74">
        <f t="shared" si="291"/>
        <v>3.2464870276163182</v>
      </c>
    </row>
    <row r="9304" spans="5:8" ht="15.6">
      <c r="E9304" s="279" t="s">
        <v>9630</v>
      </c>
      <c r="F9304" s="284">
        <f t="shared" ca="1" si="290"/>
        <v>0.73339011661418352</v>
      </c>
      <c r="G9304" s="74">
        <v>41.132933426032587</v>
      </c>
      <c r="H9304" s="74">
        <f t="shared" si="291"/>
        <v>-0.63853308270006437</v>
      </c>
    </row>
    <row r="9305" spans="5:8" ht="15.6">
      <c r="E9305" s="279" t="s">
        <v>9631</v>
      </c>
      <c r="F9305" s="284">
        <f t="shared" ca="1" si="290"/>
        <v>0.22103281323178625</v>
      </c>
      <c r="G9305" s="74">
        <v>44.037749700612004</v>
      </c>
      <c r="H9305" s="74">
        <f t="shared" si="291"/>
        <v>-3.5433493572794816</v>
      </c>
    </row>
    <row r="9306" spans="5:8" ht="15.6">
      <c r="E9306" s="279" t="s">
        <v>9632</v>
      </c>
      <c r="F9306" s="284">
        <f t="shared" ca="1" si="290"/>
        <v>0.19921502914737355</v>
      </c>
      <c r="G9306" s="74">
        <v>39.022159357934399</v>
      </c>
      <c r="H9306" s="74">
        <f t="shared" si="291"/>
        <v>1.4722409853981233</v>
      </c>
    </row>
    <row r="9307" spans="5:8" ht="15.6">
      <c r="E9307" s="279" t="s">
        <v>9633</v>
      </c>
      <c r="F9307" s="284">
        <f t="shared" ca="1" si="290"/>
        <v>0.43258562485927521</v>
      </c>
      <c r="G9307" s="74">
        <v>37.418606995514793</v>
      </c>
      <c r="H9307" s="74">
        <f t="shared" si="291"/>
        <v>3.0757933478177293</v>
      </c>
    </row>
    <row r="9308" spans="5:8" ht="15.6">
      <c r="E9308" s="279" t="s">
        <v>9634</v>
      </c>
      <c r="F9308" s="284">
        <f t="shared" ca="1" si="290"/>
        <v>0.51080780794027947</v>
      </c>
      <c r="G9308" s="74">
        <v>42.541776738250029</v>
      </c>
      <c r="H9308" s="74">
        <f t="shared" si="291"/>
        <v>-2.0473763949175066</v>
      </c>
    </row>
    <row r="9309" spans="5:8" ht="15.6">
      <c r="E9309" s="279" t="s">
        <v>9635</v>
      </c>
      <c r="F9309" s="284">
        <f t="shared" ca="1" si="290"/>
        <v>0.35907952948956712</v>
      </c>
      <c r="G9309" s="74">
        <v>35.746587577203051</v>
      </c>
      <c r="H9309" s="74">
        <f t="shared" si="291"/>
        <v>4.7478127661294707</v>
      </c>
    </row>
    <row r="9310" spans="5:8" ht="15.6">
      <c r="E9310" s="279" t="s">
        <v>9636</v>
      </c>
      <c r="F9310" s="284">
        <f t="shared" ca="1" si="290"/>
        <v>0.1803978348132258</v>
      </c>
      <c r="G9310" s="74">
        <v>39.881081508584678</v>
      </c>
      <c r="H9310" s="74">
        <f t="shared" si="291"/>
        <v>0.61331883474784377</v>
      </c>
    </row>
    <row r="9311" spans="5:8" ht="15.6">
      <c r="E9311" s="279" t="s">
        <v>9637</v>
      </c>
      <c r="F9311" s="284">
        <f t="shared" ca="1" si="290"/>
        <v>0.31788831177676635</v>
      </c>
      <c r="G9311" s="74">
        <v>38.501369569229006</v>
      </c>
      <c r="H9311" s="74">
        <f t="shared" si="291"/>
        <v>1.9930307741035165</v>
      </c>
    </row>
    <row r="9312" spans="5:8" ht="15.6">
      <c r="E9312" s="279" t="s">
        <v>9638</v>
      </c>
      <c r="F9312" s="284">
        <f t="shared" ca="1" si="290"/>
        <v>0.44652264690441901</v>
      </c>
      <c r="G9312" s="74">
        <v>37.443912878913757</v>
      </c>
      <c r="H9312" s="74">
        <f t="shared" si="291"/>
        <v>3.0504874644187652</v>
      </c>
    </row>
    <row r="9313" spans="5:8" ht="15.6">
      <c r="E9313" s="279" t="s">
        <v>9639</v>
      </c>
      <c r="F9313" s="284">
        <f t="shared" ca="1" si="290"/>
        <v>0.18869879754140895</v>
      </c>
      <c r="G9313" s="74">
        <v>40.943241121138705</v>
      </c>
      <c r="H9313" s="74">
        <f t="shared" si="291"/>
        <v>-0.4488407778061827</v>
      </c>
    </row>
    <row r="9314" spans="5:8" ht="15.6">
      <c r="E9314" s="279" t="s">
        <v>9640</v>
      </c>
      <c r="F9314" s="284">
        <f t="shared" ca="1" si="290"/>
        <v>0.66988715071604366</v>
      </c>
      <c r="G9314" s="74">
        <v>43.887481307787567</v>
      </c>
      <c r="H9314" s="74">
        <f t="shared" si="291"/>
        <v>-3.393080964455045</v>
      </c>
    </row>
    <row r="9315" spans="5:8" ht="15.6">
      <c r="E9315" s="279" t="s">
        <v>9641</v>
      </c>
      <c r="F9315" s="284">
        <f t="shared" ca="1" si="290"/>
        <v>0.54657312920484069</v>
      </c>
      <c r="G9315" s="74">
        <v>41.108459115202969</v>
      </c>
      <c r="H9315" s="74">
        <f t="shared" si="291"/>
        <v>-0.61405877187044666</v>
      </c>
    </row>
    <row r="9316" spans="5:8" ht="15.6">
      <c r="E9316" s="279" t="s">
        <v>9642</v>
      </c>
      <c r="F9316" s="284">
        <f t="shared" ca="1" si="290"/>
        <v>0.99278688097376655</v>
      </c>
      <c r="G9316" s="74">
        <v>40.775599026876627</v>
      </c>
      <c r="H9316" s="74">
        <f t="shared" si="291"/>
        <v>-0.28119868354410471</v>
      </c>
    </row>
    <row r="9317" spans="5:8" ht="15.6">
      <c r="E9317" s="279" t="s">
        <v>9643</v>
      </c>
      <c r="F9317" s="284">
        <f t="shared" ca="1" si="290"/>
        <v>0.29288891803719741</v>
      </c>
      <c r="G9317" s="74">
        <v>37.888562983974232</v>
      </c>
      <c r="H9317" s="74">
        <f t="shared" si="291"/>
        <v>2.60583735935829</v>
      </c>
    </row>
    <row r="9318" spans="5:8" ht="15.6">
      <c r="E9318" s="279" t="s">
        <v>9644</v>
      </c>
      <c r="F9318" s="284">
        <f t="shared" ca="1" si="290"/>
        <v>0.30245548998182481</v>
      </c>
      <c r="G9318" s="74">
        <v>36.953396186984712</v>
      </c>
      <c r="H9318" s="74">
        <f t="shared" si="291"/>
        <v>3.5410041563478103</v>
      </c>
    </row>
    <row r="9319" spans="5:8" ht="15.6">
      <c r="E9319" s="279" t="s">
        <v>9645</v>
      </c>
      <c r="F9319" s="284">
        <f t="shared" ca="1" si="290"/>
        <v>5.1883098044079312E-2</v>
      </c>
      <c r="G9319" s="74">
        <v>35.319287427349863</v>
      </c>
      <c r="H9319" s="74">
        <f t="shared" si="291"/>
        <v>5.175112915982659</v>
      </c>
    </row>
    <row r="9320" spans="5:8" ht="15.6">
      <c r="E9320" s="279" t="s">
        <v>9646</v>
      </c>
      <c r="F9320" s="284">
        <f t="shared" ca="1" si="290"/>
        <v>9.2767785845057071E-2</v>
      </c>
      <c r="G9320" s="74">
        <v>41.260451793683906</v>
      </c>
      <c r="H9320" s="74">
        <f t="shared" si="291"/>
        <v>-0.76605145035138378</v>
      </c>
    </row>
    <row r="9321" spans="5:8" ht="15.6">
      <c r="E9321" s="279" t="s">
        <v>9647</v>
      </c>
      <c r="F9321" s="284">
        <f t="shared" ca="1" si="290"/>
        <v>0.27007109950289554</v>
      </c>
      <c r="G9321" s="74">
        <v>39.491736277544447</v>
      </c>
      <c r="H9321" s="74">
        <f t="shared" si="291"/>
        <v>1.0026640657880748</v>
      </c>
    </row>
    <row r="9322" spans="5:8" ht="15.6">
      <c r="E9322" s="279" t="s">
        <v>9648</v>
      </c>
      <c r="F9322" s="284">
        <f t="shared" ca="1" si="290"/>
        <v>2.7740368389571946E-2</v>
      </c>
      <c r="G9322" s="74">
        <v>39.43558945379818</v>
      </c>
      <c r="H9322" s="74">
        <f t="shared" si="291"/>
        <v>1.0588108895343424</v>
      </c>
    </row>
    <row r="9323" spans="5:8" ht="15.6">
      <c r="E9323" s="279" t="s">
        <v>9649</v>
      </c>
      <c r="F9323" s="284">
        <f t="shared" ca="1" si="290"/>
        <v>0.41864353721783309</v>
      </c>
      <c r="G9323" s="74">
        <v>41.871996199795632</v>
      </c>
      <c r="H9323" s="74">
        <f t="shared" si="291"/>
        <v>-1.3775958564631097</v>
      </c>
    </row>
    <row r="9324" spans="5:8" ht="15.6">
      <c r="E9324" s="279" t="s">
        <v>9650</v>
      </c>
      <c r="F9324" s="284">
        <f t="shared" ca="1" si="290"/>
        <v>0.54390878559917077</v>
      </c>
      <c r="G9324" s="74">
        <v>36.273807245180684</v>
      </c>
      <c r="H9324" s="74">
        <f t="shared" si="291"/>
        <v>4.2205930981518378</v>
      </c>
    </row>
    <row r="9325" spans="5:8" ht="15.6">
      <c r="E9325" s="279" t="s">
        <v>9651</v>
      </c>
      <c r="F9325" s="284">
        <f t="shared" ca="1" si="290"/>
        <v>2.817380408574599E-2</v>
      </c>
      <c r="G9325" s="74">
        <v>37.058548539607315</v>
      </c>
      <c r="H9325" s="74">
        <f t="shared" si="291"/>
        <v>3.4358518037252068</v>
      </c>
    </row>
    <row r="9326" spans="5:8" ht="15.6">
      <c r="E9326" s="279" t="s">
        <v>9652</v>
      </c>
      <c r="F9326" s="284">
        <f t="shared" ca="1" si="290"/>
        <v>0.76610153825728677</v>
      </c>
      <c r="G9326" s="74">
        <v>44.269221405123901</v>
      </c>
      <c r="H9326" s="74">
        <f t="shared" si="291"/>
        <v>-3.7748210617913784</v>
      </c>
    </row>
    <row r="9327" spans="5:8" ht="15.6">
      <c r="E9327" s="279" t="s">
        <v>9653</v>
      </c>
      <c r="F9327" s="284">
        <f t="shared" ca="1" si="290"/>
        <v>0.90752805632161204</v>
      </c>
      <c r="G9327" s="74">
        <v>41.274955873822961</v>
      </c>
      <c r="H9327" s="74">
        <f t="shared" si="291"/>
        <v>-0.7805555304904388</v>
      </c>
    </row>
    <row r="9328" spans="5:8" ht="15.6">
      <c r="E9328" s="279" t="s">
        <v>9654</v>
      </c>
      <c r="F9328" s="284">
        <f t="shared" ca="1" si="290"/>
        <v>0.26500421123598561</v>
      </c>
      <c r="G9328" s="74">
        <v>37.395302664837622</v>
      </c>
      <c r="H9328" s="74">
        <f t="shared" si="291"/>
        <v>3.0990976784948998</v>
      </c>
    </row>
    <row r="9329" spans="5:8" ht="15.6">
      <c r="E9329" s="279" t="s">
        <v>9655</v>
      </c>
      <c r="F9329" s="284">
        <f t="shared" ca="1" si="290"/>
        <v>6.0183616210666924E-2</v>
      </c>
      <c r="G9329" s="74">
        <v>39.496056860329958</v>
      </c>
      <c r="H9329" s="74">
        <f t="shared" si="291"/>
        <v>0.99834348300256437</v>
      </c>
    </row>
    <row r="9330" spans="5:8" ht="15.6">
      <c r="E9330" s="279" t="s">
        <v>9656</v>
      </c>
      <c r="F9330" s="284">
        <f t="shared" ca="1" si="290"/>
        <v>0.64294670758406935</v>
      </c>
      <c r="G9330" s="74">
        <v>38.646271304329403</v>
      </c>
      <c r="H9330" s="74">
        <f t="shared" si="291"/>
        <v>1.8481290390031191</v>
      </c>
    </row>
    <row r="9331" spans="5:8" ht="15.6">
      <c r="E9331" s="279" t="s">
        <v>9657</v>
      </c>
      <c r="F9331" s="284">
        <f t="shared" ca="1" si="290"/>
        <v>0.87053392880828828</v>
      </c>
      <c r="G9331" s="74">
        <v>39.588474718234828</v>
      </c>
      <c r="H9331" s="74">
        <f t="shared" si="291"/>
        <v>0.90592562509769436</v>
      </c>
    </row>
    <row r="9332" spans="5:8" ht="15.6">
      <c r="E9332" s="279" t="s">
        <v>9658</v>
      </c>
      <c r="F9332" s="284">
        <f t="shared" ca="1" si="290"/>
        <v>0.74785607818841293</v>
      </c>
      <c r="G9332" s="74">
        <v>46.552974788009323</v>
      </c>
      <c r="H9332" s="74">
        <f t="shared" si="291"/>
        <v>-6.0585744446768004</v>
      </c>
    </row>
    <row r="9333" spans="5:8" ht="15.6">
      <c r="E9333" s="279" t="s">
        <v>9659</v>
      </c>
      <c r="F9333" s="284">
        <f t="shared" ca="1" si="290"/>
        <v>0.16838769614640758</v>
      </c>
      <c r="G9333" s="74">
        <v>43.814655513498195</v>
      </c>
      <c r="H9333" s="74">
        <f t="shared" si="291"/>
        <v>-3.3202551701656731</v>
      </c>
    </row>
    <row r="9334" spans="5:8" ht="15.6">
      <c r="E9334" s="279" t="s">
        <v>9660</v>
      </c>
      <c r="F9334" s="284">
        <f t="shared" ca="1" si="290"/>
        <v>0.69419925639684998</v>
      </c>
      <c r="G9334" s="74">
        <v>39.037947192330698</v>
      </c>
      <c r="H9334" s="74">
        <f t="shared" si="291"/>
        <v>1.4564531510018242</v>
      </c>
    </row>
    <row r="9335" spans="5:8" ht="15.6">
      <c r="E9335" s="279" t="s">
        <v>9661</v>
      </c>
      <c r="F9335" s="284">
        <f t="shared" ca="1" si="290"/>
        <v>0.43441371352137437</v>
      </c>
      <c r="G9335" s="74">
        <v>43.862524836625845</v>
      </c>
      <c r="H9335" s="74">
        <f t="shared" si="291"/>
        <v>-3.3681244932933225</v>
      </c>
    </row>
    <row r="9336" spans="5:8" ht="15.6">
      <c r="E9336" s="279" t="s">
        <v>9662</v>
      </c>
      <c r="F9336" s="284">
        <f t="shared" ca="1" si="290"/>
        <v>0.98855872165604441</v>
      </c>
      <c r="G9336" s="74">
        <v>40.459673161689039</v>
      </c>
      <c r="H9336" s="74">
        <f t="shared" si="291"/>
        <v>3.4727181643482652E-2</v>
      </c>
    </row>
    <row r="9337" spans="5:8" ht="15.6">
      <c r="E9337" s="279" t="s">
        <v>9663</v>
      </c>
      <c r="F9337" s="284">
        <f t="shared" ca="1" si="290"/>
        <v>0.26997657979331879</v>
      </c>
      <c r="G9337" s="74">
        <v>41.297785542638266</v>
      </c>
      <c r="H9337" s="74">
        <f t="shared" si="291"/>
        <v>-0.80338519930574392</v>
      </c>
    </row>
    <row r="9338" spans="5:8" ht="15.6">
      <c r="E9338" s="279" t="s">
        <v>9664</v>
      </c>
      <c r="F9338" s="284">
        <f t="shared" ca="1" si="290"/>
        <v>0.72245205573547977</v>
      </c>
      <c r="G9338" s="74">
        <v>36.566118450266302</v>
      </c>
      <c r="H9338" s="74">
        <f t="shared" si="291"/>
        <v>3.9282818930662202</v>
      </c>
    </row>
    <row r="9339" spans="5:8" ht="15.6">
      <c r="E9339" s="279" t="s">
        <v>9665</v>
      </c>
      <c r="F9339" s="284">
        <f t="shared" ca="1" si="290"/>
        <v>0.87768467155956975</v>
      </c>
      <c r="G9339" s="74">
        <v>40.695998352910969</v>
      </c>
      <c r="H9339" s="74">
        <f t="shared" si="291"/>
        <v>-0.20159800957844709</v>
      </c>
    </row>
    <row r="9340" spans="5:8" ht="15.6">
      <c r="E9340" s="279" t="s">
        <v>9666</v>
      </c>
      <c r="F9340" s="284">
        <f t="shared" ca="1" si="290"/>
        <v>4.5990366621182277E-2</v>
      </c>
      <c r="G9340" s="74">
        <v>36.148838724290769</v>
      </c>
      <c r="H9340" s="74">
        <f t="shared" si="291"/>
        <v>4.345561619041753</v>
      </c>
    </row>
    <row r="9341" spans="5:8" ht="15.6">
      <c r="E9341" s="279" t="s">
        <v>9667</v>
      </c>
      <c r="F9341" s="284">
        <f t="shared" ca="1" si="290"/>
        <v>0.67074462310082128</v>
      </c>
      <c r="G9341" s="74">
        <v>35.969661985533968</v>
      </c>
      <c r="H9341" s="74">
        <f t="shared" si="291"/>
        <v>4.5247383577985545</v>
      </c>
    </row>
    <row r="9342" spans="5:8" ht="15.6">
      <c r="E9342" s="279" t="s">
        <v>9668</v>
      </c>
      <c r="F9342" s="284">
        <f t="shared" ca="1" si="290"/>
        <v>0.72719544706314376</v>
      </c>
      <c r="G9342" s="74">
        <v>36.329641225569397</v>
      </c>
      <c r="H9342" s="74">
        <f t="shared" si="291"/>
        <v>4.1647591177631256</v>
      </c>
    </row>
    <row r="9343" spans="5:8" ht="15.6">
      <c r="E9343" s="279" t="s">
        <v>9669</v>
      </c>
      <c r="F9343" s="284">
        <f t="shared" ca="1" si="290"/>
        <v>0.1767392524589545</v>
      </c>
      <c r="G9343" s="74">
        <v>38.195024636368913</v>
      </c>
      <c r="H9343" s="74">
        <f t="shared" si="291"/>
        <v>2.2993757069636089</v>
      </c>
    </row>
    <row r="9344" spans="5:8" ht="15.6">
      <c r="E9344" s="279" t="s">
        <v>9670</v>
      </c>
      <c r="F9344" s="284">
        <f t="shared" ca="1" si="290"/>
        <v>0.85733708279018106</v>
      </c>
      <c r="G9344" s="74">
        <v>39.63973695002354</v>
      </c>
      <c r="H9344" s="74">
        <f t="shared" si="291"/>
        <v>0.85466339330898222</v>
      </c>
    </row>
    <row r="9345" spans="5:8" ht="15.6">
      <c r="E9345" s="279" t="s">
        <v>9671</v>
      </c>
      <c r="F9345" s="284">
        <f t="shared" ca="1" si="290"/>
        <v>0.86976629250343174</v>
      </c>
      <c r="G9345" s="74">
        <v>38.227938324120124</v>
      </c>
      <c r="H9345" s="74">
        <f t="shared" si="291"/>
        <v>2.2664620192123976</v>
      </c>
    </row>
    <row r="9346" spans="5:8" ht="15.6">
      <c r="E9346" s="279" t="s">
        <v>9672</v>
      </c>
      <c r="F9346" s="284">
        <f t="shared" ca="1" si="290"/>
        <v>0.77016565628506706</v>
      </c>
      <c r="G9346" s="74">
        <v>43.16780475144828</v>
      </c>
      <c r="H9346" s="74">
        <f t="shared" si="291"/>
        <v>-2.6734044081157577</v>
      </c>
    </row>
    <row r="9347" spans="5:8" ht="15.6">
      <c r="E9347" s="279" t="s">
        <v>9673</v>
      </c>
      <c r="F9347" s="284">
        <f t="shared" ca="1" si="290"/>
        <v>0.13671493987233618</v>
      </c>
      <c r="G9347" s="74">
        <v>37.452005325261112</v>
      </c>
      <c r="H9347" s="74">
        <f t="shared" si="291"/>
        <v>3.0423950180714101</v>
      </c>
    </row>
    <row r="9348" spans="5:8" ht="15.6">
      <c r="E9348" s="279" t="s">
        <v>9674</v>
      </c>
      <c r="F9348" s="284">
        <f t="shared" ca="1" si="290"/>
        <v>0.76840793505266858</v>
      </c>
      <c r="G9348" s="74">
        <v>35.284835906817626</v>
      </c>
      <c r="H9348" s="74">
        <f t="shared" si="291"/>
        <v>5.2095644365148956</v>
      </c>
    </row>
    <row r="9349" spans="5:8" ht="15.6">
      <c r="E9349" s="279" t="s">
        <v>9675</v>
      </c>
      <c r="F9349" s="284">
        <f t="shared" ca="1" si="290"/>
        <v>0.57052215895817171</v>
      </c>
      <c r="G9349" s="74">
        <v>39.224002669569749</v>
      </c>
      <c r="H9349" s="74">
        <f t="shared" si="291"/>
        <v>1.2703976737627727</v>
      </c>
    </row>
    <row r="9350" spans="5:8" ht="15.6">
      <c r="E9350" s="279" t="s">
        <v>9676</v>
      </c>
      <c r="F9350" s="284">
        <f t="shared" ca="1" si="290"/>
        <v>0.24256257115714597</v>
      </c>
      <c r="G9350" s="74">
        <v>44.553815203484476</v>
      </c>
      <c r="H9350" s="74">
        <f t="shared" si="291"/>
        <v>-4.0594148601519535</v>
      </c>
    </row>
    <row r="9351" spans="5:8" ht="15.6">
      <c r="E9351" s="279" t="s">
        <v>9677</v>
      </c>
      <c r="F9351" s="284">
        <f t="shared" ca="1" si="290"/>
        <v>0.72515541351045409</v>
      </c>
      <c r="G9351" s="74">
        <v>36.607712693547782</v>
      </c>
      <c r="H9351" s="74">
        <f t="shared" si="291"/>
        <v>3.88668764978474</v>
      </c>
    </row>
    <row r="9352" spans="5:8" ht="15.6">
      <c r="E9352" s="279" t="s">
        <v>9678</v>
      </c>
      <c r="F9352" s="284">
        <f t="shared" ca="1" si="290"/>
        <v>0.22218885061661087</v>
      </c>
      <c r="G9352" s="74">
        <v>42.951502556080889</v>
      </c>
      <c r="H9352" s="74">
        <f t="shared" si="291"/>
        <v>-2.4571022127483673</v>
      </c>
    </row>
    <row r="9353" spans="5:8" ht="15.6">
      <c r="E9353" s="279" t="s">
        <v>9679</v>
      </c>
      <c r="F9353" s="284">
        <f t="shared" ca="1" si="290"/>
        <v>0.10333950933394664</v>
      </c>
      <c r="G9353" s="74">
        <v>37.191325160318968</v>
      </c>
      <c r="H9353" s="74">
        <f t="shared" si="291"/>
        <v>3.3030751830135543</v>
      </c>
    </row>
    <row r="9354" spans="5:8" ht="15.6">
      <c r="E9354" s="279" t="s">
        <v>9680</v>
      </c>
      <c r="F9354" s="284">
        <f t="shared" ca="1" si="290"/>
        <v>0.61898439475734202</v>
      </c>
      <c r="G9354" s="74">
        <v>38.731656764037133</v>
      </c>
      <c r="H9354" s="74">
        <f t="shared" si="291"/>
        <v>1.7627435792953889</v>
      </c>
    </row>
    <row r="9355" spans="5:8" ht="15.6">
      <c r="E9355" s="279" t="s">
        <v>9681</v>
      </c>
      <c r="F9355" s="284">
        <f t="shared" ca="1" si="290"/>
        <v>0.3755164396264512</v>
      </c>
      <c r="G9355" s="74">
        <v>41.170022908084192</v>
      </c>
      <c r="H9355" s="74">
        <f t="shared" si="291"/>
        <v>-0.67562256475167004</v>
      </c>
    </row>
    <row r="9356" spans="5:8" ht="15.6">
      <c r="E9356" s="279" t="s">
        <v>9682</v>
      </c>
      <c r="F9356" s="284">
        <f t="shared" ref="F9356:F9419" ca="1" si="292">RAND()</f>
        <v>0.22172088345879848</v>
      </c>
      <c r="G9356" s="74">
        <v>36.284672120569368</v>
      </c>
      <c r="H9356" s="74">
        <f t="shared" ref="H9356:H9419" si="293">$D$2-G9356</f>
        <v>4.2097282227631538</v>
      </c>
    </row>
    <row r="9357" spans="5:8" ht="15.6">
      <c r="E9357" s="279" t="s">
        <v>9683</v>
      </c>
      <c r="F9357" s="284">
        <f t="shared" ca="1" si="292"/>
        <v>0.33529508948602815</v>
      </c>
      <c r="G9357" s="74">
        <v>38.499934790376855</v>
      </c>
      <c r="H9357" s="74">
        <f t="shared" si="293"/>
        <v>1.994465552955667</v>
      </c>
    </row>
    <row r="9358" spans="5:8" ht="15.6">
      <c r="E9358" s="279" t="s">
        <v>9684</v>
      </c>
      <c r="F9358" s="284">
        <f t="shared" ca="1" si="292"/>
        <v>0.35365533909754743</v>
      </c>
      <c r="G9358" s="74">
        <v>42.538380284969818</v>
      </c>
      <c r="H9358" s="74">
        <f t="shared" si="293"/>
        <v>-2.0439799416372963</v>
      </c>
    </row>
    <row r="9359" spans="5:8" ht="15.6">
      <c r="E9359" s="279" t="s">
        <v>9685</v>
      </c>
      <c r="F9359" s="284">
        <f t="shared" ca="1" si="292"/>
        <v>0.80104235290705328</v>
      </c>
      <c r="G9359" s="74">
        <v>41.371511452085656</v>
      </c>
      <c r="H9359" s="74">
        <f t="shared" si="293"/>
        <v>-0.87711110875313381</v>
      </c>
    </row>
    <row r="9360" spans="5:8" ht="15.6">
      <c r="E9360" s="279" t="s">
        <v>9686</v>
      </c>
      <c r="F9360" s="284">
        <f t="shared" ca="1" si="292"/>
        <v>0.65210248874225141</v>
      </c>
      <c r="G9360" s="74">
        <v>41.442115849684733</v>
      </c>
      <c r="H9360" s="74">
        <f t="shared" si="293"/>
        <v>-0.94771550635221047</v>
      </c>
    </row>
    <row r="9361" spans="5:8" ht="15.6">
      <c r="E9361" s="279" t="s">
        <v>9687</v>
      </c>
      <c r="F9361" s="284">
        <f t="shared" ca="1" si="292"/>
        <v>0.67935041341936453</v>
      </c>
      <c r="G9361" s="74">
        <v>38.539946158001975</v>
      </c>
      <c r="H9361" s="74">
        <f t="shared" si="293"/>
        <v>1.9544541853305475</v>
      </c>
    </row>
    <row r="9362" spans="5:8" ht="15.6">
      <c r="E9362" s="279" t="s">
        <v>9688</v>
      </c>
      <c r="F9362" s="284">
        <f t="shared" ca="1" si="292"/>
        <v>0.85036980538799645</v>
      </c>
      <c r="G9362" s="74">
        <v>38.099483086745039</v>
      </c>
      <c r="H9362" s="74">
        <f t="shared" si="293"/>
        <v>2.3949172565874832</v>
      </c>
    </row>
    <row r="9363" spans="5:8" ht="15.6">
      <c r="E9363" s="279" t="s">
        <v>9689</v>
      </c>
      <c r="F9363" s="284">
        <f t="shared" ca="1" si="292"/>
        <v>0.37538407434078958</v>
      </c>
      <c r="G9363" s="74">
        <v>39.041032110545054</v>
      </c>
      <c r="H9363" s="74">
        <f t="shared" si="293"/>
        <v>1.4533682327874686</v>
      </c>
    </row>
    <row r="9364" spans="5:8" ht="15.6">
      <c r="E9364" s="279" t="s">
        <v>9690</v>
      </c>
      <c r="F9364" s="284">
        <f t="shared" ca="1" si="292"/>
        <v>0.54572368203710575</v>
      </c>
      <c r="G9364" s="74">
        <v>36.866969241356109</v>
      </c>
      <c r="H9364" s="74">
        <f t="shared" si="293"/>
        <v>3.6274311019764127</v>
      </c>
    </row>
    <row r="9365" spans="5:8" ht="15.6">
      <c r="E9365" s="279" t="s">
        <v>9691</v>
      </c>
      <c r="F9365" s="284">
        <f t="shared" ca="1" si="292"/>
        <v>0.52651350770441074</v>
      </c>
      <c r="G9365" s="74">
        <v>41.359771615548944</v>
      </c>
      <c r="H9365" s="74">
        <f t="shared" si="293"/>
        <v>-0.86537127221642152</v>
      </c>
    </row>
    <row r="9366" spans="5:8" ht="15.6">
      <c r="E9366" s="279" t="s">
        <v>9692</v>
      </c>
      <c r="F9366" s="284">
        <f t="shared" ca="1" si="292"/>
        <v>0.16999843154942862</v>
      </c>
      <c r="G9366" s="74">
        <v>41.749423438786081</v>
      </c>
      <c r="H9366" s="74">
        <f t="shared" si="293"/>
        <v>-1.2550230954535593</v>
      </c>
    </row>
    <row r="9367" spans="5:8" ht="15.6">
      <c r="E9367" s="279" t="s">
        <v>9693</v>
      </c>
      <c r="F9367" s="284">
        <f t="shared" ca="1" si="292"/>
        <v>0.13304323662089279</v>
      </c>
      <c r="G9367" s="74">
        <v>38.759245890934622</v>
      </c>
      <c r="H9367" s="74">
        <f t="shared" si="293"/>
        <v>1.7351544523979001</v>
      </c>
    </row>
    <row r="9368" spans="5:8" ht="15.6">
      <c r="E9368" s="279" t="s">
        <v>9694</v>
      </c>
      <c r="F9368" s="284">
        <f t="shared" ca="1" si="292"/>
        <v>0.60096097290299177</v>
      </c>
      <c r="G9368" s="74">
        <v>38.475047668284553</v>
      </c>
      <c r="H9368" s="74">
        <f t="shared" si="293"/>
        <v>2.0193526750479691</v>
      </c>
    </row>
    <row r="9369" spans="5:8" ht="15.6">
      <c r="E9369" s="279" t="s">
        <v>9695</v>
      </c>
      <c r="F9369" s="284">
        <f t="shared" ca="1" si="292"/>
        <v>0.303625760000236</v>
      </c>
      <c r="G9369" s="74">
        <v>36.941079970099509</v>
      </c>
      <c r="H9369" s="74">
        <f t="shared" si="293"/>
        <v>3.5533203732330136</v>
      </c>
    </row>
    <row r="9370" spans="5:8" ht="15.6">
      <c r="E9370" s="279" t="s">
        <v>9696</v>
      </c>
      <c r="F9370" s="284">
        <f t="shared" ca="1" si="292"/>
        <v>0.33486532869254937</v>
      </c>
      <c r="G9370" s="74">
        <v>40.314376013229115</v>
      </c>
      <c r="H9370" s="74">
        <f t="shared" si="293"/>
        <v>0.18002433010340724</v>
      </c>
    </row>
    <row r="9371" spans="5:8" ht="15.6">
      <c r="E9371" s="279" t="s">
        <v>9697</v>
      </c>
      <c r="F9371" s="284">
        <f t="shared" ca="1" si="292"/>
        <v>0.91921920501336951</v>
      </c>
      <c r="G9371" s="74">
        <v>36.669775396177684</v>
      </c>
      <c r="H9371" s="74">
        <f t="shared" si="293"/>
        <v>3.8246249471548381</v>
      </c>
    </row>
    <row r="9372" spans="5:8" ht="15.6">
      <c r="E9372" s="279" t="s">
        <v>9698</v>
      </c>
      <c r="F9372" s="284">
        <f t="shared" ca="1" si="292"/>
        <v>5.827037800805368E-2</v>
      </c>
      <c r="G9372" s="74">
        <v>42.421664066737414</v>
      </c>
      <c r="H9372" s="74">
        <f t="shared" si="293"/>
        <v>-1.9272637234048915</v>
      </c>
    </row>
    <row r="9373" spans="5:8" ht="15.6">
      <c r="E9373" s="279" t="s">
        <v>9699</v>
      </c>
      <c r="F9373" s="284">
        <f t="shared" ca="1" si="292"/>
        <v>0.36379307548895368</v>
      </c>
      <c r="G9373" s="74">
        <v>40.874877446715118</v>
      </c>
      <c r="H9373" s="74">
        <f t="shared" si="293"/>
        <v>-0.38047710338259577</v>
      </c>
    </row>
    <row r="9374" spans="5:8" ht="15.6">
      <c r="E9374" s="279" t="s">
        <v>9700</v>
      </c>
      <c r="F9374" s="284">
        <f t="shared" ca="1" si="292"/>
        <v>0.27923615419032077</v>
      </c>
      <c r="G9374" s="74">
        <v>34.802532127191235</v>
      </c>
      <c r="H9374" s="74">
        <f t="shared" si="293"/>
        <v>5.6918682161412875</v>
      </c>
    </row>
    <row r="9375" spans="5:8" ht="15.6">
      <c r="E9375" s="279" t="s">
        <v>9701</v>
      </c>
      <c r="F9375" s="284">
        <f t="shared" ca="1" si="292"/>
        <v>0.11791914253978852</v>
      </c>
      <c r="G9375" s="74">
        <v>39.830513669750559</v>
      </c>
      <c r="H9375" s="74">
        <f t="shared" si="293"/>
        <v>0.66388667358196329</v>
      </c>
    </row>
    <row r="9376" spans="5:8" ht="15.6">
      <c r="E9376" s="279" t="s">
        <v>9702</v>
      </c>
      <c r="F9376" s="284">
        <f t="shared" ca="1" si="292"/>
        <v>0.73166320667986584</v>
      </c>
      <c r="G9376" s="74">
        <v>40.951777069548676</v>
      </c>
      <c r="H9376" s="74">
        <f t="shared" si="293"/>
        <v>-0.45737672621615388</v>
      </c>
    </row>
    <row r="9377" spans="5:8" ht="15.6">
      <c r="E9377" s="279" t="s">
        <v>9703</v>
      </c>
      <c r="F9377" s="284">
        <f t="shared" ca="1" si="292"/>
        <v>0.13090899636057796</v>
      </c>
      <c r="G9377" s="74">
        <v>46.016864934461807</v>
      </c>
      <c r="H9377" s="74">
        <f t="shared" si="293"/>
        <v>-5.5224645911292853</v>
      </c>
    </row>
    <row r="9378" spans="5:8" ht="15.6">
      <c r="E9378" s="279" t="s">
        <v>9704</v>
      </c>
      <c r="F9378" s="284">
        <f t="shared" ca="1" si="292"/>
        <v>2.818069034100612E-2</v>
      </c>
      <c r="G9378" s="74">
        <v>38.020861292534697</v>
      </c>
      <c r="H9378" s="74">
        <f t="shared" si="293"/>
        <v>2.4735390507978252</v>
      </c>
    </row>
    <row r="9379" spans="5:8" ht="15.6">
      <c r="E9379" s="279" t="s">
        <v>9705</v>
      </c>
      <c r="F9379" s="284">
        <f t="shared" ca="1" si="292"/>
        <v>0.7367580011937378</v>
      </c>
      <c r="G9379" s="74">
        <v>39.601140646699157</v>
      </c>
      <c r="H9379" s="74">
        <f t="shared" si="293"/>
        <v>0.8932596966333648</v>
      </c>
    </row>
    <row r="9380" spans="5:8" ht="15.6">
      <c r="E9380" s="279" t="s">
        <v>9706</v>
      </c>
      <c r="F9380" s="284">
        <f t="shared" ca="1" si="292"/>
        <v>0.10737882473293281</v>
      </c>
      <c r="G9380" s="74">
        <v>40.953723889175166</v>
      </c>
      <c r="H9380" s="74">
        <f t="shared" si="293"/>
        <v>-0.45932354584264345</v>
      </c>
    </row>
    <row r="9381" spans="5:8" ht="15.6">
      <c r="E9381" s="279" t="s">
        <v>9707</v>
      </c>
      <c r="F9381" s="284">
        <f t="shared" ca="1" si="292"/>
        <v>0.74546269727715098</v>
      </c>
      <c r="G9381" s="74">
        <v>39.357660623046385</v>
      </c>
      <c r="H9381" s="74">
        <f t="shared" si="293"/>
        <v>1.1367397202861369</v>
      </c>
    </row>
    <row r="9382" spans="5:8" ht="15.6">
      <c r="E9382" s="279" t="s">
        <v>9708</v>
      </c>
      <c r="F9382" s="284">
        <f t="shared" ca="1" si="292"/>
        <v>0.71431454537147998</v>
      </c>
      <c r="G9382" s="74">
        <v>38.869753649670542</v>
      </c>
      <c r="H9382" s="74">
        <f t="shared" si="293"/>
        <v>1.6246466936619797</v>
      </c>
    </row>
    <row r="9383" spans="5:8" ht="15.6">
      <c r="E9383" s="279" t="s">
        <v>9709</v>
      </c>
      <c r="F9383" s="284">
        <f t="shared" ca="1" si="292"/>
        <v>0.90562648809502089</v>
      </c>
      <c r="G9383" s="74">
        <v>37.546063714097194</v>
      </c>
      <c r="H9383" s="74">
        <f t="shared" si="293"/>
        <v>2.9483366292353281</v>
      </c>
    </row>
    <row r="9384" spans="5:8" ht="15.6">
      <c r="E9384" s="279" t="s">
        <v>9710</v>
      </c>
      <c r="F9384" s="284">
        <f t="shared" ca="1" si="292"/>
        <v>0.53029648264815088</v>
      </c>
      <c r="G9384" s="74">
        <v>34.973751205157036</v>
      </c>
      <c r="H9384" s="74">
        <f t="shared" si="293"/>
        <v>5.5206491381754859</v>
      </c>
    </row>
    <row r="9385" spans="5:8" ht="15.6">
      <c r="E9385" s="279" t="s">
        <v>9711</v>
      </c>
      <c r="F9385" s="284">
        <f t="shared" ca="1" si="292"/>
        <v>0.92054748335086423</v>
      </c>
      <c r="G9385" s="74">
        <v>41.236867204191974</v>
      </c>
      <c r="H9385" s="74">
        <f t="shared" si="293"/>
        <v>-0.74246686085945157</v>
      </c>
    </row>
    <row r="9386" spans="5:8" ht="15.6">
      <c r="E9386" s="279" t="s">
        <v>9712</v>
      </c>
      <c r="F9386" s="284">
        <f t="shared" ca="1" si="292"/>
        <v>2.7055469348767236E-2</v>
      </c>
      <c r="G9386" s="74">
        <v>40.914734084427081</v>
      </c>
      <c r="H9386" s="74">
        <f t="shared" si="293"/>
        <v>-0.42033374109455934</v>
      </c>
    </row>
    <row r="9387" spans="5:8" ht="15.6">
      <c r="E9387" s="279" t="s">
        <v>9713</v>
      </c>
      <c r="F9387" s="284">
        <f t="shared" ca="1" si="292"/>
        <v>0.60679012512042174</v>
      </c>
      <c r="G9387" s="74">
        <v>37.444964397405855</v>
      </c>
      <c r="H9387" s="74">
        <f t="shared" si="293"/>
        <v>3.0494359459266676</v>
      </c>
    </row>
    <row r="9388" spans="5:8" ht="15.6">
      <c r="E9388" s="279" t="s">
        <v>9714</v>
      </c>
      <c r="F9388" s="284">
        <f t="shared" ca="1" si="292"/>
        <v>0.85550445440314837</v>
      </c>
      <c r="G9388" s="74">
        <v>40.48323717055105</v>
      </c>
      <c r="H9388" s="74">
        <f t="shared" si="293"/>
        <v>1.1163172781472497E-2</v>
      </c>
    </row>
    <row r="9389" spans="5:8" ht="15.6">
      <c r="E9389" s="279" t="s">
        <v>9715</v>
      </c>
      <c r="F9389" s="284">
        <f t="shared" ca="1" si="292"/>
        <v>0.44550771638653519</v>
      </c>
      <c r="G9389" s="74">
        <v>41.008875009290556</v>
      </c>
      <c r="H9389" s="74">
        <f t="shared" si="293"/>
        <v>-0.51447466595803348</v>
      </c>
    </row>
    <row r="9390" spans="5:8" ht="15.6">
      <c r="E9390" s="279" t="s">
        <v>9716</v>
      </c>
      <c r="F9390" s="284">
        <f t="shared" ca="1" si="292"/>
        <v>0.68510276559578076</v>
      </c>
      <c r="G9390" s="74">
        <v>43.587702892691425</v>
      </c>
      <c r="H9390" s="74">
        <f t="shared" si="293"/>
        <v>-3.0933025493589028</v>
      </c>
    </row>
    <row r="9391" spans="5:8" ht="15.6">
      <c r="E9391" s="279" t="s">
        <v>9717</v>
      </c>
      <c r="F9391" s="284">
        <f t="shared" ca="1" si="292"/>
        <v>0.78253922980573076</v>
      </c>
      <c r="G9391" s="74">
        <v>34.286564946575304</v>
      </c>
      <c r="H9391" s="74">
        <f t="shared" si="293"/>
        <v>6.2078353967572184</v>
      </c>
    </row>
    <row r="9392" spans="5:8" ht="15.6">
      <c r="E9392" s="279" t="s">
        <v>9718</v>
      </c>
      <c r="F9392" s="284">
        <f t="shared" ca="1" si="292"/>
        <v>0.69484238696954603</v>
      </c>
      <c r="G9392" s="74">
        <v>38.198322609233131</v>
      </c>
      <c r="H9392" s="74">
        <f t="shared" si="293"/>
        <v>2.2960777340993914</v>
      </c>
    </row>
    <row r="9393" spans="5:8" ht="15.6">
      <c r="E9393" s="279" t="s">
        <v>9719</v>
      </c>
      <c r="F9393" s="284">
        <f t="shared" ca="1" si="292"/>
        <v>0.28518779197831212</v>
      </c>
      <c r="G9393" s="74">
        <v>39.651472237104336</v>
      </c>
      <c r="H9393" s="74">
        <f t="shared" si="293"/>
        <v>0.84292810622818592</v>
      </c>
    </row>
    <row r="9394" spans="5:8" ht="15.6">
      <c r="E9394" s="279" t="s">
        <v>9720</v>
      </c>
      <c r="F9394" s="284">
        <f t="shared" ca="1" si="292"/>
        <v>0.15469863900136638</v>
      </c>
      <c r="G9394" s="74">
        <v>41.980287975675097</v>
      </c>
      <c r="H9394" s="74">
        <f t="shared" si="293"/>
        <v>-1.4858876323425747</v>
      </c>
    </row>
    <row r="9395" spans="5:8" ht="15.6">
      <c r="E9395" s="279" t="s">
        <v>9721</v>
      </c>
      <c r="F9395" s="284">
        <f t="shared" ca="1" si="292"/>
        <v>0.31005266968400536</v>
      </c>
      <c r="G9395" s="74">
        <v>40.253772423603593</v>
      </c>
      <c r="H9395" s="74">
        <f t="shared" si="293"/>
        <v>0.24062791972892938</v>
      </c>
    </row>
    <row r="9396" spans="5:8" ht="15.6">
      <c r="E9396" s="279" t="s">
        <v>9722</v>
      </c>
      <c r="F9396" s="284">
        <f t="shared" ca="1" si="292"/>
        <v>0.76837042577558012</v>
      </c>
      <c r="G9396" s="74">
        <v>41.001835653204004</v>
      </c>
      <c r="H9396" s="74">
        <f t="shared" si="293"/>
        <v>-0.50743530987148233</v>
      </c>
    </row>
    <row r="9397" spans="5:8" ht="15.6">
      <c r="E9397" s="279" t="s">
        <v>9723</v>
      </c>
      <c r="F9397" s="284">
        <f t="shared" ca="1" si="292"/>
        <v>0.25453371792106438</v>
      </c>
      <c r="G9397" s="74">
        <v>42.479505607311083</v>
      </c>
      <c r="H9397" s="74">
        <f t="shared" si="293"/>
        <v>-1.9851052639785607</v>
      </c>
    </row>
    <row r="9398" spans="5:8" ht="15.6">
      <c r="E9398" s="279" t="s">
        <v>9724</v>
      </c>
      <c r="F9398" s="284">
        <f t="shared" ca="1" si="292"/>
        <v>0.36720928991236912</v>
      </c>
      <c r="G9398" s="74">
        <v>33.643364615545678</v>
      </c>
      <c r="H9398" s="74">
        <f t="shared" si="293"/>
        <v>6.8510357277868437</v>
      </c>
    </row>
    <row r="9399" spans="5:8" ht="15.6">
      <c r="E9399" s="279" t="s">
        <v>9725</v>
      </c>
      <c r="F9399" s="284">
        <f t="shared" ca="1" si="292"/>
        <v>0.91498226481462652</v>
      </c>
      <c r="G9399" s="74">
        <v>41.379368149133491</v>
      </c>
      <c r="H9399" s="74">
        <f t="shared" si="293"/>
        <v>-0.88496780580096868</v>
      </c>
    </row>
    <row r="9400" spans="5:8" ht="15.6">
      <c r="E9400" s="279" t="s">
        <v>9726</v>
      </c>
      <c r="F9400" s="284">
        <f t="shared" ca="1" si="292"/>
        <v>1.4837542014056737E-3</v>
      </c>
      <c r="G9400" s="74">
        <v>37.225839605226049</v>
      </c>
      <c r="H9400" s="74">
        <f t="shared" si="293"/>
        <v>3.2685607381064727</v>
      </c>
    </row>
    <row r="9401" spans="5:8" ht="15.6">
      <c r="E9401" s="279" t="s">
        <v>9727</v>
      </c>
      <c r="F9401" s="284">
        <f t="shared" ca="1" si="292"/>
        <v>0.80567935434766724</v>
      </c>
      <c r="G9401" s="74">
        <v>39.368116320942583</v>
      </c>
      <c r="H9401" s="74">
        <f t="shared" si="293"/>
        <v>1.1262840223899389</v>
      </c>
    </row>
    <row r="9402" spans="5:8" ht="15.6">
      <c r="E9402" s="279" t="s">
        <v>9728</v>
      </c>
      <c r="F9402" s="284">
        <f t="shared" ca="1" si="292"/>
        <v>0.28480799519945421</v>
      </c>
      <c r="G9402" s="74">
        <v>39.260000272909139</v>
      </c>
      <c r="H9402" s="74">
        <f t="shared" si="293"/>
        <v>1.2344000704233835</v>
      </c>
    </row>
    <row r="9403" spans="5:8" ht="15.6">
      <c r="E9403" s="279" t="s">
        <v>9729</v>
      </c>
      <c r="F9403" s="284">
        <f t="shared" ca="1" si="292"/>
        <v>0.27824172474429831</v>
      </c>
      <c r="G9403" s="74">
        <v>44.353569151648081</v>
      </c>
      <c r="H9403" s="74">
        <f t="shared" si="293"/>
        <v>-3.8591688083155589</v>
      </c>
    </row>
    <row r="9404" spans="5:8" ht="15.6">
      <c r="E9404" s="279" t="s">
        <v>9730</v>
      </c>
      <c r="F9404" s="284">
        <f t="shared" ca="1" si="292"/>
        <v>0.51795422058491902</v>
      </c>
      <c r="G9404" s="74">
        <v>40.370511676231075</v>
      </c>
      <c r="H9404" s="74">
        <f t="shared" si="293"/>
        <v>0.12388866710144697</v>
      </c>
    </row>
    <row r="9405" spans="5:8" ht="15.6">
      <c r="E9405" s="279" t="s">
        <v>9731</v>
      </c>
      <c r="F9405" s="284">
        <f t="shared" ca="1" si="292"/>
        <v>0.68893735812538637</v>
      </c>
      <c r="G9405" s="74">
        <v>40.310294808048226</v>
      </c>
      <c r="H9405" s="74">
        <f t="shared" si="293"/>
        <v>0.18410553528429574</v>
      </c>
    </row>
    <row r="9406" spans="5:8" ht="15.6">
      <c r="E9406" s="279" t="s">
        <v>9732</v>
      </c>
      <c r="F9406" s="284">
        <f t="shared" ca="1" si="292"/>
        <v>0.81801050441551937</v>
      </c>
      <c r="G9406" s="74">
        <v>41.708634233095111</v>
      </c>
      <c r="H9406" s="74">
        <f t="shared" si="293"/>
        <v>-1.2142338897625891</v>
      </c>
    </row>
    <row r="9407" spans="5:8" ht="15.6">
      <c r="E9407" s="279" t="s">
        <v>9733</v>
      </c>
      <c r="F9407" s="284">
        <f t="shared" ca="1" si="292"/>
        <v>0.34355279171179764</v>
      </c>
      <c r="G9407" s="74">
        <v>38.271306578460099</v>
      </c>
      <c r="H9407" s="74">
        <f t="shared" si="293"/>
        <v>2.2230937648724236</v>
      </c>
    </row>
    <row r="9408" spans="5:8" ht="15.6">
      <c r="E9408" s="279" t="s">
        <v>9734</v>
      </c>
      <c r="F9408" s="284">
        <f t="shared" ca="1" si="292"/>
        <v>0.31529779786300904</v>
      </c>
      <c r="G9408" s="74">
        <v>36.315078050841173</v>
      </c>
      <c r="H9408" s="74">
        <f t="shared" si="293"/>
        <v>4.1793222924913493</v>
      </c>
    </row>
    <row r="9409" spans="5:8" ht="15.6">
      <c r="E9409" s="279" t="s">
        <v>9735</v>
      </c>
      <c r="F9409" s="284">
        <f t="shared" ca="1" si="292"/>
        <v>0.96721043143737706</v>
      </c>
      <c r="G9409" s="74">
        <v>36.266232603775521</v>
      </c>
      <c r="H9409" s="74">
        <f t="shared" si="293"/>
        <v>4.2281677395570014</v>
      </c>
    </row>
    <row r="9410" spans="5:8" ht="15.6">
      <c r="E9410" s="279" t="s">
        <v>9736</v>
      </c>
      <c r="F9410" s="284">
        <f t="shared" ca="1" si="292"/>
        <v>0.93499895636044561</v>
      </c>
      <c r="G9410" s="74">
        <v>40.290627708076343</v>
      </c>
      <c r="H9410" s="74">
        <f t="shared" si="293"/>
        <v>0.20377263525617906</v>
      </c>
    </row>
    <row r="9411" spans="5:8" ht="15.6">
      <c r="E9411" s="279" t="s">
        <v>9737</v>
      </c>
      <c r="F9411" s="284">
        <f t="shared" ca="1" si="292"/>
        <v>0.7288825141142139</v>
      </c>
      <c r="G9411" s="74">
        <v>34.443617247164141</v>
      </c>
      <c r="H9411" s="74">
        <f t="shared" si="293"/>
        <v>6.0507830961683808</v>
      </c>
    </row>
    <row r="9412" spans="5:8" ht="15.6">
      <c r="E9412" s="279" t="s">
        <v>9738</v>
      </c>
      <c r="F9412" s="284">
        <f t="shared" ca="1" si="292"/>
        <v>0.92575091107135998</v>
      </c>
      <c r="G9412" s="74">
        <v>45.733490170763311</v>
      </c>
      <c r="H9412" s="74">
        <f t="shared" si="293"/>
        <v>-5.2390898274307887</v>
      </c>
    </row>
    <row r="9413" spans="5:8" ht="15.6">
      <c r="E9413" s="279" t="s">
        <v>9739</v>
      </c>
      <c r="F9413" s="284">
        <f t="shared" ca="1" si="292"/>
        <v>0.78519761978310376</v>
      </c>
      <c r="G9413" s="74">
        <v>43.276143266248361</v>
      </c>
      <c r="H9413" s="74">
        <f t="shared" si="293"/>
        <v>-2.7817429229158392</v>
      </c>
    </row>
    <row r="9414" spans="5:8" ht="15.6">
      <c r="E9414" s="279" t="s">
        <v>9740</v>
      </c>
      <c r="F9414" s="284">
        <f t="shared" ca="1" si="292"/>
        <v>5.3375870997336761E-2</v>
      </c>
      <c r="G9414" s="74">
        <v>46.296233887373084</v>
      </c>
      <c r="H9414" s="74">
        <f t="shared" si="293"/>
        <v>-5.8018335440405622</v>
      </c>
    </row>
    <row r="9415" spans="5:8" ht="15.6">
      <c r="E9415" s="279" t="s">
        <v>9741</v>
      </c>
      <c r="F9415" s="284">
        <f t="shared" ca="1" si="292"/>
        <v>0.47008572045696673</v>
      </c>
      <c r="G9415" s="74">
        <v>38.228574395022804</v>
      </c>
      <c r="H9415" s="74">
        <f t="shared" si="293"/>
        <v>2.2658259483097183</v>
      </c>
    </row>
    <row r="9416" spans="5:8" ht="15.6">
      <c r="E9416" s="279" t="s">
        <v>9742</v>
      </c>
      <c r="F9416" s="284">
        <f t="shared" ca="1" si="292"/>
        <v>0.60438811529168013</v>
      </c>
      <c r="G9416" s="74">
        <v>47.875564570860867</v>
      </c>
      <c r="H9416" s="74">
        <f t="shared" si="293"/>
        <v>-7.3811642275283447</v>
      </c>
    </row>
    <row r="9417" spans="5:8" ht="15.6">
      <c r="E9417" s="279" t="s">
        <v>9743</v>
      </c>
      <c r="F9417" s="284">
        <f t="shared" ca="1" si="292"/>
        <v>0.58136721502794297</v>
      </c>
      <c r="G9417" s="74">
        <v>39.577252602250759</v>
      </c>
      <c r="H9417" s="74">
        <f t="shared" si="293"/>
        <v>0.917147741081763</v>
      </c>
    </row>
    <row r="9418" spans="5:8" ht="15.6">
      <c r="E9418" s="279" t="s">
        <v>9744</v>
      </c>
      <c r="F9418" s="284">
        <f t="shared" ca="1" si="292"/>
        <v>0.70396968661591197</v>
      </c>
      <c r="G9418" s="74">
        <v>41.648194813917954</v>
      </c>
      <c r="H9418" s="74">
        <f t="shared" si="293"/>
        <v>-1.1537944705854315</v>
      </c>
    </row>
    <row r="9419" spans="5:8" ht="15.6">
      <c r="E9419" s="279" t="s">
        <v>9745</v>
      </c>
      <c r="F9419" s="284">
        <f t="shared" ca="1" si="292"/>
        <v>0.33722179154772314</v>
      </c>
      <c r="G9419" s="74">
        <v>39.243072551788629</v>
      </c>
      <c r="H9419" s="74">
        <f t="shared" si="293"/>
        <v>1.2513277915438934</v>
      </c>
    </row>
    <row r="9420" spans="5:8" ht="15.6">
      <c r="E9420" s="279" t="s">
        <v>9746</v>
      </c>
      <c r="F9420" s="284">
        <f t="shared" ref="F9420:F9483" ca="1" si="294">RAND()</f>
        <v>0.49133467863908664</v>
      </c>
      <c r="G9420" s="74">
        <v>41.792226472091663</v>
      </c>
      <c r="H9420" s="74">
        <f t="shared" ref="H9420:H9483" si="295">$D$2-G9420</f>
        <v>-1.2978261287591408</v>
      </c>
    </row>
    <row r="9421" spans="5:8" ht="15.6">
      <c r="E9421" s="279" t="s">
        <v>9747</v>
      </c>
      <c r="F9421" s="284">
        <f t="shared" ca="1" si="294"/>
        <v>0.69816348699636233</v>
      </c>
      <c r="G9421" s="74">
        <v>44.097441593123584</v>
      </c>
      <c r="H9421" s="74">
        <f t="shared" si="295"/>
        <v>-3.6030412497910618</v>
      </c>
    </row>
    <row r="9422" spans="5:8" ht="15.6">
      <c r="E9422" s="279" t="s">
        <v>9748</v>
      </c>
      <c r="F9422" s="284">
        <f t="shared" ca="1" si="294"/>
        <v>0.40610606197258015</v>
      </c>
      <c r="G9422" s="74">
        <v>42.668203638626395</v>
      </c>
      <c r="H9422" s="74">
        <f t="shared" si="295"/>
        <v>-2.1738032952938724</v>
      </c>
    </row>
    <row r="9423" spans="5:8" ht="15.6">
      <c r="E9423" s="279" t="s">
        <v>9749</v>
      </c>
      <c r="F9423" s="284">
        <f t="shared" ca="1" si="294"/>
        <v>0.92464478319053123</v>
      </c>
      <c r="G9423" s="74">
        <v>38.949881643087096</v>
      </c>
      <c r="H9423" s="74">
        <f t="shared" si="295"/>
        <v>1.5445187002454261</v>
      </c>
    </row>
    <row r="9424" spans="5:8" ht="15.6">
      <c r="E9424" s="279" t="s">
        <v>9750</v>
      </c>
      <c r="F9424" s="284">
        <f t="shared" ca="1" si="294"/>
        <v>0.43564602864244961</v>
      </c>
      <c r="G9424" s="74">
        <v>39.104142538629809</v>
      </c>
      <c r="H9424" s="74">
        <f t="shared" si="295"/>
        <v>1.3902578047027134</v>
      </c>
    </row>
    <row r="9425" spans="5:8" ht="15.6">
      <c r="E9425" s="279" t="s">
        <v>9751</v>
      </c>
      <c r="F9425" s="284">
        <f t="shared" ca="1" si="294"/>
        <v>0.82814391993402037</v>
      </c>
      <c r="G9425" s="74">
        <v>41.867468554834211</v>
      </c>
      <c r="H9425" s="74">
        <f t="shared" si="295"/>
        <v>-1.373068211501689</v>
      </c>
    </row>
    <row r="9426" spans="5:8" ht="15.6">
      <c r="E9426" s="279" t="s">
        <v>9752</v>
      </c>
      <c r="F9426" s="284">
        <f t="shared" ca="1" si="294"/>
        <v>4.3814119521780492E-2</v>
      </c>
      <c r="G9426" s="74">
        <v>36.854023599111386</v>
      </c>
      <c r="H9426" s="74">
        <f t="shared" si="295"/>
        <v>3.6403767442211361</v>
      </c>
    </row>
    <row r="9427" spans="5:8" ht="15.6">
      <c r="E9427" s="279" t="s">
        <v>9753</v>
      </c>
      <c r="F9427" s="284">
        <f t="shared" ca="1" si="294"/>
        <v>0.72287771833577641</v>
      </c>
      <c r="G9427" s="74">
        <v>41.079744141821706</v>
      </c>
      <c r="H9427" s="74">
        <f t="shared" si="295"/>
        <v>-0.58534379848918405</v>
      </c>
    </row>
    <row r="9428" spans="5:8" ht="15.6">
      <c r="E9428" s="279" t="s">
        <v>9754</v>
      </c>
      <c r="F9428" s="284">
        <f t="shared" ca="1" si="294"/>
        <v>0.97975704861393909</v>
      </c>
      <c r="G9428" s="74">
        <v>44.003683202314512</v>
      </c>
      <c r="H9428" s="74">
        <f t="shared" si="295"/>
        <v>-3.5092828589819902</v>
      </c>
    </row>
    <row r="9429" spans="5:8" ht="15.6">
      <c r="E9429" s="279" t="s">
        <v>9755</v>
      </c>
      <c r="F9429" s="284">
        <f t="shared" ca="1" si="294"/>
        <v>0.66293985708448333</v>
      </c>
      <c r="G9429" s="74">
        <v>40.510969223851944</v>
      </c>
      <c r="H9429" s="74">
        <f t="shared" si="295"/>
        <v>-1.656888051942218E-2</v>
      </c>
    </row>
    <row r="9430" spans="5:8" ht="15.6">
      <c r="E9430" s="279" t="s">
        <v>9756</v>
      </c>
      <c r="F9430" s="284">
        <f t="shared" ca="1" si="294"/>
        <v>5.2846269441412574E-2</v>
      </c>
      <c r="G9430" s="74">
        <v>33.820072033217102</v>
      </c>
      <c r="H9430" s="74">
        <f t="shared" si="295"/>
        <v>6.6743283101154205</v>
      </c>
    </row>
    <row r="9431" spans="5:8" ht="15.6">
      <c r="E9431" s="279" t="s">
        <v>9757</v>
      </c>
      <c r="F9431" s="284">
        <f t="shared" ca="1" si="294"/>
        <v>0.2562529677708224</v>
      </c>
      <c r="G9431" s="74">
        <v>36.446600515928232</v>
      </c>
      <c r="H9431" s="74">
        <f t="shared" si="295"/>
        <v>4.0477998274042903</v>
      </c>
    </row>
    <row r="9432" spans="5:8" ht="15.6">
      <c r="E9432" s="279" t="s">
        <v>9758</v>
      </c>
      <c r="F9432" s="284">
        <f t="shared" ca="1" si="294"/>
        <v>0.66947695870666601</v>
      </c>
      <c r="G9432" s="74">
        <v>34.37639391208333</v>
      </c>
      <c r="H9432" s="74">
        <f t="shared" si="295"/>
        <v>6.1180064312491922</v>
      </c>
    </row>
    <row r="9433" spans="5:8" ht="15.6">
      <c r="E9433" s="279" t="s">
        <v>9759</v>
      </c>
      <c r="F9433" s="284">
        <f t="shared" ca="1" si="294"/>
        <v>0.64533829728730197</v>
      </c>
      <c r="G9433" s="74">
        <v>37.297712384580471</v>
      </c>
      <c r="H9433" s="74">
        <f t="shared" si="295"/>
        <v>3.1966879587520509</v>
      </c>
    </row>
    <row r="9434" spans="5:8" ht="15.6">
      <c r="E9434" s="279" t="s">
        <v>9760</v>
      </c>
      <c r="F9434" s="284">
        <f t="shared" ca="1" si="294"/>
        <v>0.66372706193529829</v>
      </c>
      <c r="G9434" s="74">
        <v>38.602030756730031</v>
      </c>
      <c r="H9434" s="74">
        <f t="shared" si="295"/>
        <v>1.8923695866024914</v>
      </c>
    </row>
    <row r="9435" spans="5:8" ht="15.6">
      <c r="E9435" s="279" t="s">
        <v>9761</v>
      </c>
      <c r="F9435" s="284">
        <f t="shared" ca="1" si="294"/>
        <v>7.8778667848901529E-2</v>
      </c>
      <c r="G9435" s="74">
        <v>35.27932496499281</v>
      </c>
      <c r="H9435" s="74">
        <f t="shared" si="295"/>
        <v>5.2150753783397121</v>
      </c>
    </row>
    <row r="9436" spans="5:8" ht="15.6">
      <c r="E9436" s="279" t="s">
        <v>9762</v>
      </c>
      <c r="F9436" s="284">
        <f t="shared" ca="1" si="294"/>
        <v>0.23618867835199064</v>
      </c>
      <c r="G9436" s="74">
        <v>38.847422954810035</v>
      </c>
      <c r="H9436" s="74">
        <f t="shared" si="295"/>
        <v>1.6469773885224868</v>
      </c>
    </row>
    <row r="9437" spans="5:8" ht="15.6">
      <c r="E9437" s="279" t="s">
        <v>9763</v>
      </c>
      <c r="F9437" s="284">
        <f t="shared" ca="1" si="294"/>
        <v>0.59944338121906715</v>
      </c>
      <c r="G9437" s="74">
        <v>36.183089355518739</v>
      </c>
      <c r="H9437" s="74">
        <f t="shared" si="295"/>
        <v>4.3113109878137834</v>
      </c>
    </row>
    <row r="9438" spans="5:8" ht="15.6">
      <c r="E9438" s="279" t="s">
        <v>9764</v>
      </c>
      <c r="F9438" s="284">
        <f t="shared" ca="1" si="294"/>
        <v>0.52276528017701662</v>
      </c>
      <c r="G9438" s="74">
        <v>39.761264115510549</v>
      </c>
      <c r="H9438" s="74">
        <f t="shared" si="295"/>
        <v>0.73313622782197285</v>
      </c>
    </row>
    <row r="9439" spans="5:8" ht="15.6">
      <c r="E9439" s="279" t="s">
        <v>9765</v>
      </c>
      <c r="F9439" s="284">
        <f t="shared" ca="1" si="294"/>
        <v>0.78303706215319113</v>
      </c>
      <c r="G9439" s="74">
        <v>40.810573358259418</v>
      </c>
      <c r="H9439" s="74">
        <f t="shared" si="295"/>
        <v>-0.3161730149268962</v>
      </c>
    </row>
    <row r="9440" spans="5:8" ht="15.6">
      <c r="E9440" s="279" t="s">
        <v>9766</v>
      </c>
      <c r="F9440" s="284">
        <f t="shared" ca="1" si="294"/>
        <v>0.75795848190091786</v>
      </c>
      <c r="G9440" s="74">
        <v>39.101044555187784</v>
      </c>
      <c r="H9440" s="74">
        <f t="shared" si="295"/>
        <v>1.3933557881447385</v>
      </c>
    </row>
    <row r="9441" spans="5:8" ht="15.6">
      <c r="E9441" s="279" t="s">
        <v>9767</v>
      </c>
      <c r="F9441" s="284">
        <f t="shared" ca="1" si="294"/>
        <v>0.85424577174463023</v>
      </c>
      <c r="G9441" s="74">
        <v>45.027558505841874</v>
      </c>
      <c r="H9441" s="74">
        <f t="shared" si="295"/>
        <v>-4.533158162509352</v>
      </c>
    </row>
    <row r="9442" spans="5:8" ht="15.6">
      <c r="E9442" s="279" t="s">
        <v>9768</v>
      </c>
      <c r="F9442" s="284">
        <f t="shared" ca="1" si="294"/>
        <v>0.48752371869442657</v>
      </c>
      <c r="G9442" s="74">
        <v>38.918435171891268</v>
      </c>
      <c r="H9442" s="74">
        <f t="shared" si="295"/>
        <v>1.5759651714412541</v>
      </c>
    </row>
    <row r="9443" spans="5:8" ht="15.6">
      <c r="E9443" s="279" t="s">
        <v>9769</v>
      </c>
      <c r="F9443" s="284">
        <f t="shared" ca="1" si="294"/>
        <v>0.3712972270136875</v>
      </c>
      <c r="G9443" s="74">
        <v>36.272469362102569</v>
      </c>
      <c r="H9443" s="74">
        <f t="shared" si="295"/>
        <v>4.2219309812299528</v>
      </c>
    </row>
    <row r="9444" spans="5:8" ht="15.6">
      <c r="E9444" s="279" t="s">
        <v>9770</v>
      </c>
      <c r="F9444" s="284">
        <f t="shared" ca="1" si="294"/>
        <v>0.18750181007499789</v>
      </c>
      <c r="G9444" s="74">
        <v>38.85481379237217</v>
      </c>
      <c r="H9444" s="74">
        <f t="shared" si="295"/>
        <v>1.6395865509603524</v>
      </c>
    </row>
    <row r="9445" spans="5:8" ht="15.6">
      <c r="E9445" s="279" t="s">
        <v>9771</v>
      </c>
      <c r="F9445" s="284">
        <f t="shared" ca="1" si="294"/>
        <v>0.31124797659682268</v>
      </c>
      <c r="G9445" s="74">
        <v>42.663735426548847</v>
      </c>
      <c r="H9445" s="74">
        <f t="shared" si="295"/>
        <v>-2.1693350832163247</v>
      </c>
    </row>
    <row r="9446" spans="5:8" ht="15.6">
      <c r="E9446" s="279" t="s">
        <v>9772</v>
      </c>
      <c r="F9446" s="284">
        <f t="shared" ca="1" si="294"/>
        <v>0.65501621865671777</v>
      </c>
      <c r="G9446" s="74">
        <v>42.85479795436661</v>
      </c>
      <c r="H9446" s="74">
        <f t="shared" si="295"/>
        <v>-2.3603976110340881</v>
      </c>
    </row>
    <row r="9447" spans="5:8" ht="15.6">
      <c r="E9447" s="279" t="s">
        <v>9773</v>
      </c>
      <c r="F9447" s="284">
        <f t="shared" ca="1" si="294"/>
        <v>8.5545130056782215E-3</v>
      </c>
      <c r="G9447" s="74">
        <v>33.414895780635291</v>
      </c>
      <c r="H9447" s="74">
        <f t="shared" si="295"/>
        <v>7.0795045626972311</v>
      </c>
    </row>
    <row r="9448" spans="5:8" ht="15.6">
      <c r="E9448" s="279" t="s">
        <v>9774</v>
      </c>
      <c r="F9448" s="284">
        <f t="shared" ca="1" si="294"/>
        <v>0.77933368823675875</v>
      </c>
      <c r="G9448" s="74">
        <v>39.614845095189828</v>
      </c>
      <c r="H9448" s="74">
        <f t="shared" si="295"/>
        <v>0.87955524814269381</v>
      </c>
    </row>
    <row r="9449" spans="5:8" ht="15.6">
      <c r="E9449" s="279" t="s">
        <v>9775</v>
      </c>
      <c r="F9449" s="284">
        <f t="shared" ca="1" si="294"/>
        <v>0.86826159930589808</v>
      </c>
      <c r="G9449" s="74">
        <v>41.839257541306708</v>
      </c>
      <c r="H9449" s="74">
        <f t="shared" si="295"/>
        <v>-1.3448571979741857</v>
      </c>
    </row>
    <row r="9450" spans="5:8" ht="15.6">
      <c r="E9450" s="279" t="s">
        <v>9776</v>
      </c>
      <c r="F9450" s="284">
        <f t="shared" ca="1" si="294"/>
        <v>0.74727277051062213</v>
      </c>
      <c r="G9450" s="74">
        <v>38.404714706638686</v>
      </c>
      <c r="H9450" s="74">
        <f t="shared" si="295"/>
        <v>2.0896856366938366</v>
      </c>
    </row>
    <row r="9451" spans="5:8" ht="15.6">
      <c r="E9451" s="279" t="s">
        <v>9777</v>
      </c>
      <c r="F9451" s="284">
        <f t="shared" ca="1" si="294"/>
        <v>0.6911329798847039</v>
      </c>
      <c r="G9451" s="74">
        <v>37.074139420617776</v>
      </c>
      <c r="H9451" s="74">
        <f t="shared" si="295"/>
        <v>3.4202609227147462</v>
      </c>
    </row>
    <row r="9452" spans="5:8" ht="15.6">
      <c r="E9452" s="279" t="s">
        <v>9778</v>
      </c>
      <c r="F9452" s="284">
        <f t="shared" ca="1" si="294"/>
        <v>0.10286743084563477</v>
      </c>
      <c r="G9452" s="74">
        <v>40.641062567893769</v>
      </c>
      <c r="H9452" s="74">
        <f t="shared" si="295"/>
        <v>-0.146662224561247</v>
      </c>
    </row>
    <row r="9453" spans="5:8" ht="15.6">
      <c r="E9453" s="279" t="s">
        <v>9779</v>
      </c>
      <c r="F9453" s="284">
        <f t="shared" ca="1" si="294"/>
        <v>0.95289522768968249</v>
      </c>
      <c r="G9453" s="74">
        <v>44.58646473792497</v>
      </c>
      <c r="H9453" s="74">
        <f t="shared" si="295"/>
        <v>-4.0920643945924482</v>
      </c>
    </row>
    <row r="9454" spans="5:8" ht="15.6">
      <c r="E9454" s="279" t="s">
        <v>9780</v>
      </c>
      <c r="F9454" s="284">
        <f t="shared" ca="1" si="294"/>
        <v>0.51961956322119474</v>
      </c>
      <c r="G9454" s="74">
        <v>41.508630705817559</v>
      </c>
      <c r="H9454" s="74">
        <f t="shared" si="295"/>
        <v>-1.0142303624850371</v>
      </c>
    </row>
    <row r="9455" spans="5:8" ht="15.6">
      <c r="E9455" s="279" t="s">
        <v>9781</v>
      </c>
      <c r="F9455" s="284">
        <f t="shared" ca="1" si="294"/>
        <v>0.91714327670016038</v>
      </c>
      <c r="G9455" s="74">
        <v>39.701994329790963</v>
      </c>
      <c r="H9455" s="74">
        <f t="shared" si="295"/>
        <v>0.79240601354155871</v>
      </c>
    </row>
    <row r="9456" spans="5:8" ht="15.6">
      <c r="E9456" s="279" t="s">
        <v>9782</v>
      </c>
      <c r="F9456" s="284">
        <f t="shared" ca="1" si="294"/>
        <v>0.15995591103906104</v>
      </c>
      <c r="G9456" s="74">
        <v>38.748904235802328</v>
      </c>
      <c r="H9456" s="74">
        <f t="shared" si="295"/>
        <v>1.7454961075301938</v>
      </c>
    </row>
    <row r="9457" spans="5:8" ht="15.6">
      <c r="E9457" s="279" t="s">
        <v>9783</v>
      </c>
      <c r="F9457" s="284">
        <f t="shared" ca="1" si="294"/>
        <v>7.7085804113574352E-2</v>
      </c>
      <c r="G9457" s="74">
        <v>41.6893961623583</v>
      </c>
      <c r="H9457" s="74">
        <f t="shared" si="295"/>
        <v>-1.1949958190257775</v>
      </c>
    </row>
    <row r="9458" spans="5:8" ht="15.6">
      <c r="E9458" s="279" t="s">
        <v>9784</v>
      </c>
      <c r="F9458" s="284">
        <f t="shared" ca="1" si="294"/>
        <v>0.28326761091134312</v>
      </c>
      <c r="G9458" s="74">
        <v>41.028925164856851</v>
      </c>
      <c r="H9458" s="74">
        <f t="shared" si="295"/>
        <v>-0.53452482152432879</v>
      </c>
    </row>
    <row r="9459" spans="5:8" ht="15.6">
      <c r="E9459" s="279" t="s">
        <v>9785</v>
      </c>
      <c r="F9459" s="284">
        <f t="shared" ca="1" si="294"/>
        <v>0.20979017685779533</v>
      </c>
      <c r="G9459" s="74">
        <v>39.69917166505352</v>
      </c>
      <c r="H9459" s="74">
        <f t="shared" si="295"/>
        <v>0.79522867827900257</v>
      </c>
    </row>
    <row r="9460" spans="5:8" ht="15.6">
      <c r="E9460" s="279" t="s">
        <v>9786</v>
      </c>
      <c r="F9460" s="284">
        <f t="shared" ca="1" si="294"/>
        <v>0.51988452471525914</v>
      </c>
      <c r="G9460" s="74">
        <v>39.363265918745711</v>
      </c>
      <c r="H9460" s="74">
        <f t="shared" si="295"/>
        <v>1.1311344245868113</v>
      </c>
    </row>
    <row r="9461" spans="5:8" ht="15.6">
      <c r="E9461" s="279" t="s">
        <v>9787</v>
      </c>
      <c r="F9461" s="284">
        <f t="shared" ca="1" si="294"/>
        <v>0.61359852130711479</v>
      </c>
      <c r="G9461" s="74">
        <v>38.951700699515129</v>
      </c>
      <c r="H9461" s="74">
        <f t="shared" si="295"/>
        <v>1.542699643817393</v>
      </c>
    </row>
    <row r="9462" spans="5:8" ht="15.6">
      <c r="E9462" s="279" t="s">
        <v>9788</v>
      </c>
      <c r="F9462" s="284">
        <f t="shared" ca="1" si="294"/>
        <v>2.2003473955888531E-2</v>
      </c>
      <c r="G9462" s="74">
        <v>39.431891713115419</v>
      </c>
      <c r="H9462" s="74">
        <f t="shared" si="295"/>
        <v>1.0625086302171027</v>
      </c>
    </row>
    <row r="9463" spans="5:8" ht="15.6">
      <c r="E9463" s="279" t="s">
        <v>9789</v>
      </c>
      <c r="F9463" s="284">
        <f t="shared" ca="1" si="294"/>
        <v>0.79324361115649467</v>
      </c>
      <c r="G9463" s="74">
        <v>41.098288386669886</v>
      </c>
      <c r="H9463" s="74">
        <f t="shared" si="295"/>
        <v>-0.60388804333736346</v>
      </c>
    </row>
    <row r="9464" spans="5:8" ht="15.6">
      <c r="E9464" s="279" t="s">
        <v>9790</v>
      </c>
      <c r="F9464" s="284">
        <f t="shared" ca="1" si="294"/>
        <v>0.56746122463084492</v>
      </c>
      <c r="G9464" s="74">
        <v>38.109299106627425</v>
      </c>
      <c r="H9464" s="74">
        <f t="shared" si="295"/>
        <v>2.385101236705097</v>
      </c>
    </row>
    <row r="9465" spans="5:8" ht="15.6">
      <c r="E9465" s="279" t="s">
        <v>9791</v>
      </c>
      <c r="F9465" s="284">
        <f t="shared" ca="1" si="294"/>
        <v>0.29673511497449778</v>
      </c>
      <c r="G9465" s="74">
        <v>36.547639845493407</v>
      </c>
      <c r="H9465" s="74">
        <f t="shared" si="295"/>
        <v>3.9467604978391151</v>
      </c>
    </row>
    <row r="9466" spans="5:8" ht="15.6">
      <c r="E9466" s="279" t="s">
        <v>9792</v>
      </c>
      <c r="F9466" s="284">
        <f t="shared" ca="1" si="294"/>
        <v>0.94693767900542514</v>
      </c>
      <c r="G9466" s="74">
        <v>38.652027458221113</v>
      </c>
      <c r="H9466" s="74">
        <f t="shared" si="295"/>
        <v>1.8423728851114092</v>
      </c>
    </row>
    <row r="9467" spans="5:8" ht="15.6">
      <c r="E9467" s="279" t="s">
        <v>9793</v>
      </c>
      <c r="F9467" s="284">
        <f t="shared" ca="1" si="294"/>
        <v>0.76051155759890809</v>
      </c>
      <c r="G9467" s="74">
        <v>42.811820559365664</v>
      </c>
      <c r="H9467" s="74">
        <f t="shared" si="295"/>
        <v>-2.3174202160331419</v>
      </c>
    </row>
    <row r="9468" spans="5:8" ht="15.6">
      <c r="E9468" s="279" t="s">
        <v>9794</v>
      </c>
      <c r="F9468" s="284">
        <f t="shared" ca="1" si="294"/>
        <v>0.4576656983610855</v>
      </c>
      <c r="G9468" s="74">
        <v>37.937741209835863</v>
      </c>
      <c r="H9468" s="74">
        <f t="shared" si="295"/>
        <v>2.5566591334966589</v>
      </c>
    </row>
    <row r="9469" spans="5:8" ht="15.6">
      <c r="E9469" s="279" t="s">
        <v>9795</v>
      </c>
      <c r="F9469" s="284">
        <f t="shared" ca="1" si="294"/>
        <v>0.34398854312534644</v>
      </c>
      <c r="G9469" s="74">
        <v>38.192697695950159</v>
      </c>
      <c r="H9469" s="74">
        <f t="shared" si="295"/>
        <v>2.3017026473823634</v>
      </c>
    </row>
    <row r="9470" spans="5:8" ht="15.6">
      <c r="E9470" s="279" t="s">
        <v>9796</v>
      </c>
      <c r="F9470" s="284">
        <f t="shared" ca="1" si="294"/>
        <v>0.8458503990483609</v>
      </c>
      <c r="G9470" s="74">
        <v>39.033067829290069</v>
      </c>
      <c r="H9470" s="74">
        <f t="shared" si="295"/>
        <v>1.4613325140424536</v>
      </c>
    </row>
    <row r="9471" spans="5:8" ht="15.6">
      <c r="E9471" s="279" t="s">
        <v>9797</v>
      </c>
      <c r="F9471" s="284">
        <f t="shared" ca="1" si="294"/>
        <v>0.37336506846309903</v>
      </c>
      <c r="G9471" s="74">
        <v>38.487875766453733</v>
      </c>
      <c r="H9471" s="74">
        <f t="shared" si="295"/>
        <v>2.0065245768787889</v>
      </c>
    </row>
    <row r="9472" spans="5:8" ht="15.6">
      <c r="E9472" s="279" t="s">
        <v>9798</v>
      </c>
      <c r="F9472" s="284">
        <f t="shared" ca="1" si="294"/>
        <v>0.97115424645947701</v>
      </c>
      <c r="G9472" s="74">
        <v>39.997035444319408</v>
      </c>
      <c r="H9472" s="74">
        <f t="shared" si="295"/>
        <v>0.49736489901311387</v>
      </c>
    </row>
    <row r="9473" spans="5:8" ht="15.6">
      <c r="E9473" s="279" t="s">
        <v>9799</v>
      </c>
      <c r="F9473" s="284">
        <f t="shared" ca="1" si="294"/>
        <v>0.1553775345490841</v>
      </c>
      <c r="G9473" s="74">
        <v>42.275713849698384</v>
      </c>
      <c r="H9473" s="74">
        <f t="shared" si="295"/>
        <v>-1.7813135063658621</v>
      </c>
    </row>
    <row r="9474" spans="5:8" ht="15.6">
      <c r="E9474" s="279" t="s">
        <v>9800</v>
      </c>
      <c r="F9474" s="284">
        <f t="shared" ca="1" si="294"/>
        <v>0.30423210420858016</v>
      </c>
      <c r="G9474" s="74">
        <v>40.525828912557763</v>
      </c>
      <c r="H9474" s="74">
        <f t="shared" si="295"/>
        <v>-3.1428569225241176E-2</v>
      </c>
    </row>
    <row r="9475" spans="5:8" ht="15.6">
      <c r="E9475" s="279" t="s">
        <v>9801</v>
      </c>
      <c r="F9475" s="284">
        <f t="shared" ca="1" si="294"/>
        <v>5.1781895906918285E-3</v>
      </c>
      <c r="G9475" s="74">
        <v>37.732115993201873</v>
      </c>
      <c r="H9475" s="74">
        <f t="shared" si="295"/>
        <v>2.7622843501306491</v>
      </c>
    </row>
    <row r="9476" spans="5:8" ht="15.6">
      <c r="E9476" s="279" t="s">
        <v>9802</v>
      </c>
      <c r="F9476" s="284">
        <f t="shared" ca="1" si="294"/>
        <v>0.87589559223291946</v>
      </c>
      <c r="G9476" s="74">
        <v>41.122815912400554</v>
      </c>
      <c r="H9476" s="74">
        <f t="shared" si="295"/>
        <v>-0.6284155690680322</v>
      </c>
    </row>
    <row r="9477" spans="5:8" ht="15.6">
      <c r="E9477" s="279" t="s">
        <v>9803</v>
      </c>
      <c r="F9477" s="284">
        <f t="shared" ca="1" si="294"/>
        <v>0.18273160717055126</v>
      </c>
      <c r="G9477" s="74">
        <v>40.219301019961534</v>
      </c>
      <c r="H9477" s="74">
        <f t="shared" si="295"/>
        <v>0.27509932337098775</v>
      </c>
    </row>
    <row r="9478" spans="5:8" ht="15.6">
      <c r="E9478" s="279" t="s">
        <v>9804</v>
      </c>
      <c r="F9478" s="284">
        <f t="shared" ca="1" si="294"/>
        <v>0.1853305364440484</v>
      </c>
      <c r="G9478" s="74">
        <v>44.449560720475453</v>
      </c>
      <c r="H9478" s="74">
        <f t="shared" si="295"/>
        <v>-3.9551603771429313</v>
      </c>
    </row>
    <row r="9479" spans="5:8" ht="15.6">
      <c r="E9479" s="279" t="s">
        <v>9805</v>
      </c>
      <c r="F9479" s="284">
        <f t="shared" ca="1" si="294"/>
        <v>0.75194549964718693</v>
      </c>
      <c r="G9479" s="74">
        <v>40.778946977558</v>
      </c>
      <c r="H9479" s="74">
        <f t="shared" si="295"/>
        <v>-0.2845466342254781</v>
      </c>
    </row>
    <row r="9480" spans="5:8" ht="15.6">
      <c r="E9480" s="279" t="s">
        <v>9806</v>
      </c>
      <c r="F9480" s="284">
        <f t="shared" ca="1" si="294"/>
        <v>0.39907567728533189</v>
      </c>
      <c r="G9480" s="74">
        <v>37.289747647895105</v>
      </c>
      <c r="H9480" s="74">
        <f t="shared" si="295"/>
        <v>3.2046526954374173</v>
      </c>
    </row>
    <row r="9481" spans="5:8" ht="15.6">
      <c r="E9481" s="279" t="s">
        <v>9807</v>
      </c>
      <c r="F9481" s="284">
        <f t="shared" ca="1" si="294"/>
        <v>0.22843770504291094</v>
      </c>
      <c r="G9481" s="74">
        <v>42.879997817345533</v>
      </c>
      <c r="H9481" s="74">
        <f t="shared" si="295"/>
        <v>-2.3855974740130108</v>
      </c>
    </row>
    <row r="9482" spans="5:8" ht="15.6">
      <c r="E9482" s="279" t="s">
        <v>9808</v>
      </c>
      <c r="F9482" s="284">
        <f t="shared" ca="1" si="294"/>
        <v>4.6446839707795284E-2</v>
      </c>
      <c r="G9482" s="74">
        <v>41.220486412724256</v>
      </c>
      <c r="H9482" s="74">
        <f t="shared" si="295"/>
        <v>-0.7260860693917337</v>
      </c>
    </row>
    <row r="9483" spans="5:8" ht="15.6">
      <c r="E9483" s="279" t="s">
        <v>9809</v>
      </c>
      <c r="F9483" s="284">
        <f t="shared" ca="1" si="294"/>
        <v>0.50078845360192026</v>
      </c>
      <c r="G9483" s="74">
        <v>38.377386868981503</v>
      </c>
      <c r="H9483" s="74">
        <f t="shared" si="295"/>
        <v>2.1170134743510189</v>
      </c>
    </row>
    <row r="9484" spans="5:8" ht="15.6">
      <c r="E9484" s="279" t="s">
        <v>9810</v>
      </c>
      <c r="F9484" s="284">
        <f t="shared" ref="F9484:F9547" ca="1" si="296">RAND()</f>
        <v>0.62648070250708876</v>
      </c>
      <c r="G9484" s="74">
        <v>42.209257533176782</v>
      </c>
      <c r="H9484" s="74">
        <f t="shared" ref="H9484:H9547" si="297">$D$2-G9484</f>
        <v>-1.7148571898442597</v>
      </c>
    </row>
    <row r="9485" spans="5:8" ht="15.6">
      <c r="E9485" s="279" t="s">
        <v>9811</v>
      </c>
      <c r="F9485" s="284">
        <f t="shared" ca="1" si="296"/>
        <v>0.43668088301389396</v>
      </c>
      <c r="G9485" s="74">
        <v>37.936701250355561</v>
      </c>
      <c r="H9485" s="74">
        <f t="shared" si="297"/>
        <v>2.5576990929769607</v>
      </c>
    </row>
    <row r="9486" spans="5:8" ht="15.6">
      <c r="E9486" s="279" t="s">
        <v>9812</v>
      </c>
      <c r="F9486" s="284">
        <f t="shared" ca="1" si="296"/>
        <v>4.4180455842874999E-2</v>
      </c>
      <c r="G9486" s="74">
        <v>40.201053030632337</v>
      </c>
      <c r="H9486" s="74">
        <f t="shared" si="297"/>
        <v>0.29334731270018466</v>
      </c>
    </row>
    <row r="9487" spans="5:8" ht="15.6">
      <c r="E9487" s="279" t="s">
        <v>9813</v>
      </c>
      <c r="F9487" s="284">
        <f t="shared" ca="1" si="296"/>
        <v>0.28041725915456805</v>
      </c>
      <c r="G9487" s="74">
        <v>41.739452617719223</v>
      </c>
      <c r="H9487" s="74">
        <f t="shared" si="297"/>
        <v>-1.2450522743867012</v>
      </c>
    </row>
    <row r="9488" spans="5:8" ht="15.6">
      <c r="E9488" s="279" t="s">
        <v>9814</v>
      </c>
      <c r="F9488" s="284">
        <f t="shared" ca="1" si="296"/>
        <v>0.82842550236550794</v>
      </c>
      <c r="G9488" s="74">
        <v>39.221392441050035</v>
      </c>
      <c r="H9488" s="74">
        <f t="shared" si="297"/>
        <v>1.2730079022824867</v>
      </c>
    </row>
    <row r="9489" spans="5:8" ht="15.6">
      <c r="E9489" s="279" t="s">
        <v>9815</v>
      </c>
      <c r="F9489" s="284">
        <f t="shared" ca="1" si="296"/>
        <v>0.10263897620632212</v>
      </c>
      <c r="G9489" s="74">
        <v>37.459617742607612</v>
      </c>
      <c r="H9489" s="74">
        <f t="shared" si="297"/>
        <v>3.0347826007249097</v>
      </c>
    </row>
    <row r="9490" spans="5:8" ht="15.6">
      <c r="E9490" s="279" t="s">
        <v>9816</v>
      </c>
      <c r="F9490" s="284">
        <f t="shared" ca="1" si="296"/>
        <v>0.82709869401228697</v>
      </c>
      <c r="G9490" s="74">
        <v>41.807119624236527</v>
      </c>
      <c r="H9490" s="74">
        <f t="shared" si="297"/>
        <v>-1.3127192809040054</v>
      </c>
    </row>
    <row r="9491" spans="5:8" ht="15.6">
      <c r="E9491" s="279" t="s">
        <v>9817</v>
      </c>
      <c r="F9491" s="284">
        <f t="shared" ca="1" si="296"/>
        <v>0.69329684441169592</v>
      </c>
      <c r="G9491" s="74">
        <v>45.530201528172476</v>
      </c>
      <c r="H9491" s="74">
        <f t="shared" si="297"/>
        <v>-5.0358011848399542</v>
      </c>
    </row>
    <row r="9492" spans="5:8" ht="15.6">
      <c r="E9492" s="279" t="s">
        <v>9818</v>
      </c>
      <c r="F9492" s="284">
        <f t="shared" ca="1" si="296"/>
        <v>0.38481046078071368</v>
      </c>
      <c r="G9492" s="74">
        <v>41.289149568035853</v>
      </c>
      <c r="H9492" s="74">
        <f t="shared" si="297"/>
        <v>-0.79474922470333098</v>
      </c>
    </row>
    <row r="9493" spans="5:8" ht="15.6">
      <c r="E9493" s="279" t="s">
        <v>9819</v>
      </c>
      <c r="F9493" s="284">
        <f t="shared" ca="1" si="296"/>
        <v>0.33569734509190163</v>
      </c>
      <c r="G9493" s="74">
        <v>39.173329110739765</v>
      </c>
      <c r="H9493" s="74">
        <f t="shared" si="297"/>
        <v>1.3210712325927574</v>
      </c>
    </row>
    <row r="9494" spans="5:8" ht="15.6">
      <c r="E9494" s="279" t="s">
        <v>9820</v>
      </c>
      <c r="F9494" s="284">
        <f t="shared" ca="1" si="296"/>
        <v>0.88383405634644441</v>
      </c>
      <c r="G9494" s="74">
        <v>45.088973180834792</v>
      </c>
      <c r="H9494" s="74">
        <f t="shared" si="297"/>
        <v>-4.5945728375022696</v>
      </c>
    </row>
    <row r="9495" spans="5:8" ht="15.6">
      <c r="E9495" s="279" t="s">
        <v>9821</v>
      </c>
      <c r="F9495" s="284">
        <f t="shared" ca="1" si="296"/>
        <v>0.2723648825394237</v>
      </c>
      <c r="G9495" s="74">
        <v>39.543074707848191</v>
      </c>
      <c r="H9495" s="74">
        <f t="shared" si="297"/>
        <v>0.95132563548433069</v>
      </c>
    </row>
    <row r="9496" spans="5:8" ht="15.6">
      <c r="E9496" s="279" t="s">
        <v>9822</v>
      </c>
      <c r="F9496" s="284">
        <f t="shared" ca="1" si="296"/>
        <v>0.14384227092228918</v>
      </c>
      <c r="G9496" s="74">
        <v>40.352506419374507</v>
      </c>
      <c r="H9496" s="74">
        <f t="shared" si="297"/>
        <v>0.14189392395801548</v>
      </c>
    </row>
    <row r="9497" spans="5:8" ht="15.6">
      <c r="E9497" s="279" t="s">
        <v>9823</v>
      </c>
      <c r="F9497" s="284">
        <f t="shared" ca="1" si="296"/>
        <v>0.88103744128889439</v>
      </c>
      <c r="G9497" s="74">
        <v>38.19778970813752</v>
      </c>
      <c r="H9497" s="74">
        <f t="shared" si="297"/>
        <v>2.2966106351950017</v>
      </c>
    </row>
    <row r="9498" spans="5:8" ht="15.6">
      <c r="E9498" s="279" t="s">
        <v>9824</v>
      </c>
      <c r="F9498" s="284">
        <f t="shared" ca="1" si="296"/>
        <v>0.41952054591677412</v>
      </c>
      <c r="G9498" s="74">
        <v>42.74215638160139</v>
      </c>
      <c r="H9498" s="74">
        <f t="shared" si="297"/>
        <v>-2.2477560382688679</v>
      </c>
    </row>
    <row r="9499" spans="5:8" ht="15.6">
      <c r="E9499" s="279" t="s">
        <v>9825</v>
      </c>
      <c r="F9499" s="284">
        <f t="shared" ca="1" si="296"/>
        <v>0.76350506095472848</v>
      </c>
      <c r="G9499" s="74">
        <v>43.119859790266339</v>
      </c>
      <c r="H9499" s="74">
        <f t="shared" si="297"/>
        <v>-2.6254594469338173</v>
      </c>
    </row>
    <row r="9500" spans="5:8" ht="15.6">
      <c r="E9500" s="279" t="s">
        <v>9826</v>
      </c>
      <c r="F9500" s="284">
        <f t="shared" ca="1" si="296"/>
        <v>0.63939821975244082</v>
      </c>
      <c r="G9500" s="74">
        <v>39.947444642727937</v>
      </c>
      <c r="H9500" s="74">
        <f t="shared" si="297"/>
        <v>0.54695570060458465</v>
      </c>
    </row>
    <row r="9501" spans="5:8" ht="15.6">
      <c r="E9501" s="279" t="s">
        <v>9827</v>
      </c>
      <c r="F9501" s="284">
        <f t="shared" ca="1" si="296"/>
        <v>7.0966839592462638E-2</v>
      </c>
      <c r="G9501" s="74">
        <v>39.678047886281433</v>
      </c>
      <c r="H9501" s="74">
        <f t="shared" si="297"/>
        <v>0.81635245705108872</v>
      </c>
    </row>
    <row r="9502" spans="5:8" ht="15.6">
      <c r="E9502" s="279" t="s">
        <v>9828</v>
      </c>
      <c r="F9502" s="284">
        <f t="shared" ca="1" si="296"/>
        <v>0.10045068527327905</v>
      </c>
      <c r="G9502" s="74">
        <v>33.134781083184343</v>
      </c>
      <c r="H9502" s="74">
        <f t="shared" si="297"/>
        <v>7.3596192601481789</v>
      </c>
    </row>
    <row r="9503" spans="5:8" ht="15.6">
      <c r="E9503" s="279" t="s">
        <v>9829</v>
      </c>
      <c r="F9503" s="284">
        <f t="shared" ca="1" si="296"/>
        <v>0.79399088340365487</v>
      </c>
      <c r="G9503" s="74">
        <v>41.833625039201941</v>
      </c>
      <c r="H9503" s="74">
        <f t="shared" si="297"/>
        <v>-1.3392246958694187</v>
      </c>
    </row>
    <row r="9504" spans="5:8" ht="15.6">
      <c r="E9504" s="279" t="s">
        <v>9830</v>
      </c>
      <c r="F9504" s="284">
        <f t="shared" ca="1" si="296"/>
        <v>0.2719045676119779</v>
      </c>
      <c r="G9504" s="74">
        <v>38.653342263860551</v>
      </c>
      <c r="H9504" s="74">
        <f t="shared" si="297"/>
        <v>1.8410580794719706</v>
      </c>
    </row>
    <row r="9505" spans="5:8" ht="15.6">
      <c r="E9505" s="279" t="s">
        <v>9831</v>
      </c>
      <c r="F9505" s="284">
        <f t="shared" ca="1" si="296"/>
        <v>6.6059152234885787E-2</v>
      </c>
      <c r="G9505" s="74">
        <v>43.307338335017263</v>
      </c>
      <c r="H9505" s="74">
        <f t="shared" si="297"/>
        <v>-2.8129379916847412</v>
      </c>
    </row>
    <row r="9506" spans="5:8" ht="15.6">
      <c r="E9506" s="279" t="s">
        <v>9832</v>
      </c>
      <c r="F9506" s="284">
        <f t="shared" ca="1" si="296"/>
        <v>0.55765800301241975</v>
      </c>
      <c r="G9506" s="74">
        <v>39.818351183564992</v>
      </c>
      <c r="H9506" s="74">
        <f t="shared" si="297"/>
        <v>0.67604915976752977</v>
      </c>
    </row>
    <row r="9507" spans="5:8" ht="15.6">
      <c r="E9507" s="279" t="s">
        <v>9833</v>
      </c>
      <c r="F9507" s="284">
        <f t="shared" ca="1" si="296"/>
        <v>0.30822824206234933</v>
      </c>
      <c r="G9507" s="74">
        <v>36.504716736450582</v>
      </c>
      <c r="H9507" s="74">
        <f t="shared" si="297"/>
        <v>3.9896836068819397</v>
      </c>
    </row>
    <row r="9508" spans="5:8" ht="15.6">
      <c r="E9508" s="279" t="s">
        <v>9834</v>
      </c>
      <c r="F9508" s="284">
        <f t="shared" ca="1" si="296"/>
        <v>0.24067654323978593</v>
      </c>
      <c r="G9508" s="74">
        <v>41.106219409351027</v>
      </c>
      <c r="H9508" s="74">
        <f t="shared" si="297"/>
        <v>-0.611819066018505</v>
      </c>
    </row>
    <row r="9509" spans="5:8" ht="15.6">
      <c r="E9509" s="279" t="s">
        <v>9835</v>
      </c>
      <c r="F9509" s="284">
        <f t="shared" ca="1" si="296"/>
        <v>5.3201431345549111E-2</v>
      </c>
      <c r="G9509" s="74">
        <v>38.225606747912529</v>
      </c>
      <c r="H9509" s="74">
        <f t="shared" si="297"/>
        <v>2.2687935954199929</v>
      </c>
    </row>
    <row r="9510" spans="5:8" ht="15.6">
      <c r="E9510" s="279" t="s">
        <v>9836</v>
      </c>
      <c r="F9510" s="284">
        <f t="shared" ca="1" si="296"/>
        <v>0.58083627358225098</v>
      </c>
      <c r="G9510" s="74">
        <v>37.296112461331546</v>
      </c>
      <c r="H9510" s="74">
        <f t="shared" si="297"/>
        <v>3.1982878820009759</v>
      </c>
    </row>
    <row r="9511" spans="5:8" ht="15.6">
      <c r="E9511" s="279" t="s">
        <v>9837</v>
      </c>
      <c r="F9511" s="284">
        <f t="shared" ca="1" si="296"/>
        <v>8.6349271999522026E-2</v>
      </c>
      <c r="G9511" s="74">
        <v>39.369035608738834</v>
      </c>
      <c r="H9511" s="74">
        <f t="shared" si="297"/>
        <v>1.1253647345936884</v>
      </c>
    </row>
    <row r="9512" spans="5:8" ht="15.6">
      <c r="E9512" s="279" t="s">
        <v>9838</v>
      </c>
      <c r="F9512" s="284">
        <f t="shared" ca="1" si="296"/>
        <v>0.58600565912814395</v>
      </c>
      <c r="G9512" s="74">
        <v>40.77089074274587</v>
      </c>
      <c r="H9512" s="74">
        <f t="shared" si="297"/>
        <v>-0.27649039941334763</v>
      </c>
    </row>
    <row r="9513" spans="5:8" ht="15.6">
      <c r="E9513" s="279" t="s">
        <v>9839</v>
      </c>
      <c r="F9513" s="284">
        <f t="shared" ca="1" si="296"/>
        <v>0.8153886031991654</v>
      </c>
      <c r="G9513" s="74">
        <v>44.245055532900459</v>
      </c>
      <c r="H9513" s="74">
        <f t="shared" si="297"/>
        <v>-3.7506551895679365</v>
      </c>
    </row>
    <row r="9514" spans="5:8" ht="15.6">
      <c r="E9514" s="279" t="s">
        <v>9840</v>
      </c>
      <c r="F9514" s="284">
        <f t="shared" ca="1" si="296"/>
        <v>0.58498823145842926</v>
      </c>
      <c r="G9514" s="74">
        <v>40.239187354877004</v>
      </c>
      <c r="H9514" s="74">
        <f t="shared" si="297"/>
        <v>0.25521298845551854</v>
      </c>
    </row>
    <row r="9515" spans="5:8" ht="15.6">
      <c r="E9515" s="279" t="s">
        <v>9841</v>
      </c>
      <c r="F9515" s="284">
        <f t="shared" ca="1" si="296"/>
        <v>0.28479619756639885</v>
      </c>
      <c r="G9515" s="74">
        <v>42.130674946548226</v>
      </c>
      <c r="H9515" s="74">
        <f t="shared" si="297"/>
        <v>-1.6362746032157034</v>
      </c>
    </row>
    <row r="9516" spans="5:8" ht="15.6">
      <c r="E9516" s="279" t="s">
        <v>9842</v>
      </c>
      <c r="F9516" s="284">
        <f t="shared" ca="1" si="296"/>
        <v>0.45070049615717156</v>
      </c>
      <c r="G9516" s="74">
        <v>43.372117837882016</v>
      </c>
      <c r="H9516" s="74">
        <f t="shared" si="297"/>
        <v>-2.8777174945494934</v>
      </c>
    </row>
    <row r="9517" spans="5:8" ht="15.6">
      <c r="E9517" s="279" t="s">
        <v>9843</v>
      </c>
      <c r="F9517" s="284">
        <f t="shared" ca="1" si="296"/>
        <v>0.65809665303204667</v>
      </c>
      <c r="G9517" s="74">
        <v>39.868067563398967</v>
      </c>
      <c r="H9517" s="74">
        <f t="shared" si="297"/>
        <v>0.62633277993355563</v>
      </c>
    </row>
    <row r="9518" spans="5:8" ht="15.6">
      <c r="E9518" s="279" t="s">
        <v>9844</v>
      </c>
      <c r="F9518" s="284">
        <f t="shared" ca="1" si="296"/>
        <v>0.44652138056101165</v>
      </c>
      <c r="G9518" s="74">
        <v>40.667235207911851</v>
      </c>
      <c r="H9518" s="74">
        <f t="shared" si="297"/>
        <v>-0.17283486457932895</v>
      </c>
    </row>
    <row r="9519" spans="5:8" ht="15.6">
      <c r="E9519" s="279" t="s">
        <v>9845</v>
      </c>
      <c r="F9519" s="284">
        <f t="shared" ca="1" si="296"/>
        <v>0.21845469938793094</v>
      </c>
      <c r="G9519" s="74">
        <v>42.01457153184635</v>
      </c>
      <c r="H9519" s="74">
        <f t="shared" si="297"/>
        <v>-1.520171188513828</v>
      </c>
    </row>
    <row r="9520" spans="5:8" ht="15.6">
      <c r="E9520" s="279" t="s">
        <v>9846</v>
      </c>
      <c r="F9520" s="284">
        <f t="shared" ca="1" si="296"/>
        <v>0.68473811034540666</v>
      </c>
      <c r="G9520" s="74">
        <v>41.042842472540798</v>
      </c>
      <c r="H9520" s="74">
        <f t="shared" si="297"/>
        <v>-0.54844212920827573</v>
      </c>
    </row>
    <row r="9521" spans="5:8" ht="15.6">
      <c r="E9521" s="279" t="s">
        <v>9847</v>
      </c>
      <c r="F9521" s="284">
        <f t="shared" ca="1" si="296"/>
        <v>0.49561916938922035</v>
      </c>
      <c r="G9521" s="74">
        <v>41.27387584042647</v>
      </c>
      <c r="H9521" s="74">
        <f t="shared" si="297"/>
        <v>-0.77947549709394792</v>
      </c>
    </row>
    <row r="9522" spans="5:8" ht="15.6">
      <c r="E9522" s="279" t="s">
        <v>9848</v>
      </c>
      <c r="F9522" s="284">
        <f t="shared" ca="1" si="296"/>
        <v>0.63484588927759411</v>
      </c>
      <c r="G9522" s="74">
        <v>39.345849221353483</v>
      </c>
      <c r="H9522" s="74">
        <f t="shared" si="297"/>
        <v>1.1485511219790396</v>
      </c>
    </row>
    <row r="9523" spans="5:8" ht="15.6">
      <c r="E9523" s="279" t="s">
        <v>9849</v>
      </c>
      <c r="F9523" s="284">
        <f t="shared" ca="1" si="296"/>
        <v>0.56641480300562452</v>
      </c>
      <c r="G9523" s="74">
        <v>35.011387506706441</v>
      </c>
      <c r="H9523" s="74">
        <f t="shared" si="297"/>
        <v>5.4830128366260809</v>
      </c>
    </row>
    <row r="9524" spans="5:8" ht="15.6">
      <c r="E9524" s="279" t="s">
        <v>9850</v>
      </c>
      <c r="F9524" s="284">
        <f t="shared" ca="1" si="296"/>
        <v>0.19163118527682532</v>
      </c>
      <c r="G9524" s="74">
        <v>40.700752269645008</v>
      </c>
      <c r="H9524" s="74">
        <f t="shared" si="297"/>
        <v>-0.206351926312486</v>
      </c>
    </row>
    <row r="9525" spans="5:8" ht="15.6">
      <c r="E9525" s="279" t="s">
        <v>9851</v>
      </c>
      <c r="F9525" s="284">
        <f t="shared" ca="1" si="296"/>
        <v>0.78471787635460399</v>
      </c>
      <c r="G9525" s="74">
        <v>40.86157007518991</v>
      </c>
      <c r="H9525" s="74">
        <f t="shared" si="297"/>
        <v>-0.36716973185738766</v>
      </c>
    </row>
    <row r="9526" spans="5:8" ht="15.6">
      <c r="E9526" s="279" t="s">
        <v>9852</v>
      </c>
      <c r="F9526" s="284">
        <f t="shared" ca="1" si="296"/>
        <v>6.8874195294867713E-2</v>
      </c>
      <c r="G9526" s="74">
        <v>40.908792364559936</v>
      </c>
      <c r="H9526" s="74">
        <f t="shared" si="297"/>
        <v>-0.41439202122741392</v>
      </c>
    </row>
    <row r="9527" spans="5:8" ht="15.6">
      <c r="E9527" s="279" t="s">
        <v>9853</v>
      </c>
      <c r="F9527" s="284">
        <f t="shared" ca="1" si="296"/>
        <v>0.64824476447655943</v>
      </c>
      <c r="G9527" s="74">
        <v>44.010325042324297</v>
      </c>
      <c r="H9527" s="74">
        <f t="shared" si="297"/>
        <v>-3.5159246989917747</v>
      </c>
    </row>
    <row r="9528" spans="5:8" ht="15.6">
      <c r="E9528" s="279" t="s">
        <v>9854</v>
      </c>
      <c r="F9528" s="284">
        <f t="shared" ca="1" si="296"/>
        <v>0.71236547589476285</v>
      </c>
      <c r="G9528" s="74">
        <v>43.907902164010231</v>
      </c>
      <c r="H9528" s="74">
        <f t="shared" si="297"/>
        <v>-3.413501820677709</v>
      </c>
    </row>
    <row r="9529" spans="5:8" ht="15.6">
      <c r="E9529" s="279" t="s">
        <v>9855</v>
      </c>
      <c r="F9529" s="284">
        <f t="shared" ca="1" si="296"/>
        <v>0.85247868779617364</v>
      </c>
      <c r="G9529" s="74">
        <v>39.868419472003836</v>
      </c>
      <c r="H9529" s="74">
        <f t="shared" si="297"/>
        <v>0.62598087132868585</v>
      </c>
    </row>
    <row r="9530" spans="5:8" ht="15.6">
      <c r="E9530" s="279" t="s">
        <v>9856</v>
      </c>
      <c r="F9530" s="284">
        <f t="shared" ca="1" si="296"/>
        <v>0.50873394168278763</v>
      </c>
      <c r="G9530" s="74">
        <v>36.053645581398143</v>
      </c>
      <c r="H9530" s="74">
        <f t="shared" si="297"/>
        <v>4.4407547619343788</v>
      </c>
    </row>
    <row r="9531" spans="5:8" ht="15.6">
      <c r="E9531" s="279" t="s">
        <v>9857</v>
      </c>
      <c r="F9531" s="284">
        <f t="shared" ca="1" si="296"/>
        <v>0.15710553130326688</v>
      </c>
      <c r="G9531" s="74">
        <v>35.74436298693896</v>
      </c>
      <c r="H9531" s="74">
        <f t="shared" si="297"/>
        <v>4.7500373563935625</v>
      </c>
    </row>
    <row r="9532" spans="5:8" ht="15.6">
      <c r="E9532" s="279" t="s">
        <v>9858</v>
      </c>
      <c r="F9532" s="284">
        <f t="shared" ca="1" si="296"/>
        <v>0.9459506722431541</v>
      </c>
      <c r="G9532" s="74">
        <v>41.804668288346846</v>
      </c>
      <c r="H9532" s="74">
        <f t="shared" si="297"/>
        <v>-1.3102679450143242</v>
      </c>
    </row>
    <row r="9533" spans="5:8" ht="15.6">
      <c r="E9533" s="279" t="s">
        <v>9859</v>
      </c>
      <c r="F9533" s="284">
        <f t="shared" ca="1" si="296"/>
        <v>0.43695587992931295</v>
      </c>
      <c r="G9533" s="74">
        <v>38.282906344024454</v>
      </c>
      <c r="H9533" s="74">
        <f t="shared" si="297"/>
        <v>2.2114939993080682</v>
      </c>
    </row>
    <row r="9534" spans="5:8" ht="15.6">
      <c r="E9534" s="279" t="s">
        <v>9860</v>
      </c>
      <c r="F9534" s="284">
        <f t="shared" ca="1" si="296"/>
        <v>0.63999565452641438</v>
      </c>
      <c r="G9534" s="74">
        <v>38.713402293381129</v>
      </c>
      <c r="H9534" s="74">
        <f t="shared" si="297"/>
        <v>1.7809980499513927</v>
      </c>
    </row>
    <row r="9535" spans="5:8" ht="15.6">
      <c r="E9535" s="279" t="s">
        <v>9861</v>
      </c>
      <c r="F9535" s="284">
        <f t="shared" ca="1" si="296"/>
        <v>0.77702457825054816</v>
      </c>
      <c r="G9535" s="74">
        <v>39.801529531900648</v>
      </c>
      <c r="H9535" s="74">
        <f t="shared" si="297"/>
        <v>0.69287081143187379</v>
      </c>
    </row>
    <row r="9536" spans="5:8" ht="15.6">
      <c r="E9536" s="279" t="s">
        <v>9862</v>
      </c>
      <c r="F9536" s="284">
        <f t="shared" ca="1" si="296"/>
        <v>0.30202535210372361</v>
      </c>
      <c r="G9536" s="74">
        <v>40.59621547827058</v>
      </c>
      <c r="H9536" s="74">
        <f t="shared" si="297"/>
        <v>-0.10181513493805738</v>
      </c>
    </row>
    <row r="9537" spans="5:8" ht="15.6">
      <c r="E9537" s="279" t="s">
        <v>9863</v>
      </c>
      <c r="F9537" s="284">
        <f t="shared" ca="1" si="296"/>
        <v>1.9781511866131529E-3</v>
      </c>
      <c r="G9537" s="74">
        <v>33.68722068348751</v>
      </c>
      <c r="H9537" s="74">
        <f t="shared" si="297"/>
        <v>6.8071796598450121</v>
      </c>
    </row>
    <row r="9538" spans="5:8" ht="15.6">
      <c r="E9538" s="279" t="s">
        <v>9864</v>
      </c>
      <c r="F9538" s="284">
        <f t="shared" ca="1" si="296"/>
        <v>0.59594157004366599</v>
      </c>
      <c r="G9538" s="74">
        <v>37.208162424212361</v>
      </c>
      <c r="H9538" s="74">
        <f t="shared" si="297"/>
        <v>3.2862379191201612</v>
      </c>
    </row>
    <row r="9539" spans="5:8" ht="15.6">
      <c r="E9539" s="279" t="s">
        <v>9865</v>
      </c>
      <c r="F9539" s="284">
        <f t="shared" ca="1" si="296"/>
        <v>0.87985652925375035</v>
      </c>
      <c r="G9539" s="74">
        <v>38.13048299113062</v>
      </c>
      <c r="H9539" s="74">
        <f t="shared" si="297"/>
        <v>2.3639173522019021</v>
      </c>
    </row>
    <row r="9540" spans="5:8" ht="15.6">
      <c r="E9540" s="279" t="s">
        <v>9866</v>
      </c>
      <c r="F9540" s="284">
        <f t="shared" ca="1" si="296"/>
        <v>0.96648759044510979</v>
      </c>
      <c r="G9540" s="74">
        <v>38.451831803468743</v>
      </c>
      <c r="H9540" s="74">
        <f t="shared" si="297"/>
        <v>2.0425685398637796</v>
      </c>
    </row>
    <row r="9541" spans="5:8" ht="15.6">
      <c r="E9541" s="279" t="s">
        <v>9867</v>
      </c>
      <c r="F9541" s="284">
        <f t="shared" ca="1" si="296"/>
        <v>0.16292332997497128</v>
      </c>
      <c r="G9541" s="74">
        <v>41.436675435646336</v>
      </c>
      <c r="H9541" s="74">
        <f t="shared" si="297"/>
        <v>-0.9422750923138139</v>
      </c>
    </row>
    <row r="9542" spans="5:8" ht="15.6">
      <c r="E9542" s="279" t="s">
        <v>9868</v>
      </c>
      <c r="F9542" s="284">
        <f t="shared" ca="1" si="296"/>
        <v>0.27920743236062695</v>
      </c>
      <c r="G9542" s="74">
        <v>38.438986495111749</v>
      </c>
      <c r="H9542" s="74">
        <f t="shared" si="297"/>
        <v>2.0554138482207733</v>
      </c>
    </row>
    <row r="9543" spans="5:8" ht="15.6">
      <c r="E9543" s="279" t="s">
        <v>9869</v>
      </c>
      <c r="F9543" s="284">
        <f t="shared" ca="1" si="296"/>
        <v>0.37486745196661642</v>
      </c>
      <c r="G9543" s="74">
        <v>38.683903534764191</v>
      </c>
      <c r="H9543" s="74">
        <f t="shared" si="297"/>
        <v>1.8104968085683311</v>
      </c>
    </row>
    <row r="9544" spans="5:8" ht="15.6">
      <c r="E9544" s="279" t="s">
        <v>9870</v>
      </c>
      <c r="F9544" s="284">
        <f t="shared" ca="1" si="296"/>
        <v>0.32277376854255924</v>
      </c>
      <c r="G9544" s="74">
        <v>33.995474471103954</v>
      </c>
      <c r="H9544" s="74">
        <f t="shared" si="297"/>
        <v>6.4989258722285683</v>
      </c>
    </row>
    <row r="9545" spans="5:8" ht="15.6">
      <c r="E9545" s="279" t="s">
        <v>9871</v>
      </c>
      <c r="F9545" s="284">
        <f t="shared" ca="1" si="296"/>
        <v>0.11915710261309476</v>
      </c>
      <c r="G9545" s="74">
        <v>35.50978956689324</v>
      </c>
      <c r="H9545" s="74">
        <f t="shared" si="297"/>
        <v>4.9846107764392826</v>
      </c>
    </row>
    <row r="9546" spans="5:8" ht="15.6">
      <c r="E9546" s="279" t="s">
        <v>9872</v>
      </c>
      <c r="F9546" s="284">
        <f t="shared" ca="1" si="296"/>
        <v>0.14646655543005549</v>
      </c>
      <c r="G9546" s="74">
        <v>40.615440540574149</v>
      </c>
      <c r="H9546" s="74">
        <f t="shared" si="297"/>
        <v>-0.1210401972416264</v>
      </c>
    </row>
    <row r="9547" spans="5:8" ht="15.6">
      <c r="E9547" s="279" t="s">
        <v>9873</v>
      </c>
      <c r="F9547" s="284">
        <f t="shared" ca="1" si="296"/>
        <v>0.72180150288363498</v>
      </c>
      <c r="G9547" s="74">
        <v>33.504550287365241</v>
      </c>
      <c r="H9547" s="74">
        <f t="shared" si="297"/>
        <v>6.9898500559672812</v>
      </c>
    </row>
    <row r="9548" spans="5:8" ht="15.6">
      <c r="E9548" s="279" t="s">
        <v>9874</v>
      </c>
      <c r="F9548" s="284">
        <f t="shared" ref="F9548:F9611" ca="1" si="298">RAND()</f>
        <v>0.51851690730485023</v>
      </c>
      <c r="G9548" s="74">
        <v>38.681276236995167</v>
      </c>
      <c r="H9548" s="74">
        <f t="shared" ref="H9548:H9611" si="299">$D$2-G9548</f>
        <v>1.8131241063373551</v>
      </c>
    </row>
    <row r="9549" spans="5:8" ht="15.6">
      <c r="E9549" s="279" t="s">
        <v>9875</v>
      </c>
      <c r="F9549" s="284">
        <f t="shared" ca="1" si="298"/>
        <v>0.9226069031726587</v>
      </c>
      <c r="G9549" s="74">
        <v>35.540523964807264</v>
      </c>
      <c r="H9549" s="74">
        <f t="shared" si="299"/>
        <v>4.9538763785252584</v>
      </c>
    </row>
    <row r="9550" spans="5:8" ht="15.6">
      <c r="E9550" s="279" t="s">
        <v>9876</v>
      </c>
      <c r="F9550" s="284">
        <f t="shared" ca="1" si="298"/>
        <v>0.82203991181146163</v>
      </c>
      <c r="G9550" s="74">
        <v>39.178860403258909</v>
      </c>
      <c r="H9550" s="74">
        <f t="shared" si="299"/>
        <v>1.315539940073613</v>
      </c>
    </row>
    <row r="9551" spans="5:8" ht="15.6">
      <c r="E9551" s="279" t="s">
        <v>9877</v>
      </c>
      <c r="F9551" s="284">
        <f t="shared" ca="1" si="298"/>
        <v>0.52907772150934074</v>
      </c>
      <c r="G9551" s="74">
        <v>38.733411297439297</v>
      </c>
      <c r="H9551" s="74">
        <f t="shared" si="299"/>
        <v>1.7609890458932256</v>
      </c>
    </row>
    <row r="9552" spans="5:8" ht="15.6">
      <c r="E9552" s="279" t="s">
        <v>9878</v>
      </c>
      <c r="F9552" s="284">
        <f t="shared" ca="1" si="298"/>
        <v>0.43480619543982646</v>
      </c>
      <c r="G9552" s="74">
        <v>38.436118042210317</v>
      </c>
      <c r="H9552" s="74">
        <f t="shared" si="299"/>
        <v>2.0582823011222047</v>
      </c>
    </row>
    <row r="9553" spans="5:8" ht="15.6">
      <c r="E9553" s="279" t="s">
        <v>9879</v>
      </c>
      <c r="F9553" s="284">
        <f t="shared" ca="1" si="298"/>
        <v>0.66349042473962816</v>
      </c>
      <c r="G9553" s="74">
        <v>44.18050862384267</v>
      </c>
      <c r="H9553" s="74">
        <f t="shared" si="299"/>
        <v>-3.6861082805101475</v>
      </c>
    </row>
    <row r="9554" spans="5:8" ht="15.6">
      <c r="E9554" s="279" t="s">
        <v>9880</v>
      </c>
      <c r="F9554" s="284">
        <f t="shared" ca="1" si="298"/>
        <v>0.42789866757221584</v>
      </c>
      <c r="G9554" s="74">
        <v>40.36333219908154</v>
      </c>
      <c r="H9554" s="74">
        <f t="shared" si="299"/>
        <v>0.13106814425098179</v>
      </c>
    </row>
    <row r="9555" spans="5:8" ht="15.6">
      <c r="E9555" s="279" t="s">
        <v>9881</v>
      </c>
      <c r="F9555" s="284">
        <f t="shared" ca="1" si="298"/>
        <v>0.482046110910333</v>
      </c>
      <c r="G9555" s="74">
        <v>34.761219293355815</v>
      </c>
      <c r="H9555" s="74">
        <f t="shared" si="299"/>
        <v>5.7331810499767073</v>
      </c>
    </row>
    <row r="9556" spans="5:8" ht="15.6">
      <c r="E9556" s="279" t="s">
        <v>9882</v>
      </c>
      <c r="F9556" s="284">
        <f t="shared" ca="1" si="298"/>
        <v>0.8285889256782627</v>
      </c>
      <c r="G9556" s="74">
        <v>38.776883731770525</v>
      </c>
      <c r="H9556" s="74">
        <f t="shared" si="299"/>
        <v>1.7175166115619973</v>
      </c>
    </row>
    <row r="9557" spans="5:8" ht="15.6">
      <c r="E9557" s="279" t="s">
        <v>9883</v>
      </c>
      <c r="F9557" s="284">
        <f t="shared" ca="1" si="298"/>
        <v>0.57979054161270305</v>
      </c>
      <c r="G9557" s="74">
        <v>37.805271291642342</v>
      </c>
      <c r="H9557" s="74">
        <f t="shared" si="299"/>
        <v>2.6891290516901805</v>
      </c>
    </row>
    <row r="9558" spans="5:8" ht="15.6">
      <c r="E9558" s="279" t="s">
        <v>9884</v>
      </c>
      <c r="F9558" s="284">
        <f t="shared" ca="1" si="298"/>
        <v>9.2886796936000326E-2</v>
      </c>
      <c r="G9558" s="74">
        <v>38.592943218373726</v>
      </c>
      <c r="H9558" s="74">
        <f t="shared" si="299"/>
        <v>1.9014571249587959</v>
      </c>
    </row>
    <row r="9559" spans="5:8" ht="15.6">
      <c r="E9559" s="279" t="s">
        <v>9885</v>
      </c>
      <c r="F9559" s="284">
        <f t="shared" ca="1" si="298"/>
        <v>0.16517947256840537</v>
      </c>
      <c r="G9559" s="74">
        <v>37.857463891724365</v>
      </c>
      <c r="H9559" s="74">
        <f t="shared" si="299"/>
        <v>2.6369364516081575</v>
      </c>
    </row>
    <row r="9560" spans="5:8" ht="15.6">
      <c r="E9560" s="279" t="s">
        <v>9886</v>
      </c>
      <c r="F9560" s="284">
        <f t="shared" ca="1" si="298"/>
        <v>0.51945699333491757</v>
      </c>
      <c r="G9560" s="74">
        <v>36.423726990417002</v>
      </c>
      <c r="H9560" s="74">
        <f t="shared" si="299"/>
        <v>4.0706733529155201</v>
      </c>
    </row>
    <row r="9561" spans="5:8" ht="15.6">
      <c r="E9561" s="279" t="s">
        <v>9887</v>
      </c>
      <c r="F9561" s="284">
        <f t="shared" ca="1" si="298"/>
        <v>0.8536471195121218</v>
      </c>
      <c r="G9561" s="74">
        <v>39.37040233162697</v>
      </c>
      <c r="H9561" s="74">
        <f t="shared" si="299"/>
        <v>1.1239980117055524</v>
      </c>
    </row>
    <row r="9562" spans="5:8" ht="15.6">
      <c r="E9562" s="279" t="s">
        <v>9888</v>
      </c>
      <c r="F9562" s="284">
        <f t="shared" ca="1" si="298"/>
        <v>0.68196558584221545</v>
      </c>
      <c r="G9562" s="74">
        <v>39.745012401119816</v>
      </c>
      <c r="H9562" s="74">
        <f t="shared" si="299"/>
        <v>0.74938794221270655</v>
      </c>
    </row>
    <row r="9563" spans="5:8" ht="15.6">
      <c r="E9563" s="279" t="s">
        <v>9889</v>
      </c>
      <c r="F9563" s="284">
        <f t="shared" ca="1" si="298"/>
        <v>0.22075926977973626</v>
      </c>
      <c r="G9563" s="74">
        <v>40.581957661361095</v>
      </c>
      <c r="H9563" s="74">
        <f t="shared" si="299"/>
        <v>-8.7557318028572695E-2</v>
      </c>
    </row>
    <row r="9564" spans="5:8" ht="15.6">
      <c r="E9564" s="279" t="s">
        <v>9890</v>
      </c>
      <c r="F9564" s="284">
        <f t="shared" ca="1" si="298"/>
        <v>0.8014769680303736</v>
      </c>
      <c r="G9564" s="74">
        <v>40.916622122627771</v>
      </c>
      <c r="H9564" s="74">
        <f t="shared" si="299"/>
        <v>-0.42222177929524918</v>
      </c>
    </row>
    <row r="9565" spans="5:8" ht="15.6">
      <c r="E9565" s="279" t="s">
        <v>9891</v>
      </c>
      <c r="F9565" s="284">
        <f t="shared" ca="1" si="298"/>
        <v>0.21319762620180882</v>
      </c>
      <c r="G9565" s="74">
        <v>38.962969057131481</v>
      </c>
      <c r="H9565" s="74">
        <f t="shared" si="299"/>
        <v>1.5314312862010411</v>
      </c>
    </row>
    <row r="9566" spans="5:8" ht="15.6">
      <c r="E9566" s="279" t="s">
        <v>9892</v>
      </c>
      <c r="F9566" s="284">
        <f t="shared" ca="1" si="298"/>
        <v>0.4027165063135395</v>
      </c>
      <c r="G9566" s="74">
        <v>35.872074737213381</v>
      </c>
      <c r="H9566" s="74">
        <f t="shared" si="299"/>
        <v>4.6223256061191407</v>
      </c>
    </row>
    <row r="9567" spans="5:8" ht="15.6">
      <c r="E9567" s="279" t="s">
        <v>9893</v>
      </c>
      <c r="F9567" s="284">
        <f t="shared" ca="1" si="298"/>
        <v>0.10718923410895786</v>
      </c>
      <c r="G9567" s="74">
        <v>40.490036668936291</v>
      </c>
      <c r="H9567" s="74">
        <f t="shared" si="299"/>
        <v>4.3636743962309765E-3</v>
      </c>
    </row>
    <row r="9568" spans="5:8" ht="15.6">
      <c r="E9568" s="279" t="s">
        <v>9894</v>
      </c>
      <c r="F9568" s="284">
        <f t="shared" ca="1" si="298"/>
        <v>0.18834606298259438</v>
      </c>
      <c r="G9568" s="74">
        <v>38.884486193161379</v>
      </c>
      <c r="H9568" s="74">
        <f t="shared" si="299"/>
        <v>1.6099141501711429</v>
      </c>
    </row>
    <row r="9569" spans="5:8" ht="15.6">
      <c r="E9569" s="279" t="s">
        <v>9895</v>
      </c>
      <c r="F9569" s="284">
        <f t="shared" ca="1" si="298"/>
        <v>0.6663261197997864</v>
      </c>
      <c r="G9569" s="74">
        <v>39.564834260407679</v>
      </c>
      <c r="H9569" s="74">
        <f t="shared" si="299"/>
        <v>0.92956608292484333</v>
      </c>
    </row>
    <row r="9570" spans="5:8" ht="15.6">
      <c r="E9570" s="279" t="s">
        <v>9896</v>
      </c>
      <c r="F9570" s="284">
        <f t="shared" ca="1" si="298"/>
        <v>0.44897584250407307</v>
      </c>
      <c r="G9570" s="74">
        <v>41.946681787716017</v>
      </c>
      <c r="H9570" s="74">
        <f t="shared" si="299"/>
        <v>-1.4522814443834946</v>
      </c>
    </row>
    <row r="9571" spans="5:8" ht="15.6">
      <c r="E9571" s="279" t="s">
        <v>9897</v>
      </c>
      <c r="F9571" s="284">
        <f t="shared" ca="1" si="298"/>
        <v>0.56703940676653108</v>
      </c>
      <c r="G9571" s="74">
        <v>41.641981605212344</v>
      </c>
      <c r="H9571" s="74">
        <f t="shared" si="299"/>
        <v>-1.1475812618798216</v>
      </c>
    </row>
    <row r="9572" spans="5:8" ht="15.6">
      <c r="E9572" s="279" t="s">
        <v>9898</v>
      </c>
      <c r="F9572" s="284">
        <f t="shared" ca="1" si="298"/>
        <v>0.2489648690965155</v>
      </c>
      <c r="G9572" s="74">
        <v>37.075403143936896</v>
      </c>
      <c r="H9572" s="74">
        <f t="shared" si="299"/>
        <v>3.4189971993956263</v>
      </c>
    </row>
    <row r="9573" spans="5:8" ht="15.6">
      <c r="E9573" s="279" t="s">
        <v>9899</v>
      </c>
      <c r="F9573" s="284">
        <f t="shared" ca="1" si="298"/>
        <v>0.19010676055233944</v>
      </c>
      <c r="G9573" s="74">
        <v>42.118287325668582</v>
      </c>
      <c r="H9573" s="74">
        <f t="shared" si="299"/>
        <v>-1.6238869823360602</v>
      </c>
    </row>
    <row r="9574" spans="5:8" ht="15.6">
      <c r="E9574" s="279" t="s">
        <v>9900</v>
      </c>
      <c r="F9574" s="284">
        <f t="shared" ca="1" si="298"/>
        <v>0.40408496159328333</v>
      </c>
      <c r="G9574" s="74">
        <v>36.094126443126797</v>
      </c>
      <c r="H9574" s="74">
        <f t="shared" si="299"/>
        <v>4.4002739002057254</v>
      </c>
    </row>
    <row r="9575" spans="5:8" ht="15.6">
      <c r="E9575" s="279" t="s">
        <v>9901</v>
      </c>
      <c r="F9575" s="284">
        <f t="shared" ca="1" si="298"/>
        <v>0.70799579055398776</v>
      </c>
      <c r="G9575" s="74">
        <v>35.33217971544746</v>
      </c>
      <c r="H9575" s="74">
        <f t="shared" si="299"/>
        <v>5.1622206278850626</v>
      </c>
    </row>
    <row r="9576" spans="5:8" ht="15.6">
      <c r="E9576" s="279" t="s">
        <v>9902</v>
      </c>
      <c r="F9576" s="284">
        <f t="shared" ca="1" si="298"/>
        <v>0.34709548838604609</v>
      </c>
      <c r="G9576" s="74">
        <v>39.517223975060951</v>
      </c>
      <c r="H9576" s="74">
        <f t="shared" si="299"/>
        <v>0.9771763682715715</v>
      </c>
    </row>
    <row r="9577" spans="5:8" ht="15.6">
      <c r="E9577" s="279" t="s">
        <v>9903</v>
      </c>
      <c r="F9577" s="284">
        <f t="shared" ca="1" si="298"/>
        <v>0.67553084804849384</v>
      </c>
      <c r="G9577" s="74">
        <v>42.786229797019843</v>
      </c>
      <c r="H9577" s="74">
        <f t="shared" si="299"/>
        <v>-2.2918294536873205</v>
      </c>
    </row>
    <row r="9578" spans="5:8" ht="15.6">
      <c r="E9578" s="279" t="s">
        <v>9904</v>
      </c>
      <c r="F9578" s="284">
        <f t="shared" ca="1" si="298"/>
        <v>0.42348942256062116</v>
      </c>
      <c r="G9578" s="74">
        <v>40.442612496973453</v>
      </c>
      <c r="H9578" s="74">
        <f t="shared" si="299"/>
        <v>5.1787846359069079E-2</v>
      </c>
    </row>
    <row r="9579" spans="5:8" ht="15.6">
      <c r="E9579" s="279" t="s">
        <v>9905</v>
      </c>
      <c r="F9579" s="284">
        <f t="shared" ca="1" si="298"/>
        <v>0.22844281161485691</v>
      </c>
      <c r="G9579" s="74">
        <v>38.090049800923374</v>
      </c>
      <c r="H9579" s="74">
        <f t="shared" si="299"/>
        <v>2.4043505424091478</v>
      </c>
    </row>
    <row r="9580" spans="5:8" ht="15.6">
      <c r="E9580" s="279" t="s">
        <v>9906</v>
      </c>
      <c r="F9580" s="284">
        <f t="shared" ca="1" si="298"/>
        <v>0.24798594315314482</v>
      </c>
      <c r="G9580" s="74">
        <v>37.636836658945754</v>
      </c>
      <c r="H9580" s="74">
        <f t="shared" si="299"/>
        <v>2.8575636843867684</v>
      </c>
    </row>
    <row r="9581" spans="5:8" ht="15.6">
      <c r="E9581" s="279" t="s">
        <v>9907</v>
      </c>
      <c r="F9581" s="284">
        <f t="shared" ca="1" si="298"/>
        <v>0.52279242540111837</v>
      </c>
      <c r="G9581" s="74">
        <v>37.678416024592387</v>
      </c>
      <c r="H9581" s="74">
        <f t="shared" si="299"/>
        <v>2.815984318740135</v>
      </c>
    </row>
    <row r="9582" spans="5:8" ht="15.6">
      <c r="E9582" s="279" t="s">
        <v>9908</v>
      </c>
      <c r="F9582" s="284">
        <f t="shared" ca="1" si="298"/>
        <v>0.42768054645332687</v>
      </c>
      <c r="G9582" s="74">
        <v>36.066946096558944</v>
      </c>
      <c r="H9582" s="74">
        <f t="shared" si="299"/>
        <v>4.4274542467735785</v>
      </c>
    </row>
    <row r="9583" spans="5:8" ht="15.6">
      <c r="E9583" s="279" t="s">
        <v>9909</v>
      </c>
      <c r="F9583" s="284">
        <f t="shared" ca="1" si="298"/>
        <v>0.56121786937864393</v>
      </c>
      <c r="G9583" s="74">
        <v>37.577986203122393</v>
      </c>
      <c r="H9583" s="74">
        <f t="shared" si="299"/>
        <v>2.9164141402101293</v>
      </c>
    </row>
    <row r="9584" spans="5:8" ht="15.6">
      <c r="E9584" s="279" t="s">
        <v>9910</v>
      </c>
      <c r="F9584" s="284">
        <f t="shared" ca="1" si="298"/>
        <v>0.70596271852134096</v>
      </c>
      <c r="G9584" s="74">
        <v>43.310610666005957</v>
      </c>
      <c r="H9584" s="74">
        <f t="shared" si="299"/>
        <v>-2.8162103226734345</v>
      </c>
    </row>
    <row r="9585" spans="5:8" ht="15.6">
      <c r="E9585" s="279" t="s">
        <v>9911</v>
      </c>
      <c r="F9585" s="284">
        <f t="shared" ca="1" si="298"/>
        <v>0.82777549208547174</v>
      </c>
      <c r="G9585" s="74">
        <v>39.359814029090366</v>
      </c>
      <c r="H9585" s="74">
        <f t="shared" si="299"/>
        <v>1.1345863142421564</v>
      </c>
    </row>
    <row r="9586" spans="5:8" ht="15.6">
      <c r="E9586" s="279" t="s">
        <v>9912</v>
      </c>
      <c r="F9586" s="284">
        <f t="shared" ca="1" si="298"/>
        <v>0.65168161923671741</v>
      </c>
      <c r="G9586" s="74">
        <v>34.56218980973938</v>
      </c>
      <c r="H9586" s="74">
        <f t="shared" si="299"/>
        <v>5.9322105335931425</v>
      </c>
    </row>
    <row r="9587" spans="5:8" ht="15.6">
      <c r="E9587" s="279" t="s">
        <v>9913</v>
      </c>
      <c r="F9587" s="284">
        <f t="shared" ca="1" si="298"/>
        <v>7.3609100730891441E-2</v>
      </c>
      <c r="G9587" s="74">
        <v>41.672840790758627</v>
      </c>
      <c r="H9587" s="74">
        <f t="shared" si="299"/>
        <v>-1.1784404474261052</v>
      </c>
    </row>
    <row r="9588" spans="5:8" ht="15.6">
      <c r="E9588" s="279" t="s">
        <v>9914</v>
      </c>
      <c r="F9588" s="284">
        <f t="shared" ca="1" si="298"/>
        <v>0.11131571701539167</v>
      </c>
      <c r="G9588" s="74">
        <v>40.112092409581507</v>
      </c>
      <c r="H9588" s="74">
        <f t="shared" si="299"/>
        <v>0.38230793375101513</v>
      </c>
    </row>
    <row r="9589" spans="5:8" ht="15.6">
      <c r="E9589" s="279" t="s">
        <v>9915</v>
      </c>
      <c r="F9589" s="284">
        <f t="shared" ca="1" si="298"/>
        <v>7.5170764206847984E-2</v>
      </c>
      <c r="G9589" s="74">
        <v>39.885131395660849</v>
      </c>
      <c r="H9589" s="74">
        <f t="shared" si="299"/>
        <v>0.60926894767167283</v>
      </c>
    </row>
    <row r="9590" spans="5:8" ht="15.6">
      <c r="E9590" s="279" t="s">
        <v>9916</v>
      </c>
      <c r="F9590" s="284">
        <f t="shared" ca="1" si="298"/>
        <v>5.0400764926329611E-2</v>
      </c>
      <c r="G9590" s="74">
        <v>37.191003561271131</v>
      </c>
      <c r="H9590" s="74">
        <f t="shared" si="299"/>
        <v>3.303396782061391</v>
      </c>
    </row>
    <row r="9591" spans="5:8" ht="15.6">
      <c r="E9591" s="279" t="s">
        <v>9917</v>
      </c>
      <c r="F9591" s="284">
        <f t="shared" ca="1" si="298"/>
        <v>0.69393764741386421</v>
      </c>
      <c r="G9591" s="74">
        <v>41.42018301532714</v>
      </c>
      <c r="H9591" s="74">
        <f t="shared" si="299"/>
        <v>-0.92578267199461806</v>
      </c>
    </row>
    <row r="9592" spans="5:8" ht="15.6">
      <c r="E9592" s="279" t="s">
        <v>9918</v>
      </c>
      <c r="F9592" s="284">
        <f t="shared" ca="1" si="298"/>
        <v>0.39572019199381092</v>
      </c>
      <c r="G9592" s="74">
        <v>40.87121651999886</v>
      </c>
      <c r="H9592" s="74">
        <f t="shared" si="299"/>
        <v>-0.37681617666633827</v>
      </c>
    </row>
    <row r="9593" spans="5:8" ht="15.6">
      <c r="E9593" s="279" t="s">
        <v>9919</v>
      </c>
      <c r="F9593" s="284">
        <f t="shared" ca="1" si="298"/>
        <v>0.52102019229915242</v>
      </c>
      <c r="G9593" s="74">
        <v>36.830846604772915</v>
      </c>
      <c r="H9593" s="74">
        <f t="shared" si="299"/>
        <v>3.6635537385596066</v>
      </c>
    </row>
    <row r="9594" spans="5:8" ht="15.6">
      <c r="E9594" s="279" t="s">
        <v>9920</v>
      </c>
      <c r="F9594" s="284">
        <f t="shared" ca="1" si="298"/>
        <v>0.94067817183300129</v>
      </c>
      <c r="G9594" s="74">
        <v>43.482526987729109</v>
      </c>
      <c r="H9594" s="74">
        <f t="shared" si="299"/>
        <v>-2.988126644396587</v>
      </c>
    </row>
    <row r="9595" spans="5:8" ht="15.6">
      <c r="E9595" s="279" t="s">
        <v>9921</v>
      </c>
      <c r="F9595" s="284">
        <f t="shared" ca="1" si="298"/>
        <v>0.31533841417263442</v>
      </c>
      <c r="G9595" s="74">
        <v>40.810228278670053</v>
      </c>
      <c r="H9595" s="74">
        <f t="shared" si="299"/>
        <v>-0.31582793533753062</v>
      </c>
    </row>
    <row r="9596" spans="5:8" ht="15.6">
      <c r="E9596" s="279" t="s">
        <v>9922</v>
      </c>
      <c r="F9596" s="284">
        <f t="shared" ca="1" si="298"/>
        <v>0.4627238399182988</v>
      </c>
      <c r="G9596" s="74">
        <v>38.370308464102962</v>
      </c>
      <c r="H9596" s="74">
        <f t="shared" si="299"/>
        <v>2.1240918792295602</v>
      </c>
    </row>
    <row r="9597" spans="5:8" ht="15.6">
      <c r="E9597" s="279" t="s">
        <v>9923</v>
      </c>
      <c r="F9597" s="284">
        <f t="shared" ca="1" si="298"/>
        <v>0.74657913124763153</v>
      </c>
      <c r="G9597" s="74">
        <v>41.807958918345157</v>
      </c>
      <c r="H9597" s="74">
        <f t="shared" si="299"/>
        <v>-1.3135585750126353</v>
      </c>
    </row>
    <row r="9598" spans="5:8" ht="15.6">
      <c r="E9598" s="279" t="s">
        <v>9924</v>
      </c>
      <c r="F9598" s="284">
        <f t="shared" ca="1" si="298"/>
        <v>0.56394880356797472</v>
      </c>
      <c r="G9598" s="74">
        <v>43.126104864038425</v>
      </c>
      <c r="H9598" s="74">
        <f t="shared" si="299"/>
        <v>-2.6317045207059024</v>
      </c>
    </row>
    <row r="9599" spans="5:8" ht="15.6">
      <c r="E9599" s="279" t="s">
        <v>9925</v>
      </c>
      <c r="F9599" s="284">
        <f t="shared" ca="1" si="298"/>
        <v>0.97677501145352075</v>
      </c>
      <c r="G9599" s="74">
        <v>37.918239498713774</v>
      </c>
      <c r="H9599" s="74">
        <f t="shared" si="299"/>
        <v>2.5761608446187481</v>
      </c>
    </row>
    <row r="9600" spans="5:8" ht="15.6">
      <c r="E9600" s="279" t="s">
        <v>9926</v>
      </c>
      <c r="F9600" s="284">
        <f t="shared" ca="1" si="298"/>
        <v>0.31290271603113329</v>
      </c>
      <c r="G9600" s="74">
        <v>44.159744297858069</v>
      </c>
      <c r="H9600" s="74">
        <f t="shared" si="299"/>
        <v>-3.6653439545255466</v>
      </c>
    </row>
    <row r="9601" spans="5:8" ht="15.6">
      <c r="E9601" s="279" t="s">
        <v>9927</v>
      </c>
      <c r="F9601" s="284">
        <f t="shared" ca="1" si="298"/>
        <v>0.42986847814907037</v>
      </c>
      <c r="G9601" s="74">
        <v>40.180837524865225</v>
      </c>
      <c r="H9601" s="74">
        <f t="shared" si="299"/>
        <v>0.31356281846729672</v>
      </c>
    </row>
    <row r="9602" spans="5:8" ht="15.6">
      <c r="E9602" s="279" t="s">
        <v>9928</v>
      </c>
      <c r="F9602" s="284">
        <f t="shared" ca="1" si="298"/>
        <v>0.69006535416332848</v>
      </c>
      <c r="G9602" s="74">
        <v>39.389282888315556</v>
      </c>
      <c r="H9602" s="74">
        <f t="shared" si="299"/>
        <v>1.1051174550169662</v>
      </c>
    </row>
    <row r="9603" spans="5:8" ht="15.6">
      <c r="E9603" s="279" t="s">
        <v>9929</v>
      </c>
      <c r="F9603" s="284">
        <f t="shared" ca="1" si="298"/>
        <v>0.11740819152520698</v>
      </c>
      <c r="G9603" s="74">
        <v>36.510940296923387</v>
      </c>
      <c r="H9603" s="74">
        <f t="shared" si="299"/>
        <v>3.9834600464091352</v>
      </c>
    </row>
    <row r="9604" spans="5:8" ht="15.6">
      <c r="E9604" s="279" t="s">
        <v>9930</v>
      </c>
      <c r="F9604" s="284">
        <f t="shared" ca="1" si="298"/>
        <v>0.83098712788488949</v>
      </c>
      <c r="G9604" s="74">
        <v>35.251087302297847</v>
      </c>
      <c r="H9604" s="74">
        <f t="shared" si="299"/>
        <v>5.2433130410346749</v>
      </c>
    </row>
    <row r="9605" spans="5:8" ht="15.6">
      <c r="E9605" s="279" t="s">
        <v>9931</v>
      </c>
      <c r="F9605" s="284">
        <f t="shared" ca="1" si="298"/>
        <v>0.94489141104675956</v>
      </c>
      <c r="G9605" s="74">
        <v>38.172823853027779</v>
      </c>
      <c r="H9605" s="74">
        <f t="shared" si="299"/>
        <v>2.3215764903047429</v>
      </c>
    </row>
    <row r="9606" spans="5:8" ht="15.6">
      <c r="E9606" s="279" t="s">
        <v>9932</v>
      </c>
      <c r="F9606" s="284">
        <f t="shared" ca="1" si="298"/>
        <v>0.73611859481088848</v>
      </c>
      <c r="G9606" s="74">
        <v>39.421523494305944</v>
      </c>
      <c r="H9606" s="74">
        <f t="shared" si="299"/>
        <v>1.0728768490265779</v>
      </c>
    </row>
    <row r="9607" spans="5:8" ht="15.6">
      <c r="E9607" s="279" t="s">
        <v>9933</v>
      </c>
      <c r="F9607" s="284">
        <f t="shared" ca="1" si="298"/>
        <v>1.2170366109655606E-2</v>
      </c>
      <c r="G9607" s="74">
        <v>39.262573764429263</v>
      </c>
      <c r="H9607" s="74">
        <f t="shared" si="299"/>
        <v>1.2318265789032594</v>
      </c>
    </row>
    <row r="9608" spans="5:8" ht="15.6">
      <c r="E9608" s="279" t="s">
        <v>9934</v>
      </c>
      <c r="F9608" s="284">
        <f t="shared" ca="1" si="298"/>
        <v>0.94962056223429869</v>
      </c>
      <c r="G9608" s="74">
        <v>47.689285272910048</v>
      </c>
      <c r="H9608" s="74">
        <f t="shared" si="299"/>
        <v>-7.1948849295775261</v>
      </c>
    </row>
    <row r="9609" spans="5:8" ht="15.6">
      <c r="E9609" s="279" t="s">
        <v>9935</v>
      </c>
      <c r="F9609" s="284">
        <f t="shared" ca="1" si="298"/>
        <v>0.66207394948047782</v>
      </c>
      <c r="G9609" s="74">
        <v>42.075622997862112</v>
      </c>
      <c r="H9609" s="74">
        <f t="shared" si="299"/>
        <v>-1.58122265452959</v>
      </c>
    </row>
    <row r="9610" spans="5:8" ht="15.6">
      <c r="E9610" s="279" t="s">
        <v>9936</v>
      </c>
      <c r="F9610" s="284">
        <f t="shared" ca="1" si="298"/>
        <v>2.183378192017682E-2</v>
      </c>
      <c r="G9610" s="74">
        <v>40.798375567323177</v>
      </c>
      <c r="H9610" s="74">
        <f t="shared" si="299"/>
        <v>-0.3039752239906548</v>
      </c>
    </row>
    <row r="9611" spans="5:8" ht="15.6">
      <c r="E9611" s="279" t="s">
        <v>9937</v>
      </c>
      <c r="F9611" s="284">
        <f t="shared" ca="1" si="298"/>
        <v>0.23144647770063631</v>
      </c>
      <c r="G9611" s="74">
        <v>37.250121490547009</v>
      </c>
      <c r="H9611" s="74">
        <f t="shared" si="299"/>
        <v>3.2442788527855129</v>
      </c>
    </row>
    <row r="9612" spans="5:8" ht="15.6">
      <c r="E9612" s="279" t="s">
        <v>9938</v>
      </c>
      <c r="F9612" s="284">
        <f t="shared" ref="F9612:F9675" ca="1" si="300">RAND()</f>
        <v>0.96475225998527414</v>
      </c>
      <c r="G9612" s="74">
        <v>43.208086505655835</v>
      </c>
      <c r="H9612" s="74">
        <f t="shared" ref="H9612:H9675" si="301">$D$2-G9612</f>
        <v>-2.7136861623233131</v>
      </c>
    </row>
    <row r="9613" spans="5:8" ht="15.6">
      <c r="E9613" s="279" t="s">
        <v>9939</v>
      </c>
      <c r="F9613" s="284">
        <f t="shared" ca="1" si="300"/>
        <v>0.87904515184302312</v>
      </c>
      <c r="G9613" s="74">
        <v>41.249273660797286</v>
      </c>
      <c r="H9613" s="74">
        <f t="shared" si="301"/>
        <v>-0.75487331746476372</v>
      </c>
    </row>
    <row r="9614" spans="5:8" ht="15.6">
      <c r="E9614" s="279" t="s">
        <v>9940</v>
      </c>
      <c r="F9614" s="284">
        <f t="shared" ca="1" si="300"/>
        <v>5.9943387778835788E-3</v>
      </c>
      <c r="G9614" s="74">
        <v>37.710032428156595</v>
      </c>
      <c r="H9614" s="74">
        <f t="shared" si="301"/>
        <v>2.7843679151759275</v>
      </c>
    </row>
    <row r="9615" spans="5:8" ht="15.6">
      <c r="E9615" s="279" t="s">
        <v>9941</v>
      </c>
      <c r="F9615" s="284">
        <f t="shared" ca="1" si="300"/>
        <v>0.85245550269017423</v>
      </c>
      <c r="G9615" s="74">
        <v>40.302506565399774</v>
      </c>
      <c r="H9615" s="74">
        <f t="shared" si="301"/>
        <v>0.19189377793274787</v>
      </c>
    </row>
    <row r="9616" spans="5:8" ht="15.6">
      <c r="E9616" s="279" t="s">
        <v>9942</v>
      </c>
      <c r="F9616" s="284">
        <f t="shared" ca="1" si="300"/>
        <v>0.49129077661188714</v>
      </c>
      <c r="G9616" s="74">
        <v>35.639107414935808</v>
      </c>
      <c r="H9616" s="74">
        <f t="shared" si="301"/>
        <v>4.8552929283967146</v>
      </c>
    </row>
    <row r="9617" spans="5:8" ht="15.6">
      <c r="E9617" s="279" t="s">
        <v>9943</v>
      </c>
      <c r="F9617" s="284">
        <f t="shared" ca="1" si="300"/>
        <v>0.55394022777391805</v>
      </c>
      <c r="G9617" s="74">
        <v>36.927066495592854</v>
      </c>
      <c r="H9617" s="74">
        <f t="shared" si="301"/>
        <v>3.5673338477396683</v>
      </c>
    </row>
    <row r="9618" spans="5:8" ht="15.6">
      <c r="E9618" s="279" t="s">
        <v>9944</v>
      </c>
      <c r="F9618" s="284">
        <f t="shared" ca="1" si="300"/>
        <v>0.81379942427309149</v>
      </c>
      <c r="G9618" s="74">
        <v>38.632664373761152</v>
      </c>
      <c r="H9618" s="74">
        <f t="shared" si="301"/>
        <v>1.8617359695713702</v>
      </c>
    </row>
    <row r="9619" spans="5:8" ht="15.6">
      <c r="E9619" s="279" t="s">
        <v>9945</v>
      </c>
      <c r="F9619" s="284">
        <f t="shared" ca="1" si="300"/>
        <v>0.59703852086220632</v>
      </c>
      <c r="G9619" s="74">
        <v>34.949761102534779</v>
      </c>
      <c r="H9619" s="74">
        <f t="shared" si="301"/>
        <v>5.5446392407977427</v>
      </c>
    </row>
    <row r="9620" spans="5:8" ht="15.6">
      <c r="E9620" s="279" t="s">
        <v>9946</v>
      </c>
      <c r="F9620" s="284">
        <f t="shared" ca="1" si="300"/>
        <v>0.87151388477385539</v>
      </c>
      <c r="G9620" s="74">
        <v>38.842434374169763</v>
      </c>
      <c r="H9620" s="74">
        <f t="shared" si="301"/>
        <v>1.6519659691627595</v>
      </c>
    </row>
    <row r="9621" spans="5:8" ht="15.6">
      <c r="E9621" s="279" t="s">
        <v>9947</v>
      </c>
      <c r="F9621" s="284">
        <f t="shared" ca="1" si="300"/>
        <v>0.5889633561935369</v>
      </c>
      <c r="G9621" s="74">
        <v>40.791575181613752</v>
      </c>
      <c r="H9621" s="74">
        <f t="shared" si="301"/>
        <v>-0.29717483828122937</v>
      </c>
    </row>
    <row r="9622" spans="5:8" ht="15.6">
      <c r="E9622" s="279" t="s">
        <v>9948</v>
      </c>
      <c r="F9622" s="284">
        <f t="shared" ca="1" si="300"/>
        <v>0.77818421372718494</v>
      </c>
      <c r="G9622" s="74">
        <v>38.628980668208172</v>
      </c>
      <c r="H9622" s="74">
        <f t="shared" si="301"/>
        <v>1.8654196751243504</v>
      </c>
    </row>
    <row r="9623" spans="5:8" ht="15.6">
      <c r="E9623" s="279" t="s">
        <v>9949</v>
      </c>
      <c r="F9623" s="284">
        <f t="shared" ca="1" si="300"/>
        <v>0.85747775257952019</v>
      </c>
      <c r="G9623" s="74">
        <v>39.801559950578842</v>
      </c>
      <c r="H9623" s="74">
        <f t="shared" si="301"/>
        <v>0.69284039275368059</v>
      </c>
    </row>
    <row r="9624" spans="5:8" ht="15.6">
      <c r="E9624" s="279" t="s">
        <v>9950</v>
      </c>
      <c r="F9624" s="284">
        <f t="shared" ca="1" si="300"/>
        <v>0.92143930778789906</v>
      </c>
      <c r="G9624" s="74">
        <v>38.619398566674462</v>
      </c>
      <c r="H9624" s="74">
        <f t="shared" si="301"/>
        <v>1.8750017766580598</v>
      </c>
    </row>
    <row r="9625" spans="5:8" ht="15.6">
      <c r="E9625" s="279" t="s">
        <v>9951</v>
      </c>
      <c r="F9625" s="284">
        <f t="shared" ca="1" si="300"/>
        <v>0.28135146843577052</v>
      </c>
      <c r="G9625" s="74">
        <v>41.435192831519409</v>
      </c>
      <c r="H9625" s="74">
        <f t="shared" si="301"/>
        <v>-0.94079248818688654</v>
      </c>
    </row>
    <row r="9626" spans="5:8" ht="15.6">
      <c r="E9626" s="279" t="s">
        <v>9952</v>
      </c>
      <c r="F9626" s="284">
        <f t="shared" ca="1" si="300"/>
        <v>0.79910878227011894</v>
      </c>
      <c r="G9626" s="74">
        <v>40.791818419376938</v>
      </c>
      <c r="H9626" s="74">
        <f t="shared" si="301"/>
        <v>-0.29741807604441561</v>
      </c>
    </row>
    <row r="9627" spans="5:8" ht="15.6">
      <c r="E9627" s="279" t="s">
        <v>9953</v>
      </c>
      <c r="F9627" s="284">
        <f t="shared" ca="1" si="300"/>
        <v>0.9589866760312733</v>
      </c>
      <c r="G9627" s="74">
        <v>37.727523880948667</v>
      </c>
      <c r="H9627" s="74">
        <f t="shared" si="301"/>
        <v>2.7668764623838555</v>
      </c>
    </row>
    <row r="9628" spans="5:8" ht="15.6">
      <c r="E9628" s="279" t="s">
        <v>9954</v>
      </c>
      <c r="F9628" s="284">
        <f t="shared" ca="1" si="300"/>
        <v>0.54414336985627043</v>
      </c>
      <c r="G9628" s="74">
        <v>39.725945420784377</v>
      </c>
      <c r="H9628" s="74">
        <f t="shared" si="301"/>
        <v>0.76845492254814474</v>
      </c>
    </row>
    <row r="9629" spans="5:8" ht="15.6">
      <c r="E9629" s="279" t="s">
        <v>9955</v>
      </c>
      <c r="F9629" s="284">
        <f t="shared" ca="1" si="300"/>
        <v>0.37789116990195659</v>
      </c>
      <c r="G9629" s="74">
        <v>45.907524727718588</v>
      </c>
      <c r="H9629" s="74">
        <f t="shared" si="301"/>
        <v>-5.4131243843860659</v>
      </c>
    </row>
    <row r="9630" spans="5:8" ht="15.6">
      <c r="E9630" s="279" t="s">
        <v>9956</v>
      </c>
      <c r="F9630" s="284">
        <f t="shared" ca="1" si="300"/>
        <v>8.9794139043628984E-2</v>
      </c>
      <c r="G9630" s="74">
        <v>40.231251457094984</v>
      </c>
      <c r="H9630" s="74">
        <f t="shared" si="301"/>
        <v>0.26314888623753774</v>
      </c>
    </row>
    <row r="9631" spans="5:8" ht="15.6">
      <c r="E9631" s="279" t="s">
        <v>9957</v>
      </c>
      <c r="F9631" s="284">
        <f t="shared" ca="1" si="300"/>
        <v>0.72825900738945792</v>
      </c>
      <c r="G9631" s="74">
        <v>40.675219366600075</v>
      </c>
      <c r="H9631" s="74">
        <f t="shared" si="301"/>
        <v>-0.18081902326755284</v>
      </c>
    </row>
    <row r="9632" spans="5:8" ht="15.6">
      <c r="E9632" s="279" t="s">
        <v>9958</v>
      </c>
      <c r="F9632" s="284">
        <f t="shared" ca="1" si="300"/>
        <v>0.82109618413363239</v>
      </c>
      <c r="G9632" s="74">
        <v>36.152537453941527</v>
      </c>
      <c r="H9632" s="74">
        <f t="shared" si="301"/>
        <v>4.3418628893909954</v>
      </c>
    </row>
    <row r="9633" spans="5:8" ht="15.6">
      <c r="E9633" s="279" t="s">
        <v>9959</v>
      </c>
      <c r="F9633" s="284">
        <f t="shared" ca="1" si="300"/>
        <v>0.1337385375944149</v>
      </c>
      <c r="G9633" s="74">
        <v>40.854793442356836</v>
      </c>
      <c r="H9633" s="74">
        <f t="shared" si="301"/>
        <v>-0.36039309902431427</v>
      </c>
    </row>
    <row r="9634" spans="5:8" ht="15.6">
      <c r="E9634" s="279" t="s">
        <v>9960</v>
      </c>
      <c r="F9634" s="284">
        <f t="shared" ca="1" si="300"/>
        <v>0.41608936787397177</v>
      </c>
      <c r="G9634" s="74">
        <v>41.017633815623803</v>
      </c>
      <c r="H9634" s="74">
        <f t="shared" si="301"/>
        <v>-0.52323347229128103</v>
      </c>
    </row>
    <row r="9635" spans="5:8" ht="15.6">
      <c r="E9635" s="279" t="s">
        <v>9961</v>
      </c>
      <c r="F9635" s="284">
        <f t="shared" ca="1" si="300"/>
        <v>0.54900454890576278</v>
      </c>
      <c r="G9635" s="74">
        <v>38.141059320265377</v>
      </c>
      <c r="H9635" s="74">
        <f t="shared" si="301"/>
        <v>2.353341023067145</v>
      </c>
    </row>
    <row r="9636" spans="5:8" ht="15.6">
      <c r="E9636" s="279" t="s">
        <v>9962</v>
      </c>
      <c r="F9636" s="284">
        <f t="shared" ca="1" si="300"/>
        <v>0.2378337410319491</v>
      </c>
      <c r="G9636" s="74">
        <v>39.561764409224146</v>
      </c>
      <c r="H9636" s="74">
        <f t="shared" si="301"/>
        <v>0.93263593410837586</v>
      </c>
    </row>
    <row r="9637" spans="5:8" ht="15.6">
      <c r="E9637" s="279" t="s">
        <v>9963</v>
      </c>
      <c r="F9637" s="284">
        <f t="shared" ca="1" si="300"/>
        <v>0.14450416337514016</v>
      </c>
      <c r="G9637" s="74">
        <v>41.608632535969711</v>
      </c>
      <c r="H9637" s="74">
        <f t="shared" si="301"/>
        <v>-1.1142321926371892</v>
      </c>
    </row>
    <row r="9638" spans="5:8" ht="15.6">
      <c r="E9638" s="279" t="s">
        <v>9964</v>
      </c>
      <c r="F9638" s="284">
        <f t="shared" ca="1" si="300"/>
        <v>0.71645536415642852</v>
      </c>
      <c r="G9638" s="74">
        <v>40.113856472479512</v>
      </c>
      <c r="H9638" s="74">
        <f t="shared" si="301"/>
        <v>0.38054387085301045</v>
      </c>
    </row>
    <row r="9639" spans="5:8" ht="15.6">
      <c r="E9639" s="279" t="s">
        <v>9965</v>
      </c>
      <c r="F9639" s="284">
        <f t="shared" ca="1" si="300"/>
        <v>0.36467691601780727</v>
      </c>
      <c r="G9639" s="74">
        <v>36.600975549469787</v>
      </c>
      <c r="H9639" s="74">
        <f t="shared" si="301"/>
        <v>3.8934247938627351</v>
      </c>
    </row>
    <row r="9640" spans="5:8" ht="15.6">
      <c r="E9640" s="279" t="s">
        <v>9966</v>
      </c>
      <c r="F9640" s="284">
        <f t="shared" ca="1" si="300"/>
        <v>0.50017699457020226</v>
      </c>
      <c r="G9640" s="74">
        <v>39.983373670447406</v>
      </c>
      <c r="H9640" s="74">
        <f t="shared" si="301"/>
        <v>0.51102667288511583</v>
      </c>
    </row>
    <row r="9641" spans="5:8" ht="15.6">
      <c r="E9641" s="279" t="s">
        <v>9967</v>
      </c>
      <c r="F9641" s="284">
        <f t="shared" ca="1" si="300"/>
        <v>0.47073462255354515</v>
      </c>
      <c r="G9641" s="74">
        <v>40.982768844235174</v>
      </c>
      <c r="H9641" s="74">
        <f t="shared" si="301"/>
        <v>-0.48836850090265216</v>
      </c>
    </row>
    <row r="9642" spans="5:8" ht="15.6">
      <c r="E9642" s="279" t="s">
        <v>9968</v>
      </c>
      <c r="F9642" s="284">
        <f t="shared" ca="1" si="300"/>
        <v>0.32238050156687059</v>
      </c>
      <c r="G9642" s="74">
        <v>38.415427195413294</v>
      </c>
      <c r="H9642" s="74">
        <f t="shared" si="301"/>
        <v>2.0789731479192284</v>
      </c>
    </row>
    <row r="9643" spans="5:8" ht="15.6">
      <c r="E9643" s="279" t="s">
        <v>9969</v>
      </c>
      <c r="F9643" s="284">
        <f t="shared" ca="1" si="300"/>
        <v>0.49524642187315715</v>
      </c>
      <c r="G9643" s="74">
        <v>40.231931158585269</v>
      </c>
      <c r="H9643" s="74">
        <f t="shared" si="301"/>
        <v>0.26246918474725334</v>
      </c>
    </row>
    <row r="9644" spans="5:8" ht="15.6">
      <c r="E9644" s="279" t="s">
        <v>9970</v>
      </c>
      <c r="F9644" s="284">
        <f t="shared" ca="1" si="300"/>
        <v>0.5922661215439623</v>
      </c>
      <c r="G9644" s="74">
        <v>37.595526038884408</v>
      </c>
      <c r="H9644" s="74">
        <f t="shared" si="301"/>
        <v>2.898874304448114</v>
      </c>
    </row>
    <row r="9645" spans="5:8" ht="15.6">
      <c r="E9645" s="279" t="s">
        <v>9971</v>
      </c>
      <c r="F9645" s="284">
        <f t="shared" ca="1" si="300"/>
        <v>0.10417304837053831</v>
      </c>
      <c r="G9645" s="74">
        <v>39.032407188441802</v>
      </c>
      <c r="H9645" s="74">
        <f t="shared" si="301"/>
        <v>1.4619931548907203</v>
      </c>
    </row>
    <row r="9646" spans="5:8" ht="15.6">
      <c r="E9646" s="279" t="s">
        <v>9972</v>
      </c>
      <c r="F9646" s="284">
        <f t="shared" ca="1" si="300"/>
        <v>7.0812234840347377E-2</v>
      </c>
      <c r="G9646" s="74">
        <v>35.191100235959858</v>
      </c>
      <c r="H9646" s="74">
        <f t="shared" si="301"/>
        <v>5.3033001073726638</v>
      </c>
    </row>
    <row r="9647" spans="5:8" ht="15.6">
      <c r="E9647" s="279" t="s">
        <v>9973</v>
      </c>
      <c r="F9647" s="284">
        <f t="shared" ca="1" si="300"/>
        <v>0.20995104098351269</v>
      </c>
      <c r="G9647" s="74">
        <v>37.534154124460684</v>
      </c>
      <c r="H9647" s="74">
        <f t="shared" si="301"/>
        <v>2.9602462188718377</v>
      </c>
    </row>
    <row r="9648" spans="5:8" ht="15.6">
      <c r="E9648" s="279" t="s">
        <v>9974</v>
      </c>
      <c r="F9648" s="284">
        <f t="shared" ca="1" si="300"/>
        <v>0.85852056689029277</v>
      </c>
      <c r="G9648" s="74">
        <v>38.211544994048495</v>
      </c>
      <c r="H9648" s="74">
        <f t="shared" si="301"/>
        <v>2.2828553492840271</v>
      </c>
    </row>
    <row r="9649" spans="5:8" ht="15.6">
      <c r="E9649" s="279" t="s">
        <v>9975</v>
      </c>
      <c r="F9649" s="284">
        <f t="shared" ca="1" si="300"/>
        <v>0.38622120449816089</v>
      </c>
      <c r="G9649" s="74">
        <v>33.542358058056806</v>
      </c>
      <c r="H9649" s="74">
        <f t="shared" si="301"/>
        <v>6.9520422852757164</v>
      </c>
    </row>
    <row r="9650" spans="5:8" ht="15.6">
      <c r="E9650" s="279" t="s">
        <v>9976</v>
      </c>
      <c r="F9650" s="284">
        <f t="shared" ca="1" si="300"/>
        <v>0.70223510268381217</v>
      </c>
      <c r="G9650" s="74">
        <v>46.558335649595328</v>
      </c>
      <c r="H9650" s="74">
        <f t="shared" si="301"/>
        <v>-6.0639353062628061</v>
      </c>
    </row>
    <row r="9651" spans="5:8" ht="15.6">
      <c r="E9651" s="279" t="s">
        <v>9977</v>
      </c>
      <c r="F9651" s="284">
        <f t="shared" ca="1" si="300"/>
        <v>0.57199457882147497</v>
      </c>
      <c r="G9651" s="74">
        <v>38.064975340832412</v>
      </c>
      <c r="H9651" s="74">
        <f t="shared" si="301"/>
        <v>2.4294250025001105</v>
      </c>
    </row>
    <row r="9652" spans="5:8" ht="15.6">
      <c r="E9652" s="279" t="s">
        <v>9978</v>
      </c>
      <c r="F9652" s="284">
        <f t="shared" ca="1" si="300"/>
        <v>0.41379771752453287</v>
      </c>
      <c r="G9652" s="74">
        <v>40.46891183128151</v>
      </c>
      <c r="H9652" s="74">
        <f t="shared" si="301"/>
        <v>2.5488512051012435E-2</v>
      </c>
    </row>
    <row r="9653" spans="5:8" ht="15.6">
      <c r="E9653" s="279" t="s">
        <v>9979</v>
      </c>
      <c r="F9653" s="284">
        <f t="shared" ca="1" si="300"/>
        <v>0.13594401650647425</v>
      </c>
      <c r="G9653" s="74">
        <v>40.302185381712114</v>
      </c>
      <c r="H9653" s="74">
        <f t="shared" si="301"/>
        <v>0.19221496162040808</v>
      </c>
    </row>
    <row r="9654" spans="5:8" ht="15.6">
      <c r="E9654" s="279" t="s">
        <v>9980</v>
      </c>
      <c r="F9654" s="284">
        <f t="shared" ca="1" si="300"/>
        <v>0.10824928551831925</v>
      </c>
      <c r="G9654" s="74">
        <v>41.001865503318008</v>
      </c>
      <c r="H9654" s="74">
        <f t="shared" si="301"/>
        <v>-0.50746515998548603</v>
      </c>
    </row>
    <row r="9655" spans="5:8" ht="15.6">
      <c r="E9655" s="279" t="s">
        <v>9981</v>
      </c>
      <c r="F9655" s="284">
        <f t="shared" ca="1" si="300"/>
        <v>0.2785359790525459</v>
      </c>
      <c r="G9655" s="74">
        <v>40.926313804297592</v>
      </c>
      <c r="H9655" s="74">
        <f t="shared" si="301"/>
        <v>-0.43191346096507033</v>
      </c>
    </row>
    <row r="9656" spans="5:8" ht="15.6">
      <c r="E9656" s="279" t="s">
        <v>9982</v>
      </c>
      <c r="F9656" s="284">
        <f t="shared" ca="1" si="300"/>
        <v>0.50061145111385164</v>
      </c>
      <c r="G9656" s="74">
        <v>40.118148574553416</v>
      </c>
      <c r="H9656" s="74">
        <f t="shared" si="301"/>
        <v>0.37625176877910604</v>
      </c>
    </row>
    <row r="9657" spans="5:8" ht="15.6">
      <c r="E9657" s="279" t="s">
        <v>9983</v>
      </c>
      <c r="F9657" s="284">
        <f t="shared" ca="1" si="300"/>
        <v>0.54277429208319328</v>
      </c>
      <c r="G9657" s="74">
        <v>39.746598200838783</v>
      </c>
      <c r="H9657" s="74">
        <f t="shared" si="301"/>
        <v>0.74780214249373955</v>
      </c>
    </row>
    <row r="9658" spans="5:8" ht="15.6">
      <c r="E9658" s="279" t="s">
        <v>9984</v>
      </c>
      <c r="F9658" s="284">
        <f t="shared" ca="1" si="300"/>
        <v>0.36232851035783065</v>
      </c>
      <c r="G9658" s="74">
        <v>40.824143346477008</v>
      </c>
      <c r="H9658" s="74">
        <f t="shared" si="301"/>
        <v>-0.32974300314448612</v>
      </c>
    </row>
    <row r="9659" spans="5:8" ht="15.6">
      <c r="E9659" s="279" t="s">
        <v>9985</v>
      </c>
      <c r="F9659" s="284">
        <f t="shared" ca="1" si="300"/>
        <v>0.64666604216978085</v>
      </c>
      <c r="G9659" s="74">
        <v>39.86683344883415</v>
      </c>
      <c r="H9659" s="74">
        <f t="shared" si="301"/>
        <v>0.62756689449837211</v>
      </c>
    </row>
    <row r="9660" spans="5:8" ht="15.6">
      <c r="E9660" s="279" t="s">
        <v>9986</v>
      </c>
      <c r="F9660" s="284">
        <f t="shared" ca="1" si="300"/>
        <v>0.5528579938956989</v>
      </c>
      <c r="G9660" s="74">
        <v>39.239725985608736</v>
      </c>
      <c r="H9660" s="74">
        <f t="shared" si="301"/>
        <v>1.2546743577237862</v>
      </c>
    </row>
    <row r="9661" spans="5:8" ht="15.6">
      <c r="E9661" s="279" t="s">
        <v>9987</v>
      </c>
      <c r="F9661" s="284">
        <f t="shared" ca="1" si="300"/>
        <v>0.32306815615985862</v>
      </c>
      <c r="G9661" s="74">
        <v>38.230352264162505</v>
      </c>
      <c r="H9661" s="74">
        <f t="shared" si="301"/>
        <v>2.264048079170017</v>
      </c>
    </row>
    <row r="9662" spans="5:8" ht="15.6">
      <c r="E9662" s="279" t="s">
        <v>9988</v>
      </c>
      <c r="F9662" s="284">
        <f t="shared" ca="1" si="300"/>
        <v>0.89930466432110834</v>
      </c>
      <c r="G9662" s="74">
        <v>41.380749311030193</v>
      </c>
      <c r="H9662" s="74">
        <f t="shared" si="301"/>
        <v>-0.88634896769767124</v>
      </c>
    </row>
    <row r="9663" spans="5:8" ht="15.6">
      <c r="E9663" s="279" t="s">
        <v>9989</v>
      </c>
      <c r="F9663" s="284">
        <f t="shared" ca="1" si="300"/>
        <v>6.9896281668520355E-2</v>
      </c>
      <c r="G9663" s="74">
        <v>42.959761763895891</v>
      </c>
      <c r="H9663" s="74">
        <f t="shared" si="301"/>
        <v>-2.4653614205633687</v>
      </c>
    </row>
    <row r="9664" spans="5:8" ht="15.6">
      <c r="E9664" s="279" t="s">
        <v>9990</v>
      </c>
      <c r="F9664" s="284">
        <f t="shared" ca="1" si="300"/>
        <v>0.64414487252017893</v>
      </c>
      <c r="G9664" s="74">
        <v>42.151025263742461</v>
      </c>
      <c r="H9664" s="74">
        <f t="shared" si="301"/>
        <v>-1.6566249204099393</v>
      </c>
    </row>
    <row r="9665" spans="5:8" ht="15.6">
      <c r="E9665" s="279" t="s">
        <v>9991</v>
      </c>
      <c r="F9665" s="284">
        <f t="shared" ca="1" si="300"/>
        <v>0.60254428139884331</v>
      </c>
      <c r="G9665" s="74">
        <v>34.892558305920225</v>
      </c>
      <c r="H9665" s="74">
        <f t="shared" si="301"/>
        <v>5.6018420374122968</v>
      </c>
    </row>
    <row r="9666" spans="5:8" ht="15.6">
      <c r="E9666" s="279" t="s">
        <v>9992</v>
      </c>
      <c r="F9666" s="284">
        <f t="shared" ca="1" si="300"/>
        <v>0.98225976412105598</v>
      </c>
      <c r="G9666" s="74">
        <v>40.626887378943188</v>
      </c>
      <c r="H9666" s="74">
        <f t="shared" si="301"/>
        <v>-0.13248703561066577</v>
      </c>
    </row>
    <row r="9667" spans="5:8" ht="15.6">
      <c r="E9667" s="279" t="s">
        <v>9993</v>
      </c>
      <c r="F9667" s="284">
        <f t="shared" ca="1" si="300"/>
        <v>0.60784071286192365</v>
      </c>
      <c r="G9667" s="74">
        <v>38.984086956484894</v>
      </c>
      <c r="H9667" s="74">
        <f t="shared" si="301"/>
        <v>1.5103133868476277</v>
      </c>
    </row>
    <row r="9668" spans="5:8" ht="15.6">
      <c r="E9668" s="279" t="s">
        <v>9994</v>
      </c>
      <c r="F9668" s="284">
        <f t="shared" ca="1" si="300"/>
        <v>0.78979169156431284</v>
      </c>
      <c r="G9668" s="74">
        <v>42.259068028164521</v>
      </c>
      <c r="H9668" s="74">
        <f t="shared" si="301"/>
        <v>-1.7646676848319984</v>
      </c>
    </row>
    <row r="9669" spans="5:8" ht="15.6">
      <c r="E9669" s="279" t="s">
        <v>9995</v>
      </c>
      <c r="F9669" s="284">
        <f t="shared" ca="1" si="300"/>
        <v>0.97489630734571509</v>
      </c>
      <c r="G9669" s="74">
        <v>39.653568324443583</v>
      </c>
      <c r="H9669" s="74">
        <f t="shared" si="301"/>
        <v>0.8408320188889391</v>
      </c>
    </row>
    <row r="9670" spans="5:8" ht="15.6">
      <c r="E9670" s="279" t="s">
        <v>9996</v>
      </c>
      <c r="F9670" s="284">
        <f t="shared" ca="1" si="300"/>
        <v>0.17074599909164501</v>
      </c>
      <c r="G9670" s="74">
        <v>37.469763211876121</v>
      </c>
      <c r="H9670" s="74">
        <f t="shared" si="301"/>
        <v>3.0246371314564016</v>
      </c>
    </row>
    <row r="9671" spans="5:8" ht="15.6">
      <c r="E9671" s="279" t="s">
        <v>9997</v>
      </c>
      <c r="F9671" s="284">
        <f t="shared" ca="1" si="300"/>
        <v>0.3863249554314212</v>
      </c>
      <c r="G9671" s="74">
        <v>44.102890321538716</v>
      </c>
      <c r="H9671" s="74">
        <f t="shared" si="301"/>
        <v>-3.6084899782061939</v>
      </c>
    </row>
    <row r="9672" spans="5:8" ht="15.6">
      <c r="E9672" s="279" t="s">
        <v>9998</v>
      </c>
      <c r="F9672" s="284">
        <f t="shared" ca="1" si="300"/>
        <v>0.84849050147679494</v>
      </c>
      <c r="G9672" s="74">
        <v>31.952061011510271</v>
      </c>
      <c r="H9672" s="74">
        <f t="shared" si="301"/>
        <v>8.5423393318222516</v>
      </c>
    </row>
    <row r="9673" spans="5:8" ht="15.6">
      <c r="E9673" s="279" t="s">
        <v>9999</v>
      </c>
      <c r="F9673" s="284">
        <f t="shared" ca="1" si="300"/>
        <v>0.71364772732756576</v>
      </c>
      <c r="G9673" s="74">
        <v>38.56486007687451</v>
      </c>
      <c r="H9673" s="74">
        <f t="shared" si="301"/>
        <v>1.9295402664580124</v>
      </c>
    </row>
    <row r="9674" spans="5:8" ht="15.6">
      <c r="E9674" s="279" t="s">
        <v>10000</v>
      </c>
      <c r="F9674" s="284">
        <f t="shared" ca="1" si="300"/>
        <v>0.95652468255975975</v>
      </c>
      <c r="G9674" s="74">
        <v>36.295007971327067</v>
      </c>
      <c r="H9674" s="74">
        <f t="shared" si="301"/>
        <v>4.1993923720054553</v>
      </c>
    </row>
    <row r="9675" spans="5:8" ht="15.6">
      <c r="E9675" s="279" t="s">
        <v>10001</v>
      </c>
      <c r="F9675" s="284">
        <f t="shared" ca="1" si="300"/>
        <v>0.51338701840931988</v>
      </c>
      <c r="G9675" s="74">
        <v>36.753899197334817</v>
      </c>
      <c r="H9675" s="74">
        <f t="shared" si="301"/>
        <v>3.7405011459977047</v>
      </c>
    </row>
    <row r="9676" spans="5:8" ht="15.6">
      <c r="E9676" s="279" t="s">
        <v>10002</v>
      </c>
      <c r="F9676" s="284">
        <f t="shared" ref="F9676:F9739" ca="1" si="302">RAND()</f>
        <v>0.61169450590022922</v>
      </c>
      <c r="G9676" s="74">
        <v>38.574916119544184</v>
      </c>
      <c r="H9676" s="74">
        <f t="shared" ref="H9676:H9739" si="303">$D$2-G9676</f>
        <v>1.9194842237883378</v>
      </c>
    </row>
    <row r="9677" spans="5:8" ht="15.6">
      <c r="E9677" s="279" t="s">
        <v>10003</v>
      </c>
      <c r="F9677" s="284">
        <f t="shared" ca="1" si="302"/>
        <v>0.60821305679761462</v>
      </c>
      <c r="G9677" s="74">
        <v>38.45007910969408</v>
      </c>
      <c r="H9677" s="74">
        <f t="shared" si="303"/>
        <v>2.044321233638442</v>
      </c>
    </row>
    <row r="9678" spans="5:8" ht="15.6">
      <c r="E9678" s="279" t="s">
        <v>10004</v>
      </c>
      <c r="F9678" s="284">
        <f t="shared" ca="1" si="302"/>
        <v>0.93469841667997888</v>
      </c>
      <c r="G9678" s="74">
        <v>37.034963795174257</v>
      </c>
      <c r="H9678" s="74">
        <f t="shared" si="303"/>
        <v>3.4594365481582656</v>
      </c>
    </row>
    <row r="9679" spans="5:8" ht="15.6">
      <c r="E9679" s="279" t="s">
        <v>10005</v>
      </c>
      <c r="F9679" s="284">
        <f t="shared" ca="1" si="302"/>
        <v>0.62170800888176503</v>
      </c>
      <c r="G9679" s="74">
        <v>37.797093949001969</v>
      </c>
      <c r="H9679" s="74">
        <f t="shared" si="303"/>
        <v>2.6973063943305533</v>
      </c>
    </row>
    <row r="9680" spans="5:8" ht="15.6">
      <c r="E9680" s="279" t="s">
        <v>10006</v>
      </c>
      <c r="F9680" s="284">
        <f t="shared" ca="1" si="302"/>
        <v>0.5901152697213381</v>
      </c>
      <c r="G9680" s="74">
        <v>37.149283721023785</v>
      </c>
      <c r="H9680" s="74">
        <f t="shared" si="303"/>
        <v>3.345116622308737</v>
      </c>
    </row>
    <row r="9681" spans="5:8" ht="15.6">
      <c r="E9681" s="279" t="s">
        <v>10007</v>
      </c>
      <c r="F9681" s="284">
        <f t="shared" ca="1" si="302"/>
        <v>0.81652361241502325</v>
      </c>
      <c r="G9681" s="74">
        <v>39.585225350734433</v>
      </c>
      <c r="H9681" s="74">
        <f t="shared" si="303"/>
        <v>0.9091749925980892</v>
      </c>
    </row>
    <row r="9682" spans="5:8" ht="15.6">
      <c r="E9682" s="279" t="s">
        <v>10008</v>
      </c>
      <c r="F9682" s="284">
        <f t="shared" ca="1" si="302"/>
        <v>0.28909447171121749</v>
      </c>
      <c r="G9682" s="74">
        <v>37.994848624436827</v>
      </c>
      <c r="H9682" s="74">
        <f t="shared" si="303"/>
        <v>2.4995517188956953</v>
      </c>
    </row>
    <row r="9683" spans="5:8" ht="15.6">
      <c r="E9683" s="279" t="s">
        <v>10009</v>
      </c>
      <c r="F9683" s="284">
        <f t="shared" ca="1" si="302"/>
        <v>0.89052618312034548</v>
      </c>
      <c r="G9683" s="74">
        <v>39.775566361820886</v>
      </c>
      <c r="H9683" s="74">
        <f t="shared" si="303"/>
        <v>0.71883398151163647</v>
      </c>
    </row>
    <row r="9684" spans="5:8" ht="15.6">
      <c r="E9684" s="279" t="s">
        <v>10010</v>
      </c>
      <c r="F9684" s="284">
        <f t="shared" ca="1" si="302"/>
        <v>0.2661157509326435</v>
      </c>
      <c r="G9684" s="74">
        <v>41.108678761257536</v>
      </c>
      <c r="H9684" s="74">
        <f t="shared" si="303"/>
        <v>-0.61427841792501425</v>
      </c>
    </row>
    <row r="9685" spans="5:8" ht="15.6">
      <c r="E9685" s="279" t="s">
        <v>10011</v>
      </c>
      <c r="F9685" s="284">
        <f t="shared" ca="1" si="302"/>
        <v>0.81760621270156764</v>
      </c>
      <c r="G9685" s="74">
        <v>35.731258720255632</v>
      </c>
      <c r="H9685" s="74">
        <f t="shared" si="303"/>
        <v>4.7631416230768906</v>
      </c>
    </row>
    <row r="9686" spans="5:8" ht="15.6">
      <c r="E9686" s="279" t="s">
        <v>10012</v>
      </c>
      <c r="F9686" s="284">
        <f t="shared" ca="1" si="302"/>
        <v>0.64983396407037997</v>
      </c>
      <c r="G9686" s="74">
        <v>44.497990895127423</v>
      </c>
      <c r="H9686" s="74">
        <f t="shared" si="303"/>
        <v>-4.0035905517949004</v>
      </c>
    </row>
    <row r="9687" spans="5:8" ht="15.6">
      <c r="E9687" s="279" t="s">
        <v>10013</v>
      </c>
      <c r="F9687" s="284">
        <f t="shared" ca="1" si="302"/>
        <v>0.69521335462042499</v>
      </c>
      <c r="G9687" s="74">
        <v>40.628036599924108</v>
      </c>
      <c r="H9687" s="74">
        <f t="shared" si="303"/>
        <v>-0.13363625659158629</v>
      </c>
    </row>
    <row r="9688" spans="5:8" ht="15.6">
      <c r="E9688" s="279" t="s">
        <v>10014</v>
      </c>
      <c r="F9688" s="284">
        <f t="shared" ca="1" si="302"/>
        <v>0.70607738287194599</v>
      </c>
      <c r="G9688" s="74">
        <v>37.285250292426021</v>
      </c>
      <c r="H9688" s="74">
        <f t="shared" si="303"/>
        <v>3.2091500509065014</v>
      </c>
    </row>
    <row r="9689" spans="5:8" ht="15.6">
      <c r="E9689" s="279" t="s">
        <v>10015</v>
      </c>
      <c r="F9689" s="284">
        <f t="shared" ca="1" si="302"/>
        <v>0.40051519494728505</v>
      </c>
      <c r="G9689" s="74">
        <v>37.860263273377988</v>
      </c>
      <c r="H9689" s="74">
        <f t="shared" si="303"/>
        <v>2.6341370699545337</v>
      </c>
    </row>
    <row r="9690" spans="5:8" ht="15.6">
      <c r="E9690" s="279" t="s">
        <v>10016</v>
      </c>
      <c r="F9690" s="284">
        <f t="shared" ca="1" si="302"/>
        <v>0.77114341962670285</v>
      </c>
      <c r="G9690" s="74">
        <v>41.57515947476417</v>
      </c>
      <c r="H9690" s="74">
        <f t="shared" si="303"/>
        <v>-1.0807591314316483</v>
      </c>
    </row>
    <row r="9691" spans="5:8" ht="15.6">
      <c r="E9691" s="279" t="s">
        <v>10017</v>
      </c>
      <c r="F9691" s="284">
        <f t="shared" ca="1" si="302"/>
        <v>0.24787933643531135</v>
      </c>
      <c r="G9691" s="74">
        <v>34.581291301986681</v>
      </c>
      <c r="H9691" s="74">
        <f t="shared" si="303"/>
        <v>5.9131090413458409</v>
      </c>
    </row>
    <row r="9692" spans="5:8" ht="15.6">
      <c r="E9692" s="279" t="s">
        <v>10018</v>
      </c>
      <c r="F9692" s="284">
        <f t="shared" ca="1" si="302"/>
        <v>0.46629874846599584</v>
      </c>
      <c r="G9692" s="74">
        <v>40.505551207239641</v>
      </c>
      <c r="H9692" s="74">
        <f t="shared" si="303"/>
        <v>-1.1150863907118946E-2</v>
      </c>
    </row>
    <row r="9693" spans="5:8" ht="15.6">
      <c r="E9693" s="279" t="s">
        <v>10019</v>
      </c>
      <c r="F9693" s="284">
        <f t="shared" ca="1" si="302"/>
        <v>0.82017681786929753</v>
      </c>
      <c r="G9693" s="74">
        <v>40.826560048651032</v>
      </c>
      <c r="H9693" s="74">
        <f t="shared" si="303"/>
        <v>-0.33215970531851013</v>
      </c>
    </row>
    <row r="9694" spans="5:8" ht="15.6">
      <c r="E9694" s="279" t="s">
        <v>10020</v>
      </c>
      <c r="F9694" s="284">
        <f t="shared" ca="1" si="302"/>
        <v>0.21958800116650157</v>
      </c>
      <c r="G9694" s="74">
        <v>38.115812025424596</v>
      </c>
      <c r="H9694" s="74">
        <f t="shared" si="303"/>
        <v>2.3785883179079264</v>
      </c>
    </row>
    <row r="9695" spans="5:8" ht="15.6">
      <c r="E9695" s="279" t="s">
        <v>10021</v>
      </c>
      <c r="F9695" s="284">
        <f t="shared" ca="1" si="302"/>
        <v>0.97534778179860304</v>
      </c>
      <c r="G9695" s="74">
        <v>41.438947573753417</v>
      </c>
      <c r="H9695" s="74">
        <f t="shared" si="303"/>
        <v>-0.94454723042089483</v>
      </c>
    </row>
    <row r="9696" spans="5:8" ht="15.6">
      <c r="E9696" s="279" t="s">
        <v>10022</v>
      </c>
      <c r="F9696" s="284">
        <f t="shared" ca="1" si="302"/>
        <v>6.7493910628818599E-2</v>
      </c>
      <c r="G9696" s="74">
        <v>39.688481625321671</v>
      </c>
      <c r="H9696" s="74">
        <f t="shared" si="303"/>
        <v>0.80591871801085091</v>
      </c>
    </row>
    <row r="9697" spans="5:8" ht="15.6">
      <c r="E9697" s="279" t="s">
        <v>10023</v>
      </c>
      <c r="F9697" s="284">
        <f t="shared" ca="1" si="302"/>
        <v>0.75417509690275097</v>
      </c>
      <c r="G9697" s="74">
        <v>38.322195028087762</v>
      </c>
      <c r="H9697" s="74">
        <f t="shared" si="303"/>
        <v>2.17220531524476</v>
      </c>
    </row>
    <row r="9698" spans="5:8" ht="15.6">
      <c r="E9698" s="279" t="s">
        <v>10024</v>
      </c>
      <c r="F9698" s="284">
        <f t="shared" ca="1" si="302"/>
        <v>0.95428112629304795</v>
      </c>
      <c r="G9698" s="74">
        <v>42.457261435971532</v>
      </c>
      <c r="H9698" s="74">
        <f t="shared" si="303"/>
        <v>-1.9628610926390095</v>
      </c>
    </row>
    <row r="9699" spans="5:8" ht="15.6">
      <c r="E9699" s="279" t="s">
        <v>10025</v>
      </c>
      <c r="F9699" s="284">
        <f t="shared" ca="1" si="302"/>
        <v>0.49449112340250301</v>
      </c>
      <c r="G9699" s="74">
        <v>38.838466757495965</v>
      </c>
      <c r="H9699" s="74">
        <f t="shared" si="303"/>
        <v>1.6559335858365571</v>
      </c>
    </row>
    <row r="9700" spans="5:8" ht="15.6">
      <c r="E9700" s="279" t="s">
        <v>10026</v>
      </c>
      <c r="F9700" s="284">
        <f t="shared" ca="1" si="302"/>
        <v>0.24086451936935505</v>
      </c>
      <c r="G9700" s="74">
        <v>38.575780382218547</v>
      </c>
      <c r="H9700" s="74">
        <f t="shared" si="303"/>
        <v>1.9186199611139756</v>
      </c>
    </row>
    <row r="9701" spans="5:8" ht="15.6">
      <c r="E9701" s="279" t="s">
        <v>10027</v>
      </c>
      <c r="F9701" s="284">
        <f t="shared" ca="1" si="302"/>
        <v>0.54293956533478216</v>
      </c>
      <c r="G9701" s="74">
        <v>41.298280364024521</v>
      </c>
      <c r="H9701" s="74">
        <f t="shared" si="303"/>
        <v>-0.80388002069199871</v>
      </c>
    </row>
    <row r="9702" spans="5:8" ht="15.6">
      <c r="E9702" s="279" t="s">
        <v>10028</v>
      </c>
      <c r="F9702" s="284">
        <f t="shared" ca="1" si="302"/>
        <v>0.50431496225803052</v>
      </c>
      <c r="G9702" s="74">
        <v>38.907723247976392</v>
      </c>
      <c r="H9702" s="74">
        <f t="shared" si="303"/>
        <v>1.58667709535613</v>
      </c>
    </row>
    <row r="9703" spans="5:8" ht="15.6">
      <c r="E9703" s="279" t="s">
        <v>10029</v>
      </c>
      <c r="F9703" s="284">
        <f t="shared" ca="1" si="302"/>
        <v>0.96242065211077588</v>
      </c>
      <c r="G9703" s="74">
        <v>40.304178976802241</v>
      </c>
      <c r="H9703" s="74">
        <f t="shared" si="303"/>
        <v>0.19022136653028099</v>
      </c>
    </row>
    <row r="9704" spans="5:8" ht="15.6">
      <c r="E9704" s="279" t="s">
        <v>10030</v>
      </c>
      <c r="F9704" s="284">
        <f t="shared" ca="1" si="302"/>
        <v>0.67964224592833733</v>
      </c>
      <c r="G9704" s="74">
        <v>35.714974997529616</v>
      </c>
      <c r="H9704" s="74">
        <f t="shared" si="303"/>
        <v>4.7794253458029061</v>
      </c>
    </row>
    <row r="9705" spans="5:8" ht="15.6">
      <c r="E9705" s="279" t="s">
        <v>10031</v>
      </c>
      <c r="F9705" s="284">
        <f t="shared" ca="1" si="302"/>
        <v>0.44534410809874392</v>
      </c>
      <c r="G9705" s="74">
        <v>44.04578454665274</v>
      </c>
      <c r="H9705" s="74">
        <f t="shared" si="303"/>
        <v>-3.5513842033202181</v>
      </c>
    </row>
    <row r="9706" spans="5:8" ht="15.6">
      <c r="E9706" s="279" t="s">
        <v>10032</v>
      </c>
      <c r="F9706" s="284">
        <f t="shared" ca="1" si="302"/>
        <v>0.31811421340299473</v>
      </c>
      <c r="G9706" s="74">
        <v>43.691555662585898</v>
      </c>
      <c r="H9706" s="74">
        <f t="shared" si="303"/>
        <v>-3.1971553192533761</v>
      </c>
    </row>
    <row r="9707" spans="5:8" ht="15.6">
      <c r="E9707" s="279" t="s">
        <v>10033</v>
      </c>
      <c r="F9707" s="284">
        <f t="shared" ca="1" si="302"/>
        <v>0.59422752343364338</v>
      </c>
      <c r="G9707" s="74">
        <v>36.663097631193452</v>
      </c>
      <c r="H9707" s="74">
        <f t="shared" si="303"/>
        <v>3.8313027121390704</v>
      </c>
    </row>
    <row r="9708" spans="5:8" ht="15.6">
      <c r="E9708" s="279" t="s">
        <v>10034</v>
      </c>
      <c r="F9708" s="284">
        <f t="shared" ca="1" si="302"/>
        <v>0.72983906288656597</v>
      </c>
      <c r="G9708" s="74">
        <v>39.42757855702915</v>
      </c>
      <c r="H9708" s="74">
        <f t="shared" si="303"/>
        <v>1.0668217863033718</v>
      </c>
    </row>
    <row r="9709" spans="5:8" ht="15.6">
      <c r="E9709" s="279" t="s">
        <v>10035</v>
      </c>
      <c r="F9709" s="284">
        <f t="shared" ca="1" si="302"/>
        <v>0.41230437485544436</v>
      </c>
      <c r="G9709" s="74">
        <v>36.939173553490605</v>
      </c>
      <c r="H9709" s="74">
        <f t="shared" si="303"/>
        <v>3.5552267898419174</v>
      </c>
    </row>
    <row r="9710" spans="5:8" ht="15.6">
      <c r="E9710" s="279" t="s">
        <v>10036</v>
      </c>
      <c r="F9710" s="284">
        <f t="shared" ca="1" si="302"/>
        <v>0.38134726923177931</v>
      </c>
      <c r="G9710" s="74">
        <v>37.927051398027622</v>
      </c>
      <c r="H9710" s="74">
        <f t="shared" si="303"/>
        <v>2.5673489453049001</v>
      </c>
    </row>
    <row r="9711" spans="5:8" ht="15.6">
      <c r="E9711" s="279" t="s">
        <v>10037</v>
      </c>
      <c r="F9711" s="284">
        <f t="shared" ca="1" si="302"/>
        <v>0.33833744055719872</v>
      </c>
      <c r="G9711" s="74">
        <v>37.673814977858953</v>
      </c>
      <c r="H9711" s="74">
        <f t="shared" si="303"/>
        <v>2.8205853654735691</v>
      </c>
    </row>
    <row r="9712" spans="5:8" ht="15.6">
      <c r="E9712" s="279" t="s">
        <v>10038</v>
      </c>
      <c r="F9712" s="284">
        <f t="shared" ca="1" si="302"/>
        <v>0.11617458053886487</v>
      </c>
      <c r="G9712" s="74">
        <v>40.444585510617287</v>
      </c>
      <c r="H9712" s="74">
        <f t="shared" si="303"/>
        <v>4.9814832715235013E-2</v>
      </c>
    </row>
    <row r="9713" spans="5:8" ht="15.6">
      <c r="E9713" s="279" t="s">
        <v>10039</v>
      </c>
      <c r="F9713" s="284">
        <f t="shared" ca="1" si="302"/>
        <v>0.99120788383295166</v>
      </c>
      <c r="G9713" s="74">
        <v>39.272009773978006</v>
      </c>
      <c r="H9713" s="74">
        <f t="shared" si="303"/>
        <v>1.2223905693545163</v>
      </c>
    </row>
    <row r="9714" spans="5:8" ht="15.6">
      <c r="E9714" s="279" t="s">
        <v>10040</v>
      </c>
      <c r="F9714" s="284">
        <f t="shared" ca="1" si="302"/>
        <v>4.1652515574702398E-2</v>
      </c>
      <c r="G9714" s="74">
        <v>39.493504078626863</v>
      </c>
      <c r="H9714" s="74">
        <f t="shared" si="303"/>
        <v>1.0008962647056592</v>
      </c>
    </row>
    <row r="9715" spans="5:8" ht="15.6">
      <c r="E9715" s="279" t="s">
        <v>10041</v>
      </c>
      <c r="F9715" s="284">
        <f t="shared" ca="1" si="302"/>
        <v>0.22979856571358392</v>
      </c>
      <c r="G9715" s="74">
        <v>37.583441514767742</v>
      </c>
      <c r="H9715" s="74">
        <f t="shared" si="303"/>
        <v>2.9109588285647803</v>
      </c>
    </row>
    <row r="9716" spans="5:8" ht="15.6">
      <c r="E9716" s="279" t="s">
        <v>10042</v>
      </c>
      <c r="F9716" s="284">
        <f t="shared" ca="1" si="302"/>
        <v>0.62822603373768249</v>
      </c>
      <c r="G9716" s="74">
        <v>42.65931566889882</v>
      </c>
      <c r="H9716" s="74">
        <f t="shared" si="303"/>
        <v>-2.1649153255662981</v>
      </c>
    </row>
    <row r="9717" spans="5:8" ht="15.6">
      <c r="E9717" s="279" t="s">
        <v>10043</v>
      </c>
      <c r="F9717" s="284">
        <f t="shared" ca="1" si="302"/>
        <v>0.78689222436388329</v>
      </c>
      <c r="G9717" s="74">
        <v>41.185565495330195</v>
      </c>
      <c r="H9717" s="74">
        <f t="shared" si="303"/>
        <v>-0.69116515199767292</v>
      </c>
    </row>
    <row r="9718" spans="5:8" ht="15.6">
      <c r="E9718" s="279" t="s">
        <v>10044</v>
      </c>
      <c r="F9718" s="284">
        <f t="shared" ca="1" si="302"/>
        <v>5.7636166337328154E-3</v>
      </c>
      <c r="G9718" s="74">
        <v>41.512355414037323</v>
      </c>
      <c r="H9718" s="74">
        <f t="shared" si="303"/>
        <v>-1.0179550707048008</v>
      </c>
    </row>
    <row r="9719" spans="5:8" ht="15.6">
      <c r="E9719" s="279" t="s">
        <v>10045</v>
      </c>
      <c r="F9719" s="284">
        <f t="shared" ca="1" si="302"/>
        <v>5.4175551391000276E-2</v>
      </c>
      <c r="G9719" s="74">
        <v>36.923072500607667</v>
      </c>
      <c r="H9719" s="74">
        <f t="shared" si="303"/>
        <v>3.5713278427248554</v>
      </c>
    </row>
    <row r="9720" spans="5:8" ht="15.6">
      <c r="E9720" s="279" t="s">
        <v>10046</v>
      </c>
      <c r="F9720" s="284">
        <f t="shared" ca="1" si="302"/>
        <v>0.5546801202190289</v>
      </c>
      <c r="G9720" s="74">
        <v>36.288630343407178</v>
      </c>
      <c r="H9720" s="74">
        <f t="shared" si="303"/>
        <v>4.2057699999253444</v>
      </c>
    </row>
    <row r="9721" spans="5:8" ht="15.6">
      <c r="E9721" s="279" t="s">
        <v>10047</v>
      </c>
      <c r="F9721" s="284">
        <f t="shared" ca="1" si="302"/>
        <v>0.61962150635097912</v>
      </c>
      <c r="G9721" s="74">
        <v>39.792664366224514</v>
      </c>
      <c r="H9721" s="74">
        <f t="shared" si="303"/>
        <v>0.70173597710800806</v>
      </c>
    </row>
    <row r="9722" spans="5:8" ht="15.6">
      <c r="E9722" s="279" t="s">
        <v>10048</v>
      </c>
      <c r="F9722" s="284">
        <f t="shared" ca="1" si="302"/>
        <v>0.23570213568162768</v>
      </c>
      <c r="G9722" s="74">
        <v>44.604878849638311</v>
      </c>
      <c r="H9722" s="74">
        <f t="shared" si="303"/>
        <v>-4.1104785063057889</v>
      </c>
    </row>
    <row r="9723" spans="5:8" ht="15.6">
      <c r="E9723" s="279" t="s">
        <v>10049</v>
      </c>
      <c r="F9723" s="284">
        <f t="shared" ca="1" si="302"/>
        <v>0.22521017298003543</v>
      </c>
      <c r="G9723" s="74">
        <v>41.464630053134499</v>
      </c>
      <c r="H9723" s="74">
        <f t="shared" si="303"/>
        <v>-0.97022970980197698</v>
      </c>
    </row>
    <row r="9724" spans="5:8" ht="15.6">
      <c r="E9724" s="279" t="s">
        <v>10050</v>
      </c>
      <c r="F9724" s="284">
        <f t="shared" ca="1" si="302"/>
        <v>0.33333938878036184</v>
      </c>
      <c r="G9724" s="74">
        <v>40.708439675692617</v>
      </c>
      <c r="H9724" s="74">
        <f t="shared" si="303"/>
        <v>-0.21403933236009465</v>
      </c>
    </row>
    <row r="9725" spans="5:8" ht="15.6">
      <c r="E9725" s="279" t="s">
        <v>10051</v>
      </c>
      <c r="F9725" s="284">
        <f t="shared" ca="1" si="302"/>
        <v>0.3281922050361914</v>
      </c>
      <c r="G9725" s="74">
        <v>42.37254379806275</v>
      </c>
      <c r="H9725" s="74">
        <f t="shared" si="303"/>
        <v>-1.8781434547302283</v>
      </c>
    </row>
    <row r="9726" spans="5:8" ht="15.6">
      <c r="E9726" s="279" t="s">
        <v>10052</v>
      </c>
      <c r="F9726" s="284">
        <f t="shared" ca="1" si="302"/>
        <v>0.51665182808452181</v>
      </c>
      <c r="G9726" s="74">
        <v>38.229258374917428</v>
      </c>
      <c r="H9726" s="74">
        <f t="shared" si="303"/>
        <v>2.2651419684150937</v>
      </c>
    </row>
    <row r="9727" spans="5:8" ht="15.6">
      <c r="E9727" s="279" t="s">
        <v>10053</v>
      </c>
      <c r="F9727" s="284">
        <f t="shared" ca="1" si="302"/>
        <v>0.91174926141956381</v>
      </c>
      <c r="G9727" s="74">
        <v>41.522539659688931</v>
      </c>
      <c r="H9727" s="74">
        <f t="shared" si="303"/>
        <v>-1.028139316356409</v>
      </c>
    </row>
    <row r="9728" spans="5:8" ht="15.6">
      <c r="E9728" s="279" t="s">
        <v>10054</v>
      </c>
      <c r="F9728" s="284">
        <f t="shared" ca="1" si="302"/>
        <v>0.73703452709310857</v>
      </c>
      <c r="G9728" s="74">
        <v>35.825223852590675</v>
      </c>
      <c r="H9728" s="74">
        <f t="shared" si="303"/>
        <v>4.6691764907418474</v>
      </c>
    </row>
    <row r="9729" spans="5:8" ht="15.6">
      <c r="E9729" s="279" t="s">
        <v>10055</v>
      </c>
      <c r="F9729" s="284">
        <f t="shared" ca="1" si="302"/>
        <v>1.5434589122304443E-2</v>
      </c>
      <c r="G9729" s="74">
        <v>39.277905138345304</v>
      </c>
      <c r="H9729" s="74">
        <f t="shared" si="303"/>
        <v>1.2164952049872184</v>
      </c>
    </row>
    <row r="9730" spans="5:8" ht="15.6">
      <c r="E9730" s="279" t="s">
        <v>10056</v>
      </c>
      <c r="F9730" s="284">
        <f t="shared" ca="1" si="302"/>
        <v>0.79060612308826828</v>
      </c>
      <c r="G9730" s="74">
        <v>38.577294931245838</v>
      </c>
      <c r="H9730" s="74">
        <f t="shared" si="303"/>
        <v>1.9171054120866842</v>
      </c>
    </row>
    <row r="9731" spans="5:8" ht="15.6">
      <c r="E9731" s="279" t="s">
        <v>10057</v>
      </c>
      <c r="F9731" s="284">
        <f t="shared" ca="1" si="302"/>
        <v>0.60495682858258515</v>
      </c>
      <c r="G9731" s="74">
        <v>37.628481389885962</v>
      </c>
      <c r="H9731" s="74">
        <f t="shared" si="303"/>
        <v>2.8659189534465597</v>
      </c>
    </row>
    <row r="9732" spans="5:8" ht="15.6">
      <c r="E9732" s="279" t="s">
        <v>10058</v>
      </c>
      <c r="F9732" s="284">
        <f t="shared" ca="1" si="302"/>
        <v>0.88812983230890441</v>
      </c>
      <c r="G9732" s="74">
        <v>37.872127305336868</v>
      </c>
      <c r="H9732" s="74">
        <f t="shared" si="303"/>
        <v>2.6222730379956545</v>
      </c>
    </row>
    <row r="9733" spans="5:8" ht="15.6">
      <c r="E9733" s="279" t="s">
        <v>10059</v>
      </c>
      <c r="F9733" s="284">
        <f t="shared" ca="1" si="302"/>
        <v>0.91877824063687219</v>
      </c>
      <c r="G9733" s="74">
        <v>39.441131666875535</v>
      </c>
      <c r="H9733" s="74">
        <f t="shared" si="303"/>
        <v>1.0532686764569874</v>
      </c>
    </row>
    <row r="9734" spans="5:8" ht="15.6">
      <c r="E9734" s="279" t="s">
        <v>10060</v>
      </c>
      <c r="F9734" s="284">
        <f t="shared" ca="1" si="302"/>
        <v>0.81259862150445106</v>
      </c>
      <c r="G9734" s="74">
        <v>42.177419753627554</v>
      </c>
      <c r="H9734" s="74">
        <f t="shared" si="303"/>
        <v>-1.6830194102950315</v>
      </c>
    </row>
    <row r="9735" spans="5:8" ht="15.6">
      <c r="E9735" s="279" t="s">
        <v>10061</v>
      </c>
      <c r="F9735" s="284">
        <f t="shared" ca="1" si="302"/>
        <v>0.18972382364168083</v>
      </c>
      <c r="G9735" s="74">
        <v>41.21492417055066</v>
      </c>
      <c r="H9735" s="74">
        <f t="shared" si="303"/>
        <v>-0.72052382721813757</v>
      </c>
    </row>
    <row r="9736" spans="5:8" ht="15.6">
      <c r="E9736" s="279" t="s">
        <v>10062</v>
      </c>
      <c r="F9736" s="284">
        <f t="shared" ca="1" si="302"/>
        <v>0.69717815422403517</v>
      </c>
      <c r="G9736" s="74">
        <v>39.846099048488028</v>
      </c>
      <c r="H9736" s="74">
        <f t="shared" si="303"/>
        <v>0.64830129484449373</v>
      </c>
    </row>
    <row r="9737" spans="5:8" ht="15.6">
      <c r="E9737" s="279" t="s">
        <v>10063</v>
      </c>
      <c r="F9737" s="284">
        <f t="shared" ca="1" si="302"/>
        <v>0.60014211260184358</v>
      </c>
      <c r="G9737" s="74">
        <v>43.194907107909977</v>
      </c>
      <c r="H9737" s="74">
        <f t="shared" si="303"/>
        <v>-2.7005067645774545</v>
      </c>
    </row>
    <row r="9738" spans="5:8" ht="15.6">
      <c r="E9738" s="279" t="s">
        <v>10064</v>
      </c>
      <c r="F9738" s="284">
        <f t="shared" ca="1" si="302"/>
        <v>0.71175231381465831</v>
      </c>
      <c r="G9738" s="74">
        <v>38.653986385654221</v>
      </c>
      <c r="H9738" s="74">
        <f t="shared" si="303"/>
        <v>1.840413957678301</v>
      </c>
    </row>
    <row r="9739" spans="5:8" ht="15.6">
      <c r="E9739" s="279" t="s">
        <v>10065</v>
      </c>
      <c r="F9739" s="284">
        <f t="shared" ca="1" si="302"/>
        <v>0.50183999200154072</v>
      </c>
      <c r="G9739" s="74">
        <v>35.358288554010258</v>
      </c>
      <c r="H9739" s="74">
        <f t="shared" si="303"/>
        <v>5.1361117893222641</v>
      </c>
    </row>
    <row r="9740" spans="5:8" ht="15.6">
      <c r="E9740" s="279" t="s">
        <v>10066</v>
      </c>
      <c r="F9740" s="284">
        <f t="shared" ref="F9740:F9803" ca="1" si="304">RAND()</f>
        <v>0.46529975514861255</v>
      </c>
      <c r="G9740" s="74">
        <v>40.696546422056606</v>
      </c>
      <c r="H9740" s="74">
        <f t="shared" ref="H9740:H9803" si="305">$D$2-G9740</f>
        <v>-0.20214607872408408</v>
      </c>
    </row>
    <row r="9741" spans="5:8" ht="15.6">
      <c r="E9741" s="279" t="s">
        <v>10067</v>
      </c>
      <c r="F9741" s="284">
        <f t="shared" ca="1" si="304"/>
        <v>0.46288146592093615</v>
      </c>
      <c r="G9741" s="74">
        <v>40.650785651724547</v>
      </c>
      <c r="H9741" s="74">
        <f t="shared" si="305"/>
        <v>-0.15638530839202502</v>
      </c>
    </row>
    <row r="9742" spans="5:8" ht="15.6">
      <c r="E9742" s="279" t="s">
        <v>10068</v>
      </c>
      <c r="F9742" s="284">
        <f t="shared" ca="1" si="304"/>
        <v>9.968226368371802E-3</v>
      </c>
      <c r="G9742" s="74">
        <v>38.898999399552999</v>
      </c>
      <c r="H9742" s="74">
        <f t="shared" si="305"/>
        <v>1.5954009437795236</v>
      </c>
    </row>
    <row r="9743" spans="5:8" ht="15.6">
      <c r="E9743" s="279" t="s">
        <v>10069</v>
      </c>
      <c r="F9743" s="284">
        <f t="shared" ca="1" si="304"/>
        <v>6.0147342368458756E-2</v>
      </c>
      <c r="G9743" s="74">
        <v>37.46210506268968</v>
      </c>
      <c r="H9743" s="74">
        <f t="shared" si="305"/>
        <v>3.0322952806428418</v>
      </c>
    </row>
    <row r="9744" spans="5:8" ht="15.6">
      <c r="E9744" s="279" t="s">
        <v>10070</v>
      </c>
      <c r="F9744" s="284">
        <f t="shared" ca="1" si="304"/>
        <v>0.9707336560637686</v>
      </c>
      <c r="G9744" s="74">
        <v>42.506858330380737</v>
      </c>
      <c r="H9744" s="74">
        <f t="shared" si="305"/>
        <v>-2.0124579870482151</v>
      </c>
    </row>
    <row r="9745" spans="5:8" ht="15.6">
      <c r="E9745" s="279" t="s">
        <v>10071</v>
      </c>
      <c r="F9745" s="284">
        <f t="shared" ca="1" si="304"/>
        <v>0.40287864002545226</v>
      </c>
      <c r="G9745" s="74">
        <v>42.347652851922909</v>
      </c>
      <c r="H9745" s="74">
        <f t="shared" si="305"/>
        <v>-1.853252508590387</v>
      </c>
    </row>
    <row r="9746" spans="5:8" ht="15.6">
      <c r="E9746" s="279" t="s">
        <v>10072</v>
      </c>
      <c r="F9746" s="284">
        <f t="shared" ca="1" si="304"/>
        <v>0.14187704772165743</v>
      </c>
      <c r="G9746" s="74">
        <v>43.233102305394027</v>
      </c>
      <c r="H9746" s="74">
        <f t="shared" si="305"/>
        <v>-2.738701962061505</v>
      </c>
    </row>
    <row r="9747" spans="5:8" ht="15.6">
      <c r="E9747" s="279" t="s">
        <v>10073</v>
      </c>
      <c r="F9747" s="284">
        <f t="shared" ca="1" si="304"/>
        <v>0.21629997109871835</v>
      </c>
      <c r="G9747" s="74">
        <v>41.83460263340433</v>
      </c>
      <c r="H9747" s="74">
        <f t="shared" si="305"/>
        <v>-1.340202290071808</v>
      </c>
    </row>
    <row r="9748" spans="5:8" ht="15.6">
      <c r="E9748" s="279" t="s">
        <v>10074</v>
      </c>
      <c r="F9748" s="284">
        <f t="shared" ca="1" si="304"/>
        <v>0.51852455056512825</v>
      </c>
      <c r="G9748" s="74">
        <v>41.64288722996772</v>
      </c>
      <c r="H9748" s="74">
        <f t="shared" si="305"/>
        <v>-1.1484868866351974</v>
      </c>
    </row>
    <row r="9749" spans="5:8" ht="15.6">
      <c r="E9749" s="279" t="s">
        <v>10075</v>
      </c>
      <c r="F9749" s="284">
        <f t="shared" ca="1" si="304"/>
        <v>0.62934361282150264</v>
      </c>
      <c r="G9749" s="74">
        <v>37.37974073759095</v>
      </c>
      <c r="H9749" s="74">
        <f t="shared" si="305"/>
        <v>3.1146596057415721</v>
      </c>
    </row>
    <row r="9750" spans="5:8" ht="15.6">
      <c r="E9750" s="279" t="s">
        <v>10076</v>
      </c>
      <c r="F9750" s="284">
        <f t="shared" ca="1" si="304"/>
        <v>0.99389530313441055</v>
      </c>
      <c r="G9750" s="74">
        <v>41.997761289086057</v>
      </c>
      <c r="H9750" s="74">
        <f t="shared" si="305"/>
        <v>-1.5033609457535348</v>
      </c>
    </row>
    <row r="9751" spans="5:8" ht="15.6">
      <c r="E9751" s="279" t="s">
        <v>10077</v>
      </c>
      <c r="F9751" s="284">
        <f t="shared" ca="1" si="304"/>
        <v>5.8770246338161081E-2</v>
      </c>
      <c r="G9751" s="74">
        <v>41.746339917178162</v>
      </c>
      <c r="H9751" s="74">
        <f t="shared" si="305"/>
        <v>-1.2519395738456396</v>
      </c>
    </row>
    <row r="9752" spans="5:8" ht="15.6">
      <c r="E9752" s="279" t="s">
        <v>10078</v>
      </c>
      <c r="F9752" s="284">
        <f t="shared" ca="1" si="304"/>
        <v>0.34164940422753454</v>
      </c>
      <c r="G9752" s="74">
        <v>41.564286733349526</v>
      </c>
      <c r="H9752" s="74">
        <f t="shared" si="305"/>
        <v>-1.0698863900170039</v>
      </c>
    </row>
    <row r="9753" spans="5:8" ht="15.6">
      <c r="E9753" s="279" t="s">
        <v>10079</v>
      </c>
      <c r="F9753" s="284">
        <f t="shared" ca="1" si="304"/>
        <v>0.13086805208365115</v>
      </c>
      <c r="G9753" s="74">
        <v>40.305822277931853</v>
      </c>
      <c r="H9753" s="74">
        <f t="shared" si="305"/>
        <v>0.18857806540066946</v>
      </c>
    </row>
    <row r="9754" spans="5:8" ht="15.6">
      <c r="E9754" s="279" t="s">
        <v>10080</v>
      </c>
      <c r="F9754" s="284">
        <f t="shared" ca="1" si="304"/>
        <v>0.27652195283468195</v>
      </c>
      <c r="G9754" s="74">
        <v>39.185269835034177</v>
      </c>
      <c r="H9754" s="74">
        <f t="shared" si="305"/>
        <v>1.3091305082983453</v>
      </c>
    </row>
    <row r="9755" spans="5:8" ht="15.6">
      <c r="E9755" s="279" t="s">
        <v>10081</v>
      </c>
      <c r="F9755" s="284">
        <f t="shared" ca="1" si="304"/>
        <v>6.6392438033708534E-2</v>
      </c>
      <c r="G9755" s="74">
        <v>41.121026320957526</v>
      </c>
      <c r="H9755" s="74">
        <f t="shared" si="305"/>
        <v>-0.62662597762500383</v>
      </c>
    </row>
    <row r="9756" spans="5:8" ht="15.6">
      <c r="E9756" s="279" t="s">
        <v>10082</v>
      </c>
      <c r="F9756" s="284">
        <f t="shared" ca="1" si="304"/>
        <v>2.6200212020180302E-2</v>
      </c>
      <c r="G9756" s="74">
        <v>37.573149018060803</v>
      </c>
      <c r="H9756" s="74">
        <f t="shared" si="305"/>
        <v>2.9212513252717187</v>
      </c>
    </row>
    <row r="9757" spans="5:8" ht="15.6">
      <c r="E9757" s="279" t="s">
        <v>10083</v>
      </c>
      <c r="F9757" s="284">
        <f t="shared" ca="1" si="304"/>
        <v>6.9509126409830202E-2</v>
      </c>
      <c r="G9757" s="74">
        <v>43.755444295341249</v>
      </c>
      <c r="H9757" s="74">
        <f t="shared" si="305"/>
        <v>-3.2610439520087269</v>
      </c>
    </row>
    <row r="9758" spans="5:8" ht="15.6">
      <c r="E9758" s="279" t="s">
        <v>10084</v>
      </c>
      <c r="F9758" s="284">
        <f t="shared" ca="1" si="304"/>
        <v>0.31617674209688695</v>
      </c>
      <c r="G9758" s="74">
        <v>41.011039206346474</v>
      </c>
      <c r="H9758" s="74">
        <f t="shared" si="305"/>
        <v>-0.51663886301395223</v>
      </c>
    </row>
    <row r="9759" spans="5:8" ht="15.6">
      <c r="E9759" s="279" t="s">
        <v>10085</v>
      </c>
      <c r="F9759" s="284">
        <f t="shared" ca="1" si="304"/>
        <v>0.73702399347873171</v>
      </c>
      <c r="G9759" s="74">
        <v>39.548896120852717</v>
      </c>
      <c r="H9759" s="74">
        <f t="shared" si="305"/>
        <v>0.94550422247980492</v>
      </c>
    </row>
    <row r="9760" spans="5:8" ht="15.6">
      <c r="E9760" s="279" t="s">
        <v>10086</v>
      </c>
      <c r="F9760" s="284">
        <f t="shared" ca="1" si="304"/>
        <v>0.49269464178388878</v>
      </c>
      <c r="G9760" s="74">
        <v>39.402035313744541</v>
      </c>
      <c r="H9760" s="74">
        <f t="shared" si="305"/>
        <v>1.092365029587981</v>
      </c>
    </row>
    <row r="9761" spans="5:8" ht="15.6">
      <c r="E9761" s="279" t="s">
        <v>10087</v>
      </c>
      <c r="F9761" s="284">
        <f t="shared" ca="1" si="304"/>
        <v>0.93066989358609176</v>
      </c>
      <c r="G9761" s="74">
        <v>36.555216710868301</v>
      </c>
      <c r="H9761" s="74">
        <f t="shared" si="305"/>
        <v>3.9391836324642213</v>
      </c>
    </row>
    <row r="9762" spans="5:8" ht="15.6">
      <c r="E9762" s="279" t="s">
        <v>10088</v>
      </c>
      <c r="F9762" s="284">
        <f t="shared" ca="1" si="304"/>
        <v>0.60676571051153827</v>
      </c>
      <c r="G9762" s="74">
        <v>40.452261792293619</v>
      </c>
      <c r="H9762" s="74">
        <f t="shared" si="305"/>
        <v>4.213855103890296E-2</v>
      </c>
    </row>
    <row r="9763" spans="5:8" ht="15.6">
      <c r="E9763" s="279" t="s">
        <v>10089</v>
      </c>
      <c r="F9763" s="284">
        <f t="shared" ca="1" si="304"/>
        <v>1.9184356938927172E-2</v>
      </c>
      <c r="G9763" s="74">
        <v>42.493709144907022</v>
      </c>
      <c r="H9763" s="74">
        <f t="shared" si="305"/>
        <v>-1.9993088015745002</v>
      </c>
    </row>
    <row r="9764" spans="5:8" ht="15.6">
      <c r="E9764" s="279" t="s">
        <v>10090</v>
      </c>
      <c r="F9764" s="284">
        <f t="shared" ca="1" si="304"/>
        <v>0.55523133673208969</v>
      </c>
      <c r="G9764" s="74">
        <v>40.000093803268108</v>
      </c>
      <c r="H9764" s="74">
        <f t="shared" si="305"/>
        <v>0.49430654006441443</v>
      </c>
    </row>
    <row r="9765" spans="5:8" ht="15.6">
      <c r="E9765" s="279" t="s">
        <v>10091</v>
      </c>
      <c r="F9765" s="284">
        <f t="shared" ca="1" si="304"/>
        <v>0.56889100018776018</v>
      </c>
      <c r="G9765" s="74">
        <v>36.356444267777931</v>
      </c>
      <c r="H9765" s="74">
        <f t="shared" si="305"/>
        <v>4.137956075554591</v>
      </c>
    </row>
    <row r="9766" spans="5:8" ht="15.6">
      <c r="E9766" s="279" t="s">
        <v>10092</v>
      </c>
      <c r="F9766" s="284">
        <f t="shared" ca="1" si="304"/>
        <v>0.13402649661524391</v>
      </c>
      <c r="G9766" s="74">
        <v>35.116268847149499</v>
      </c>
      <c r="H9766" s="74">
        <f t="shared" si="305"/>
        <v>5.3781314961830233</v>
      </c>
    </row>
    <row r="9767" spans="5:8" ht="15.6">
      <c r="E9767" s="279" t="s">
        <v>10093</v>
      </c>
      <c r="F9767" s="284">
        <f t="shared" ca="1" si="304"/>
        <v>0.43436826608897672</v>
      </c>
      <c r="G9767" s="74">
        <v>37.151058961402221</v>
      </c>
      <c r="H9767" s="74">
        <f t="shared" si="305"/>
        <v>3.3433413819303013</v>
      </c>
    </row>
    <row r="9768" spans="5:8" ht="15.6">
      <c r="E9768" s="279" t="s">
        <v>10094</v>
      </c>
      <c r="F9768" s="284">
        <f t="shared" ca="1" si="304"/>
        <v>0.28218930533199815</v>
      </c>
      <c r="G9768" s="74">
        <v>38.525738183496529</v>
      </c>
      <c r="H9768" s="74">
        <f t="shared" si="305"/>
        <v>1.9686621598359935</v>
      </c>
    </row>
    <row r="9769" spans="5:8" ht="15.6">
      <c r="E9769" s="279" t="s">
        <v>10095</v>
      </c>
      <c r="F9769" s="284">
        <f t="shared" ca="1" si="304"/>
        <v>0.78982996218565915</v>
      </c>
      <c r="G9769" s="74">
        <v>37.232400179339201</v>
      </c>
      <c r="H9769" s="74">
        <f t="shared" si="305"/>
        <v>3.2620001639933207</v>
      </c>
    </row>
    <row r="9770" spans="5:8" ht="15.6">
      <c r="E9770" s="279" t="s">
        <v>10096</v>
      </c>
      <c r="F9770" s="284">
        <f t="shared" ca="1" si="304"/>
        <v>0.48656453156488366</v>
      </c>
      <c r="G9770" s="74">
        <v>40.69770911383241</v>
      </c>
      <c r="H9770" s="74">
        <f t="shared" si="305"/>
        <v>-0.20330877049988771</v>
      </c>
    </row>
    <row r="9771" spans="5:8" ht="15.6">
      <c r="E9771" s="279" t="s">
        <v>10097</v>
      </c>
      <c r="F9771" s="284">
        <f t="shared" ca="1" si="304"/>
        <v>0.53118456560294114</v>
      </c>
      <c r="G9771" s="74">
        <v>40.349742324263119</v>
      </c>
      <c r="H9771" s="74">
        <f t="shared" si="305"/>
        <v>0.14465801906940357</v>
      </c>
    </row>
    <row r="9772" spans="5:8" ht="15.6">
      <c r="E9772" s="279" t="s">
        <v>10098</v>
      </c>
      <c r="F9772" s="284">
        <f t="shared" ca="1" si="304"/>
        <v>0.44747565486419283</v>
      </c>
      <c r="G9772" s="74">
        <v>38.115334417301028</v>
      </c>
      <c r="H9772" s="74">
        <f t="shared" si="305"/>
        <v>2.3790659260314939</v>
      </c>
    </row>
    <row r="9773" spans="5:8" ht="15.6">
      <c r="E9773" s="279" t="s">
        <v>10099</v>
      </c>
      <c r="F9773" s="284">
        <f t="shared" ca="1" si="304"/>
        <v>0.45785044432609801</v>
      </c>
      <c r="G9773" s="74">
        <v>41.51936054037111</v>
      </c>
      <c r="H9773" s="74">
        <f t="shared" si="305"/>
        <v>-1.0249601970385882</v>
      </c>
    </row>
    <row r="9774" spans="5:8" ht="15.6">
      <c r="E9774" s="279" t="s">
        <v>10100</v>
      </c>
      <c r="F9774" s="284">
        <f t="shared" ca="1" si="304"/>
        <v>5.4549519062457641E-2</v>
      </c>
      <c r="G9774" s="74">
        <v>40.826835626515383</v>
      </c>
      <c r="H9774" s="74">
        <f t="shared" si="305"/>
        <v>-0.33243528318286053</v>
      </c>
    </row>
    <row r="9775" spans="5:8" ht="15.6">
      <c r="E9775" s="279" t="s">
        <v>10101</v>
      </c>
      <c r="F9775" s="284">
        <f t="shared" ca="1" si="304"/>
        <v>0.47845015004020852</v>
      </c>
      <c r="G9775" s="74">
        <v>43.583346376310459</v>
      </c>
      <c r="H9775" s="74">
        <f t="shared" si="305"/>
        <v>-3.0889460329779368</v>
      </c>
    </row>
    <row r="9776" spans="5:8" ht="15.6">
      <c r="E9776" s="279" t="s">
        <v>10102</v>
      </c>
      <c r="F9776" s="284">
        <f t="shared" ca="1" si="304"/>
        <v>0.65604175171751311</v>
      </c>
      <c r="G9776" s="74">
        <v>37.360349987543984</v>
      </c>
      <c r="H9776" s="74">
        <f t="shared" si="305"/>
        <v>3.1340503557885384</v>
      </c>
    </row>
    <row r="9777" spans="5:8" ht="15.6">
      <c r="E9777" s="279" t="s">
        <v>10103</v>
      </c>
      <c r="F9777" s="284">
        <f t="shared" ca="1" si="304"/>
        <v>0.23376419778480639</v>
      </c>
      <c r="G9777" s="74">
        <v>43.05247020977491</v>
      </c>
      <c r="H9777" s="74">
        <f t="shared" si="305"/>
        <v>-2.5580698664423878</v>
      </c>
    </row>
    <row r="9778" spans="5:8" ht="15.6">
      <c r="E9778" s="279" t="s">
        <v>10104</v>
      </c>
      <c r="F9778" s="284">
        <f t="shared" ca="1" si="304"/>
        <v>0.2719257036029078</v>
      </c>
      <c r="G9778" s="74">
        <v>41.182513237393415</v>
      </c>
      <c r="H9778" s="74">
        <f t="shared" si="305"/>
        <v>-0.68811289406089315</v>
      </c>
    </row>
    <row r="9779" spans="5:8" ht="15.6">
      <c r="E9779" s="279" t="s">
        <v>10105</v>
      </c>
      <c r="F9779" s="284">
        <f t="shared" ca="1" si="304"/>
        <v>0.99961904853160977</v>
      </c>
      <c r="G9779" s="74">
        <v>38.876608066252089</v>
      </c>
      <c r="H9779" s="74">
        <f t="shared" si="305"/>
        <v>1.6177922770804329</v>
      </c>
    </row>
    <row r="9780" spans="5:8" ht="15.6">
      <c r="E9780" s="279" t="s">
        <v>10106</v>
      </c>
      <c r="F9780" s="284">
        <f t="shared" ca="1" si="304"/>
        <v>0.30009326949105086</v>
      </c>
      <c r="G9780" s="74">
        <v>42.021498767157851</v>
      </c>
      <c r="H9780" s="74">
        <f t="shared" si="305"/>
        <v>-1.5270984238253291</v>
      </c>
    </row>
    <row r="9781" spans="5:8" ht="15.6">
      <c r="E9781" s="279" t="s">
        <v>10107</v>
      </c>
      <c r="F9781" s="284">
        <f t="shared" ca="1" si="304"/>
        <v>0.61712438058932684</v>
      </c>
      <c r="G9781" s="74">
        <v>39.866570653426919</v>
      </c>
      <c r="H9781" s="74">
        <f t="shared" si="305"/>
        <v>0.62782968990560306</v>
      </c>
    </row>
    <row r="9782" spans="5:8" ht="15.6">
      <c r="E9782" s="279" t="s">
        <v>10108</v>
      </c>
      <c r="F9782" s="284">
        <f t="shared" ca="1" si="304"/>
        <v>0.16213902784534084</v>
      </c>
      <c r="G9782" s="74">
        <v>39.88509229522942</v>
      </c>
      <c r="H9782" s="74">
        <f t="shared" si="305"/>
        <v>0.60930804810310235</v>
      </c>
    </row>
    <row r="9783" spans="5:8" ht="15.6">
      <c r="E9783" s="279" t="s">
        <v>10109</v>
      </c>
      <c r="F9783" s="284">
        <f t="shared" ca="1" si="304"/>
        <v>0.47886742093121892</v>
      </c>
      <c r="G9783" s="74">
        <v>35.291026831126423</v>
      </c>
      <c r="H9783" s="74">
        <f t="shared" si="305"/>
        <v>5.2033735122060989</v>
      </c>
    </row>
    <row r="9784" spans="5:8" ht="15.6">
      <c r="E9784" s="279" t="s">
        <v>10110</v>
      </c>
      <c r="F9784" s="284">
        <f t="shared" ca="1" si="304"/>
        <v>0.94313312925894655</v>
      </c>
      <c r="G9784" s="74">
        <v>36.894025525204668</v>
      </c>
      <c r="H9784" s="74">
        <f t="shared" si="305"/>
        <v>3.6003748181278539</v>
      </c>
    </row>
    <row r="9785" spans="5:8" ht="15.6">
      <c r="E9785" s="279" t="s">
        <v>10111</v>
      </c>
      <c r="F9785" s="284">
        <f t="shared" ca="1" si="304"/>
        <v>0.49376591133260239</v>
      </c>
      <c r="G9785" s="74">
        <v>38.847432261198279</v>
      </c>
      <c r="H9785" s="74">
        <f t="shared" si="305"/>
        <v>1.6469680821342436</v>
      </c>
    </row>
    <row r="9786" spans="5:8" ht="15.6">
      <c r="E9786" s="279" t="s">
        <v>10112</v>
      </c>
      <c r="F9786" s="284">
        <f t="shared" ca="1" si="304"/>
        <v>0.25458115387459856</v>
      </c>
      <c r="G9786" s="74">
        <v>40.481535319100693</v>
      </c>
      <c r="H9786" s="74">
        <f t="shared" si="305"/>
        <v>1.286502423182867E-2</v>
      </c>
    </row>
    <row r="9787" spans="5:8" ht="15.6">
      <c r="E9787" s="279" t="s">
        <v>10113</v>
      </c>
      <c r="F9787" s="284">
        <f t="shared" ca="1" si="304"/>
        <v>2.2267817426047998E-2</v>
      </c>
      <c r="G9787" s="74">
        <v>36.533631299195484</v>
      </c>
      <c r="H9787" s="74">
        <f t="shared" si="305"/>
        <v>3.960769044137038</v>
      </c>
    </row>
    <row r="9788" spans="5:8" ht="15.6">
      <c r="E9788" s="279" t="s">
        <v>10114</v>
      </c>
      <c r="F9788" s="284">
        <f t="shared" ca="1" si="304"/>
        <v>0.37864882753689655</v>
      </c>
      <c r="G9788" s="74">
        <v>40.322127758836032</v>
      </c>
      <c r="H9788" s="74">
        <f t="shared" si="305"/>
        <v>0.17227258449648986</v>
      </c>
    </row>
    <row r="9789" spans="5:8" ht="15.6">
      <c r="E9789" s="279" t="s">
        <v>10115</v>
      </c>
      <c r="F9789" s="284">
        <f t="shared" ca="1" si="304"/>
        <v>0.5820436119554111</v>
      </c>
      <c r="G9789" s="74">
        <v>35.481525578689727</v>
      </c>
      <c r="H9789" s="74">
        <f t="shared" si="305"/>
        <v>5.0128747646427954</v>
      </c>
    </row>
    <row r="9790" spans="5:8" ht="15.6">
      <c r="E9790" s="279" t="s">
        <v>10116</v>
      </c>
      <c r="F9790" s="284">
        <f t="shared" ca="1" si="304"/>
        <v>0.15473664333151427</v>
      </c>
      <c r="G9790" s="74">
        <v>35.518077849223147</v>
      </c>
      <c r="H9790" s="74">
        <f t="shared" si="305"/>
        <v>4.9763224941093753</v>
      </c>
    </row>
    <row r="9791" spans="5:8" ht="15.6">
      <c r="E9791" s="279" t="s">
        <v>10117</v>
      </c>
      <c r="F9791" s="284">
        <f t="shared" ca="1" si="304"/>
        <v>7.7647246622339017E-2</v>
      </c>
      <c r="G9791" s="74">
        <v>38.650094490352451</v>
      </c>
      <c r="H9791" s="74">
        <f t="shared" si="305"/>
        <v>1.8443058529800709</v>
      </c>
    </row>
    <row r="9792" spans="5:8" ht="15.6">
      <c r="E9792" s="279" t="s">
        <v>10118</v>
      </c>
      <c r="F9792" s="284">
        <f t="shared" ca="1" si="304"/>
        <v>1.47914361572693E-2</v>
      </c>
      <c r="G9792" s="74">
        <v>39.011201678520962</v>
      </c>
      <c r="H9792" s="74">
        <f t="shared" si="305"/>
        <v>1.4831986648115603</v>
      </c>
    </row>
    <row r="9793" spans="5:8" ht="15.6">
      <c r="E9793" s="279" t="s">
        <v>10119</v>
      </c>
      <c r="F9793" s="284">
        <f t="shared" ca="1" si="304"/>
        <v>0.63867863385415191</v>
      </c>
      <c r="G9793" s="74">
        <v>38.344688979093682</v>
      </c>
      <c r="H9793" s="74">
        <f t="shared" si="305"/>
        <v>2.1497113642388399</v>
      </c>
    </row>
    <row r="9794" spans="5:8" ht="15.6">
      <c r="E9794" s="279" t="s">
        <v>10120</v>
      </c>
      <c r="F9794" s="284">
        <f t="shared" ca="1" si="304"/>
        <v>0.17448956783760039</v>
      </c>
      <c r="G9794" s="74">
        <v>39.747120261192528</v>
      </c>
      <c r="H9794" s="74">
        <f t="shared" si="305"/>
        <v>0.74728008213999431</v>
      </c>
    </row>
    <row r="9795" spans="5:8" ht="15.6">
      <c r="E9795" s="279" t="s">
        <v>10121</v>
      </c>
      <c r="F9795" s="284">
        <f t="shared" ca="1" si="304"/>
        <v>0.6160004865045724</v>
      </c>
      <c r="G9795" s="74">
        <v>37.204720899750015</v>
      </c>
      <c r="H9795" s="74">
        <f t="shared" si="305"/>
        <v>3.2896794435825072</v>
      </c>
    </row>
    <row r="9796" spans="5:8" ht="15.6">
      <c r="E9796" s="279" t="s">
        <v>10122</v>
      </c>
      <c r="F9796" s="284">
        <f t="shared" ca="1" si="304"/>
        <v>0.37491949382723089</v>
      </c>
      <c r="G9796" s="74">
        <v>39.330559899801791</v>
      </c>
      <c r="H9796" s="74">
        <f t="shared" si="305"/>
        <v>1.1638404435307308</v>
      </c>
    </row>
    <row r="9797" spans="5:8" ht="15.6">
      <c r="E9797" s="279" t="s">
        <v>10123</v>
      </c>
      <c r="F9797" s="284">
        <f t="shared" ca="1" si="304"/>
        <v>7.8111143141689765E-2</v>
      </c>
      <c r="G9797" s="74">
        <v>40.468980637543225</v>
      </c>
      <c r="H9797" s="74">
        <f t="shared" si="305"/>
        <v>2.5419705789296643E-2</v>
      </c>
    </row>
    <row r="9798" spans="5:8" ht="15.6">
      <c r="E9798" s="279" t="s">
        <v>10124</v>
      </c>
      <c r="F9798" s="284">
        <f t="shared" ca="1" si="304"/>
        <v>0.90467545639745861</v>
      </c>
      <c r="G9798" s="74">
        <v>35.077313514997911</v>
      </c>
      <c r="H9798" s="74">
        <f t="shared" si="305"/>
        <v>5.417086828334611</v>
      </c>
    </row>
    <row r="9799" spans="5:8" ht="15.6">
      <c r="E9799" s="279" t="s">
        <v>10125</v>
      </c>
      <c r="F9799" s="284">
        <f t="shared" ca="1" si="304"/>
        <v>0.61095318103812113</v>
      </c>
      <c r="G9799" s="74">
        <v>41.955451776944749</v>
      </c>
      <c r="H9799" s="74">
        <f t="shared" si="305"/>
        <v>-1.4610514336122264</v>
      </c>
    </row>
    <row r="9800" spans="5:8" ht="15.6">
      <c r="E9800" s="279" t="s">
        <v>10126</v>
      </c>
      <c r="F9800" s="284">
        <f t="shared" ca="1" si="304"/>
        <v>5.7099718192301196E-2</v>
      </c>
      <c r="G9800" s="74">
        <v>35.439807551651249</v>
      </c>
      <c r="H9800" s="74">
        <f t="shared" si="305"/>
        <v>5.054592791681273</v>
      </c>
    </row>
    <row r="9801" spans="5:8" ht="15.6">
      <c r="E9801" s="279" t="s">
        <v>10127</v>
      </c>
      <c r="F9801" s="284">
        <f t="shared" ca="1" si="304"/>
        <v>0.39868968281727557</v>
      </c>
      <c r="G9801" s="74">
        <v>41.538965709403179</v>
      </c>
      <c r="H9801" s="74">
        <f t="shared" si="305"/>
        <v>-1.0445653660706569</v>
      </c>
    </row>
    <row r="9802" spans="5:8" ht="15.6">
      <c r="E9802" s="279" t="s">
        <v>10128</v>
      </c>
      <c r="F9802" s="284">
        <f t="shared" ca="1" si="304"/>
        <v>0.81892913109917231</v>
      </c>
      <c r="G9802" s="74">
        <v>40.928132174845437</v>
      </c>
      <c r="H9802" s="74">
        <f t="shared" si="305"/>
        <v>-0.43373183151291528</v>
      </c>
    </row>
    <row r="9803" spans="5:8" ht="15.6">
      <c r="E9803" s="279" t="s">
        <v>10129</v>
      </c>
      <c r="F9803" s="284">
        <f t="shared" ca="1" si="304"/>
        <v>0.28327404690654856</v>
      </c>
      <c r="G9803" s="74">
        <v>43.548498741701792</v>
      </c>
      <c r="H9803" s="74">
        <f t="shared" si="305"/>
        <v>-3.0540983983692698</v>
      </c>
    </row>
    <row r="9804" spans="5:8" ht="15.6">
      <c r="E9804" s="279" t="s">
        <v>10130</v>
      </c>
      <c r="F9804" s="284">
        <f t="shared" ref="F9804:F9867" ca="1" si="306">RAND()</f>
        <v>0.79985433161462327</v>
      </c>
      <c r="G9804" s="74">
        <v>37.637748929592618</v>
      </c>
      <c r="H9804" s="74">
        <f t="shared" ref="H9804:H9867" si="307">$D$2-G9804</f>
        <v>2.8566514137399039</v>
      </c>
    </row>
    <row r="9805" spans="5:8" ht="15.6">
      <c r="E9805" s="279" t="s">
        <v>10131</v>
      </c>
      <c r="F9805" s="284">
        <f t="shared" ca="1" si="306"/>
        <v>0.26070723118314298</v>
      </c>
      <c r="G9805" s="74">
        <v>38.157351550864107</v>
      </c>
      <c r="H9805" s="74">
        <f t="shared" si="307"/>
        <v>2.3370487924684156</v>
      </c>
    </row>
    <row r="9806" spans="5:8" ht="15.6">
      <c r="E9806" s="279" t="s">
        <v>10132</v>
      </c>
      <c r="F9806" s="284">
        <f t="shared" ca="1" si="306"/>
        <v>1.5601383404848734E-2</v>
      </c>
      <c r="G9806" s="74">
        <v>36.429731135108447</v>
      </c>
      <c r="H9806" s="74">
        <f t="shared" si="307"/>
        <v>4.0646692082240747</v>
      </c>
    </row>
    <row r="9807" spans="5:8" ht="15.6">
      <c r="E9807" s="279" t="s">
        <v>10133</v>
      </c>
      <c r="F9807" s="284">
        <f t="shared" ca="1" si="306"/>
        <v>0.51211382975862618</v>
      </c>
      <c r="G9807" s="74">
        <v>39.825543140696091</v>
      </c>
      <c r="H9807" s="74">
        <f t="shared" si="307"/>
        <v>0.66885720263643123</v>
      </c>
    </row>
    <row r="9808" spans="5:8" ht="15.6">
      <c r="E9808" s="279" t="s">
        <v>10134</v>
      </c>
      <c r="F9808" s="284">
        <f t="shared" ca="1" si="306"/>
        <v>0.63094833805416617</v>
      </c>
      <c r="G9808" s="74">
        <v>37.261728491216338</v>
      </c>
      <c r="H9808" s="74">
        <f t="shared" si="307"/>
        <v>3.2326718521161837</v>
      </c>
    </row>
    <row r="9809" spans="5:8" ht="15.6">
      <c r="E9809" s="279" t="s">
        <v>10135</v>
      </c>
      <c r="F9809" s="284">
        <f t="shared" ca="1" si="306"/>
        <v>0.72217881910369319</v>
      </c>
      <c r="G9809" s="74">
        <v>37.680600947281455</v>
      </c>
      <c r="H9809" s="74">
        <f t="shared" si="307"/>
        <v>2.813799396051067</v>
      </c>
    </row>
    <row r="9810" spans="5:8" ht="15.6">
      <c r="E9810" s="279" t="s">
        <v>10136</v>
      </c>
      <c r="F9810" s="284">
        <f t="shared" ca="1" si="306"/>
        <v>0.24312510316946945</v>
      </c>
      <c r="G9810" s="74">
        <v>38.427005052919505</v>
      </c>
      <c r="H9810" s="74">
        <f t="shared" si="307"/>
        <v>2.0673952904130175</v>
      </c>
    </row>
    <row r="9811" spans="5:8" ht="15.6">
      <c r="E9811" s="279" t="s">
        <v>10137</v>
      </c>
      <c r="F9811" s="284">
        <f t="shared" ca="1" si="306"/>
        <v>0.14794260057134889</v>
      </c>
      <c r="G9811" s="74">
        <v>38.125881245701009</v>
      </c>
      <c r="H9811" s="74">
        <f t="shared" si="307"/>
        <v>2.3685190976315127</v>
      </c>
    </row>
    <row r="9812" spans="5:8" ht="15.6">
      <c r="E9812" s="279" t="s">
        <v>10138</v>
      </c>
      <c r="F9812" s="284">
        <f t="shared" ca="1" si="306"/>
        <v>0.21942738217061553</v>
      </c>
      <c r="G9812" s="74">
        <v>38.643354615135245</v>
      </c>
      <c r="H9812" s="74">
        <f t="shared" si="307"/>
        <v>1.8510457281972776</v>
      </c>
    </row>
    <row r="9813" spans="5:8" ht="15.6">
      <c r="E9813" s="279" t="s">
        <v>10139</v>
      </c>
      <c r="F9813" s="284">
        <f t="shared" ca="1" si="306"/>
        <v>0.55013329029304014</v>
      </c>
      <c r="G9813" s="74">
        <v>42.151888443341292</v>
      </c>
      <c r="H9813" s="74">
        <f t="shared" si="307"/>
        <v>-1.65748810000877</v>
      </c>
    </row>
    <row r="9814" spans="5:8" ht="15.6">
      <c r="E9814" s="279" t="s">
        <v>10140</v>
      </c>
      <c r="F9814" s="284">
        <f t="shared" ca="1" si="306"/>
        <v>0.9812409752522987</v>
      </c>
      <c r="G9814" s="74">
        <v>39.542380068076447</v>
      </c>
      <c r="H9814" s="74">
        <f t="shared" si="307"/>
        <v>0.95202027525607491</v>
      </c>
    </row>
    <row r="9815" spans="5:8" ht="15.6">
      <c r="E9815" s="279" t="s">
        <v>10141</v>
      </c>
      <c r="F9815" s="284">
        <f t="shared" ca="1" si="306"/>
        <v>0.42576531358437131</v>
      </c>
      <c r="G9815" s="74">
        <v>36.29424787887978</v>
      </c>
      <c r="H9815" s="74">
        <f t="shared" si="307"/>
        <v>4.2001524644527422</v>
      </c>
    </row>
    <row r="9816" spans="5:8" ht="15.6">
      <c r="E9816" s="279" t="s">
        <v>10142</v>
      </c>
      <c r="F9816" s="284">
        <f t="shared" ca="1" si="306"/>
        <v>0.18051530255682213</v>
      </c>
      <c r="G9816" s="74">
        <v>37.836395324693022</v>
      </c>
      <c r="H9816" s="74">
        <f t="shared" si="307"/>
        <v>2.6580050186394999</v>
      </c>
    </row>
    <row r="9817" spans="5:8" ht="15.6">
      <c r="E9817" s="279" t="s">
        <v>10143</v>
      </c>
      <c r="F9817" s="284">
        <f t="shared" ca="1" si="306"/>
        <v>0.12602771032643789</v>
      </c>
      <c r="G9817" s="74">
        <v>39.011295585023774</v>
      </c>
      <c r="H9817" s="74">
        <f t="shared" si="307"/>
        <v>1.4831047583087482</v>
      </c>
    </row>
    <row r="9818" spans="5:8" ht="15.6">
      <c r="E9818" s="279" t="s">
        <v>10144</v>
      </c>
      <c r="F9818" s="284">
        <f t="shared" ca="1" si="306"/>
        <v>0.24423897400937766</v>
      </c>
      <c r="G9818" s="74">
        <v>40.015544833738389</v>
      </c>
      <c r="H9818" s="74">
        <f t="shared" si="307"/>
        <v>0.47885550959413337</v>
      </c>
    </row>
    <row r="9819" spans="5:8" ht="15.6">
      <c r="E9819" s="279" t="s">
        <v>10145</v>
      </c>
      <c r="F9819" s="284">
        <f t="shared" ca="1" si="306"/>
        <v>0.4639684886059936</v>
      </c>
      <c r="G9819" s="74">
        <v>42.852350329401446</v>
      </c>
      <c r="H9819" s="74">
        <f t="shared" si="307"/>
        <v>-2.3579499860689239</v>
      </c>
    </row>
    <row r="9820" spans="5:8" ht="15.6">
      <c r="E9820" s="279" t="s">
        <v>10146</v>
      </c>
      <c r="F9820" s="284">
        <f t="shared" ca="1" si="306"/>
        <v>0.99873659167608297</v>
      </c>
      <c r="G9820" s="74">
        <v>40.135433033166507</v>
      </c>
      <c r="H9820" s="74">
        <f t="shared" si="307"/>
        <v>0.35896731016601535</v>
      </c>
    </row>
    <row r="9821" spans="5:8" ht="15.6">
      <c r="E9821" s="279" t="s">
        <v>10147</v>
      </c>
      <c r="F9821" s="284">
        <f t="shared" ca="1" si="306"/>
        <v>0.23608362959436568</v>
      </c>
      <c r="G9821" s="74">
        <v>38.595940033912491</v>
      </c>
      <c r="H9821" s="74">
        <f t="shared" si="307"/>
        <v>1.898460309420031</v>
      </c>
    </row>
    <row r="9822" spans="5:8" ht="15.6">
      <c r="E9822" s="279" t="s">
        <v>10148</v>
      </c>
      <c r="F9822" s="284">
        <f t="shared" ca="1" si="306"/>
        <v>0.79474861791643914</v>
      </c>
      <c r="G9822" s="74">
        <v>39.032159825588288</v>
      </c>
      <c r="H9822" s="74">
        <f t="shared" si="307"/>
        <v>1.4622405177442346</v>
      </c>
    </row>
    <row r="9823" spans="5:8" ht="15.6">
      <c r="E9823" s="279" t="s">
        <v>10149</v>
      </c>
      <c r="F9823" s="284">
        <f t="shared" ca="1" si="306"/>
        <v>5.1018260925133396E-2</v>
      </c>
      <c r="G9823" s="74">
        <v>39.621034913859376</v>
      </c>
      <c r="H9823" s="74">
        <f t="shared" si="307"/>
        <v>0.87336542947314655</v>
      </c>
    </row>
    <row r="9824" spans="5:8" ht="15.6">
      <c r="E9824" s="279" t="s">
        <v>10150</v>
      </c>
      <c r="F9824" s="284">
        <f t="shared" ca="1" si="306"/>
        <v>0.25422626996272779</v>
      </c>
      <c r="G9824" s="74">
        <v>43.544266852774996</v>
      </c>
      <c r="H9824" s="74">
        <f t="shared" si="307"/>
        <v>-3.0498665094424737</v>
      </c>
    </row>
    <row r="9825" spans="5:8" ht="15.6">
      <c r="E9825" s="279" t="s">
        <v>10151</v>
      </c>
      <c r="F9825" s="284">
        <f t="shared" ca="1" si="306"/>
        <v>0.47697805795259018</v>
      </c>
      <c r="G9825" s="74">
        <v>37.104022168569095</v>
      </c>
      <c r="H9825" s="74">
        <f t="shared" si="307"/>
        <v>3.390378174763427</v>
      </c>
    </row>
    <row r="9826" spans="5:8" ht="15.6">
      <c r="E9826" s="279" t="s">
        <v>10152</v>
      </c>
      <c r="F9826" s="284">
        <f t="shared" ca="1" si="306"/>
        <v>8.1097047091712615E-2</v>
      </c>
      <c r="G9826" s="74">
        <v>37.362494524387806</v>
      </c>
      <c r="H9826" s="74">
        <f t="shared" si="307"/>
        <v>3.1319058189447162</v>
      </c>
    </row>
    <row r="9827" spans="5:8" ht="15.6">
      <c r="E9827" s="279" t="s">
        <v>10153</v>
      </c>
      <c r="F9827" s="284">
        <f t="shared" ca="1" si="306"/>
        <v>0.51945273308038264</v>
      </c>
      <c r="G9827" s="74">
        <v>41.657295582918088</v>
      </c>
      <c r="H9827" s="74">
        <f t="shared" si="307"/>
        <v>-1.1628952395855663</v>
      </c>
    </row>
    <row r="9828" spans="5:8" ht="15.6">
      <c r="E9828" s="279" t="s">
        <v>10154</v>
      </c>
      <c r="F9828" s="284">
        <f t="shared" ca="1" si="306"/>
        <v>0.39215095668079192</v>
      </c>
      <c r="G9828" s="74">
        <v>36.974539647984265</v>
      </c>
      <c r="H9828" s="74">
        <f t="shared" si="307"/>
        <v>3.5198606953482567</v>
      </c>
    </row>
    <row r="9829" spans="5:8" ht="15.6">
      <c r="E9829" s="279" t="s">
        <v>10155</v>
      </c>
      <c r="F9829" s="284">
        <f t="shared" ca="1" si="306"/>
        <v>0.11860024796949309</v>
      </c>
      <c r="G9829" s="74">
        <v>37.945427247631329</v>
      </c>
      <c r="H9829" s="74">
        <f t="shared" si="307"/>
        <v>2.5489730957011929</v>
      </c>
    </row>
    <row r="9830" spans="5:8" ht="15.6">
      <c r="E9830" s="279" t="s">
        <v>10156</v>
      </c>
      <c r="F9830" s="284">
        <f t="shared" ca="1" si="306"/>
        <v>0.44686455706485939</v>
      </c>
      <c r="G9830" s="74">
        <v>41.903359739639747</v>
      </c>
      <c r="H9830" s="74">
        <f t="shared" si="307"/>
        <v>-1.4089593963072247</v>
      </c>
    </row>
    <row r="9831" spans="5:8" ht="15.6">
      <c r="E9831" s="279" t="s">
        <v>10157</v>
      </c>
      <c r="F9831" s="284">
        <f t="shared" ca="1" si="306"/>
        <v>0.6711161954242606</v>
      </c>
      <c r="G9831" s="74">
        <v>40.437866061106632</v>
      </c>
      <c r="H9831" s="74">
        <f t="shared" si="307"/>
        <v>5.6534282225889854E-2</v>
      </c>
    </row>
    <row r="9832" spans="5:8" ht="15.6">
      <c r="E9832" s="279" t="s">
        <v>10158</v>
      </c>
      <c r="F9832" s="284">
        <f t="shared" ca="1" si="306"/>
        <v>0.50673812906428306</v>
      </c>
      <c r="G9832" s="74">
        <v>42.9868292120807</v>
      </c>
      <c r="H9832" s="74">
        <f t="shared" si="307"/>
        <v>-2.4924288687481777</v>
      </c>
    </row>
    <row r="9833" spans="5:8" ht="15.6">
      <c r="E9833" s="279" t="s">
        <v>10159</v>
      </c>
      <c r="F9833" s="284">
        <f t="shared" ca="1" si="306"/>
        <v>0.35520226077874029</v>
      </c>
      <c r="G9833" s="74">
        <v>40.253706007112079</v>
      </c>
      <c r="H9833" s="74">
        <f t="shared" si="307"/>
        <v>0.24069433622044301</v>
      </c>
    </row>
    <row r="9834" spans="5:8" ht="15.6">
      <c r="E9834" s="279" t="s">
        <v>10160</v>
      </c>
      <c r="F9834" s="284">
        <f t="shared" ca="1" si="306"/>
        <v>0.88913819906541181</v>
      </c>
      <c r="G9834" s="74">
        <v>37.495187485395761</v>
      </c>
      <c r="H9834" s="74">
        <f t="shared" si="307"/>
        <v>2.9992128579367616</v>
      </c>
    </row>
    <row r="9835" spans="5:8" ht="15.6">
      <c r="E9835" s="279" t="s">
        <v>10161</v>
      </c>
      <c r="F9835" s="284">
        <f t="shared" ca="1" si="306"/>
        <v>0.86519433865209872</v>
      </c>
      <c r="G9835" s="74">
        <v>41.126263369537561</v>
      </c>
      <c r="H9835" s="74">
        <f t="shared" si="307"/>
        <v>-0.63186302620503909</v>
      </c>
    </row>
    <row r="9836" spans="5:8" ht="15.6">
      <c r="E9836" s="279" t="s">
        <v>10162</v>
      </c>
      <c r="F9836" s="284">
        <f t="shared" ca="1" si="306"/>
        <v>0.30241677834084291</v>
      </c>
      <c r="G9836" s="74">
        <v>38.42826022444013</v>
      </c>
      <c r="H9836" s="74">
        <f t="shared" si="307"/>
        <v>2.0661401188923918</v>
      </c>
    </row>
    <row r="9837" spans="5:8" ht="15.6">
      <c r="E9837" s="279" t="s">
        <v>10163</v>
      </c>
      <c r="F9837" s="284">
        <f t="shared" ca="1" si="306"/>
        <v>0.66084148162076439</v>
      </c>
      <c r="G9837" s="74">
        <v>39.032507567997506</v>
      </c>
      <c r="H9837" s="74">
        <f t="shared" si="307"/>
        <v>1.4618927753350164</v>
      </c>
    </row>
    <row r="9838" spans="5:8" ht="15.6">
      <c r="E9838" s="279" t="s">
        <v>10164</v>
      </c>
      <c r="F9838" s="284">
        <f t="shared" ca="1" si="306"/>
        <v>0.41090226477181024</v>
      </c>
      <c r="G9838" s="74">
        <v>42.754963109596176</v>
      </c>
      <c r="H9838" s="74">
        <f t="shared" si="307"/>
        <v>-2.2605627662636536</v>
      </c>
    </row>
    <row r="9839" spans="5:8" ht="15.6">
      <c r="E9839" s="279" t="s">
        <v>10165</v>
      </c>
      <c r="F9839" s="284">
        <f t="shared" ca="1" si="306"/>
        <v>0.43726726396353699</v>
      </c>
      <c r="G9839" s="74">
        <v>42.036811192097758</v>
      </c>
      <c r="H9839" s="74">
        <f t="shared" si="307"/>
        <v>-1.5424108487652362</v>
      </c>
    </row>
    <row r="9840" spans="5:8" ht="15.6">
      <c r="E9840" s="279" t="s">
        <v>10166</v>
      </c>
      <c r="F9840" s="284">
        <f t="shared" ca="1" si="306"/>
        <v>0.44483299320434044</v>
      </c>
      <c r="G9840" s="74">
        <v>39.2541999641006</v>
      </c>
      <c r="H9840" s="74">
        <f t="shared" si="307"/>
        <v>1.2402003792319221</v>
      </c>
    </row>
    <row r="9841" spans="5:8" ht="15.6">
      <c r="E9841" s="279" t="s">
        <v>10167</v>
      </c>
      <c r="F9841" s="284">
        <f t="shared" ca="1" si="306"/>
        <v>0.16263832282371826</v>
      </c>
      <c r="G9841" s="74">
        <v>39.369551934606363</v>
      </c>
      <c r="H9841" s="74">
        <f t="shared" si="307"/>
        <v>1.1248484087261588</v>
      </c>
    </row>
    <row r="9842" spans="5:8" ht="15.6">
      <c r="E9842" s="279" t="s">
        <v>10168</v>
      </c>
      <c r="F9842" s="284">
        <f t="shared" ca="1" si="306"/>
        <v>0.59073049162247693</v>
      </c>
      <c r="G9842" s="74">
        <v>40.405334887448234</v>
      </c>
      <c r="H9842" s="74">
        <f t="shared" si="307"/>
        <v>8.9065455884288269E-2</v>
      </c>
    </row>
    <row r="9843" spans="5:8" ht="15.6">
      <c r="E9843" s="279" t="s">
        <v>10169</v>
      </c>
      <c r="F9843" s="284">
        <f t="shared" ca="1" si="306"/>
        <v>0.63111357881146002</v>
      </c>
      <c r="G9843" s="74">
        <v>42.246917850081402</v>
      </c>
      <c r="H9843" s="74">
        <f t="shared" si="307"/>
        <v>-1.7525175067488803</v>
      </c>
    </row>
    <row r="9844" spans="5:8" ht="15.6">
      <c r="E9844" s="279" t="s">
        <v>10170</v>
      </c>
      <c r="F9844" s="284">
        <f t="shared" ca="1" si="306"/>
        <v>0.59166832661405333</v>
      </c>
      <c r="G9844" s="74">
        <v>39.315785184938477</v>
      </c>
      <c r="H9844" s="74">
        <f t="shared" si="307"/>
        <v>1.1786151583940452</v>
      </c>
    </row>
    <row r="9845" spans="5:8" ht="15.6">
      <c r="E9845" s="279" t="s">
        <v>10171</v>
      </c>
      <c r="F9845" s="284">
        <f t="shared" ca="1" si="306"/>
        <v>0.92036618894689759</v>
      </c>
      <c r="G9845" s="74">
        <v>37.570925997379227</v>
      </c>
      <c r="H9845" s="74">
        <f t="shared" si="307"/>
        <v>2.923474345953295</v>
      </c>
    </row>
    <row r="9846" spans="5:8" ht="15.6">
      <c r="E9846" s="279" t="s">
        <v>10172</v>
      </c>
      <c r="F9846" s="284">
        <f t="shared" ca="1" si="306"/>
        <v>0.14173192837290438</v>
      </c>
      <c r="G9846" s="74">
        <v>40.557394308691435</v>
      </c>
      <c r="H9846" s="74">
        <f t="shared" si="307"/>
        <v>-6.2993965358913329E-2</v>
      </c>
    </row>
    <row r="9847" spans="5:8" ht="15.6">
      <c r="E9847" s="279" t="s">
        <v>10173</v>
      </c>
      <c r="F9847" s="284">
        <f t="shared" ca="1" si="306"/>
        <v>0.98039341465803287</v>
      </c>
      <c r="G9847" s="74">
        <v>36.751670096387691</v>
      </c>
      <c r="H9847" s="74">
        <f t="shared" si="307"/>
        <v>3.7427302469448307</v>
      </c>
    </row>
    <row r="9848" spans="5:8" ht="15.6">
      <c r="E9848" s="279" t="s">
        <v>10174</v>
      </c>
      <c r="F9848" s="284">
        <f t="shared" ca="1" si="306"/>
        <v>0.86695793559856105</v>
      </c>
      <c r="G9848" s="74">
        <v>39.70776851081326</v>
      </c>
      <c r="H9848" s="74">
        <f t="shared" si="307"/>
        <v>0.78663183251926228</v>
      </c>
    </row>
    <row r="9849" spans="5:8" ht="15.6">
      <c r="E9849" s="279" t="s">
        <v>10175</v>
      </c>
      <c r="F9849" s="284">
        <f t="shared" ca="1" si="306"/>
        <v>0.62976073517750886</v>
      </c>
      <c r="G9849" s="74">
        <v>36.159287581104451</v>
      </c>
      <c r="H9849" s="74">
        <f t="shared" si="307"/>
        <v>4.3351127622280714</v>
      </c>
    </row>
    <row r="9850" spans="5:8" ht="15.6">
      <c r="E9850" s="279" t="s">
        <v>10176</v>
      </c>
      <c r="F9850" s="284">
        <f t="shared" ca="1" si="306"/>
        <v>2.7179058693266867E-2</v>
      </c>
      <c r="G9850" s="74">
        <v>40.989281130607047</v>
      </c>
      <c r="H9850" s="74">
        <f t="shared" si="307"/>
        <v>-0.49488078727452489</v>
      </c>
    </row>
    <row r="9851" spans="5:8" ht="15.6">
      <c r="E9851" s="279" t="s">
        <v>10177</v>
      </c>
      <c r="F9851" s="284">
        <f t="shared" ca="1" si="306"/>
        <v>0.41310001345222824</v>
      </c>
      <c r="G9851" s="74">
        <v>37.98201263917904</v>
      </c>
      <c r="H9851" s="74">
        <f t="shared" si="307"/>
        <v>2.5123877041534826</v>
      </c>
    </row>
    <row r="9852" spans="5:8" ht="15.6">
      <c r="E9852" s="279" t="s">
        <v>10178</v>
      </c>
      <c r="F9852" s="284">
        <f t="shared" ca="1" si="306"/>
        <v>0.48928229800703038</v>
      </c>
      <c r="G9852" s="74">
        <v>42.953150576376963</v>
      </c>
      <c r="H9852" s="74">
        <f t="shared" si="307"/>
        <v>-2.4587502330444408</v>
      </c>
    </row>
    <row r="9853" spans="5:8" ht="15.6">
      <c r="E9853" s="279" t="s">
        <v>10179</v>
      </c>
      <c r="F9853" s="284">
        <f t="shared" ca="1" si="306"/>
        <v>0.19983278381439129</v>
      </c>
      <c r="G9853" s="74">
        <v>37.003328019234772</v>
      </c>
      <c r="H9853" s="74">
        <f t="shared" si="307"/>
        <v>3.4910723240977504</v>
      </c>
    </row>
    <row r="9854" spans="5:8" ht="15.6">
      <c r="E9854" s="279" t="s">
        <v>10180</v>
      </c>
      <c r="F9854" s="284">
        <f t="shared" ca="1" si="306"/>
        <v>0.83464439053968298</v>
      </c>
      <c r="G9854" s="74">
        <v>43.44126730003228</v>
      </c>
      <c r="H9854" s="74">
        <f t="shared" si="307"/>
        <v>-2.9468669566997576</v>
      </c>
    </row>
    <row r="9855" spans="5:8" ht="15.6">
      <c r="E9855" s="279" t="s">
        <v>10181</v>
      </c>
      <c r="F9855" s="284">
        <f t="shared" ca="1" si="306"/>
        <v>5.9241073828555035E-2</v>
      </c>
      <c r="G9855" s="74">
        <v>38.93209115169752</v>
      </c>
      <c r="H9855" s="74">
        <f t="shared" si="307"/>
        <v>1.562309191635002</v>
      </c>
    </row>
    <row r="9856" spans="5:8" ht="15.6">
      <c r="E9856" s="279" t="s">
        <v>10182</v>
      </c>
      <c r="F9856" s="284">
        <f t="shared" ca="1" si="306"/>
        <v>0.98444828177163735</v>
      </c>
      <c r="G9856" s="74">
        <v>42.47199943677591</v>
      </c>
      <c r="H9856" s="74">
        <f t="shared" si="307"/>
        <v>-1.9775990934433878</v>
      </c>
    </row>
    <row r="9857" spans="5:8" ht="15.6">
      <c r="E9857" s="279" t="s">
        <v>10183</v>
      </c>
      <c r="F9857" s="284">
        <f t="shared" ca="1" si="306"/>
        <v>0.85692662596544111</v>
      </c>
      <c r="G9857" s="74">
        <v>39.375641534255017</v>
      </c>
      <c r="H9857" s="74">
        <f t="shared" si="307"/>
        <v>1.1187588090775051</v>
      </c>
    </row>
    <row r="9858" spans="5:8" ht="15.6">
      <c r="E9858" s="279" t="s">
        <v>10184</v>
      </c>
      <c r="F9858" s="284">
        <f t="shared" ca="1" si="306"/>
        <v>0.79637846649553312</v>
      </c>
      <c r="G9858" s="74">
        <v>38.002913150764975</v>
      </c>
      <c r="H9858" s="74">
        <f t="shared" si="307"/>
        <v>2.491487192567547</v>
      </c>
    </row>
    <row r="9859" spans="5:8" ht="15.6">
      <c r="E9859" s="279" t="s">
        <v>10185</v>
      </c>
      <c r="F9859" s="284">
        <f t="shared" ca="1" si="306"/>
        <v>0.64403269055564016</v>
      </c>
      <c r="G9859" s="74">
        <v>38.357262493327049</v>
      </c>
      <c r="H9859" s="74">
        <f t="shared" si="307"/>
        <v>2.1371378500054732</v>
      </c>
    </row>
    <row r="9860" spans="5:8" ht="15.6">
      <c r="E9860" s="279" t="s">
        <v>10186</v>
      </c>
      <c r="F9860" s="284">
        <f t="shared" ca="1" si="306"/>
        <v>0.85464597409788823</v>
      </c>
      <c r="G9860" s="74">
        <v>37.450208758504409</v>
      </c>
      <c r="H9860" s="74">
        <f t="shared" si="307"/>
        <v>3.0441915848281127</v>
      </c>
    </row>
    <row r="9861" spans="5:8" ht="15.6">
      <c r="E9861" s="279" t="s">
        <v>10187</v>
      </c>
      <c r="F9861" s="284">
        <f t="shared" ca="1" si="306"/>
        <v>0.15883294345135768</v>
      </c>
      <c r="G9861" s="74">
        <v>40.649455923104313</v>
      </c>
      <c r="H9861" s="74">
        <f t="shared" si="307"/>
        <v>-0.15505557977179052</v>
      </c>
    </row>
    <row r="9862" spans="5:8" ht="15.6">
      <c r="E9862" s="279" t="s">
        <v>10188</v>
      </c>
      <c r="F9862" s="284">
        <f t="shared" ca="1" si="306"/>
        <v>0.78948559271227203</v>
      </c>
      <c r="G9862" s="74">
        <v>37.82937357725055</v>
      </c>
      <c r="H9862" s="74">
        <f t="shared" si="307"/>
        <v>2.6650267660819722</v>
      </c>
    </row>
    <row r="9863" spans="5:8" ht="15.6">
      <c r="E9863" s="279" t="s">
        <v>10189</v>
      </c>
      <c r="F9863" s="284">
        <f t="shared" ca="1" si="306"/>
        <v>0.78492934616522647</v>
      </c>
      <c r="G9863" s="74">
        <v>37.888096527345603</v>
      </c>
      <c r="H9863" s="74">
        <f t="shared" si="307"/>
        <v>2.6063038159869194</v>
      </c>
    </row>
    <row r="9864" spans="5:8" ht="15.6">
      <c r="E9864" s="279" t="s">
        <v>10190</v>
      </c>
      <c r="F9864" s="284">
        <f t="shared" ca="1" si="306"/>
        <v>0.17957642041446131</v>
      </c>
      <c r="G9864" s="74">
        <v>39.723678225556668</v>
      </c>
      <c r="H9864" s="74">
        <f t="shared" si="307"/>
        <v>0.77072211777585409</v>
      </c>
    </row>
    <row r="9865" spans="5:8" ht="15.6">
      <c r="E9865" s="279" t="s">
        <v>10191</v>
      </c>
      <c r="F9865" s="284">
        <f t="shared" ca="1" si="306"/>
        <v>0.75088563322135227</v>
      </c>
      <c r="G9865" s="74">
        <v>36.543199247852627</v>
      </c>
      <c r="H9865" s="74">
        <f t="shared" si="307"/>
        <v>3.9512010954798953</v>
      </c>
    </row>
    <row r="9866" spans="5:8" ht="15.6">
      <c r="E9866" s="279" t="s">
        <v>10192</v>
      </c>
      <c r="F9866" s="284">
        <f t="shared" ca="1" si="306"/>
        <v>0.81268553583193559</v>
      </c>
      <c r="G9866" s="74">
        <v>41.741401490667165</v>
      </c>
      <c r="H9866" s="74">
        <f t="shared" si="307"/>
        <v>-1.2470011473346432</v>
      </c>
    </row>
    <row r="9867" spans="5:8" ht="15.6">
      <c r="E9867" s="279" t="s">
        <v>10193</v>
      </c>
      <c r="F9867" s="284">
        <f t="shared" ca="1" si="306"/>
        <v>0.82271547661639954</v>
      </c>
      <c r="G9867" s="74">
        <v>38.00526833868242</v>
      </c>
      <c r="H9867" s="74">
        <f t="shared" si="307"/>
        <v>2.4891320046501022</v>
      </c>
    </row>
    <row r="9868" spans="5:8" ht="15.6">
      <c r="E9868" s="279" t="s">
        <v>10194</v>
      </c>
      <c r="F9868" s="284">
        <f t="shared" ref="F9868:F9931" ca="1" si="308">RAND()</f>
        <v>0.34294899321278771</v>
      </c>
      <c r="G9868" s="74">
        <v>39.94243315407671</v>
      </c>
      <c r="H9868" s="74">
        <f t="shared" ref="H9868:H9931" si="309">$D$2-G9868</f>
        <v>0.55196718925581223</v>
      </c>
    </row>
    <row r="9869" spans="5:8" ht="15.6">
      <c r="E9869" s="279" t="s">
        <v>10195</v>
      </c>
      <c r="F9869" s="284">
        <f t="shared" ca="1" si="308"/>
        <v>0.39530079198716717</v>
      </c>
      <c r="G9869" s="74">
        <v>37.627793301972915</v>
      </c>
      <c r="H9869" s="74">
        <f t="shared" si="309"/>
        <v>2.8666070413596074</v>
      </c>
    </row>
    <row r="9870" spans="5:8" ht="15.6">
      <c r="E9870" s="279" t="s">
        <v>10196</v>
      </c>
      <c r="F9870" s="284">
        <f t="shared" ca="1" si="308"/>
        <v>0.45082881527691798</v>
      </c>
      <c r="G9870" s="74">
        <v>39.680029489840607</v>
      </c>
      <c r="H9870" s="74">
        <f t="shared" si="309"/>
        <v>0.81437085349191562</v>
      </c>
    </row>
    <row r="9871" spans="5:8" ht="15.6">
      <c r="E9871" s="279" t="s">
        <v>10197</v>
      </c>
      <c r="F9871" s="284">
        <f t="shared" ca="1" si="308"/>
        <v>0.32234983726538391</v>
      </c>
      <c r="G9871" s="74">
        <v>43.4818921735624</v>
      </c>
      <c r="H9871" s="74">
        <f t="shared" si="309"/>
        <v>-2.9874918302298781</v>
      </c>
    </row>
    <row r="9872" spans="5:8" ht="15.6">
      <c r="E9872" s="279" t="s">
        <v>10198</v>
      </c>
      <c r="F9872" s="284">
        <f t="shared" ca="1" si="308"/>
        <v>0.41189182936634117</v>
      </c>
      <c r="G9872" s="74">
        <v>41.014040887723674</v>
      </c>
      <c r="H9872" s="74">
        <f t="shared" si="309"/>
        <v>-0.51964054439115159</v>
      </c>
    </row>
    <row r="9873" spans="5:8" ht="15.6">
      <c r="E9873" s="279" t="s">
        <v>10199</v>
      </c>
      <c r="F9873" s="284">
        <f t="shared" ca="1" si="308"/>
        <v>0.36719808959461087</v>
      </c>
      <c r="G9873" s="74">
        <v>38.245443471442819</v>
      </c>
      <c r="H9873" s="74">
        <f t="shared" si="309"/>
        <v>2.2489568718897033</v>
      </c>
    </row>
    <row r="9874" spans="5:8" ht="15.6">
      <c r="E9874" s="279" t="s">
        <v>10200</v>
      </c>
      <c r="F9874" s="284">
        <f t="shared" ca="1" si="308"/>
        <v>0.34578721180488803</v>
      </c>
      <c r="G9874" s="74">
        <v>38.033432752830549</v>
      </c>
      <c r="H9874" s="74">
        <f t="shared" si="309"/>
        <v>2.4609675905019728</v>
      </c>
    </row>
    <row r="9875" spans="5:8" ht="15.6">
      <c r="E9875" s="279" t="s">
        <v>10201</v>
      </c>
      <c r="F9875" s="284">
        <f t="shared" ca="1" si="308"/>
        <v>0.63036139346371889</v>
      </c>
      <c r="G9875" s="74">
        <v>39.219103089497011</v>
      </c>
      <c r="H9875" s="74">
        <f t="shared" si="309"/>
        <v>1.275297253835511</v>
      </c>
    </row>
    <row r="9876" spans="5:8" ht="15.6">
      <c r="E9876" s="279" t="s">
        <v>10202</v>
      </c>
      <c r="F9876" s="284">
        <f t="shared" ca="1" si="308"/>
        <v>0.98120631635986799</v>
      </c>
      <c r="G9876" s="74">
        <v>40.009736654820827</v>
      </c>
      <c r="H9876" s="74">
        <f t="shared" si="309"/>
        <v>0.48466368851169506</v>
      </c>
    </row>
    <row r="9877" spans="5:8" ht="15.6">
      <c r="E9877" s="279" t="s">
        <v>10203</v>
      </c>
      <c r="F9877" s="284">
        <f t="shared" ca="1" si="308"/>
        <v>0.71921835970862658</v>
      </c>
      <c r="G9877" s="74">
        <v>48.148700606972326</v>
      </c>
      <c r="H9877" s="74">
        <f t="shared" si="309"/>
        <v>-7.6543002636398043</v>
      </c>
    </row>
    <row r="9878" spans="5:8" ht="15.6">
      <c r="E9878" s="279" t="s">
        <v>10204</v>
      </c>
      <c r="F9878" s="284">
        <f t="shared" ca="1" si="308"/>
        <v>0.7222110593749923</v>
      </c>
      <c r="G9878" s="74">
        <v>39.800105964231427</v>
      </c>
      <c r="H9878" s="74">
        <f t="shared" si="309"/>
        <v>0.69429437910109471</v>
      </c>
    </row>
    <row r="9879" spans="5:8" ht="15.6">
      <c r="E9879" s="279" t="s">
        <v>10205</v>
      </c>
      <c r="F9879" s="284">
        <f t="shared" ca="1" si="308"/>
        <v>0.42037893903364021</v>
      </c>
      <c r="G9879" s="74">
        <v>45.36420813853892</v>
      </c>
      <c r="H9879" s="74">
        <f t="shared" si="309"/>
        <v>-4.8698077952063983</v>
      </c>
    </row>
    <row r="9880" spans="5:8" ht="15.6">
      <c r="E9880" s="279" t="s">
        <v>10206</v>
      </c>
      <c r="F9880" s="284">
        <f t="shared" ca="1" si="308"/>
        <v>0.98973330145184524</v>
      </c>
      <c r="G9880" s="74">
        <v>33.49782148860271</v>
      </c>
      <c r="H9880" s="74">
        <f t="shared" si="309"/>
        <v>6.9965788547298118</v>
      </c>
    </row>
    <row r="9881" spans="5:8" ht="15.6">
      <c r="E9881" s="279" t="s">
        <v>10207</v>
      </c>
      <c r="F9881" s="284">
        <f t="shared" ca="1" si="308"/>
        <v>0.69713415487270713</v>
      </c>
      <c r="G9881" s="74">
        <v>37.751487613464739</v>
      </c>
      <c r="H9881" s="74">
        <f t="shared" si="309"/>
        <v>2.7429127298677827</v>
      </c>
    </row>
    <row r="9882" spans="5:8" ht="15.6">
      <c r="E9882" s="279" t="s">
        <v>10208</v>
      </c>
      <c r="F9882" s="284">
        <f t="shared" ca="1" si="308"/>
        <v>0.44844584319157621</v>
      </c>
      <c r="G9882" s="74">
        <v>37.461286428554914</v>
      </c>
      <c r="H9882" s="74">
        <f t="shared" si="309"/>
        <v>3.0331139147776085</v>
      </c>
    </row>
    <row r="9883" spans="5:8" ht="15.6">
      <c r="E9883" s="279" t="s">
        <v>10209</v>
      </c>
      <c r="F9883" s="284">
        <f t="shared" ca="1" si="308"/>
        <v>0.44710909429949675</v>
      </c>
      <c r="G9883" s="74">
        <v>39.816049966022355</v>
      </c>
      <c r="H9883" s="74">
        <f t="shared" si="309"/>
        <v>0.67835037731016712</v>
      </c>
    </row>
    <row r="9884" spans="5:8" ht="15.6">
      <c r="E9884" s="279" t="s">
        <v>10210</v>
      </c>
      <c r="F9884" s="284">
        <f t="shared" ca="1" si="308"/>
        <v>0.60490274409513867</v>
      </c>
      <c r="G9884" s="74">
        <v>37.548668748078846</v>
      </c>
      <c r="H9884" s="74">
        <f t="shared" si="309"/>
        <v>2.945731595253676</v>
      </c>
    </row>
    <row r="9885" spans="5:8" ht="15.6">
      <c r="E9885" s="279" t="s">
        <v>10211</v>
      </c>
      <c r="F9885" s="284">
        <f t="shared" ca="1" si="308"/>
        <v>0.40630641847817572</v>
      </c>
      <c r="G9885" s="74">
        <v>36.14039165039005</v>
      </c>
      <c r="H9885" s="74">
        <f t="shared" si="309"/>
        <v>4.3540086929424717</v>
      </c>
    </row>
    <row r="9886" spans="5:8" ht="15.6">
      <c r="E9886" s="279" t="s">
        <v>10212</v>
      </c>
      <c r="F9886" s="284">
        <f t="shared" ca="1" si="308"/>
        <v>0.26751020977778295</v>
      </c>
      <c r="G9886" s="74">
        <v>40.915812508015094</v>
      </c>
      <c r="H9886" s="74">
        <f t="shared" si="309"/>
        <v>-0.4214121646825717</v>
      </c>
    </row>
    <row r="9887" spans="5:8" ht="15.6">
      <c r="E9887" s="279" t="s">
        <v>10213</v>
      </c>
      <c r="F9887" s="284">
        <f t="shared" ca="1" si="308"/>
        <v>0.67639165409457769</v>
      </c>
      <c r="G9887" s="74">
        <v>40.634274205700208</v>
      </c>
      <c r="H9887" s="74">
        <f t="shared" si="309"/>
        <v>-0.13987386236768629</v>
      </c>
    </row>
    <row r="9888" spans="5:8" ht="15.6">
      <c r="E9888" s="279" t="s">
        <v>10214</v>
      </c>
      <c r="F9888" s="284">
        <f t="shared" ca="1" si="308"/>
        <v>0.41483486142216319</v>
      </c>
      <c r="G9888" s="74">
        <v>38.804372949452627</v>
      </c>
      <c r="H9888" s="74">
        <f t="shared" si="309"/>
        <v>1.6900273938798946</v>
      </c>
    </row>
    <row r="9889" spans="5:8" ht="15.6">
      <c r="E9889" s="279" t="s">
        <v>10215</v>
      </c>
      <c r="F9889" s="284">
        <f t="shared" ca="1" si="308"/>
        <v>0.73390843692649133</v>
      </c>
      <c r="G9889" s="74">
        <v>41.999342192019448</v>
      </c>
      <c r="H9889" s="74">
        <f t="shared" si="309"/>
        <v>-1.5049418486869257</v>
      </c>
    </row>
    <row r="9890" spans="5:8" ht="15.6">
      <c r="E9890" s="279" t="s">
        <v>10216</v>
      </c>
      <c r="F9890" s="284">
        <f t="shared" ca="1" si="308"/>
        <v>0.56577217023424975</v>
      </c>
      <c r="G9890" s="74">
        <v>38.080739972935909</v>
      </c>
      <c r="H9890" s="74">
        <f t="shared" si="309"/>
        <v>2.4136603703966131</v>
      </c>
    </row>
    <row r="9891" spans="5:8" ht="15.6">
      <c r="E9891" s="279" t="s">
        <v>10217</v>
      </c>
      <c r="F9891" s="284">
        <f t="shared" ca="1" si="308"/>
        <v>0.22692421457897338</v>
      </c>
      <c r="G9891" s="74">
        <v>40.570039631633264</v>
      </c>
      <c r="H9891" s="74">
        <f t="shared" si="309"/>
        <v>-7.563928830074218E-2</v>
      </c>
    </row>
    <row r="9892" spans="5:8" ht="15.6">
      <c r="E9892" s="279" t="s">
        <v>10218</v>
      </c>
      <c r="F9892" s="284">
        <f t="shared" ca="1" si="308"/>
        <v>0.58025707898629653</v>
      </c>
      <c r="G9892" s="74">
        <v>37.199636989889889</v>
      </c>
      <c r="H9892" s="74">
        <f t="shared" si="309"/>
        <v>3.294763353442633</v>
      </c>
    </row>
    <row r="9893" spans="5:8" ht="15.6">
      <c r="E9893" s="279" t="s">
        <v>10219</v>
      </c>
      <c r="F9893" s="284">
        <f t="shared" ca="1" si="308"/>
        <v>0.11334921551136234</v>
      </c>
      <c r="G9893" s="74">
        <v>48.070887033871074</v>
      </c>
      <c r="H9893" s="74">
        <f t="shared" si="309"/>
        <v>-7.5764866905385517</v>
      </c>
    </row>
    <row r="9894" spans="5:8" ht="15.6">
      <c r="E9894" s="279" t="s">
        <v>10220</v>
      </c>
      <c r="F9894" s="284">
        <f t="shared" ca="1" si="308"/>
        <v>0.17643596190947985</v>
      </c>
      <c r="G9894" s="74">
        <v>44.512000022104104</v>
      </c>
      <c r="H9894" s="74">
        <f t="shared" si="309"/>
        <v>-4.0175996787715818</v>
      </c>
    </row>
    <row r="9895" spans="5:8" ht="15.6">
      <c r="E9895" s="279" t="s">
        <v>10221</v>
      </c>
      <c r="F9895" s="284">
        <f t="shared" ca="1" si="308"/>
        <v>0.69625926196517829</v>
      </c>
      <c r="G9895" s="74">
        <v>45.65321974382762</v>
      </c>
      <c r="H9895" s="74">
        <f t="shared" si="309"/>
        <v>-5.1588194004950978</v>
      </c>
    </row>
    <row r="9896" spans="5:8" ht="15.6">
      <c r="E9896" s="279" t="s">
        <v>10222</v>
      </c>
      <c r="F9896" s="284">
        <f t="shared" ca="1" si="308"/>
        <v>0.68495883319926831</v>
      </c>
      <c r="G9896" s="74">
        <v>38.895778286674499</v>
      </c>
      <c r="H9896" s="74">
        <f t="shared" si="309"/>
        <v>1.5986220566580229</v>
      </c>
    </row>
    <row r="9897" spans="5:8" ht="15.6">
      <c r="E9897" s="279" t="s">
        <v>10223</v>
      </c>
      <c r="F9897" s="284">
        <f t="shared" ca="1" si="308"/>
        <v>0.67221178045201535</v>
      </c>
      <c r="G9897" s="74">
        <v>40.346532171603378</v>
      </c>
      <c r="H9897" s="74">
        <f t="shared" si="309"/>
        <v>0.14786817172914368</v>
      </c>
    </row>
    <row r="9898" spans="5:8" ht="15.6">
      <c r="E9898" s="279" t="s">
        <v>10224</v>
      </c>
      <c r="F9898" s="284">
        <f t="shared" ca="1" si="308"/>
        <v>8.4106567941500843E-2</v>
      </c>
      <c r="G9898" s="74">
        <v>39.677626388066749</v>
      </c>
      <c r="H9898" s="74">
        <f t="shared" si="309"/>
        <v>0.81677395526577357</v>
      </c>
    </row>
    <row r="9899" spans="5:8" ht="15.6">
      <c r="E9899" s="279" t="s">
        <v>10225</v>
      </c>
      <c r="F9899" s="284">
        <f t="shared" ca="1" si="308"/>
        <v>0.72203126195241574</v>
      </c>
      <c r="G9899" s="74">
        <v>38.971729619494148</v>
      </c>
      <c r="H9899" s="74">
        <f t="shared" si="309"/>
        <v>1.5226707238383739</v>
      </c>
    </row>
    <row r="9900" spans="5:8" ht="15.6">
      <c r="E9900" s="279" t="s">
        <v>10226</v>
      </c>
      <c r="F9900" s="284">
        <f t="shared" ca="1" si="308"/>
        <v>0.17062442728300986</v>
      </c>
      <c r="G9900" s="74">
        <v>35.785700277293813</v>
      </c>
      <c r="H9900" s="74">
        <f t="shared" si="309"/>
        <v>4.7087000660387091</v>
      </c>
    </row>
    <row r="9901" spans="5:8" ht="15.6">
      <c r="E9901" s="279" t="s">
        <v>10227</v>
      </c>
      <c r="F9901" s="284">
        <f t="shared" ca="1" si="308"/>
        <v>0.13029133757055866</v>
      </c>
      <c r="G9901" s="74">
        <v>41.55192083033991</v>
      </c>
      <c r="H9901" s="74">
        <f t="shared" si="309"/>
        <v>-1.0575204870073875</v>
      </c>
    </row>
    <row r="9902" spans="5:8" ht="15.6">
      <c r="E9902" s="279" t="s">
        <v>10228</v>
      </c>
      <c r="F9902" s="284">
        <f t="shared" ca="1" si="308"/>
        <v>0.35178828840768861</v>
      </c>
      <c r="G9902" s="74">
        <v>38.633871239675251</v>
      </c>
      <c r="H9902" s="74">
        <f t="shared" si="309"/>
        <v>1.8605291036572709</v>
      </c>
    </row>
    <row r="9903" spans="5:8" ht="15.6">
      <c r="E9903" s="279" t="s">
        <v>10229</v>
      </c>
      <c r="F9903" s="284">
        <f t="shared" ca="1" si="308"/>
        <v>0.68221680717976674</v>
      </c>
      <c r="G9903" s="74">
        <v>36.367461128838947</v>
      </c>
      <c r="H9903" s="74">
        <f t="shared" si="309"/>
        <v>4.126939214493575</v>
      </c>
    </row>
    <row r="9904" spans="5:8" ht="15.6">
      <c r="E9904" s="279" t="s">
        <v>10230</v>
      </c>
      <c r="F9904" s="284">
        <f t="shared" ca="1" si="308"/>
        <v>0.10836301913204072</v>
      </c>
      <c r="G9904" s="74">
        <v>42.288907038805533</v>
      </c>
      <c r="H9904" s="74">
        <f t="shared" si="309"/>
        <v>-1.7945066954730109</v>
      </c>
    </row>
    <row r="9905" spans="5:8" ht="15.6">
      <c r="E9905" s="279" t="s">
        <v>10231</v>
      </c>
      <c r="F9905" s="284">
        <f t="shared" ca="1" si="308"/>
        <v>0.12368254315525018</v>
      </c>
      <c r="G9905" s="74">
        <v>39.574370947013733</v>
      </c>
      <c r="H9905" s="74">
        <f t="shared" si="309"/>
        <v>0.92002939631878888</v>
      </c>
    </row>
    <row r="9906" spans="5:8" ht="15.6">
      <c r="E9906" s="279" t="s">
        <v>10232</v>
      </c>
      <c r="F9906" s="284">
        <f t="shared" ca="1" si="308"/>
        <v>0.76548230588623378</v>
      </c>
      <c r="G9906" s="74">
        <v>41.724654515901776</v>
      </c>
      <c r="H9906" s="74">
        <f t="shared" si="309"/>
        <v>-1.2302541725692535</v>
      </c>
    </row>
    <row r="9907" spans="5:8" ht="15.6">
      <c r="E9907" s="279" t="s">
        <v>10233</v>
      </c>
      <c r="F9907" s="284">
        <f t="shared" ca="1" si="308"/>
        <v>0.96759601107830873</v>
      </c>
      <c r="G9907" s="74">
        <v>40.008310752933433</v>
      </c>
      <c r="H9907" s="74">
        <f t="shared" si="309"/>
        <v>0.48608959039908939</v>
      </c>
    </row>
    <row r="9908" spans="5:8" ht="15.6">
      <c r="E9908" s="279" t="s">
        <v>10234</v>
      </c>
      <c r="F9908" s="284">
        <f t="shared" ca="1" si="308"/>
        <v>0.93246537675491092</v>
      </c>
      <c r="G9908" s="74">
        <v>40.34889246892061</v>
      </c>
      <c r="H9908" s="74">
        <f t="shared" si="309"/>
        <v>0.14550787441191204</v>
      </c>
    </row>
    <row r="9909" spans="5:8" ht="15.6">
      <c r="E9909" s="279" t="s">
        <v>10235</v>
      </c>
      <c r="F9909" s="284">
        <f t="shared" ca="1" si="308"/>
        <v>0.54968764292134176</v>
      </c>
      <c r="G9909" s="74">
        <v>41.1532476740514</v>
      </c>
      <c r="H9909" s="74">
        <f t="shared" si="309"/>
        <v>-0.6588473307188778</v>
      </c>
    </row>
    <row r="9910" spans="5:8" ht="15.6">
      <c r="E9910" s="279" t="s">
        <v>10236</v>
      </c>
      <c r="F9910" s="284">
        <f t="shared" ca="1" si="308"/>
        <v>0.39117975939183347</v>
      </c>
      <c r="G9910" s="74">
        <v>39.979730247763733</v>
      </c>
      <c r="H9910" s="74">
        <f t="shared" si="309"/>
        <v>0.51467009556878907</v>
      </c>
    </row>
    <row r="9911" spans="5:8" ht="15.6">
      <c r="E9911" s="279" t="s">
        <v>10237</v>
      </c>
      <c r="F9911" s="284">
        <f t="shared" ca="1" si="308"/>
        <v>0.62567272903615989</v>
      </c>
      <c r="G9911" s="74">
        <v>35.558754757708499</v>
      </c>
      <c r="H9911" s="74">
        <f t="shared" si="309"/>
        <v>4.9356455856240231</v>
      </c>
    </row>
    <row r="9912" spans="5:8" ht="15.6">
      <c r="E9912" s="279" t="s">
        <v>10238</v>
      </c>
      <c r="F9912" s="284">
        <f t="shared" ca="1" si="308"/>
        <v>0.72692898536908213</v>
      </c>
      <c r="G9912" s="74">
        <v>38.703259278856784</v>
      </c>
      <c r="H9912" s="74">
        <f t="shared" si="309"/>
        <v>1.7911410644757382</v>
      </c>
    </row>
    <row r="9913" spans="5:8" ht="15.6">
      <c r="E9913" s="279" t="s">
        <v>10239</v>
      </c>
      <c r="F9913" s="284">
        <f t="shared" ca="1" si="308"/>
        <v>0.88504142601873192</v>
      </c>
      <c r="G9913" s="74">
        <v>40.382485415441629</v>
      </c>
      <c r="H9913" s="74">
        <f t="shared" si="309"/>
        <v>0.11191492789089352</v>
      </c>
    </row>
    <row r="9914" spans="5:8" ht="15.6">
      <c r="E9914" s="279" t="s">
        <v>10240</v>
      </c>
      <c r="F9914" s="284">
        <f t="shared" ca="1" si="308"/>
        <v>0.16808202732641186</v>
      </c>
      <c r="G9914" s="74">
        <v>36.97968595985126</v>
      </c>
      <c r="H9914" s="74">
        <f t="shared" si="309"/>
        <v>3.5147143834812624</v>
      </c>
    </row>
    <row r="9915" spans="5:8" ht="15.6">
      <c r="E9915" s="279" t="s">
        <v>10241</v>
      </c>
      <c r="F9915" s="284">
        <f t="shared" ca="1" si="308"/>
        <v>0.1930401514350093</v>
      </c>
      <c r="G9915" s="74">
        <v>34.626695415722175</v>
      </c>
      <c r="H9915" s="74">
        <f t="shared" si="309"/>
        <v>5.8677049276103475</v>
      </c>
    </row>
    <row r="9916" spans="5:8" ht="15.6">
      <c r="E9916" s="279" t="s">
        <v>10242</v>
      </c>
      <c r="F9916" s="284">
        <f t="shared" ca="1" si="308"/>
        <v>0.60262709737299669</v>
      </c>
      <c r="G9916" s="74">
        <v>38.54186261991893</v>
      </c>
      <c r="H9916" s="74">
        <f t="shared" si="309"/>
        <v>1.9525377234135917</v>
      </c>
    </row>
    <row r="9917" spans="5:8" ht="15.6">
      <c r="E9917" s="279" t="s">
        <v>10243</v>
      </c>
      <c r="F9917" s="284">
        <f t="shared" ca="1" si="308"/>
        <v>0.55451573652029651</v>
      </c>
      <c r="G9917" s="74">
        <v>38.393102239461918</v>
      </c>
      <c r="H9917" s="74">
        <f t="shared" si="309"/>
        <v>2.1012981038706045</v>
      </c>
    </row>
    <row r="9918" spans="5:8" ht="15.6">
      <c r="E9918" s="279" t="s">
        <v>10244</v>
      </c>
      <c r="F9918" s="284">
        <f t="shared" ca="1" si="308"/>
        <v>0.25923173940364275</v>
      </c>
      <c r="G9918" s="74">
        <v>37.068659791740195</v>
      </c>
      <c r="H9918" s="74">
        <f t="shared" si="309"/>
        <v>3.4257405515923267</v>
      </c>
    </row>
    <row r="9919" spans="5:8" ht="15.6">
      <c r="E9919" s="279" t="s">
        <v>10245</v>
      </c>
      <c r="F9919" s="284">
        <f t="shared" ca="1" si="308"/>
        <v>1.7553484858944701E-2</v>
      </c>
      <c r="G9919" s="74">
        <v>38.791595706517604</v>
      </c>
      <c r="H9919" s="74">
        <f t="shared" si="309"/>
        <v>1.7028046368149177</v>
      </c>
    </row>
    <row r="9920" spans="5:8" ht="15.6">
      <c r="E9920" s="279" t="s">
        <v>10246</v>
      </c>
      <c r="F9920" s="284">
        <f t="shared" ca="1" si="308"/>
        <v>0.84756166859114013</v>
      </c>
      <c r="G9920" s="74">
        <v>40.817245108489111</v>
      </c>
      <c r="H9920" s="74">
        <f t="shared" si="309"/>
        <v>-0.32284476515658866</v>
      </c>
    </row>
    <row r="9921" spans="5:8" ht="15.6">
      <c r="E9921" s="279" t="s">
        <v>10247</v>
      </c>
      <c r="F9921" s="284">
        <f t="shared" ca="1" si="308"/>
        <v>0.66379005754850318</v>
      </c>
      <c r="G9921" s="74">
        <v>40.154642683348911</v>
      </c>
      <c r="H9921" s="74">
        <f t="shared" si="309"/>
        <v>0.3397576599836114</v>
      </c>
    </row>
    <row r="9922" spans="5:8" ht="15.6">
      <c r="E9922" s="279" t="s">
        <v>10248</v>
      </c>
      <c r="F9922" s="284">
        <f t="shared" ca="1" si="308"/>
        <v>0.8682160935242198</v>
      </c>
      <c r="G9922" s="74">
        <v>39.866661400804162</v>
      </c>
      <c r="H9922" s="74">
        <f t="shared" si="309"/>
        <v>0.62773894252836016</v>
      </c>
    </row>
    <row r="9923" spans="5:8" ht="15.6">
      <c r="E9923" s="279" t="s">
        <v>10249</v>
      </c>
      <c r="F9923" s="284">
        <f t="shared" ca="1" si="308"/>
        <v>0.59561851120594922</v>
      </c>
      <c r="G9923" s="74">
        <v>43.195940577721643</v>
      </c>
      <c r="H9923" s="74">
        <f t="shared" si="309"/>
        <v>-2.7015402343891211</v>
      </c>
    </row>
    <row r="9924" spans="5:8" ht="15.6">
      <c r="E9924" s="279" t="s">
        <v>10250</v>
      </c>
      <c r="F9924" s="284">
        <f t="shared" ca="1" si="308"/>
        <v>0.9970484788745495</v>
      </c>
      <c r="G9924" s="74">
        <v>38.713257687191607</v>
      </c>
      <c r="H9924" s="74">
        <f t="shared" si="309"/>
        <v>1.7811426561409149</v>
      </c>
    </row>
    <row r="9925" spans="5:8" ht="15.6">
      <c r="E9925" s="279" t="s">
        <v>10251</v>
      </c>
      <c r="F9925" s="284">
        <f t="shared" ca="1" si="308"/>
        <v>0.20460780163212033</v>
      </c>
      <c r="G9925" s="74">
        <v>34.551050111839984</v>
      </c>
      <c r="H9925" s="74">
        <f t="shared" si="309"/>
        <v>5.9433502314925377</v>
      </c>
    </row>
    <row r="9926" spans="5:8" ht="15.6">
      <c r="E9926" s="279" t="s">
        <v>10252</v>
      </c>
      <c r="F9926" s="284">
        <f t="shared" ca="1" si="308"/>
        <v>0.75995870242141206</v>
      </c>
      <c r="G9926" s="74">
        <v>38.355157575714948</v>
      </c>
      <c r="H9926" s="74">
        <f t="shared" si="309"/>
        <v>2.1392427676175743</v>
      </c>
    </row>
    <row r="9927" spans="5:8" ht="15.6">
      <c r="E9927" s="279" t="s">
        <v>10253</v>
      </c>
      <c r="F9927" s="284">
        <f t="shared" ca="1" si="308"/>
        <v>0.89918729917109841</v>
      </c>
      <c r="G9927" s="74">
        <v>38.400058587424716</v>
      </c>
      <c r="H9927" s="74">
        <f t="shared" si="309"/>
        <v>2.0943417559078057</v>
      </c>
    </row>
    <row r="9928" spans="5:8" ht="15.6">
      <c r="E9928" s="279" t="s">
        <v>10254</v>
      </c>
      <c r="F9928" s="284">
        <f t="shared" ca="1" si="308"/>
        <v>0.39014500253373674</v>
      </c>
      <c r="G9928" s="74">
        <v>41.183142916896109</v>
      </c>
      <c r="H9928" s="74">
        <f t="shared" si="309"/>
        <v>-0.68874257356358726</v>
      </c>
    </row>
    <row r="9929" spans="5:8" ht="15.6">
      <c r="E9929" s="279" t="s">
        <v>10255</v>
      </c>
      <c r="F9929" s="284">
        <f t="shared" ca="1" si="308"/>
        <v>0.20132809563638887</v>
      </c>
      <c r="G9929" s="74">
        <v>40.997358049812938</v>
      </c>
      <c r="H9929" s="74">
        <f t="shared" si="309"/>
        <v>-0.50295770648041582</v>
      </c>
    </row>
    <row r="9930" spans="5:8" ht="15.6">
      <c r="E9930" s="279" t="s">
        <v>10256</v>
      </c>
      <c r="F9930" s="284">
        <f t="shared" ca="1" si="308"/>
        <v>0.64540998166508734</v>
      </c>
      <c r="G9930" s="74">
        <v>39.911844666610101</v>
      </c>
      <c r="H9930" s="74">
        <f t="shared" si="309"/>
        <v>0.58255567672242137</v>
      </c>
    </row>
    <row r="9931" spans="5:8" ht="15.6">
      <c r="E9931" s="279" t="s">
        <v>10257</v>
      </c>
      <c r="F9931" s="284">
        <f t="shared" ca="1" si="308"/>
        <v>0.58717964151469504</v>
      </c>
      <c r="G9931" s="74">
        <v>38.024637285335338</v>
      </c>
      <c r="H9931" s="74">
        <f t="shared" si="309"/>
        <v>2.4697630579971843</v>
      </c>
    </row>
    <row r="9932" spans="5:8" ht="15.6">
      <c r="E9932" s="279" t="s">
        <v>10258</v>
      </c>
      <c r="F9932" s="284">
        <f t="shared" ref="F9932:F9995" ca="1" si="310">RAND()</f>
        <v>0.18398386544846068</v>
      </c>
      <c r="G9932" s="74">
        <v>38.616660509979482</v>
      </c>
      <c r="H9932" s="74">
        <f t="shared" ref="H9932:H9995" si="311">$D$2-G9932</f>
        <v>1.87773983335304</v>
      </c>
    </row>
    <row r="9933" spans="5:8" ht="15.6">
      <c r="E9933" s="279" t="s">
        <v>10259</v>
      </c>
      <c r="F9933" s="284">
        <f t="shared" ca="1" si="310"/>
        <v>0.75088608770080101</v>
      </c>
      <c r="G9933" s="74">
        <v>39.863951165994401</v>
      </c>
      <c r="H9933" s="74">
        <f t="shared" si="311"/>
        <v>0.63044917733812156</v>
      </c>
    </row>
    <row r="9934" spans="5:8" ht="15.6">
      <c r="E9934" s="279" t="s">
        <v>10260</v>
      </c>
      <c r="F9934" s="284">
        <f t="shared" ca="1" si="310"/>
        <v>0.56181342137583135</v>
      </c>
      <c r="G9934" s="74">
        <v>37.517703186097641</v>
      </c>
      <c r="H9934" s="74">
        <f t="shared" si="311"/>
        <v>2.9766971572348808</v>
      </c>
    </row>
    <row r="9935" spans="5:8" ht="15.6">
      <c r="E9935" s="279" t="s">
        <v>10261</v>
      </c>
      <c r="F9935" s="284">
        <f t="shared" ca="1" si="310"/>
        <v>0.89802437547980651</v>
      </c>
      <c r="G9935" s="74">
        <v>34.952026498125278</v>
      </c>
      <c r="H9935" s="74">
        <f t="shared" si="311"/>
        <v>5.5423738452072442</v>
      </c>
    </row>
    <row r="9936" spans="5:8" ht="15.6">
      <c r="E9936" s="279" t="s">
        <v>10262</v>
      </c>
      <c r="F9936" s="284">
        <f t="shared" ca="1" si="310"/>
        <v>6.9128751698594115E-2</v>
      </c>
      <c r="G9936" s="74">
        <v>37.104154349658501</v>
      </c>
      <c r="H9936" s="74">
        <f t="shared" si="311"/>
        <v>3.3902459936740215</v>
      </c>
    </row>
    <row r="9937" spans="5:8" ht="15.6">
      <c r="E9937" s="279" t="s">
        <v>10263</v>
      </c>
      <c r="F9937" s="284">
        <f t="shared" ca="1" si="310"/>
        <v>0.25659003163887684</v>
      </c>
      <c r="G9937" s="74">
        <v>39.853516608789619</v>
      </c>
      <c r="H9937" s="74">
        <f t="shared" si="311"/>
        <v>0.64088373454290348</v>
      </c>
    </row>
    <row r="9938" spans="5:8" ht="15.6">
      <c r="E9938" s="279" t="s">
        <v>10264</v>
      </c>
      <c r="F9938" s="284">
        <f t="shared" ca="1" si="310"/>
        <v>0.26045270854634395</v>
      </c>
      <c r="G9938" s="74">
        <v>43.517064974758789</v>
      </c>
      <c r="H9938" s="74">
        <f t="shared" si="311"/>
        <v>-3.0226646314262666</v>
      </c>
    </row>
    <row r="9939" spans="5:8" ht="15.6">
      <c r="E9939" s="279" t="s">
        <v>10265</v>
      </c>
      <c r="F9939" s="284">
        <f t="shared" ca="1" si="310"/>
        <v>1.3440131638300712E-2</v>
      </c>
      <c r="G9939" s="74">
        <v>34.103406360521319</v>
      </c>
      <c r="H9939" s="74">
        <f t="shared" si="311"/>
        <v>6.390993982811203</v>
      </c>
    </row>
    <row r="9940" spans="5:8" ht="15.6">
      <c r="E9940" s="279" t="s">
        <v>10266</v>
      </c>
      <c r="F9940" s="284">
        <f t="shared" ca="1" si="310"/>
        <v>0.66960766985314302</v>
      </c>
      <c r="G9940" s="74">
        <v>38.24459511027969</v>
      </c>
      <c r="H9940" s="74">
        <f t="shared" si="311"/>
        <v>2.2498052330528324</v>
      </c>
    </row>
    <row r="9941" spans="5:8" ht="15.6">
      <c r="E9941" s="279" t="s">
        <v>10267</v>
      </c>
      <c r="F9941" s="284">
        <f t="shared" ca="1" si="310"/>
        <v>0.97659440230273808</v>
      </c>
      <c r="G9941" s="74">
        <v>36.675921708296514</v>
      </c>
      <c r="H9941" s="74">
        <f t="shared" si="311"/>
        <v>3.8184786350360085</v>
      </c>
    </row>
    <row r="9942" spans="5:8" ht="15.6">
      <c r="E9942" s="279" t="s">
        <v>10268</v>
      </c>
      <c r="F9942" s="284">
        <f t="shared" ca="1" si="310"/>
        <v>0.11353687727927231</v>
      </c>
      <c r="G9942" s="74">
        <v>37.619522188979381</v>
      </c>
      <c r="H9942" s="74">
        <f t="shared" si="311"/>
        <v>2.8748781543531408</v>
      </c>
    </row>
    <row r="9943" spans="5:8" ht="15.6">
      <c r="E9943" s="279" t="s">
        <v>10269</v>
      </c>
      <c r="F9943" s="284">
        <f t="shared" ca="1" si="310"/>
        <v>0.49094251165380731</v>
      </c>
      <c r="G9943" s="74">
        <v>39.38272847715519</v>
      </c>
      <c r="H9943" s="74">
        <f t="shared" si="311"/>
        <v>1.1116718661773319</v>
      </c>
    </row>
    <row r="9944" spans="5:8" ht="15.6">
      <c r="E9944" s="279" t="s">
        <v>10270</v>
      </c>
      <c r="F9944" s="284">
        <f t="shared" ca="1" si="310"/>
        <v>4.3884192519277998E-2</v>
      </c>
      <c r="G9944" s="74">
        <v>37.176911350353471</v>
      </c>
      <c r="H9944" s="74">
        <f t="shared" si="311"/>
        <v>3.317488992979051</v>
      </c>
    </row>
    <row r="9945" spans="5:8" ht="15.6">
      <c r="E9945" s="279" t="s">
        <v>10271</v>
      </c>
      <c r="F9945" s="284">
        <f t="shared" ca="1" si="310"/>
        <v>5.3464396527994618E-2</v>
      </c>
      <c r="G9945" s="74">
        <v>37.791710298616458</v>
      </c>
      <c r="H9945" s="74">
        <f t="shared" si="311"/>
        <v>2.7026900447160642</v>
      </c>
    </row>
    <row r="9946" spans="5:8" ht="15.6">
      <c r="E9946" s="279" t="s">
        <v>10272</v>
      </c>
      <c r="F9946" s="284">
        <f t="shared" ca="1" si="310"/>
        <v>0.83326642388085692</v>
      </c>
      <c r="G9946" s="74">
        <v>39.763314167266238</v>
      </c>
      <c r="H9946" s="74">
        <f t="shared" si="311"/>
        <v>0.73108617606628457</v>
      </c>
    </row>
    <row r="9947" spans="5:8" ht="15.6">
      <c r="E9947" s="279" t="s">
        <v>10273</v>
      </c>
      <c r="F9947" s="284">
        <f t="shared" ca="1" si="310"/>
        <v>0.29841535556189935</v>
      </c>
      <c r="G9947" s="74">
        <v>38.181890091132907</v>
      </c>
      <c r="H9947" s="74">
        <f t="shared" si="311"/>
        <v>2.3125102521996155</v>
      </c>
    </row>
    <row r="9948" spans="5:8" ht="15.6">
      <c r="E9948" s="279" t="s">
        <v>10274</v>
      </c>
      <c r="F9948" s="284">
        <f t="shared" ca="1" si="310"/>
        <v>0.31991490933776989</v>
      </c>
      <c r="G9948" s="74">
        <v>40.86421592065696</v>
      </c>
      <c r="H9948" s="74">
        <f t="shared" si="311"/>
        <v>-0.36981557732443804</v>
      </c>
    </row>
    <row r="9949" spans="5:8" ht="15.6">
      <c r="E9949" s="279" t="s">
        <v>10275</v>
      </c>
      <c r="F9949" s="284">
        <f t="shared" ca="1" si="310"/>
        <v>0.36270828840745639</v>
      </c>
      <c r="G9949" s="74">
        <v>39.864462657043312</v>
      </c>
      <c r="H9949" s="74">
        <f t="shared" si="311"/>
        <v>0.62993768628921032</v>
      </c>
    </row>
    <row r="9950" spans="5:8" ht="15.6">
      <c r="E9950" s="279" t="s">
        <v>10276</v>
      </c>
      <c r="F9950" s="284">
        <f t="shared" ca="1" si="310"/>
        <v>0.80596261883458076</v>
      </c>
      <c r="G9950" s="74">
        <v>43.948049028574381</v>
      </c>
      <c r="H9950" s="74">
        <f t="shared" si="311"/>
        <v>-3.4536486852418591</v>
      </c>
    </row>
    <row r="9951" spans="5:8" ht="15.6">
      <c r="E9951" s="279" t="s">
        <v>10277</v>
      </c>
      <c r="F9951" s="284">
        <f t="shared" ca="1" si="310"/>
        <v>0.95606751443757865</v>
      </c>
      <c r="G9951" s="74">
        <v>38.544200220744358</v>
      </c>
      <c r="H9951" s="74">
        <f t="shared" si="311"/>
        <v>1.9502001225881642</v>
      </c>
    </row>
    <row r="9952" spans="5:8" ht="15.6">
      <c r="E9952" s="279" t="s">
        <v>10278</v>
      </c>
      <c r="F9952" s="284">
        <f t="shared" ca="1" si="310"/>
        <v>0.43401507240322723</v>
      </c>
      <c r="G9952" s="74">
        <v>38.889686286633548</v>
      </c>
      <c r="H9952" s="74">
        <f t="shared" si="311"/>
        <v>1.6047140566989739</v>
      </c>
    </row>
    <row r="9953" spans="5:8" ht="15.6">
      <c r="E9953" s="279" t="s">
        <v>10279</v>
      </c>
      <c r="F9953" s="284">
        <f t="shared" ca="1" si="310"/>
        <v>0.86292978125756492</v>
      </c>
      <c r="G9953" s="74">
        <v>38.53394346467082</v>
      </c>
      <c r="H9953" s="74">
        <f t="shared" si="311"/>
        <v>1.9604568786617023</v>
      </c>
    </row>
    <row r="9954" spans="5:8" ht="15.6">
      <c r="E9954" s="279" t="s">
        <v>10280</v>
      </c>
      <c r="F9954" s="284">
        <f t="shared" ca="1" si="310"/>
        <v>0.86171613729911667</v>
      </c>
      <c r="G9954" s="74">
        <v>41.775226387268091</v>
      </c>
      <c r="H9954" s="74">
        <f t="shared" si="311"/>
        <v>-1.2808260439355692</v>
      </c>
    </row>
    <row r="9955" spans="5:8" ht="15.6">
      <c r="E9955" s="279" t="s">
        <v>10281</v>
      </c>
      <c r="F9955" s="284">
        <f t="shared" ca="1" si="310"/>
        <v>0.15034831144851846</v>
      </c>
      <c r="G9955" s="74">
        <v>41.614423964824454</v>
      </c>
      <c r="H9955" s="74">
        <f t="shared" si="311"/>
        <v>-1.1200236214919315</v>
      </c>
    </row>
    <row r="9956" spans="5:8" ht="15.6">
      <c r="E9956" s="279" t="s">
        <v>10282</v>
      </c>
      <c r="F9956" s="284">
        <f t="shared" ca="1" si="310"/>
        <v>0.83967457325165129</v>
      </c>
      <c r="G9956" s="74">
        <v>38.140431936931833</v>
      </c>
      <c r="H9956" s="74">
        <f t="shared" si="311"/>
        <v>2.3539684064006892</v>
      </c>
    </row>
    <row r="9957" spans="5:8" ht="15.6">
      <c r="E9957" s="279" t="s">
        <v>10283</v>
      </c>
      <c r="F9957" s="284">
        <f t="shared" ca="1" si="310"/>
        <v>0.48430725545055109</v>
      </c>
      <c r="G9957" s="74">
        <v>39.469940972376925</v>
      </c>
      <c r="H9957" s="74">
        <f t="shared" si="311"/>
        <v>1.0244593709555971</v>
      </c>
    </row>
    <row r="9958" spans="5:8" ht="15.6">
      <c r="E9958" s="279" t="s">
        <v>10284</v>
      </c>
      <c r="F9958" s="284">
        <f t="shared" ca="1" si="310"/>
        <v>0.47455243633668776</v>
      </c>
      <c r="G9958" s="74">
        <v>40.705717591199466</v>
      </c>
      <c r="H9958" s="74">
        <f t="shared" si="311"/>
        <v>-0.21131724786694406</v>
      </c>
    </row>
    <row r="9959" spans="5:8" ht="15.6">
      <c r="E9959" s="279" t="s">
        <v>10285</v>
      </c>
      <c r="F9959" s="284">
        <f t="shared" ca="1" si="310"/>
        <v>0.68460932864727064</v>
      </c>
      <c r="G9959" s="74">
        <v>43.449249020541494</v>
      </c>
      <c r="H9959" s="74">
        <f t="shared" si="311"/>
        <v>-2.9548486772089717</v>
      </c>
    </row>
    <row r="9960" spans="5:8" ht="15.6">
      <c r="E9960" s="279" t="s">
        <v>10286</v>
      </c>
      <c r="F9960" s="284">
        <f t="shared" ca="1" si="310"/>
        <v>6.7146154307865191E-2</v>
      </c>
      <c r="G9960" s="74">
        <v>39.39941132514231</v>
      </c>
      <c r="H9960" s="74">
        <f t="shared" si="311"/>
        <v>1.094989018190212</v>
      </c>
    </row>
    <row r="9961" spans="5:8" ht="15.6">
      <c r="E9961" s="279" t="s">
        <v>10287</v>
      </c>
      <c r="F9961" s="284">
        <f t="shared" ca="1" si="310"/>
        <v>0.27450551065228068</v>
      </c>
      <c r="G9961" s="74">
        <v>40.498923091009999</v>
      </c>
      <c r="H9961" s="74">
        <f t="shared" si="311"/>
        <v>-4.5227476774769571E-3</v>
      </c>
    </row>
    <row r="9962" spans="5:8" ht="15.6">
      <c r="E9962" s="279" t="s">
        <v>10288</v>
      </c>
      <c r="F9962" s="284">
        <f t="shared" ca="1" si="310"/>
        <v>0.77191487839472817</v>
      </c>
      <c r="G9962" s="74">
        <v>38.676447319437237</v>
      </c>
      <c r="H9962" s="74">
        <f t="shared" si="311"/>
        <v>1.817953023895285</v>
      </c>
    </row>
    <row r="9963" spans="5:8" ht="15.6">
      <c r="E9963" s="279" t="s">
        <v>10289</v>
      </c>
      <c r="F9963" s="284">
        <f t="shared" ca="1" si="310"/>
        <v>0.82863792759954691</v>
      </c>
      <c r="G9963" s="74">
        <v>44.080014867426002</v>
      </c>
      <c r="H9963" s="74">
        <f t="shared" si="311"/>
        <v>-3.5856145240934794</v>
      </c>
    </row>
    <row r="9964" spans="5:8" ht="15.6">
      <c r="E9964" s="279" t="s">
        <v>10290</v>
      </c>
      <c r="F9964" s="284">
        <f t="shared" ca="1" si="310"/>
        <v>0.50617804940545164</v>
      </c>
      <c r="G9964" s="74">
        <v>39.203166154042407</v>
      </c>
      <c r="H9964" s="74">
        <f t="shared" si="311"/>
        <v>1.2912341892901154</v>
      </c>
    </row>
    <row r="9965" spans="5:8" ht="15.6">
      <c r="E9965" s="279" t="s">
        <v>10291</v>
      </c>
      <c r="F9965" s="284">
        <f t="shared" ca="1" si="310"/>
        <v>0.81890977735428316</v>
      </c>
      <c r="G9965" s="74">
        <v>41.127902575485429</v>
      </c>
      <c r="H9965" s="74">
        <f t="shared" si="311"/>
        <v>-0.63350223215290669</v>
      </c>
    </row>
    <row r="9966" spans="5:8" ht="15.6">
      <c r="E9966" s="279" t="s">
        <v>10292</v>
      </c>
      <c r="F9966" s="284">
        <f t="shared" ca="1" si="310"/>
        <v>0.2418121145502975</v>
      </c>
      <c r="G9966" s="74">
        <v>37.201322942397034</v>
      </c>
      <c r="H9966" s="74">
        <f t="shared" si="311"/>
        <v>3.2930774009354877</v>
      </c>
    </row>
    <row r="9967" spans="5:8" ht="15.6">
      <c r="E9967" s="279" t="s">
        <v>10293</v>
      </c>
      <c r="F9967" s="284">
        <f t="shared" ca="1" si="310"/>
        <v>0.33137928513935866</v>
      </c>
      <c r="G9967" s="74">
        <v>37.219015480851638</v>
      </c>
      <c r="H9967" s="74">
        <f t="shared" si="311"/>
        <v>3.2753848624808839</v>
      </c>
    </row>
    <row r="9968" spans="5:8" ht="15.6">
      <c r="E9968" s="279" t="s">
        <v>10294</v>
      </c>
      <c r="F9968" s="284">
        <f t="shared" ca="1" si="310"/>
        <v>3.5172113092346469E-2</v>
      </c>
      <c r="G9968" s="74">
        <v>44.330259188761893</v>
      </c>
      <c r="H9968" s="74">
        <f t="shared" si="311"/>
        <v>-3.8358588454293709</v>
      </c>
    </row>
    <row r="9969" spans="5:8" ht="15.6">
      <c r="E9969" s="279" t="s">
        <v>10295</v>
      </c>
      <c r="F9969" s="284">
        <f t="shared" ca="1" si="310"/>
        <v>0.75336985717734817</v>
      </c>
      <c r="G9969" s="74">
        <v>42.305822256247623</v>
      </c>
      <c r="H9969" s="74">
        <f t="shared" si="311"/>
        <v>-1.811421912915101</v>
      </c>
    </row>
    <row r="9970" spans="5:8" ht="15.6">
      <c r="E9970" s="279" t="s">
        <v>10296</v>
      </c>
      <c r="F9970" s="284">
        <f t="shared" ca="1" si="310"/>
        <v>0.61319978062434655</v>
      </c>
      <c r="G9970" s="74">
        <v>36.445667238225596</v>
      </c>
      <c r="H9970" s="74">
        <f t="shared" si="311"/>
        <v>4.0487331051069262</v>
      </c>
    </row>
    <row r="9971" spans="5:8" ht="15.6">
      <c r="E9971" s="279" t="s">
        <v>10297</v>
      </c>
      <c r="F9971" s="284">
        <f t="shared" ca="1" si="310"/>
        <v>0.74999697734686066</v>
      </c>
      <c r="G9971" s="74">
        <v>36.358281210867915</v>
      </c>
      <c r="H9971" s="74">
        <f t="shared" si="311"/>
        <v>4.1361191324646072</v>
      </c>
    </row>
    <row r="9972" spans="5:8" ht="15.6">
      <c r="E9972" s="279" t="s">
        <v>10298</v>
      </c>
      <c r="F9972" s="284">
        <f t="shared" ca="1" si="310"/>
        <v>0.97339473626571338</v>
      </c>
      <c r="G9972" s="74">
        <v>44.577453612083104</v>
      </c>
      <c r="H9972" s="74">
        <f t="shared" si="311"/>
        <v>-4.0830532687505823</v>
      </c>
    </row>
    <row r="9973" spans="5:8" ht="15.6">
      <c r="E9973" s="279" t="s">
        <v>10299</v>
      </c>
      <c r="F9973" s="284">
        <f t="shared" ca="1" si="310"/>
        <v>0.33740409985218045</v>
      </c>
      <c r="G9973" s="74">
        <v>38.717665199959313</v>
      </c>
      <c r="H9973" s="74">
        <f t="shared" si="311"/>
        <v>1.7767351433732088</v>
      </c>
    </row>
    <row r="9974" spans="5:8" ht="15.6">
      <c r="E9974" s="279" t="s">
        <v>10300</v>
      </c>
      <c r="F9974" s="284">
        <f t="shared" ca="1" si="310"/>
        <v>7.7146020271730009E-2</v>
      </c>
      <c r="G9974" s="74">
        <v>39.021447167788963</v>
      </c>
      <c r="H9974" s="74">
        <f t="shared" si="311"/>
        <v>1.4729531755435588</v>
      </c>
    </row>
    <row r="9975" spans="5:8" ht="15.6">
      <c r="E9975" s="279" t="s">
        <v>10301</v>
      </c>
      <c r="F9975" s="284">
        <f t="shared" ca="1" si="310"/>
        <v>0.23214788259203267</v>
      </c>
      <c r="G9975" s="74">
        <v>40.016718852166989</v>
      </c>
      <c r="H9975" s="74">
        <f t="shared" si="311"/>
        <v>0.4776814911655336</v>
      </c>
    </row>
    <row r="9976" spans="5:8" ht="15.6">
      <c r="E9976" s="279" t="s">
        <v>10302</v>
      </c>
      <c r="F9976" s="284">
        <f t="shared" ca="1" si="310"/>
        <v>0.67994138551503525</v>
      </c>
      <c r="G9976" s="74">
        <v>40.570625013851192</v>
      </c>
      <c r="H9976" s="74">
        <f t="shared" si="311"/>
        <v>-7.6224670518669768E-2</v>
      </c>
    </row>
    <row r="9977" spans="5:8" ht="15.6">
      <c r="E9977" s="279" t="s">
        <v>10303</v>
      </c>
      <c r="F9977" s="284">
        <f t="shared" ca="1" si="310"/>
        <v>0.31705500337129655</v>
      </c>
      <c r="G9977" s="74">
        <v>34.151757172408068</v>
      </c>
      <c r="H9977" s="74">
        <f t="shared" si="311"/>
        <v>6.342643170924454</v>
      </c>
    </row>
    <row r="9978" spans="5:8" ht="15.6">
      <c r="E9978" s="279" t="s">
        <v>10304</v>
      </c>
      <c r="F9978" s="284">
        <f t="shared" ca="1" si="310"/>
        <v>0.32660573399434212</v>
      </c>
      <c r="G9978" s="74">
        <v>37.299583424352448</v>
      </c>
      <c r="H9978" s="74">
        <f t="shared" si="311"/>
        <v>3.1948169189800737</v>
      </c>
    </row>
    <row r="9979" spans="5:8" ht="15.6">
      <c r="E9979" s="279" t="s">
        <v>10305</v>
      </c>
      <c r="F9979" s="284">
        <f t="shared" ca="1" si="310"/>
        <v>0.39773246144471508</v>
      </c>
      <c r="G9979" s="74">
        <v>36.766225061698933</v>
      </c>
      <c r="H9979" s="74">
        <f t="shared" si="311"/>
        <v>3.7281752816335896</v>
      </c>
    </row>
    <row r="9980" spans="5:8" ht="15.6">
      <c r="E9980" s="279" t="s">
        <v>10306</v>
      </c>
      <c r="F9980" s="284">
        <f t="shared" ca="1" si="310"/>
        <v>0.82176358096585289</v>
      </c>
      <c r="G9980" s="74">
        <v>40.698910895981591</v>
      </c>
      <c r="H9980" s="74">
        <f t="shared" si="311"/>
        <v>-0.2045105526490687</v>
      </c>
    </row>
    <row r="9981" spans="5:8" ht="15.6">
      <c r="E9981" s="279" t="s">
        <v>10307</v>
      </c>
      <c r="F9981" s="284">
        <f t="shared" ca="1" si="310"/>
        <v>0.88968078754866187</v>
      </c>
      <c r="G9981" s="74">
        <v>43.320879947356005</v>
      </c>
      <c r="H9981" s="74">
        <f t="shared" si="311"/>
        <v>-2.8264796040234828</v>
      </c>
    </row>
    <row r="9982" spans="5:8" ht="15.6">
      <c r="E9982" s="279" t="s">
        <v>10308</v>
      </c>
      <c r="F9982" s="284">
        <f t="shared" ca="1" si="310"/>
        <v>0.56223397629703664</v>
      </c>
      <c r="G9982" s="74">
        <v>44.655176159440394</v>
      </c>
      <c r="H9982" s="74">
        <f t="shared" si="311"/>
        <v>-4.1607758161078721</v>
      </c>
    </row>
    <row r="9983" spans="5:8" ht="15.6">
      <c r="E9983" s="279" t="s">
        <v>10309</v>
      </c>
      <c r="F9983" s="284">
        <f t="shared" ca="1" si="310"/>
        <v>0.67521947307185937</v>
      </c>
      <c r="G9983" s="74">
        <v>36.702719012458431</v>
      </c>
      <c r="H9983" s="74">
        <f t="shared" si="311"/>
        <v>3.7916813308740913</v>
      </c>
    </row>
    <row r="9984" spans="5:8" ht="15.6">
      <c r="E9984" s="279" t="s">
        <v>10310</v>
      </c>
      <c r="F9984" s="284">
        <f t="shared" ca="1" si="310"/>
        <v>0.95680262775554625</v>
      </c>
      <c r="G9984" s="74">
        <v>40.852820583941678</v>
      </c>
      <c r="H9984" s="74">
        <f t="shared" si="311"/>
        <v>-0.35842024060915634</v>
      </c>
    </row>
    <row r="9985" spans="5:8" ht="15.6">
      <c r="E9985" s="279" t="s">
        <v>10311</v>
      </c>
      <c r="F9985" s="284">
        <f t="shared" ca="1" si="310"/>
        <v>0.96965638126215259</v>
      </c>
      <c r="G9985" s="74">
        <v>35.777401444963871</v>
      </c>
      <c r="H9985" s="74">
        <f t="shared" si="311"/>
        <v>4.7169988983686508</v>
      </c>
    </row>
    <row r="9986" spans="5:8" ht="15.6">
      <c r="E9986" s="279" t="s">
        <v>10312</v>
      </c>
      <c r="F9986" s="284">
        <f t="shared" ca="1" si="310"/>
        <v>0.62792126388321701</v>
      </c>
      <c r="G9986" s="74">
        <v>42.054992553982196</v>
      </c>
      <c r="H9986" s="74">
        <f t="shared" si="311"/>
        <v>-1.5605922106496735</v>
      </c>
    </row>
    <row r="9987" spans="5:8" ht="15.6">
      <c r="E9987" s="279" t="s">
        <v>10313</v>
      </c>
      <c r="F9987" s="284">
        <f t="shared" ca="1" si="310"/>
        <v>0.9252568024038913</v>
      </c>
      <c r="G9987" s="74">
        <v>41.025740127762305</v>
      </c>
      <c r="H9987" s="74">
        <f t="shared" si="311"/>
        <v>-0.53133978442978247</v>
      </c>
    </row>
    <row r="9988" spans="5:8" ht="15.6">
      <c r="E9988" s="279" t="s">
        <v>10314</v>
      </c>
      <c r="F9988" s="284">
        <f t="shared" ca="1" si="310"/>
        <v>0.43638408554624719</v>
      </c>
      <c r="G9988" s="74">
        <v>36.459389026486811</v>
      </c>
      <c r="H9988" s="74">
        <f t="shared" si="311"/>
        <v>4.0350113168457113</v>
      </c>
    </row>
    <row r="9989" spans="5:8" ht="15.6">
      <c r="E9989" s="279" t="s">
        <v>10315</v>
      </c>
      <c r="F9989" s="284">
        <f t="shared" ca="1" si="310"/>
        <v>0.58444334368400308</v>
      </c>
      <c r="G9989" s="74">
        <v>40.677625350902723</v>
      </c>
      <c r="H9989" s="74">
        <f t="shared" si="311"/>
        <v>-0.18322500757020066</v>
      </c>
    </row>
    <row r="9990" spans="5:8" ht="15.6">
      <c r="E9990" s="279" t="s">
        <v>10316</v>
      </c>
      <c r="F9990" s="284">
        <f t="shared" ca="1" si="310"/>
        <v>0.3049553692733189</v>
      </c>
      <c r="G9990" s="74">
        <v>35.201311213333348</v>
      </c>
      <c r="H9990" s="74">
        <f t="shared" si="311"/>
        <v>5.2930891299991742</v>
      </c>
    </row>
    <row r="9991" spans="5:8" ht="15.6">
      <c r="E9991" s="279" t="s">
        <v>10317</v>
      </c>
      <c r="F9991" s="284">
        <f t="shared" ca="1" si="310"/>
        <v>0.3951515716686167</v>
      </c>
      <c r="G9991" s="74">
        <v>41.530852496962837</v>
      </c>
      <c r="H9991" s="74">
        <f t="shared" si="311"/>
        <v>-1.0364521536303144</v>
      </c>
    </row>
    <row r="9992" spans="5:8" ht="15.6">
      <c r="E9992" s="279" t="s">
        <v>10318</v>
      </c>
      <c r="F9992" s="284">
        <f t="shared" ca="1" si="310"/>
        <v>0.94322721931233222</v>
      </c>
      <c r="G9992" s="74">
        <v>39.574597113154937</v>
      </c>
      <c r="H9992" s="74">
        <f t="shared" si="311"/>
        <v>0.91980323017758536</v>
      </c>
    </row>
    <row r="9993" spans="5:8" ht="15.6">
      <c r="E9993" s="279" t="s">
        <v>10319</v>
      </c>
      <c r="F9993" s="284">
        <f t="shared" ca="1" si="310"/>
        <v>0.42910744822241487</v>
      </c>
      <c r="G9993" s="74">
        <v>40.266517392707371</v>
      </c>
      <c r="H9993" s="74">
        <f t="shared" si="311"/>
        <v>0.22788295062515118</v>
      </c>
    </row>
    <row r="9994" spans="5:8" ht="15.6">
      <c r="E9994" s="279" t="s">
        <v>10320</v>
      </c>
      <c r="F9994" s="284">
        <f t="shared" ca="1" si="310"/>
        <v>0.55237522074462153</v>
      </c>
      <c r="G9994" s="74">
        <v>38.615433851372018</v>
      </c>
      <c r="H9994" s="74">
        <f t="shared" si="311"/>
        <v>1.8789664919605045</v>
      </c>
    </row>
    <row r="9995" spans="5:8" ht="15.6">
      <c r="E9995" s="279" t="s">
        <v>10321</v>
      </c>
      <c r="F9995" s="284">
        <f t="shared" ca="1" si="310"/>
        <v>7.3719353286661238E-2</v>
      </c>
      <c r="G9995" s="74">
        <v>40.490889904911867</v>
      </c>
      <c r="H9995" s="74">
        <f t="shared" si="311"/>
        <v>3.5104384206547934E-3</v>
      </c>
    </row>
    <row r="9996" spans="5:8" ht="15.6">
      <c r="E9996" s="279" t="s">
        <v>10322</v>
      </c>
      <c r="F9996" s="284">
        <f t="shared" ref="F9996:F10010" ca="1" si="312">RAND()</f>
        <v>0.34245208407560812</v>
      </c>
      <c r="G9996" s="74">
        <v>36.919584843318908</v>
      </c>
      <c r="H9996" s="74">
        <f t="shared" ref="H9996:H10010" si="313">$D$2-G9996</f>
        <v>3.5748155000136137</v>
      </c>
    </row>
    <row r="9997" spans="5:8" ht="15.6">
      <c r="E9997" s="279" t="s">
        <v>10323</v>
      </c>
      <c r="F9997" s="284">
        <f t="shared" ca="1" si="312"/>
        <v>0.74883774036362816</v>
      </c>
      <c r="G9997" s="74">
        <v>34.083790990785339</v>
      </c>
      <c r="H9997" s="74">
        <f t="shared" si="313"/>
        <v>6.4106093525471834</v>
      </c>
    </row>
    <row r="9998" spans="5:8" ht="15.6">
      <c r="E9998" s="279" t="s">
        <v>10324</v>
      </c>
      <c r="F9998" s="284">
        <f t="shared" ca="1" si="312"/>
        <v>0.39770184903016159</v>
      </c>
      <c r="G9998" s="74">
        <v>37.971400879400569</v>
      </c>
      <c r="H9998" s="74">
        <f t="shared" si="313"/>
        <v>2.5229994639319528</v>
      </c>
    </row>
    <row r="9999" spans="5:8" ht="15.6">
      <c r="E9999" s="279" t="s">
        <v>10325</v>
      </c>
      <c r="F9999" s="284">
        <f t="shared" ca="1" si="312"/>
        <v>0.23975757099338912</v>
      </c>
      <c r="G9999" s="74">
        <v>36.911833167834587</v>
      </c>
      <c r="H9999" s="74">
        <f t="shared" si="313"/>
        <v>3.5825671754979354</v>
      </c>
    </row>
    <row r="10000" spans="5:8" ht="15.6">
      <c r="E10000" s="279" t="s">
        <v>10326</v>
      </c>
      <c r="F10000" s="284">
        <f t="shared" ca="1" si="312"/>
        <v>0.53095796456832667</v>
      </c>
      <c r="G10000" s="74">
        <v>35.135918769608573</v>
      </c>
      <c r="H10000" s="74">
        <f t="shared" si="313"/>
        <v>5.3584815737239495</v>
      </c>
    </row>
    <row r="10001" spans="5:8" ht="15.6">
      <c r="E10001" s="279" t="s">
        <v>10327</v>
      </c>
      <c r="F10001" s="284">
        <f t="shared" ca="1" si="312"/>
        <v>0.30943906354802486</v>
      </c>
      <c r="G10001" s="74">
        <v>35.46874558567626</v>
      </c>
      <c r="H10001" s="74">
        <f t="shared" si="313"/>
        <v>5.0256547576562625</v>
      </c>
    </row>
    <row r="10002" spans="5:8" ht="15.6">
      <c r="E10002" s="279" t="s">
        <v>10328</v>
      </c>
      <c r="F10002" s="284">
        <f t="shared" ca="1" si="312"/>
        <v>0.33948461099277438</v>
      </c>
      <c r="G10002" s="74">
        <v>40.891511918973926</v>
      </c>
      <c r="H10002" s="74">
        <f t="shared" si="313"/>
        <v>-0.39711157564140365</v>
      </c>
    </row>
    <row r="10003" spans="5:8" ht="15.6">
      <c r="E10003" s="279" t="s">
        <v>10329</v>
      </c>
      <c r="F10003" s="284">
        <f t="shared" ca="1" si="312"/>
        <v>0.11161424201175119</v>
      </c>
      <c r="G10003" s="74">
        <v>40.376340102019569</v>
      </c>
      <c r="H10003" s="74">
        <f t="shared" si="313"/>
        <v>0.11806024131295345</v>
      </c>
    </row>
    <row r="10004" spans="5:8" ht="15.6">
      <c r="E10004" s="279" t="s">
        <v>10330</v>
      </c>
      <c r="F10004" s="284">
        <f t="shared" ca="1" si="312"/>
        <v>0.96402263135492727</v>
      </c>
      <c r="G10004" s="74">
        <v>40.048935822954093</v>
      </c>
      <c r="H10004" s="74">
        <f t="shared" si="313"/>
        <v>0.44546452037842954</v>
      </c>
    </row>
    <row r="10005" spans="5:8" ht="15.6">
      <c r="E10005" s="279" t="s">
        <v>10331</v>
      </c>
      <c r="F10005" s="284">
        <f t="shared" ca="1" si="312"/>
        <v>0.49115393003135954</v>
      </c>
      <c r="G10005" s="74">
        <v>40.649842929009729</v>
      </c>
      <c r="H10005" s="74">
        <f t="shared" si="313"/>
        <v>-0.15544258567720703</v>
      </c>
    </row>
    <row r="10006" spans="5:8" ht="15.6">
      <c r="E10006" s="279" t="s">
        <v>10332</v>
      </c>
      <c r="F10006" s="284">
        <f t="shared" ca="1" si="312"/>
        <v>0.14774172855330669</v>
      </c>
      <c r="G10006" s="74">
        <v>37.743767075514228</v>
      </c>
      <c r="H10006" s="74">
        <f t="shared" si="313"/>
        <v>2.7506332678182943</v>
      </c>
    </row>
    <row r="10007" spans="5:8" ht="15.6">
      <c r="E10007" s="279" t="s">
        <v>10333</v>
      </c>
      <c r="F10007" s="284">
        <f t="shared" ca="1" si="312"/>
        <v>0.88570657232513983</v>
      </c>
      <c r="G10007" s="74">
        <v>35.732367403394477</v>
      </c>
      <c r="H10007" s="74">
        <f t="shared" si="313"/>
        <v>4.7620329399380452</v>
      </c>
    </row>
    <row r="10008" spans="5:8" ht="15.6">
      <c r="E10008" s="279" t="s">
        <v>10334</v>
      </c>
      <c r="F10008" s="284">
        <f t="shared" ca="1" si="312"/>
        <v>0.93988069152910236</v>
      </c>
      <c r="G10008" s="74">
        <v>42.909845041991431</v>
      </c>
      <c r="H10008" s="74">
        <f t="shared" si="313"/>
        <v>-2.4154446986589093</v>
      </c>
    </row>
    <row r="10009" spans="5:8" ht="15.6">
      <c r="E10009" s="279" t="s">
        <v>10335</v>
      </c>
      <c r="F10009" s="284">
        <f t="shared" ca="1" si="312"/>
        <v>0.64309350704206159</v>
      </c>
      <c r="G10009" s="74">
        <v>38.252806462426996</v>
      </c>
      <c r="H10009" s="74">
        <f t="shared" si="313"/>
        <v>2.2415938809055262</v>
      </c>
    </row>
    <row r="10010" spans="5:8" ht="15.6">
      <c r="E10010" s="279" t="s">
        <v>10336</v>
      </c>
      <c r="F10010" s="284">
        <f t="shared" ca="1" si="312"/>
        <v>5.2656246625486514E-3</v>
      </c>
      <c r="G10010" s="74">
        <v>35.112656869795238</v>
      </c>
      <c r="H10010" s="74">
        <f t="shared" si="313"/>
        <v>5.3817434735372842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FS</vt:lpstr>
      <vt:lpstr>Common Size</vt:lpstr>
      <vt:lpstr>Ratios</vt:lpstr>
      <vt:lpstr>Adjustment</vt:lpstr>
      <vt:lpstr>EV</vt:lpstr>
      <vt:lpstr>Comparable Valuation</vt:lpstr>
      <vt:lpstr>Assumptions</vt:lpstr>
      <vt:lpstr>WACC</vt:lpstr>
      <vt:lpstr>DCF</vt:lpstr>
      <vt:lpstr>DDM</vt:lpstr>
      <vt:lpstr>Fair Value</vt:lpstr>
      <vt:lpstr>Monte 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Nashiru Abdul Kabiru</dc:creator>
  <cp:lastModifiedBy>Abdul-Kabiru Nashiru</cp:lastModifiedBy>
  <dcterms:created xsi:type="dcterms:W3CDTF">2025-05-05T12:01:42Z</dcterms:created>
  <dcterms:modified xsi:type="dcterms:W3CDTF">2026-07-01T11:07:31Z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0ff20d9ba2314a78ba1ce434ffc7c195</vt:lpwstr>
  </property>
</Properties>
</file>