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2481099-4390-46D4-A806-892A51A739A4}" xr6:coauthVersionLast="47" xr6:coauthVersionMax="47" xr10:uidLastSave="{00000000-0000-0000-0000-000000000000}"/>
  <bookViews>
    <workbookView xWindow="-108" yWindow="-108" windowWidth="23256" windowHeight="12456" tabRatio="922" xr2:uid="{DA04D636-A25B-441A-9C76-C175622E222B}"/>
  </bookViews>
  <sheets>
    <sheet name="Dashboard" sheetId="7" r:id="rId1"/>
    <sheet name="Valuation" sheetId="6" r:id="rId2"/>
    <sheet name="Quarterly Financial Projections" sheetId="5" r:id="rId3"/>
    <sheet name="Assumptions" sheetId="4" r:id="rId4"/>
    <sheet name="Comps" sheetId="3" r:id="rId5"/>
    <sheet name="Quarterly Historical Financials" sheetId="2" r:id="rId6"/>
    <sheet name="Raw Historical Financials" sheetId="1" r:id="rId7"/>
  </sheets>
  <definedNames>
    <definedName name="ExternalData_1" localSheetId="4" hidden="1">Comps!$B$44:$C$82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B_Share_Price_583e0ef7-27ec-45b7-8eed-75aeb3e30192" name="FAB_Share_Price" connection="Query - FAB_Share_Pric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6" l="1"/>
  <c r="F60" i="6"/>
  <c r="F42" i="6"/>
  <c r="F41" i="6"/>
  <c r="F40" i="6"/>
  <c r="F102" i="4"/>
  <c r="G102" i="4"/>
  <c r="M240" i="4" l="1"/>
  <c r="M241" i="4"/>
  <c r="M242" i="4"/>
  <c r="M234" i="4"/>
  <c r="M235" i="4"/>
  <c r="M236" i="4"/>
  <c r="M228" i="4"/>
  <c r="M229" i="4"/>
  <c r="M230" i="4"/>
  <c r="M222" i="4"/>
  <c r="M223" i="4"/>
  <c r="M224" i="4"/>
  <c r="M215" i="4"/>
  <c r="M216" i="4"/>
  <c r="M217" i="4"/>
  <c r="M218" i="4"/>
  <c r="M209" i="4"/>
  <c r="M210" i="4"/>
  <c r="M211" i="4"/>
  <c r="M199" i="4"/>
  <c r="M200" i="4"/>
  <c r="M201" i="4"/>
  <c r="M203" i="4"/>
  <c r="M191" i="4"/>
  <c r="M192" i="4"/>
  <c r="M193" i="4" s="1"/>
  <c r="M183" i="4"/>
  <c r="M185" i="4"/>
  <c r="M184" i="4" s="1"/>
  <c r="M177" i="4"/>
  <c r="M178" i="4"/>
  <c r="M179" i="4" s="1"/>
  <c r="M169" i="4"/>
  <c r="M170" i="4"/>
  <c r="M171" i="4"/>
  <c r="M160" i="4"/>
  <c r="M163" i="4" s="1"/>
  <c r="M161" i="4"/>
  <c r="M162" i="4"/>
  <c r="M151" i="4"/>
  <c r="M152" i="4"/>
  <c r="M153" i="4"/>
  <c r="M154" i="4"/>
  <c r="M142" i="4"/>
  <c r="M143" i="4"/>
  <c r="M145" i="4" s="1"/>
  <c r="M144" i="4"/>
  <c r="M134" i="4"/>
  <c r="M135" i="4"/>
  <c r="M136" i="4"/>
  <c r="M128" i="4"/>
  <c r="M129" i="4"/>
  <c r="M130" i="4"/>
  <c r="M122" i="4"/>
  <c r="M123" i="4"/>
  <c r="M124" i="4"/>
  <c r="M116" i="4"/>
  <c r="M117" i="4"/>
  <c r="M118" i="4"/>
  <c r="M109" i="4"/>
  <c r="M110" i="4"/>
  <c r="M111" i="4"/>
  <c r="M103" i="4"/>
  <c r="M104" i="4"/>
  <c r="M105" i="4"/>
  <c r="M106" i="4" s="1"/>
  <c r="M99" i="4"/>
  <c r="M89" i="4"/>
  <c r="M91" i="4"/>
  <c r="M92" i="4"/>
  <c r="M90" i="4" s="1"/>
  <c r="M94" i="4"/>
  <c r="M85" i="4"/>
  <c r="M79" i="4"/>
  <c r="M76" i="4"/>
  <c r="M64" i="4"/>
  <c r="M55" i="4"/>
  <c r="M52" i="4"/>
  <c r="M51" i="4"/>
  <c r="M44" i="4"/>
  <c r="M39" i="4"/>
  <c r="M29" i="4"/>
  <c r="M21" i="4"/>
  <c r="F56" i="5"/>
  <c r="E56" i="5"/>
  <c r="F51" i="5"/>
  <c r="E51" i="5"/>
  <c r="F33" i="5"/>
  <c r="E33" i="5"/>
  <c r="F57" i="5"/>
  <c r="F58" i="5"/>
  <c r="F59" i="5"/>
  <c r="F60" i="5"/>
  <c r="F61" i="5"/>
  <c r="F48" i="5"/>
  <c r="F49" i="5"/>
  <c r="F50" i="5"/>
  <c r="F52" i="5"/>
  <c r="F34" i="5"/>
  <c r="F35" i="5"/>
  <c r="F36" i="5"/>
  <c r="F37" i="5"/>
  <c r="F38" i="5"/>
  <c r="F39" i="5"/>
  <c r="F40" i="5"/>
  <c r="F41" i="5"/>
  <c r="F42" i="5"/>
  <c r="F43" i="5"/>
  <c r="F44" i="5"/>
  <c r="F25" i="5"/>
  <c r="F23" i="5"/>
  <c r="F17" i="5"/>
  <c r="F18" i="5"/>
  <c r="F19" i="5"/>
  <c r="F20" i="5"/>
  <c r="F21" i="5"/>
  <c r="F14" i="5"/>
  <c r="F15" i="5"/>
  <c r="F11" i="5"/>
  <c r="F12" i="5"/>
  <c r="F9" i="5"/>
  <c r="F8" i="5"/>
  <c r="D489" i="2"/>
  <c r="D488" i="2"/>
  <c r="D487" i="2"/>
  <c r="D486" i="2"/>
  <c r="D477" i="2"/>
  <c r="D476" i="2"/>
  <c r="D475" i="2"/>
  <c r="D474" i="2"/>
  <c r="D465" i="2"/>
  <c r="D464" i="2"/>
  <c r="D463" i="2"/>
  <c r="D462" i="2"/>
  <c r="D453" i="2"/>
  <c r="D452" i="2"/>
  <c r="D451" i="2"/>
  <c r="D450" i="2"/>
  <c r="D441" i="2"/>
  <c r="D440" i="2"/>
  <c r="D439" i="2"/>
  <c r="D438" i="2"/>
  <c r="D427" i="2"/>
  <c r="D426" i="2"/>
  <c r="D425" i="2"/>
  <c r="D424" i="2"/>
  <c r="D415" i="2"/>
  <c r="D414" i="2"/>
  <c r="D413" i="2"/>
  <c r="D412" i="2"/>
  <c r="D409" i="2"/>
  <c r="D408" i="2"/>
  <c r="D407" i="2"/>
  <c r="D406" i="2"/>
  <c r="D396" i="2"/>
  <c r="D395" i="2"/>
  <c r="D394" i="2"/>
  <c r="D393" i="2"/>
  <c r="D384" i="2"/>
  <c r="D383" i="2"/>
  <c r="D382" i="2"/>
  <c r="D381" i="2"/>
  <c r="D372" i="2"/>
  <c r="D371" i="2"/>
  <c r="D370" i="2"/>
  <c r="D369" i="2"/>
  <c r="D360" i="2"/>
  <c r="D359" i="2"/>
  <c r="D358" i="2"/>
  <c r="D357" i="2"/>
  <c r="D354" i="2"/>
  <c r="D353" i="2"/>
  <c r="D352" i="2"/>
  <c r="D351" i="2"/>
  <c r="D341" i="2"/>
  <c r="D340" i="2"/>
  <c r="D339" i="2"/>
  <c r="D338" i="2"/>
  <c r="D335" i="2"/>
  <c r="D334" i="2"/>
  <c r="D333" i="2"/>
  <c r="D332" i="2"/>
  <c r="D322" i="2"/>
  <c r="D321" i="2"/>
  <c r="D320" i="2"/>
  <c r="D319" i="2"/>
  <c r="D316" i="2"/>
  <c r="D315" i="2"/>
  <c r="D314" i="2"/>
  <c r="D313" i="2"/>
  <c r="D302" i="2"/>
  <c r="D301" i="2"/>
  <c r="D300" i="2"/>
  <c r="D299" i="2"/>
  <c r="D294" i="2"/>
  <c r="D293" i="2"/>
  <c r="D292" i="2"/>
  <c r="D291" i="2"/>
  <c r="D283" i="2"/>
  <c r="D282" i="2"/>
  <c r="D281" i="2"/>
  <c r="D280" i="2"/>
  <c r="D275" i="2"/>
  <c r="D274" i="2"/>
  <c r="D273" i="2"/>
  <c r="D272" i="2"/>
  <c r="D264" i="2"/>
  <c r="D263" i="2"/>
  <c r="D262" i="2"/>
  <c r="D261" i="2"/>
  <c r="D244" i="2"/>
  <c r="D243" i="2"/>
  <c r="D242" i="2"/>
  <c r="D241" i="2"/>
  <c r="D232" i="2"/>
  <c r="D231" i="2"/>
  <c r="D230" i="2"/>
  <c r="D229" i="2"/>
  <c r="D220" i="2"/>
  <c r="D219" i="2"/>
  <c r="D218" i="2"/>
  <c r="D217" i="2"/>
  <c r="D211" i="2"/>
  <c r="D210" i="2"/>
  <c r="D209" i="2"/>
  <c r="D208" i="2"/>
  <c r="D204" i="2"/>
  <c r="D203" i="2"/>
  <c r="D202" i="2"/>
  <c r="D201" i="2"/>
  <c r="D195" i="2"/>
  <c r="D194" i="2"/>
  <c r="D193" i="2"/>
  <c r="D192" i="2"/>
  <c r="D186" i="2"/>
  <c r="D185" i="2"/>
  <c r="D184" i="2"/>
  <c r="D183" i="2"/>
  <c r="D175" i="2"/>
  <c r="D174" i="2"/>
  <c r="D173" i="2"/>
  <c r="D172" i="2"/>
  <c r="D168" i="2"/>
  <c r="D167" i="2"/>
  <c r="D166" i="2"/>
  <c r="D165" i="2"/>
  <c r="D157" i="2"/>
  <c r="D156" i="2"/>
  <c r="D155" i="2"/>
  <c r="D154" i="2"/>
  <c r="D149" i="2"/>
  <c r="D148" i="2"/>
  <c r="D147" i="2"/>
  <c r="D146" i="2"/>
  <c r="D132" i="2"/>
  <c r="D131" i="2"/>
  <c r="D125" i="2"/>
  <c r="D124" i="2"/>
  <c r="D123" i="2"/>
  <c r="D122" i="2"/>
  <c r="D108" i="2"/>
  <c r="D107" i="2"/>
  <c r="D106" i="2"/>
  <c r="D105" i="2"/>
  <c r="D95" i="2"/>
  <c r="D94" i="2"/>
  <c r="D93" i="2"/>
  <c r="D92" i="2"/>
  <c r="F72" i="2"/>
  <c r="G72" i="2"/>
  <c r="H72" i="2"/>
  <c r="I72" i="2"/>
  <c r="AE72" i="2" s="1"/>
  <c r="J72" i="2"/>
  <c r="K72" i="2"/>
  <c r="L72" i="2"/>
  <c r="M72" i="2"/>
  <c r="AF72" i="2" s="1"/>
  <c r="N72" i="2"/>
  <c r="O72" i="2"/>
  <c r="P72" i="2"/>
  <c r="Q72" i="2"/>
  <c r="AG72" i="2" s="1"/>
  <c r="R72" i="2"/>
  <c r="S72" i="2"/>
  <c r="T72" i="2"/>
  <c r="U72" i="2"/>
  <c r="AH72" i="2" s="1"/>
  <c r="V72" i="2"/>
  <c r="W72" i="2"/>
  <c r="X72" i="2"/>
  <c r="Y72" i="2"/>
  <c r="AI72" i="2" s="1"/>
  <c r="Z72" i="2"/>
  <c r="AA72" i="2"/>
  <c r="AB72" i="2"/>
  <c r="AC72" i="2"/>
  <c r="AJ72" i="2" s="1"/>
  <c r="B72" i="2"/>
  <c r="G62" i="2"/>
  <c r="H62" i="2"/>
  <c r="I62" i="2"/>
  <c r="J62" i="2"/>
  <c r="K62" i="2"/>
  <c r="L62" i="2"/>
  <c r="M62" i="2"/>
  <c r="AF62" i="2" s="1"/>
  <c r="N62" i="2"/>
  <c r="O62" i="2"/>
  <c r="P62" i="2"/>
  <c r="Q62" i="2"/>
  <c r="AG62" i="2" s="1"/>
  <c r="R62" i="2"/>
  <c r="S62" i="2"/>
  <c r="T62" i="2"/>
  <c r="U62" i="2"/>
  <c r="AH62" i="2" s="1"/>
  <c r="V62" i="2"/>
  <c r="W62" i="2"/>
  <c r="X62" i="2"/>
  <c r="Y62" i="2"/>
  <c r="AI62" i="2" s="1"/>
  <c r="Z62" i="2"/>
  <c r="AA62" i="2"/>
  <c r="AB62" i="2"/>
  <c r="AC62" i="2"/>
  <c r="AJ62" i="2" s="1"/>
  <c r="AE62" i="2"/>
  <c r="F62" i="2"/>
  <c r="B62" i="2"/>
  <c r="G42" i="2"/>
  <c r="H42" i="2"/>
  <c r="I42" i="2"/>
  <c r="AE42" i="2" s="1"/>
  <c r="J42" i="2"/>
  <c r="K42" i="2"/>
  <c r="L42" i="2"/>
  <c r="M42" i="2"/>
  <c r="AF42" i="2" s="1"/>
  <c r="N42" i="2"/>
  <c r="O42" i="2"/>
  <c r="P42" i="2"/>
  <c r="Q42" i="2"/>
  <c r="AG42" i="2" s="1"/>
  <c r="R42" i="2"/>
  <c r="S42" i="2"/>
  <c r="T42" i="2"/>
  <c r="U42" i="2"/>
  <c r="AH42" i="2" s="1"/>
  <c r="V42" i="2"/>
  <c r="W42" i="2"/>
  <c r="X42" i="2"/>
  <c r="Y42" i="2"/>
  <c r="AI42" i="2" s="1"/>
  <c r="Z42" i="2"/>
  <c r="AA42" i="2"/>
  <c r="AB42" i="2"/>
  <c r="AC42" i="2"/>
  <c r="AJ42" i="2" s="1"/>
  <c r="F42" i="2"/>
  <c r="B42" i="2"/>
  <c r="AJ44" i="2"/>
  <c r="AJ41" i="2"/>
  <c r="AC9" i="2"/>
  <c r="AC10" i="2"/>
  <c r="AC103" i="2" s="1"/>
  <c r="AC12" i="2"/>
  <c r="AC120" i="2" s="1"/>
  <c r="AC13" i="2"/>
  <c r="AC129" i="2" s="1"/>
  <c r="AC15" i="2"/>
  <c r="AC144" i="2" s="1"/>
  <c r="AC16" i="2"/>
  <c r="AC152" i="2" s="1"/>
  <c r="AC18" i="2"/>
  <c r="AC114" i="2" s="1"/>
  <c r="AC19" i="2"/>
  <c r="AC20" i="2"/>
  <c r="AC21" i="2"/>
  <c r="AC22" i="2"/>
  <c r="AC170" i="2" s="1"/>
  <c r="AC23" i="2"/>
  <c r="AC404" i="2" s="1"/>
  <c r="AC24" i="2"/>
  <c r="AC26" i="2"/>
  <c r="AC28" i="2"/>
  <c r="AC29" i="2"/>
  <c r="AC250" i="2" s="1"/>
  <c r="AC30" i="2"/>
  <c r="AC251" i="2" s="1"/>
  <c r="AC31" i="2"/>
  <c r="AC252" i="2" s="1"/>
  <c r="AC41" i="2"/>
  <c r="AC85" i="2" s="1"/>
  <c r="AC43" i="2"/>
  <c r="AC86" i="2" s="1"/>
  <c r="AC44" i="2"/>
  <c r="AC87" i="2" s="1"/>
  <c r="AC45" i="2"/>
  <c r="AJ45" i="2" s="1"/>
  <c r="AC46" i="2"/>
  <c r="AJ46" i="2" s="1"/>
  <c r="AC47" i="2"/>
  <c r="AC226" i="2" s="1"/>
  <c r="AC48" i="2"/>
  <c r="AC238" i="2" s="1"/>
  <c r="AC49" i="2"/>
  <c r="AJ49" i="2" s="1"/>
  <c r="AC50" i="2"/>
  <c r="AC269" i="2" s="1"/>
  <c r="AC51" i="2"/>
  <c r="AC288" i="2" s="1"/>
  <c r="AC52" i="2"/>
  <c r="AJ52" i="2" s="1"/>
  <c r="AC53" i="2"/>
  <c r="AC366" i="2" s="1"/>
  <c r="AC54" i="2"/>
  <c r="AC329" i="2" s="1"/>
  <c r="AC55" i="2"/>
  <c r="AJ55" i="2" s="1"/>
  <c r="AC59" i="2"/>
  <c r="AJ59" i="2" s="1"/>
  <c r="AC60" i="2"/>
  <c r="AC100" i="2" s="1"/>
  <c r="AC61" i="2"/>
  <c r="AJ61" i="2" s="1"/>
  <c r="AC63" i="2"/>
  <c r="AC378" i="2" s="1"/>
  <c r="AC64" i="2"/>
  <c r="AJ64" i="2" s="1"/>
  <c r="AC65" i="2"/>
  <c r="AC402" i="2" s="1"/>
  <c r="AC69" i="2"/>
  <c r="AJ69" i="2" s="1"/>
  <c r="AC70" i="2"/>
  <c r="AC434" i="2" s="1"/>
  <c r="AC71" i="2"/>
  <c r="AJ71" i="2" s="1"/>
  <c r="AC73" i="2"/>
  <c r="AC459" i="2" s="1"/>
  <c r="AC74" i="2"/>
  <c r="AC471" i="2" s="1"/>
  <c r="AC75" i="2"/>
  <c r="AC483" i="2" s="1"/>
  <c r="AC141" i="2"/>
  <c r="AC163" i="2"/>
  <c r="AC308" i="2"/>
  <c r="AC310" i="2"/>
  <c r="AC436" i="2"/>
  <c r="V81" i="1"/>
  <c r="V109" i="1"/>
  <c r="H91" i="7" s="1"/>
  <c r="V107" i="1"/>
  <c r="Z127" i="1"/>
  <c r="Z124" i="1"/>
  <c r="Z122" i="1"/>
  <c r="Z116" i="1"/>
  <c r="Z109" i="1"/>
  <c r="Z81" i="1"/>
  <c r="Z71" i="1"/>
  <c r="Z61" i="1"/>
  <c r="Z51" i="1"/>
  <c r="Z6" i="1"/>
  <c r="Z11" i="1" s="1"/>
  <c r="Z20" i="1" s="1"/>
  <c r="Z25" i="1" s="1"/>
  <c r="Z29" i="1" s="1"/>
  <c r="F9" i="2"/>
  <c r="F90" i="2" s="1"/>
  <c r="G9" i="2"/>
  <c r="H9" i="2"/>
  <c r="I9" i="2"/>
  <c r="J9" i="2"/>
  <c r="K9" i="2"/>
  <c r="L9" i="2"/>
  <c r="L90" i="2" s="1"/>
  <c r="M9" i="2"/>
  <c r="N9" i="2"/>
  <c r="N90" i="2" s="1"/>
  <c r="O9" i="2"/>
  <c r="P9" i="2"/>
  <c r="Q9" i="2"/>
  <c r="R9" i="2"/>
  <c r="R90" i="2" s="1"/>
  <c r="S9" i="2"/>
  <c r="T9" i="2"/>
  <c r="T90" i="2" s="1"/>
  <c r="U9" i="2"/>
  <c r="V9" i="2"/>
  <c r="W9" i="2"/>
  <c r="W90" i="2" s="1"/>
  <c r="X9" i="2"/>
  <c r="Y9" i="2"/>
  <c r="Z9" i="2"/>
  <c r="AA9" i="2"/>
  <c r="AB9" i="2"/>
  <c r="F10" i="2"/>
  <c r="F103" i="2" s="1"/>
  <c r="G10" i="2"/>
  <c r="G103" i="2" s="1"/>
  <c r="H10" i="2"/>
  <c r="H103" i="2" s="1"/>
  <c r="I10" i="2"/>
  <c r="I103" i="2" s="1"/>
  <c r="J10" i="2"/>
  <c r="J103" i="2" s="1"/>
  <c r="K10" i="2"/>
  <c r="K103" i="2" s="1"/>
  <c r="L10" i="2"/>
  <c r="M10" i="2"/>
  <c r="M103" i="2" s="1"/>
  <c r="N10" i="2"/>
  <c r="N103" i="2" s="1"/>
  <c r="O10" i="2"/>
  <c r="O103" i="2" s="1"/>
  <c r="P10" i="2"/>
  <c r="P103" i="2" s="1"/>
  <c r="Q10" i="2"/>
  <c r="Q103" i="2" s="1"/>
  <c r="R10" i="2"/>
  <c r="R103" i="2" s="1"/>
  <c r="S10" i="2"/>
  <c r="T10" i="2"/>
  <c r="T103" i="2" s="1"/>
  <c r="U10" i="2"/>
  <c r="U103" i="2" s="1"/>
  <c r="V10" i="2"/>
  <c r="V103" i="2" s="1"/>
  <c r="W10" i="2"/>
  <c r="W103" i="2" s="1"/>
  <c r="X10" i="2"/>
  <c r="Y10" i="2"/>
  <c r="Y103" i="2" s="1"/>
  <c r="Z10" i="2"/>
  <c r="Z103" i="2" s="1"/>
  <c r="AA10" i="2"/>
  <c r="AA103" i="2" s="1"/>
  <c r="AB10" i="2"/>
  <c r="F12" i="2"/>
  <c r="G12" i="2"/>
  <c r="H12" i="2"/>
  <c r="I12" i="2"/>
  <c r="I120" i="2" s="1"/>
  <c r="J12" i="2"/>
  <c r="J120" i="2" s="1"/>
  <c r="K12" i="2"/>
  <c r="K120" i="2" s="1"/>
  <c r="L12" i="2"/>
  <c r="M12" i="2"/>
  <c r="M120" i="2" s="1"/>
  <c r="N12" i="2"/>
  <c r="N120" i="2" s="1"/>
  <c r="O12" i="2"/>
  <c r="O120" i="2" s="1"/>
  <c r="P12" i="2"/>
  <c r="Q12" i="2"/>
  <c r="Q120" i="2" s="1"/>
  <c r="R12" i="2"/>
  <c r="R120" i="2" s="1"/>
  <c r="S12" i="2"/>
  <c r="S120" i="2" s="1"/>
  <c r="T12" i="2"/>
  <c r="U12" i="2"/>
  <c r="U120" i="2" s="1"/>
  <c r="V12" i="2"/>
  <c r="W12" i="2"/>
  <c r="W120" i="2" s="1"/>
  <c r="X12" i="2"/>
  <c r="Y12" i="2"/>
  <c r="Y120" i="2" s="1"/>
  <c r="Z12" i="2"/>
  <c r="AA12" i="2"/>
  <c r="AA120" i="2" s="1"/>
  <c r="AB12" i="2"/>
  <c r="F13" i="2"/>
  <c r="G13" i="2"/>
  <c r="G129" i="2" s="1"/>
  <c r="H13" i="2"/>
  <c r="H129" i="2" s="1"/>
  <c r="I13" i="2"/>
  <c r="I129" i="2" s="1"/>
  <c r="J13" i="2"/>
  <c r="J129" i="2" s="1"/>
  <c r="K13" i="2"/>
  <c r="K129" i="2" s="1"/>
  <c r="L13" i="2"/>
  <c r="L129" i="2" s="1"/>
  <c r="M13" i="2"/>
  <c r="M129" i="2" s="1"/>
  <c r="N13" i="2"/>
  <c r="N129" i="2" s="1"/>
  <c r="O13" i="2"/>
  <c r="O129" i="2" s="1"/>
  <c r="P13" i="2"/>
  <c r="P129" i="2" s="1"/>
  <c r="Q13" i="2"/>
  <c r="R13" i="2"/>
  <c r="R129" i="2" s="1"/>
  <c r="S13" i="2"/>
  <c r="S129" i="2" s="1"/>
  <c r="T13" i="2"/>
  <c r="T129" i="2" s="1"/>
  <c r="U13" i="2"/>
  <c r="V13" i="2"/>
  <c r="V129" i="2" s="1"/>
  <c r="W13" i="2"/>
  <c r="W129" i="2" s="1"/>
  <c r="X13" i="2"/>
  <c r="X129" i="2" s="1"/>
  <c r="Y13" i="2"/>
  <c r="Y129" i="2" s="1"/>
  <c r="Z13" i="2"/>
  <c r="Z129" i="2" s="1"/>
  <c r="AA13" i="2"/>
  <c r="AA129" i="2" s="1"/>
  <c r="AB13" i="2"/>
  <c r="AB129" i="2" s="1"/>
  <c r="F15" i="2"/>
  <c r="F144" i="2" s="1"/>
  <c r="G15" i="2"/>
  <c r="G144" i="2" s="1"/>
  <c r="H15" i="2"/>
  <c r="H144" i="2" s="1"/>
  <c r="I15" i="2"/>
  <c r="I144" i="2" s="1"/>
  <c r="J15" i="2"/>
  <c r="J144" i="2" s="1"/>
  <c r="K15" i="2"/>
  <c r="K144" i="2" s="1"/>
  <c r="L15" i="2"/>
  <c r="L144" i="2" s="1"/>
  <c r="M15" i="2"/>
  <c r="M144" i="2" s="1"/>
  <c r="N15" i="2"/>
  <c r="N144" i="2" s="1"/>
  <c r="O15" i="2"/>
  <c r="O144" i="2" s="1"/>
  <c r="P15" i="2"/>
  <c r="P144" i="2" s="1"/>
  <c r="Q15" i="2"/>
  <c r="Q144" i="2" s="1"/>
  <c r="R15" i="2"/>
  <c r="R144" i="2" s="1"/>
  <c r="S15" i="2"/>
  <c r="S144" i="2" s="1"/>
  <c r="T15" i="2"/>
  <c r="T144" i="2" s="1"/>
  <c r="U15" i="2"/>
  <c r="U144" i="2" s="1"/>
  <c r="V15" i="2"/>
  <c r="V144" i="2" s="1"/>
  <c r="W15" i="2"/>
  <c r="W144" i="2" s="1"/>
  <c r="X15" i="2"/>
  <c r="X144" i="2" s="1"/>
  <c r="Y15" i="2"/>
  <c r="Y144" i="2" s="1"/>
  <c r="Z15" i="2"/>
  <c r="Z144" i="2" s="1"/>
  <c r="AA15" i="2"/>
  <c r="AA144" i="2" s="1"/>
  <c r="AB15" i="2"/>
  <c r="AB144" i="2" s="1"/>
  <c r="F16" i="2"/>
  <c r="F152" i="2" s="1"/>
  <c r="G16" i="2"/>
  <c r="G152" i="2" s="1"/>
  <c r="H16" i="2"/>
  <c r="H152" i="2" s="1"/>
  <c r="I16" i="2"/>
  <c r="I152" i="2" s="1"/>
  <c r="J16" i="2"/>
  <c r="J152" i="2" s="1"/>
  <c r="K16" i="2"/>
  <c r="K152" i="2" s="1"/>
  <c r="L16" i="2"/>
  <c r="L152" i="2" s="1"/>
  <c r="M16" i="2"/>
  <c r="M152" i="2" s="1"/>
  <c r="N16" i="2"/>
  <c r="N152" i="2" s="1"/>
  <c r="O16" i="2"/>
  <c r="O152" i="2" s="1"/>
  <c r="P16" i="2"/>
  <c r="P152" i="2" s="1"/>
  <c r="Q16" i="2"/>
  <c r="Q152" i="2" s="1"/>
  <c r="R16" i="2"/>
  <c r="R152" i="2" s="1"/>
  <c r="S16" i="2"/>
  <c r="T16" i="2"/>
  <c r="T152" i="2" s="1"/>
  <c r="U16" i="2"/>
  <c r="U152" i="2" s="1"/>
  <c r="V16" i="2"/>
  <c r="V152" i="2" s="1"/>
  <c r="W16" i="2"/>
  <c r="W152" i="2" s="1"/>
  <c r="X16" i="2"/>
  <c r="X152" i="2" s="1"/>
  <c r="Y16" i="2"/>
  <c r="Y152" i="2" s="1"/>
  <c r="Z16" i="2"/>
  <c r="Z152" i="2" s="1"/>
  <c r="AA16" i="2"/>
  <c r="AA152" i="2" s="1"/>
  <c r="AB16" i="2"/>
  <c r="AB152" i="2" s="1"/>
  <c r="F18" i="2"/>
  <c r="G18" i="2"/>
  <c r="G114" i="2" s="1"/>
  <c r="H18" i="2"/>
  <c r="H206" i="2" s="1"/>
  <c r="I18" i="2"/>
  <c r="I206" i="2" s="1"/>
  <c r="J18" i="2"/>
  <c r="J206" i="2" s="1"/>
  <c r="K18" i="2"/>
  <c r="K206" i="2" s="1"/>
  <c r="L18" i="2"/>
  <c r="L114" i="2" s="1"/>
  <c r="M18" i="2"/>
  <c r="M114" i="2" s="1"/>
  <c r="N18" i="2"/>
  <c r="O18" i="2"/>
  <c r="P18" i="2"/>
  <c r="Q18" i="2"/>
  <c r="R18" i="2"/>
  <c r="S18" i="2"/>
  <c r="S206" i="2" s="1"/>
  <c r="T18" i="2"/>
  <c r="U18" i="2"/>
  <c r="V18" i="2"/>
  <c r="W18" i="2"/>
  <c r="W114" i="2" s="1"/>
  <c r="X18" i="2"/>
  <c r="X114" i="2" s="1"/>
  <c r="Y18" i="2"/>
  <c r="Y206" i="2" s="1"/>
  <c r="Z18" i="2"/>
  <c r="AA18" i="2"/>
  <c r="AB18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F20" i="2"/>
  <c r="F163" i="2" s="1"/>
  <c r="G20" i="2"/>
  <c r="G163" i="2" s="1"/>
  <c r="H20" i="2"/>
  <c r="H163" i="2" s="1"/>
  <c r="I20" i="2"/>
  <c r="I163" i="2" s="1"/>
  <c r="J20" i="2"/>
  <c r="J163" i="2" s="1"/>
  <c r="K20" i="2"/>
  <c r="K163" i="2" s="1"/>
  <c r="L20" i="2"/>
  <c r="L163" i="2" s="1"/>
  <c r="M20" i="2"/>
  <c r="M163" i="2" s="1"/>
  <c r="N20" i="2"/>
  <c r="N163" i="2" s="1"/>
  <c r="O20" i="2"/>
  <c r="O163" i="2" s="1"/>
  <c r="P20" i="2"/>
  <c r="P163" i="2" s="1"/>
  <c r="Q20" i="2"/>
  <c r="Q163" i="2" s="1"/>
  <c r="R20" i="2"/>
  <c r="R163" i="2" s="1"/>
  <c r="S20" i="2"/>
  <c r="T20" i="2"/>
  <c r="T163" i="2" s="1"/>
  <c r="U20" i="2"/>
  <c r="U163" i="2" s="1"/>
  <c r="V20" i="2"/>
  <c r="V163" i="2" s="1"/>
  <c r="W20" i="2"/>
  <c r="W163" i="2" s="1"/>
  <c r="X20" i="2"/>
  <c r="X163" i="2" s="1"/>
  <c r="Y20" i="2"/>
  <c r="Y163" i="2" s="1"/>
  <c r="Z20" i="2"/>
  <c r="Z163" i="2" s="1"/>
  <c r="AA20" i="2"/>
  <c r="AA163" i="2" s="1"/>
  <c r="AB20" i="2"/>
  <c r="AB163" i="2" s="1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F22" i="2"/>
  <c r="F170" i="2" s="1"/>
  <c r="G22" i="2"/>
  <c r="G170" i="2" s="1"/>
  <c r="H22" i="2"/>
  <c r="H170" i="2" s="1"/>
  <c r="I22" i="2"/>
  <c r="I170" i="2" s="1"/>
  <c r="J22" i="2"/>
  <c r="J170" i="2" s="1"/>
  <c r="K22" i="2"/>
  <c r="K170" i="2" s="1"/>
  <c r="L22" i="2"/>
  <c r="L170" i="2" s="1"/>
  <c r="M22" i="2"/>
  <c r="M170" i="2" s="1"/>
  <c r="N22" i="2"/>
  <c r="N170" i="2" s="1"/>
  <c r="O22" i="2"/>
  <c r="O170" i="2" s="1"/>
  <c r="P22" i="2"/>
  <c r="P170" i="2" s="1"/>
  <c r="Q22" i="2"/>
  <c r="Q170" i="2" s="1"/>
  <c r="R22" i="2"/>
  <c r="R170" i="2" s="1"/>
  <c r="S22" i="2"/>
  <c r="S170" i="2" s="1"/>
  <c r="T22" i="2"/>
  <c r="T170" i="2" s="1"/>
  <c r="U22" i="2"/>
  <c r="U170" i="2" s="1"/>
  <c r="V22" i="2"/>
  <c r="V170" i="2" s="1"/>
  <c r="W22" i="2"/>
  <c r="W170" i="2" s="1"/>
  <c r="X22" i="2"/>
  <c r="X170" i="2" s="1"/>
  <c r="Y22" i="2"/>
  <c r="Y170" i="2" s="1"/>
  <c r="Z22" i="2"/>
  <c r="Z170" i="2" s="1"/>
  <c r="AA22" i="2"/>
  <c r="AA170" i="2" s="1"/>
  <c r="AB22" i="2"/>
  <c r="AB170" i="2" s="1"/>
  <c r="F23" i="2"/>
  <c r="F404" i="2" s="1"/>
  <c r="G23" i="2"/>
  <c r="G404" i="2" s="1"/>
  <c r="H23" i="2"/>
  <c r="H404" i="2" s="1"/>
  <c r="I23" i="2"/>
  <c r="I404" i="2" s="1"/>
  <c r="J23" i="2"/>
  <c r="J404" i="2" s="1"/>
  <c r="K23" i="2"/>
  <c r="K404" i="2" s="1"/>
  <c r="L23" i="2"/>
  <c r="L404" i="2" s="1"/>
  <c r="M23" i="2"/>
  <c r="M404" i="2" s="1"/>
  <c r="N23" i="2"/>
  <c r="N404" i="2" s="1"/>
  <c r="O23" i="2"/>
  <c r="O404" i="2" s="1"/>
  <c r="P23" i="2"/>
  <c r="P404" i="2" s="1"/>
  <c r="Q23" i="2"/>
  <c r="Q404" i="2" s="1"/>
  <c r="R23" i="2"/>
  <c r="R404" i="2" s="1"/>
  <c r="S23" i="2"/>
  <c r="S404" i="2" s="1"/>
  <c r="T23" i="2"/>
  <c r="T404" i="2" s="1"/>
  <c r="U23" i="2"/>
  <c r="U404" i="2" s="1"/>
  <c r="V23" i="2"/>
  <c r="W23" i="2"/>
  <c r="W404" i="2" s="1"/>
  <c r="X23" i="2"/>
  <c r="X404" i="2" s="1"/>
  <c r="Y23" i="2"/>
  <c r="Y404" i="2" s="1"/>
  <c r="Z23" i="2"/>
  <c r="Z404" i="2" s="1"/>
  <c r="AA23" i="2"/>
  <c r="AA404" i="2" s="1"/>
  <c r="AB23" i="2"/>
  <c r="AB404" i="2" s="1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F28" i="2"/>
  <c r="F249" i="2" s="1"/>
  <c r="G28" i="2"/>
  <c r="G249" i="2" s="1"/>
  <c r="H28" i="2"/>
  <c r="I28" i="2"/>
  <c r="J28" i="2"/>
  <c r="J249" i="2" s="1"/>
  <c r="K28" i="2"/>
  <c r="K249" i="2" s="1"/>
  <c r="L28" i="2"/>
  <c r="L249" i="2" s="1"/>
  <c r="M28" i="2"/>
  <c r="M249" i="2" s="1"/>
  <c r="N28" i="2"/>
  <c r="N249" i="2" s="1"/>
  <c r="O28" i="2"/>
  <c r="O249" i="2" s="1"/>
  <c r="P28" i="2"/>
  <c r="P249" i="2" s="1"/>
  <c r="Q28" i="2"/>
  <c r="Q249" i="2" s="1"/>
  <c r="R28" i="2"/>
  <c r="R249" i="2" s="1"/>
  <c r="S28" i="2"/>
  <c r="T28" i="2"/>
  <c r="U28" i="2"/>
  <c r="U249" i="2" s="1"/>
  <c r="V28" i="2"/>
  <c r="V249" i="2" s="1"/>
  <c r="W28" i="2"/>
  <c r="W249" i="2" s="1"/>
  <c r="X28" i="2"/>
  <c r="Y28" i="2"/>
  <c r="Y249" i="2" s="1"/>
  <c r="Z28" i="2"/>
  <c r="Z249" i="2" s="1"/>
  <c r="AA28" i="2"/>
  <c r="AA249" i="2" s="1"/>
  <c r="AB28" i="2"/>
  <c r="F29" i="2"/>
  <c r="F250" i="2" s="1"/>
  <c r="G29" i="2"/>
  <c r="H29" i="2"/>
  <c r="H250" i="2" s="1"/>
  <c r="I29" i="2"/>
  <c r="I250" i="2" s="1"/>
  <c r="J29" i="2"/>
  <c r="K29" i="2"/>
  <c r="K250" i="2" s="1"/>
  <c r="L29" i="2"/>
  <c r="L250" i="2" s="1"/>
  <c r="M29" i="2"/>
  <c r="M250" i="2" s="1"/>
  <c r="N29" i="2"/>
  <c r="N250" i="2" s="1"/>
  <c r="O29" i="2"/>
  <c r="O250" i="2" s="1"/>
  <c r="P29" i="2"/>
  <c r="P250" i="2" s="1"/>
  <c r="Q29" i="2"/>
  <c r="Q250" i="2" s="1"/>
  <c r="R29" i="2"/>
  <c r="R250" i="2" s="1"/>
  <c r="S29" i="2"/>
  <c r="T29" i="2"/>
  <c r="T250" i="2" s="1"/>
  <c r="U29" i="2"/>
  <c r="U250" i="2" s="1"/>
  <c r="V29" i="2"/>
  <c r="W29" i="2"/>
  <c r="W250" i="2" s="1"/>
  <c r="X29" i="2"/>
  <c r="X250" i="2" s="1"/>
  <c r="Y29" i="2"/>
  <c r="Y250" i="2" s="1"/>
  <c r="Z29" i="2"/>
  <c r="Z250" i="2" s="1"/>
  <c r="AA29" i="2"/>
  <c r="AA250" i="2" s="1"/>
  <c r="AB29" i="2"/>
  <c r="AB250" i="2" s="1"/>
  <c r="F30" i="2"/>
  <c r="F251" i="2" s="1"/>
  <c r="G30" i="2"/>
  <c r="G251" i="2" s="1"/>
  <c r="H30" i="2"/>
  <c r="H251" i="2" s="1"/>
  <c r="I30" i="2"/>
  <c r="I251" i="2" s="1"/>
  <c r="J30" i="2"/>
  <c r="J251" i="2" s="1"/>
  <c r="K30" i="2"/>
  <c r="K251" i="2" s="1"/>
  <c r="L30" i="2"/>
  <c r="L251" i="2" s="1"/>
  <c r="M30" i="2"/>
  <c r="M251" i="2" s="1"/>
  <c r="N30" i="2"/>
  <c r="N251" i="2" s="1"/>
  <c r="O30" i="2"/>
  <c r="O251" i="2" s="1"/>
  <c r="P30" i="2"/>
  <c r="P251" i="2" s="1"/>
  <c r="Q30" i="2"/>
  <c r="Q251" i="2" s="1"/>
  <c r="R30" i="2"/>
  <c r="R251" i="2" s="1"/>
  <c r="S30" i="2"/>
  <c r="S251" i="2" s="1"/>
  <c r="T30" i="2"/>
  <c r="T251" i="2" s="1"/>
  <c r="U30" i="2"/>
  <c r="U251" i="2" s="1"/>
  <c r="V30" i="2"/>
  <c r="V251" i="2" s="1"/>
  <c r="W30" i="2"/>
  <c r="X30" i="2"/>
  <c r="X251" i="2" s="1"/>
  <c r="Y30" i="2"/>
  <c r="Y251" i="2" s="1"/>
  <c r="Z30" i="2"/>
  <c r="AA30" i="2"/>
  <c r="AA251" i="2" s="1"/>
  <c r="AB30" i="2"/>
  <c r="AB251" i="2" s="1"/>
  <c r="F31" i="2"/>
  <c r="F252" i="2" s="1"/>
  <c r="G31" i="2"/>
  <c r="G252" i="2" s="1"/>
  <c r="H31" i="2"/>
  <c r="H252" i="2" s="1"/>
  <c r="I31" i="2"/>
  <c r="I252" i="2" s="1"/>
  <c r="J31" i="2"/>
  <c r="J252" i="2" s="1"/>
  <c r="K31" i="2"/>
  <c r="K252" i="2" s="1"/>
  <c r="L31" i="2"/>
  <c r="M31" i="2"/>
  <c r="M252" i="2" s="1"/>
  <c r="N31" i="2"/>
  <c r="N252" i="2" s="1"/>
  <c r="O31" i="2"/>
  <c r="O252" i="2" s="1"/>
  <c r="P31" i="2"/>
  <c r="P252" i="2" s="1"/>
  <c r="Q31" i="2"/>
  <c r="Q252" i="2" s="1"/>
  <c r="R31" i="2"/>
  <c r="R252" i="2" s="1"/>
  <c r="S31" i="2"/>
  <c r="S252" i="2" s="1"/>
  <c r="T31" i="2"/>
  <c r="T252" i="2" s="1"/>
  <c r="U31" i="2"/>
  <c r="U252" i="2" s="1"/>
  <c r="V31" i="2"/>
  <c r="V252" i="2" s="1"/>
  <c r="W31" i="2"/>
  <c r="W252" i="2" s="1"/>
  <c r="X31" i="2"/>
  <c r="X252" i="2" s="1"/>
  <c r="Y31" i="2"/>
  <c r="Y252" i="2" s="1"/>
  <c r="Z31" i="2"/>
  <c r="Z252" i="2" s="1"/>
  <c r="AA31" i="2"/>
  <c r="AA252" i="2" s="1"/>
  <c r="AB31" i="2"/>
  <c r="AB252" i="2" s="1"/>
  <c r="AE34" i="2"/>
  <c r="AF34" i="2"/>
  <c r="AG34" i="2"/>
  <c r="AH34" i="2"/>
  <c r="AI34" i="2"/>
  <c r="AJ34" i="2"/>
  <c r="F41" i="2"/>
  <c r="F85" i="2" s="1"/>
  <c r="G41" i="2"/>
  <c r="G85" i="2" s="1"/>
  <c r="H41" i="2"/>
  <c r="H85" i="2" s="1"/>
  <c r="I41" i="2"/>
  <c r="J41" i="2"/>
  <c r="J85" i="2" s="1"/>
  <c r="K41" i="2"/>
  <c r="K85" i="2" s="1"/>
  <c r="L41" i="2"/>
  <c r="L85" i="2" s="1"/>
  <c r="M41" i="2"/>
  <c r="AF41" i="2" s="1"/>
  <c r="AF85" i="2" s="1"/>
  <c r="N41" i="2"/>
  <c r="N85" i="2" s="1"/>
  <c r="O41" i="2"/>
  <c r="O85" i="2" s="1"/>
  <c r="P41" i="2"/>
  <c r="P85" i="2" s="1"/>
  <c r="Q41" i="2"/>
  <c r="Q85" i="2" s="1"/>
  <c r="R41" i="2"/>
  <c r="R85" i="2" s="1"/>
  <c r="S41" i="2"/>
  <c r="S85" i="2" s="1"/>
  <c r="T41" i="2"/>
  <c r="T85" i="2" s="1"/>
  <c r="U41" i="2"/>
  <c r="V41" i="2"/>
  <c r="V85" i="2" s="1"/>
  <c r="W41" i="2"/>
  <c r="W85" i="2" s="1"/>
  <c r="X41" i="2"/>
  <c r="X85" i="2" s="1"/>
  <c r="Y41" i="2"/>
  <c r="Y85" i="2" s="1"/>
  <c r="Z41" i="2"/>
  <c r="Z85" i="2" s="1"/>
  <c r="AA41" i="2"/>
  <c r="AA85" i="2" s="1"/>
  <c r="AB41" i="2"/>
  <c r="AG41" i="2"/>
  <c r="AG85" i="2" s="1"/>
  <c r="F43" i="2"/>
  <c r="F86" i="2" s="1"/>
  <c r="G43" i="2"/>
  <c r="G86" i="2" s="1"/>
  <c r="G139" i="2" s="1"/>
  <c r="H43" i="2"/>
  <c r="H86" i="2" s="1"/>
  <c r="I43" i="2"/>
  <c r="AE43" i="2" s="1"/>
  <c r="AE86" i="2" s="1"/>
  <c r="J43" i="2"/>
  <c r="J86" i="2" s="1"/>
  <c r="K43" i="2"/>
  <c r="K86" i="2" s="1"/>
  <c r="L43" i="2"/>
  <c r="L86" i="2" s="1"/>
  <c r="M43" i="2"/>
  <c r="AF43" i="2" s="1"/>
  <c r="AF86" i="2" s="1"/>
  <c r="AF139" i="2" s="1"/>
  <c r="N43" i="2"/>
  <c r="N86" i="2" s="1"/>
  <c r="O43" i="2"/>
  <c r="O86" i="2" s="1"/>
  <c r="P43" i="2"/>
  <c r="P86" i="2" s="1"/>
  <c r="P139" i="2" s="1"/>
  <c r="Q43" i="2"/>
  <c r="Q86" i="2" s="1"/>
  <c r="Q139" i="2" s="1"/>
  <c r="R43" i="2"/>
  <c r="R86" i="2" s="1"/>
  <c r="R215" i="2" s="1"/>
  <c r="S43" i="2"/>
  <c r="S86" i="2" s="1"/>
  <c r="S215" i="2" s="1"/>
  <c r="T43" i="2"/>
  <c r="T86" i="2" s="1"/>
  <c r="T215" i="2" s="1"/>
  <c r="U43" i="2"/>
  <c r="AH43" i="2" s="1"/>
  <c r="AH86" i="2" s="1"/>
  <c r="V43" i="2"/>
  <c r="V86" i="2" s="1"/>
  <c r="W43" i="2"/>
  <c r="W86" i="2" s="1"/>
  <c r="W139" i="2" s="1"/>
  <c r="X43" i="2"/>
  <c r="X86" i="2" s="1"/>
  <c r="Y43" i="2"/>
  <c r="AI43" i="2" s="1"/>
  <c r="AI86" i="2" s="1"/>
  <c r="Z43" i="2"/>
  <c r="Z86" i="2" s="1"/>
  <c r="AA43" i="2"/>
  <c r="AA86" i="2" s="1"/>
  <c r="AB43" i="2"/>
  <c r="F44" i="2"/>
  <c r="F87" i="2" s="1"/>
  <c r="F199" i="2" s="1"/>
  <c r="G44" i="2"/>
  <c r="G87" i="2" s="1"/>
  <c r="H44" i="2"/>
  <c r="I44" i="2"/>
  <c r="AE44" i="2" s="1"/>
  <c r="AE87" i="2" s="1"/>
  <c r="J44" i="2"/>
  <c r="J87" i="2" s="1"/>
  <c r="K44" i="2"/>
  <c r="K87" i="2" s="1"/>
  <c r="K199" i="2" s="1"/>
  <c r="L44" i="2"/>
  <c r="L87" i="2" s="1"/>
  <c r="M44" i="2"/>
  <c r="N44" i="2"/>
  <c r="N87" i="2" s="1"/>
  <c r="O44" i="2"/>
  <c r="O87" i="2" s="1"/>
  <c r="O116" i="2" s="1"/>
  <c r="P113" i="2" s="1"/>
  <c r="P44" i="2"/>
  <c r="P87" i="2" s="1"/>
  <c r="Q44" i="2"/>
  <c r="AG44" i="2" s="1"/>
  <c r="AG87" i="2" s="1"/>
  <c r="R44" i="2"/>
  <c r="R87" i="2" s="1"/>
  <c r="S44" i="2"/>
  <c r="S87" i="2" s="1"/>
  <c r="S116" i="2" s="1"/>
  <c r="T44" i="2"/>
  <c r="T87" i="2" s="1"/>
  <c r="U44" i="2"/>
  <c r="V44" i="2"/>
  <c r="V87" i="2" s="1"/>
  <c r="V199" i="2" s="1"/>
  <c r="W44" i="2"/>
  <c r="W87" i="2" s="1"/>
  <c r="X44" i="2"/>
  <c r="X87" i="2" s="1"/>
  <c r="Y44" i="2"/>
  <c r="AI44" i="2" s="1"/>
  <c r="AI87" i="2" s="1"/>
  <c r="AI116" i="2" s="1"/>
  <c r="Z44" i="2"/>
  <c r="Z87" i="2" s="1"/>
  <c r="AA44" i="2"/>
  <c r="AA87" i="2" s="1"/>
  <c r="AB44" i="2"/>
  <c r="F45" i="2"/>
  <c r="F140" i="2" s="1"/>
  <c r="G45" i="2"/>
  <c r="G140" i="2" s="1"/>
  <c r="H45" i="2"/>
  <c r="H140" i="2" s="1"/>
  <c r="I45" i="2"/>
  <c r="I140" i="2" s="1"/>
  <c r="J45" i="2"/>
  <c r="J140" i="2" s="1"/>
  <c r="K45" i="2"/>
  <c r="K140" i="2" s="1"/>
  <c r="L45" i="2"/>
  <c r="L140" i="2" s="1"/>
  <c r="M45" i="2"/>
  <c r="AF45" i="2" s="1"/>
  <c r="AF140" i="2" s="1"/>
  <c r="N45" i="2"/>
  <c r="N140" i="2" s="1"/>
  <c r="O45" i="2"/>
  <c r="O140" i="2" s="1"/>
  <c r="P45" i="2"/>
  <c r="P140" i="2" s="1"/>
  <c r="Q45" i="2"/>
  <c r="AG45" i="2" s="1"/>
  <c r="AG140" i="2" s="1"/>
  <c r="R45" i="2"/>
  <c r="R140" i="2" s="1"/>
  <c r="S45" i="2"/>
  <c r="S140" i="2" s="1"/>
  <c r="T45" i="2"/>
  <c r="T140" i="2" s="1"/>
  <c r="U45" i="2"/>
  <c r="AH45" i="2" s="1"/>
  <c r="AH140" i="2" s="1"/>
  <c r="V45" i="2"/>
  <c r="V140" i="2" s="1"/>
  <c r="W45" i="2"/>
  <c r="W140" i="2" s="1"/>
  <c r="X45" i="2"/>
  <c r="X140" i="2" s="1"/>
  <c r="Y45" i="2"/>
  <c r="AI45" i="2" s="1"/>
  <c r="AI140" i="2" s="1"/>
  <c r="Z45" i="2"/>
  <c r="Z140" i="2" s="1"/>
  <c r="AA45" i="2"/>
  <c r="AA140" i="2" s="1"/>
  <c r="AB45" i="2"/>
  <c r="AB140" i="2" s="1"/>
  <c r="F46" i="2"/>
  <c r="F141" i="2" s="1"/>
  <c r="G46" i="2"/>
  <c r="G141" i="2" s="1"/>
  <c r="H46" i="2"/>
  <c r="H141" i="2" s="1"/>
  <c r="I46" i="2"/>
  <c r="I141" i="2" s="1"/>
  <c r="J46" i="2"/>
  <c r="J141" i="2" s="1"/>
  <c r="K46" i="2"/>
  <c r="K141" i="2" s="1"/>
  <c r="L46" i="2"/>
  <c r="L141" i="2" s="1"/>
  <c r="M46" i="2"/>
  <c r="M141" i="2" s="1"/>
  <c r="N46" i="2"/>
  <c r="N141" i="2" s="1"/>
  <c r="O46" i="2"/>
  <c r="O141" i="2" s="1"/>
  <c r="P46" i="2"/>
  <c r="P141" i="2" s="1"/>
  <c r="Q46" i="2"/>
  <c r="Q141" i="2" s="1"/>
  <c r="R46" i="2"/>
  <c r="R141" i="2" s="1"/>
  <c r="S46" i="2"/>
  <c r="S141" i="2" s="1"/>
  <c r="T46" i="2"/>
  <c r="T141" i="2" s="1"/>
  <c r="U46" i="2"/>
  <c r="U141" i="2" s="1"/>
  <c r="V46" i="2"/>
  <c r="V141" i="2" s="1"/>
  <c r="W46" i="2"/>
  <c r="W141" i="2" s="1"/>
  <c r="X46" i="2"/>
  <c r="X141" i="2" s="1"/>
  <c r="Y46" i="2"/>
  <c r="AI46" i="2" s="1"/>
  <c r="AI141" i="2" s="1"/>
  <c r="Z46" i="2"/>
  <c r="Z141" i="2" s="1"/>
  <c r="AA46" i="2"/>
  <c r="AB46" i="2"/>
  <c r="F47" i="2"/>
  <c r="F226" i="2" s="1"/>
  <c r="G224" i="2" s="1"/>
  <c r="G47" i="2"/>
  <c r="G226" i="2" s="1"/>
  <c r="H224" i="2" s="1"/>
  <c r="H47" i="2"/>
  <c r="H226" i="2" s="1"/>
  <c r="I224" i="2" s="1"/>
  <c r="I47" i="2"/>
  <c r="AE47" i="2" s="1"/>
  <c r="AE226" i="2" s="1"/>
  <c r="AF224" i="2" s="1"/>
  <c r="J47" i="2"/>
  <c r="J226" i="2" s="1"/>
  <c r="K47" i="2"/>
  <c r="K226" i="2" s="1"/>
  <c r="L47" i="2"/>
  <c r="L226" i="2" s="1"/>
  <c r="M224" i="2" s="1"/>
  <c r="M47" i="2"/>
  <c r="AF47" i="2" s="1"/>
  <c r="AF226" i="2" s="1"/>
  <c r="N47" i="2"/>
  <c r="N226" i="2" s="1"/>
  <c r="O47" i="2"/>
  <c r="O226" i="2" s="1"/>
  <c r="P47" i="2"/>
  <c r="P226" i="2" s="1"/>
  <c r="Q224" i="2" s="1"/>
  <c r="Q47" i="2"/>
  <c r="Q226" i="2" s="1"/>
  <c r="R47" i="2"/>
  <c r="R226" i="2" s="1"/>
  <c r="S47" i="2"/>
  <c r="S226" i="2" s="1"/>
  <c r="T224" i="2" s="1"/>
  <c r="T47" i="2"/>
  <c r="T226" i="2" s="1"/>
  <c r="U224" i="2" s="1"/>
  <c r="U47" i="2"/>
  <c r="V47" i="2"/>
  <c r="V226" i="2" s="1"/>
  <c r="W47" i="2"/>
  <c r="W226" i="2" s="1"/>
  <c r="X224" i="2" s="1"/>
  <c r="X47" i="2"/>
  <c r="X226" i="2" s="1"/>
  <c r="Y224" i="2" s="1"/>
  <c r="Y47" i="2"/>
  <c r="AI47" i="2" s="1"/>
  <c r="AI226" i="2" s="1"/>
  <c r="Z47" i="2"/>
  <c r="Z226" i="2" s="1"/>
  <c r="AA47" i="2"/>
  <c r="AA226" i="2" s="1"/>
  <c r="AB47" i="2"/>
  <c r="F48" i="2"/>
  <c r="F238" i="2" s="1"/>
  <c r="G236" i="2" s="1"/>
  <c r="G48" i="2"/>
  <c r="G238" i="2" s="1"/>
  <c r="H48" i="2"/>
  <c r="H238" i="2" s="1"/>
  <c r="I48" i="2"/>
  <c r="AE48" i="2" s="1"/>
  <c r="AE238" i="2" s="1"/>
  <c r="AF236" i="2" s="1"/>
  <c r="J48" i="2"/>
  <c r="J238" i="2" s="1"/>
  <c r="K236" i="2" s="1"/>
  <c r="K48" i="2"/>
  <c r="K238" i="2" s="1"/>
  <c r="L48" i="2"/>
  <c r="L238" i="2" s="1"/>
  <c r="M236" i="2" s="1"/>
  <c r="M48" i="2"/>
  <c r="N48" i="2"/>
  <c r="N238" i="2" s="1"/>
  <c r="O236" i="2" s="1"/>
  <c r="O48" i="2"/>
  <c r="O238" i="2" s="1"/>
  <c r="P236" i="2" s="1"/>
  <c r="P48" i="2"/>
  <c r="P238" i="2" s="1"/>
  <c r="Q236" i="2" s="1"/>
  <c r="Q48" i="2"/>
  <c r="AG48" i="2" s="1"/>
  <c r="AG238" i="2" s="1"/>
  <c r="R48" i="2"/>
  <c r="R238" i="2" s="1"/>
  <c r="S236" i="2" s="1"/>
  <c r="S48" i="2"/>
  <c r="S238" i="2" s="1"/>
  <c r="T48" i="2"/>
  <c r="U48" i="2"/>
  <c r="V48" i="2"/>
  <c r="V238" i="2" s="1"/>
  <c r="W236" i="2" s="1"/>
  <c r="W48" i="2"/>
  <c r="W238" i="2" s="1"/>
  <c r="X236" i="2" s="1"/>
  <c r="X48" i="2"/>
  <c r="X238" i="2" s="1"/>
  <c r="Y236" i="2" s="1"/>
  <c r="Y48" i="2"/>
  <c r="Z48" i="2"/>
  <c r="Z238" i="2" s="1"/>
  <c r="AA236" i="2" s="1"/>
  <c r="AA48" i="2"/>
  <c r="AA238" i="2" s="1"/>
  <c r="AB48" i="2"/>
  <c r="F49" i="2"/>
  <c r="F258" i="2" s="1"/>
  <c r="G256" i="2" s="1"/>
  <c r="G49" i="2"/>
  <c r="G258" i="2" s="1"/>
  <c r="H49" i="2"/>
  <c r="H258" i="2" s="1"/>
  <c r="I256" i="2" s="1"/>
  <c r="I49" i="2"/>
  <c r="J49" i="2"/>
  <c r="J258" i="2" s="1"/>
  <c r="K256" i="2" s="1"/>
  <c r="K49" i="2"/>
  <c r="K258" i="2" s="1"/>
  <c r="L49" i="2"/>
  <c r="L258" i="2" s="1"/>
  <c r="M256" i="2" s="1"/>
  <c r="M49" i="2"/>
  <c r="AF49" i="2" s="1"/>
  <c r="AF258" i="2" s="1"/>
  <c r="N49" i="2"/>
  <c r="N258" i="2" s="1"/>
  <c r="O256" i="2" s="1"/>
  <c r="O49" i="2"/>
  <c r="O258" i="2" s="1"/>
  <c r="P49" i="2"/>
  <c r="P258" i="2" s="1"/>
  <c r="Q256" i="2" s="1"/>
  <c r="Q49" i="2"/>
  <c r="Q258" i="2" s="1"/>
  <c r="R49" i="2"/>
  <c r="R258" i="2" s="1"/>
  <c r="S256" i="2" s="1"/>
  <c r="S49" i="2"/>
  <c r="S258" i="2" s="1"/>
  <c r="T49" i="2"/>
  <c r="T258" i="2" s="1"/>
  <c r="U256" i="2" s="1"/>
  <c r="U49" i="2"/>
  <c r="V49" i="2"/>
  <c r="V258" i="2" s="1"/>
  <c r="W256" i="2" s="1"/>
  <c r="W49" i="2"/>
  <c r="W258" i="2" s="1"/>
  <c r="X49" i="2"/>
  <c r="X258" i="2" s="1"/>
  <c r="Y256" i="2" s="1"/>
  <c r="Y49" i="2"/>
  <c r="AI49" i="2" s="1"/>
  <c r="AI258" i="2" s="1"/>
  <c r="Z49" i="2"/>
  <c r="Z258" i="2" s="1"/>
  <c r="AA256" i="2" s="1"/>
  <c r="AA49" i="2"/>
  <c r="AA258" i="2" s="1"/>
  <c r="AB49" i="2"/>
  <c r="F50" i="2"/>
  <c r="F269" i="2" s="1"/>
  <c r="G267" i="2" s="1"/>
  <c r="G50" i="2"/>
  <c r="G269" i="2" s="1"/>
  <c r="H50" i="2"/>
  <c r="H269" i="2" s="1"/>
  <c r="I267" i="2" s="1"/>
  <c r="I50" i="2"/>
  <c r="I269" i="2" s="1"/>
  <c r="J267" i="2" s="1"/>
  <c r="J50" i="2"/>
  <c r="J269" i="2" s="1"/>
  <c r="K50" i="2"/>
  <c r="K269" i="2" s="1"/>
  <c r="L267" i="2" s="1"/>
  <c r="L50" i="2"/>
  <c r="L269" i="2" s="1"/>
  <c r="M50" i="2"/>
  <c r="AF50" i="2" s="1"/>
  <c r="AF269" i="2" s="1"/>
  <c r="N50" i="2"/>
  <c r="N269" i="2" s="1"/>
  <c r="O50" i="2"/>
  <c r="O269" i="2" s="1"/>
  <c r="P267" i="2" s="1"/>
  <c r="P50" i="2"/>
  <c r="P269" i="2" s="1"/>
  <c r="Q267" i="2" s="1"/>
  <c r="Q50" i="2"/>
  <c r="R50" i="2"/>
  <c r="R269" i="2" s="1"/>
  <c r="S50" i="2"/>
  <c r="S269" i="2" s="1"/>
  <c r="T267" i="2" s="1"/>
  <c r="T50" i="2"/>
  <c r="T269" i="2" s="1"/>
  <c r="U267" i="2" s="1"/>
  <c r="U50" i="2"/>
  <c r="AH50" i="2" s="1"/>
  <c r="AH269" i="2" s="1"/>
  <c r="AI267" i="2" s="1"/>
  <c r="V50" i="2"/>
  <c r="V269" i="2" s="1"/>
  <c r="W50" i="2"/>
  <c r="W269" i="2" s="1"/>
  <c r="X50" i="2"/>
  <c r="X269" i="2" s="1"/>
  <c r="Y267" i="2" s="1"/>
  <c r="Y50" i="2"/>
  <c r="Z50" i="2"/>
  <c r="Z269" i="2" s="1"/>
  <c r="AA50" i="2"/>
  <c r="AA269" i="2" s="1"/>
  <c r="AB267" i="2" s="1"/>
  <c r="AB50" i="2"/>
  <c r="F51" i="2"/>
  <c r="F288" i="2" s="1"/>
  <c r="G286" i="2" s="1"/>
  <c r="G51" i="2"/>
  <c r="G288" i="2" s="1"/>
  <c r="H286" i="2" s="1"/>
  <c r="H51" i="2"/>
  <c r="H288" i="2" s="1"/>
  <c r="I51" i="2"/>
  <c r="J51" i="2"/>
  <c r="J288" i="2" s="1"/>
  <c r="K286" i="2" s="1"/>
  <c r="K51" i="2"/>
  <c r="K288" i="2" s="1"/>
  <c r="L286" i="2" s="1"/>
  <c r="L51" i="2"/>
  <c r="L288" i="2" s="1"/>
  <c r="M286" i="2" s="1"/>
  <c r="M51" i="2"/>
  <c r="AF51" i="2" s="1"/>
  <c r="N51" i="2"/>
  <c r="N288" i="2" s="1"/>
  <c r="O286" i="2" s="1"/>
  <c r="O51" i="2"/>
  <c r="O288" i="2" s="1"/>
  <c r="P286" i="2" s="1"/>
  <c r="P51" i="2"/>
  <c r="P288" i="2" s="1"/>
  <c r="Q286" i="2" s="1"/>
  <c r="Q51" i="2"/>
  <c r="Q288" i="2" s="1"/>
  <c r="R51" i="2"/>
  <c r="R288" i="2" s="1"/>
  <c r="S286" i="2" s="1"/>
  <c r="S51" i="2"/>
  <c r="S288" i="2" s="1"/>
  <c r="T286" i="2" s="1"/>
  <c r="T51" i="2"/>
  <c r="T288" i="2" s="1"/>
  <c r="U286" i="2" s="1"/>
  <c r="U51" i="2"/>
  <c r="AH51" i="2" s="1"/>
  <c r="AH288" i="2" s="1"/>
  <c r="AI286" i="2" s="1"/>
  <c r="V51" i="2"/>
  <c r="V288" i="2" s="1"/>
  <c r="W286" i="2" s="1"/>
  <c r="W51" i="2"/>
  <c r="W288" i="2" s="1"/>
  <c r="X51" i="2"/>
  <c r="X288" i="2" s="1"/>
  <c r="Y51" i="2"/>
  <c r="Z51" i="2"/>
  <c r="Z288" i="2" s="1"/>
  <c r="AA51" i="2"/>
  <c r="AA288" i="2" s="1"/>
  <c r="AB286" i="2" s="1"/>
  <c r="AB51" i="2"/>
  <c r="F52" i="2"/>
  <c r="F310" i="2" s="1"/>
  <c r="G307" i="2" s="1"/>
  <c r="G52" i="2"/>
  <c r="G310" i="2" s="1"/>
  <c r="H52" i="2"/>
  <c r="H310" i="2" s="1"/>
  <c r="I52" i="2"/>
  <c r="AE52" i="2" s="1"/>
  <c r="AE310" i="2" s="1"/>
  <c r="AF307" i="2" s="1"/>
  <c r="J52" i="2"/>
  <c r="J310" i="2" s="1"/>
  <c r="K307" i="2" s="1"/>
  <c r="K52" i="2"/>
  <c r="K310" i="2" s="1"/>
  <c r="L307" i="2" s="1"/>
  <c r="L52" i="2"/>
  <c r="L310" i="2" s="1"/>
  <c r="M307" i="2" s="1"/>
  <c r="M52" i="2"/>
  <c r="N52" i="2"/>
  <c r="N310" i="2" s="1"/>
  <c r="O307" i="2" s="1"/>
  <c r="O52" i="2"/>
  <c r="O310" i="2" s="1"/>
  <c r="P52" i="2"/>
  <c r="P310" i="2" s="1"/>
  <c r="Q307" i="2" s="1"/>
  <c r="Q52" i="2"/>
  <c r="AG52" i="2" s="1"/>
  <c r="AG310" i="2" s="1"/>
  <c r="AH307" i="2" s="1"/>
  <c r="R52" i="2"/>
  <c r="R310" i="2" s="1"/>
  <c r="S307" i="2" s="1"/>
  <c r="S52" i="2"/>
  <c r="S310" i="2" s="1"/>
  <c r="T307" i="2" s="1"/>
  <c r="T52" i="2"/>
  <c r="T310" i="2" s="1"/>
  <c r="U52" i="2"/>
  <c r="V52" i="2"/>
  <c r="V310" i="2" s="1"/>
  <c r="W307" i="2" s="1"/>
  <c r="W52" i="2"/>
  <c r="W310" i="2" s="1"/>
  <c r="X307" i="2" s="1"/>
  <c r="X52" i="2"/>
  <c r="X310" i="2" s="1"/>
  <c r="Y52" i="2"/>
  <c r="Z52" i="2"/>
  <c r="Z310" i="2" s="1"/>
  <c r="AA307" i="2" s="1"/>
  <c r="AA52" i="2"/>
  <c r="AA310" i="2" s="1"/>
  <c r="AB307" i="2" s="1"/>
  <c r="AB52" i="2"/>
  <c r="F53" i="2"/>
  <c r="F366" i="2" s="1"/>
  <c r="F365" i="2" s="1"/>
  <c r="G53" i="2"/>
  <c r="G366" i="2" s="1"/>
  <c r="H53" i="2"/>
  <c r="H366" i="2" s="1"/>
  <c r="I364" i="2" s="1"/>
  <c r="I53" i="2"/>
  <c r="AE53" i="2" s="1"/>
  <c r="AE366" i="2" s="1"/>
  <c r="AF364" i="2" s="1"/>
  <c r="J53" i="2"/>
  <c r="J366" i="2" s="1"/>
  <c r="K364" i="2" s="1"/>
  <c r="K53" i="2"/>
  <c r="K366" i="2" s="1"/>
  <c r="L53" i="2"/>
  <c r="L366" i="2" s="1"/>
  <c r="M53" i="2"/>
  <c r="AF53" i="2" s="1"/>
  <c r="AF366" i="2" s="1"/>
  <c r="AG364" i="2" s="1"/>
  <c r="N53" i="2"/>
  <c r="N366" i="2" s="1"/>
  <c r="O364" i="2" s="1"/>
  <c r="O53" i="2"/>
  <c r="O366" i="2" s="1"/>
  <c r="P53" i="2"/>
  <c r="P366" i="2" s="1"/>
  <c r="Q364" i="2" s="1"/>
  <c r="Q53" i="2"/>
  <c r="Q366" i="2" s="1"/>
  <c r="R364" i="2" s="1"/>
  <c r="R53" i="2"/>
  <c r="R366" i="2" s="1"/>
  <c r="S364" i="2" s="1"/>
  <c r="S53" i="2"/>
  <c r="S366" i="2" s="1"/>
  <c r="T53" i="2"/>
  <c r="T366" i="2" s="1"/>
  <c r="U53" i="2"/>
  <c r="AH53" i="2" s="1"/>
  <c r="AH366" i="2" s="1"/>
  <c r="V53" i="2"/>
  <c r="V366" i="2" s="1"/>
  <c r="W364" i="2" s="1"/>
  <c r="W53" i="2"/>
  <c r="W366" i="2" s="1"/>
  <c r="X364" i="2" s="1"/>
  <c r="X53" i="2"/>
  <c r="X366" i="2" s="1"/>
  <c r="Y364" i="2" s="1"/>
  <c r="Y53" i="2"/>
  <c r="Z53" i="2"/>
  <c r="Z366" i="2" s="1"/>
  <c r="AA364" i="2" s="1"/>
  <c r="AA53" i="2"/>
  <c r="AA366" i="2" s="1"/>
  <c r="AB364" i="2" s="1"/>
  <c r="AB53" i="2"/>
  <c r="F54" i="2"/>
  <c r="F329" i="2" s="1"/>
  <c r="G326" i="2" s="1"/>
  <c r="G54" i="2"/>
  <c r="G329" i="2" s="1"/>
  <c r="H326" i="2" s="1"/>
  <c r="H54" i="2"/>
  <c r="H329" i="2" s="1"/>
  <c r="I326" i="2" s="1"/>
  <c r="I54" i="2"/>
  <c r="J54" i="2"/>
  <c r="J329" i="2" s="1"/>
  <c r="K54" i="2"/>
  <c r="K329" i="2" s="1"/>
  <c r="L326" i="2" s="1"/>
  <c r="L54" i="2"/>
  <c r="L329" i="2" s="1"/>
  <c r="M326" i="2" s="1"/>
  <c r="M54" i="2"/>
  <c r="N54" i="2"/>
  <c r="N329" i="2" s="1"/>
  <c r="O54" i="2"/>
  <c r="O329" i="2" s="1"/>
  <c r="P326" i="2" s="1"/>
  <c r="P54" i="2"/>
  <c r="P329" i="2" s="1"/>
  <c r="Q326" i="2" s="1"/>
  <c r="Q54" i="2"/>
  <c r="R54" i="2"/>
  <c r="R329" i="2" s="1"/>
  <c r="S54" i="2"/>
  <c r="S329" i="2" s="1"/>
  <c r="T326" i="2" s="1"/>
  <c r="T54" i="2"/>
  <c r="T329" i="2" s="1"/>
  <c r="U54" i="2"/>
  <c r="V54" i="2"/>
  <c r="V329" i="2" s="1"/>
  <c r="W54" i="2"/>
  <c r="W329" i="2" s="1"/>
  <c r="X326" i="2" s="1"/>
  <c r="X54" i="2"/>
  <c r="X329" i="2" s="1"/>
  <c r="Y326" i="2" s="1"/>
  <c r="Y54" i="2"/>
  <c r="AI54" i="2" s="1"/>
  <c r="AI329" i="2" s="1"/>
  <c r="AJ326" i="2" s="1"/>
  <c r="Z54" i="2"/>
  <c r="Z329" i="2" s="1"/>
  <c r="AA54" i="2"/>
  <c r="AA329" i="2" s="1"/>
  <c r="AB326" i="2" s="1"/>
  <c r="AB54" i="2"/>
  <c r="F55" i="2"/>
  <c r="F348" i="2" s="1"/>
  <c r="G345" i="2" s="1"/>
  <c r="G55" i="2"/>
  <c r="G348" i="2" s="1"/>
  <c r="H55" i="2"/>
  <c r="H348" i="2" s="1"/>
  <c r="I345" i="2" s="1"/>
  <c r="I55" i="2"/>
  <c r="J55" i="2"/>
  <c r="J348" i="2" s="1"/>
  <c r="K55" i="2"/>
  <c r="K348" i="2" s="1"/>
  <c r="L55" i="2"/>
  <c r="L348" i="2" s="1"/>
  <c r="M345" i="2" s="1"/>
  <c r="M55" i="2"/>
  <c r="N55" i="2"/>
  <c r="N348" i="2" s="1"/>
  <c r="O55" i="2"/>
  <c r="O348" i="2" s="1"/>
  <c r="P55" i="2"/>
  <c r="P348" i="2" s="1"/>
  <c r="Q345" i="2" s="1"/>
  <c r="Q55" i="2"/>
  <c r="R55" i="2"/>
  <c r="R348" i="2" s="1"/>
  <c r="S55" i="2"/>
  <c r="S348" i="2" s="1"/>
  <c r="T55" i="2"/>
  <c r="T348" i="2" s="1"/>
  <c r="U345" i="2" s="1"/>
  <c r="U55" i="2"/>
  <c r="AH55" i="2" s="1"/>
  <c r="AH348" i="2" s="1"/>
  <c r="AI345" i="2" s="1"/>
  <c r="V55" i="2"/>
  <c r="V348" i="2" s="1"/>
  <c r="W345" i="2" s="1"/>
  <c r="W350" i="2" s="1"/>
  <c r="W55" i="2"/>
  <c r="W348" i="2" s="1"/>
  <c r="X55" i="2"/>
  <c r="X348" i="2" s="1"/>
  <c r="Y345" i="2" s="1"/>
  <c r="Y55" i="2"/>
  <c r="AI55" i="2" s="1"/>
  <c r="AI348" i="2" s="1"/>
  <c r="AJ345" i="2" s="1"/>
  <c r="AJ350" i="2" s="1"/>
  <c r="Z55" i="2"/>
  <c r="Z348" i="2" s="1"/>
  <c r="AA345" i="2" s="1"/>
  <c r="AA350" i="2" s="1"/>
  <c r="AA55" i="2"/>
  <c r="AA348" i="2" s="1"/>
  <c r="AB55" i="2"/>
  <c r="F59" i="2"/>
  <c r="G59" i="2"/>
  <c r="H59" i="2"/>
  <c r="H99" i="2" s="1"/>
  <c r="I59" i="2"/>
  <c r="J59" i="2"/>
  <c r="J99" i="2" s="1"/>
  <c r="K59" i="2"/>
  <c r="L59" i="2"/>
  <c r="L99" i="2" s="1"/>
  <c r="M59" i="2"/>
  <c r="AF59" i="2" s="1"/>
  <c r="AF99" i="2" s="1"/>
  <c r="N59" i="2"/>
  <c r="N99" i="2" s="1"/>
  <c r="O59" i="2"/>
  <c r="P59" i="2"/>
  <c r="P99" i="2" s="1"/>
  <c r="Q59" i="2"/>
  <c r="Q99" i="2" s="1"/>
  <c r="R59" i="2"/>
  <c r="S59" i="2"/>
  <c r="T59" i="2"/>
  <c r="T99" i="2" s="1"/>
  <c r="U59" i="2"/>
  <c r="AH59" i="2" s="1"/>
  <c r="V59" i="2"/>
  <c r="V99" i="2" s="1"/>
  <c r="W59" i="2"/>
  <c r="X59" i="2"/>
  <c r="X99" i="2" s="1"/>
  <c r="Y59" i="2"/>
  <c r="AI59" i="2" s="1"/>
  <c r="AI99" i="2" s="1"/>
  <c r="Z59" i="2"/>
  <c r="Z99" i="2" s="1"/>
  <c r="AA59" i="2"/>
  <c r="AB59" i="2"/>
  <c r="F60" i="2"/>
  <c r="F100" i="2" s="1"/>
  <c r="G60" i="2"/>
  <c r="G100" i="2" s="1"/>
  <c r="H60" i="2"/>
  <c r="H100" i="2" s="1"/>
  <c r="I60" i="2"/>
  <c r="AE60" i="2" s="1"/>
  <c r="AE100" i="2" s="1"/>
  <c r="J60" i="2"/>
  <c r="J100" i="2" s="1"/>
  <c r="K60" i="2"/>
  <c r="K100" i="2" s="1"/>
  <c r="L60" i="2"/>
  <c r="L100" i="2" s="1"/>
  <c r="M60" i="2"/>
  <c r="N60" i="2"/>
  <c r="N100" i="2" s="1"/>
  <c r="O60" i="2"/>
  <c r="O100" i="2" s="1"/>
  <c r="P60" i="2"/>
  <c r="P100" i="2" s="1"/>
  <c r="Q60" i="2"/>
  <c r="AG60" i="2" s="1"/>
  <c r="AG100" i="2" s="1"/>
  <c r="R60" i="2"/>
  <c r="R100" i="2" s="1"/>
  <c r="S60" i="2"/>
  <c r="S100" i="2" s="1"/>
  <c r="T60" i="2"/>
  <c r="T100" i="2" s="1"/>
  <c r="U60" i="2"/>
  <c r="V60" i="2"/>
  <c r="V100" i="2" s="1"/>
  <c r="W60" i="2"/>
  <c r="W100" i="2" s="1"/>
  <c r="X60" i="2"/>
  <c r="X100" i="2" s="1"/>
  <c r="Y60" i="2"/>
  <c r="Z60" i="2"/>
  <c r="Z100" i="2" s="1"/>
  <c r="AA60" i="2"/>
  <c r="AA100" i="2" s="1"/>
  <c r="AB60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AH61" i="2" s="1"/>
  <c r="V61" i="2"/>
  <c r="W61" i="2"/>
  <c r="X61" i="2"/>
  <c r="Y61" i="2"/>
  <c r="AI61" i="2" s="1"/>
  <c r="Z61" i="2"/>
  <c r="AA61" i="2"/>
  <c r="AB61" i="2"/>
  <c r="AG61" i="2"/>
  <c r="F63" i="2"/>
  <c r="F378" i="2" s="1"/>
  <c r="G376" i="2" s="1"/>
  <c r="G63" i="2"/>
  <c r="G378" i="2" s="1"/>
  <c r="H63" i="2"/>
  <c r="H378" i="2" s="1"/>
  <c r="I63" i="2"/>
  <c r="J63" i="2"/>
  <c r="J378" i="2" s="1"/>
  <c r="K376" i="2" s="1"/>
  <c r="K63" i="2"/>
  <c r="K378" i="2" s="1"/>
  <c r="L63" i="2"/>
  <c r="L378" i="2" s="1"/>
  <c r="M376" i="2" s="1"/>
  <c r="M63" i="2"/>
  <c r="AF63" i="2" s="1"/>
  <c r="AF378" i="2" s="1"/>
  <c r="AG376" i="2" s="1"/>
  <c r="N63" i="2"/>
  <c r="N378" i="2" s="1"/>
  <c r="O376" i="2" s="1"/>
  <c r="O63" i="2"/>
  <c r="O378" i="2" s="1"/>
  <c r="P63" i="2"/>
  <c r="P378" i="2" s="1"/>
  <c r="Q63" i="2"/>
  <c r="AG63" i="2" s="1"/>
  <c r="AG378" i="2" s="1"/>
  <c r="AH376" i="2" s="1"/>
  <c r="R63" i="2"/>
  <c r="R378" i="2" s="1"/>
  <c r="S376" i="2" s="1"/>
  <c r="S63" i="2"/>
  <c r="S378" i="2" s="1"/>
  <c r="T63" i="2"/>
  <c r="T378" i="2" s="1"/>
  <c r="U63" i="2"/>
  <c r="V63" i="2"/>
  <c r="V378" i="2" s="1"/>
  <c r="W376" i="2" s="1"/>
  <c r="W63" i="2"/>
  <c r="W378" i="2" s="1"/>
  <c r="X63" i="2"/>
  <c r="X378" i="2" s="1"/>
  <c r="Y63" i="2"/>
  <c r="AI63" i="2" s="1"/>
  <c r="AI378" i="2" s="1"/>
  <c r="AJ376" i="2" s="1"/>
  <c r="Z63" i="2"/>
  <c r="Z378" i="2" s="1"/>
  <c r="AA376" i="2" s="1"/>
  <c r="AA63" i="2"/>
  <c r="AA378" i="2" s="1"/>
  <c r="AB376" i="2" s="1"/>
  <c r="AB63" i="2"/>
  <c r="F64" i="2"/>
  <c r="F390" i="2" s="1"/>
  <c r="G388" i="2" s="1"/>
  <c r="G64" i="2"/>
  <c r="G390" i="2" s="1"/>
  <c r="H64" i="2"/>
  <c r="H390" i="2" s="1"/>
  <c r="I64" i="2"/>
  <c r="AE64" i="2" s="1"/>
  <c r="AE390" i="2" s="1"/>
  <c r="AF388" i="2" s="1"/>
  <c r="J64" i="2"/>
  <c r="J390" i="2" s="1"/>
  <c r="K388" i="2" s="1"/>
  <c r="K64" i="2"/>
  <c r="K390" i="2" s="1"/>
  <c r="L64" i="2"/>
  <c r="L390" i="2" s="1"/>
  <c r="M388" i="2" s="1"/>
  <c r="M64" i="2"/>
  <c r="AF64" i="2" s="1"/>
  <c r="AF390" i="2" s="1"/>
  <c r="AG388" i="2" s="1"/>
  <c r="N64" i="2"/>
  <c r="N390" i="2" s="1"/>
  <c r="O388" i="2" s="1"/>
  <c r="O64" i="2"/>
  <c r="O390" i="2" s="1"/>
  <c r="P388" i="2" s="1"/>
  <c r="P64" i="2"/>
  <c r="P390" i="2" s="1"/>
  <c r="Q388" i="2" s="1"/>
  <c r="Q64" i="2"/>
  <c r="R64" i="2"/>
  <c r="R390" i="2" s="1"/>
  <c r="S388" i="2" s="1"/>
  <c r="S64" i="2"/>
  <c r="S390" i="2" s="1"/>
  <c r="T64" i="2"/>
  <c r="T390" i="2" s="1"/>
  <c r="U64" i="2"/>
  <c r="AH64" i="2" s="1"/>
  <c r="AH390" i="2" s="1"/>
  <c r="V64" i="2"/>
  <c r="V390" i="2" s="1"/>
  <c r="W388" i="2" s="1"/>
  <c r="W64" i="2"/>
  <c r="W390" i="2" s="1"/>
  <c r="X64" i="2"/>
  <c r="X390" i="2" s="1"/>
  <c r="Y64" i="2"/>
  <c r="Y390" i="2" s="1"/>
  <c r="Z64" i="2"/>
  <c r="Z390" i="2" s="1"/>
  <c r="AA388" i="2" s="1"/>
  <c r="AA64" i="2"/>
  <c r="AA390" i="2" s="1"/>
  <c r="AB64" i="2"/>
  <c r="F65" i="2"/>
  <c r="F402" i="2" s="1"/>
  <c r="F401" i="2" s="1"/>
  <c r="G65" i="2"/>
  <c r="G402" i="2" s="1"/>
  <c r="H65" i="2"/>
  <c r="H402" i="2" s="1"/>
  <c r="I400" i="2" s="1"/>
  <c r="I65" i="2"/>
  <c r="J65" i="2"/>
  <c r="J402" i="2" s="1"/>
  <c r="K400" i="2" s="1"/>
  <c r="K65" i="2"/>
  <c r="K402" i="2" s="1"/>
  <c r="L400" i="2" s="1"/>
  <c r="L65" i="2"/>
  <c r="L402" i="2" s="1"/>
  <c r="M65" i="2"/>
  <c r="AF65" i="2" s="1"/>
  <c r="AF402" i="2" s="1"/>
  <c r="AG400" i="2" s="1"/>
  <c r="N65" i="2"/>
  <c r="N402" i="2" s="1"/>
  <c r="O400" i="2" s="1"/>
  <c r="O65" i="2"/>
  <c r="O402" i="2" s="1"/>
  <c r="P65" i="2"/>
  <c r="P402" i="2" s="1"/>
  <c r="Q400" i="2" s="1"/>
  <c r="Q65" i="2"/>
  <c r="R65" i="2"/>
  <c r="R402" i="2" s="1"/>
  <c r="S400" i="2" s="1"/>
  <c r="S65" i="2"/>
  <c r="S402" i="2" s="1"/>
  <c r="T65" i="2"/>
  <c r="T402" i="2" s="1"/>
  <c r="U65" i="2"/>
  <c r="AH65" i="2" s="1"/>
  <c r="AH402" i="2" s="1"/>
  <c r="AI400" i="2" s="1"/>
  <c r="V65" i="2"/>
  <c r="V402" i="2" s="1"/>
  <c r="W400" i="2" s="1"/>
  <c r="W65" i="2"/>
  <c r="W402" i="2" s="1"/>
  <c r="X400" i="2" s="1"/>
  <c r="X65" i="2"/>
  <c r="X402" i="2" s="1"/>
  <c r="Y400" i="2" s="1"/>
  <c r="Y65" i="2"/>
  <c r="AI65" i="2" s="1"/>
  <c r="AI402" i="2" s="1"/>
  <c r="AJ400" i="2" s="1"/>
  <c r="Z65" i="2"/>
  <c r="Z402" i="2" s="1"/>
  <c r="AA400" i="2" s="1"/>
  <c r="AA65" i="2"/>
  <c r="AA402" i="2" s="1"/>
  <c r="AB65" i="2"/>
  <c r="F69" i="2"/>
  <c r="F421" i="2" s="1"/>
  <c r="F420" i="2" s="1"/>
  <c r="G69" i="2"/>
  <c r="G421" i="2" s="1"/>
  <c r="H419" i="2" s="1"/>
  <c r="H69" i="2"/>
  <c r="H421" i="2" s="1"/>
  <c r="I419" i="2" s="1"/>
  <c r="I69" i="2"/>
  <c r="AE69" i="2" s="1"/>
  <c r="AE421" i="2" s="1"/>
  <c r="AF419" i="2" s="1"/>
  <c r="J69" i="2"/>
  <c r="J421" i="2" s="1"/>
  <c r="K419" i="2" s="1"/>
  <c r="K69" i="2"/>
  <c r="K421" i="2" s="1"/>
  <c r="L69" i="2"/>
  <c r="L421" i="2" s="1"/>
  <c r="M419" i="2" s="1"/>
  <c r="M69" i="2"/>
  <c r="M421" i="2" s="1"/>
  <c r="N419" i="2" s="1"/>
  <c r="N69" i="2"/>
  <c r="N421" i="2" s="1"/>
  <c r="O419" i="2" s="1"/>
  <c r="O69" i="2"/>
  <c r="O421" i="2" s="1"/>
  <c r="P419" i="2" s="1"/>
  <c r="P69" i="2"/>
  <c r="P421" i="2" s="1"/>
  <c r="Q419" i="2" s="1"/>
  <c r="Q69" i="2"/>
  <c r="R69" i="2"/>
  <c r="R421" i="2" s="1"/>
  <c r="S419" i="2" s="1"/>
  <c r="S69" i="2"/>
  <c r="S421" i="2" s="1"/>
  <c r="T419" i="2" s="1"/>
  <c r="T69" i="2"/>
  <c r="T421" i="2" s="1"/>
  <c r="U419" i="2" s="1"/>
  <c r="U69" i="2"/>
  <c r="U421" i="2" s="1"/>
  <c r="V69" i="2"/>
  <c r="V421" i="2" s="1"/>
  <c r="W419" i="2" s="1"/>
  <c r="W69" i="2"/>
  <c r="W421" i="2" s="1"/>
  <c r="X419" i="2" s="1"/>
  <c r="X69" i="2"/>
  <c r="X421" i="2" s="1"/>
  <c r="Y419" i="2" s="1"/>
  <c r="Y69" i="2"/>
  <c r="AI69" i="2" s="1"/>
  <c r="AI421" i="2" s="1"/>
  <c r="AJ419" i="2" s="1"/>
  <c r="Z69" i="2"/>
  <c r="Z421" i="2" s="1"/>
  <c r="AA419" i="2" s="1"/>
  <c r="AA69" i="2"/>
  <c r="AA421" i="2" s="1"/>
  <c r="AB419" i="2" s="1"/>
  <c r="AB69" i="2"/>
  <c r="AB421" i="2" s="1"/>
  <c r="AC419" i="2" s="1"/>
  <c r="F70" i="2"/>
  <c r="F434" i="2" s="1"/>
  <c r="G70" i="2"/>
  <c r="G434" i="2" s="1"/>
  <c r="H431" i="2" s="1"/>
  <c r="H70" i="2"/>
  <c r="H434" i="2" s="1"/>
  <c r="I70" i="2"/>
  <c r="J70" i="2"/>
  <c r="J434" i="2" s="1"/>
  <c r="K431" i="2" s="1"/>
  <c r="K70" i="2"/>
  <c r="K434" i="2" s="1"/>
  <c r="L431" i="2" s="1"/>
  <c r="L70" i="2"/>
  <c r="L434" i="2" s="1"/>
  <c r="M70" i="2"/>
  <c r="N70" i="2"/>
  <c r="N434" i="2" s="1"/>
  <c r="O431" i="2" s="1"/>
  <c r="O70" i="2"/>
  <c r="O434" i="2" s="1"/>
  <c r="P431" i="2" s="1"/>
  <c r="P70" i="2"/>
  <c r="P434" i="2" s="1"/>
  <c r="Q70" i="2"/>
  <c r="AG70" i="2" s="1"/>
  <c r="AG434" i="2" s="1"/>
  <c r="AH431" i="2" s="1"/>
  <c r="R70" i="2"/>
  <c r="R434" i="2" s="1"/>
  <c r="S431" i="2" s="1"/>
  <c r="S70" i="2"/>
  <c r="S434" i="2" s="1"/>
  <c r="T431" i="2" s="1"/>
  <c r="T70" i="2"/>
  <c r="T434" i="2" s="1"/>
  <c r="U70" i="2"/>
  <c r="AH70" i="2" s="1"/>
  <c r="AH434" i="2" s="1"/>
  <c r="AI431" i="2" s="1"/>
  <c r="V70" i="2"/>
  <c r="V434" i="2" s="1"/>
  <c r="W70" i="2"/>
  <c r="W434" i="2" s="1"/>
  <c r="X431" i="2" s="1"/>
  <c r="X70" i="2"/>
  <c r="X434" i="2" s="1"/>
  <c r="Y70" i="2"/>
  <c r="Y434" i="2" s="1"/>
  <c r="Z431" i="2" s="1"/>
  <c r="Z70" i="2"/>
  <c r="Z434" i="2" s="1"/>
  <c r="AA431" i="2" s="1"/>
  <c r="AA70" i="2"/>
  <c r="AA434" i="2" s="1"/>
  <c r="AB431" i="2" s="1"/>
  <c r="AB70" i="2"/>
  <c r="AB434" i="2" s="1"/>
  <c r="AC431" i="2" s="1"/>
  <c r="F71" i="2"/>
  <c r="F447" i="2" s="1"/>
  <c r="F446" i="2" s="1"/>
  <c r="G71" i="2"/>
  <c r="G447" i="2" s="1"/>
  <c r="H445" i="2" s="1"/>
  <c r="H71" i="2"/>
  <c r="H447" i="2" s="1"/>
  <c r="I445" i="2" s="1"/>
  <c r="I71" i="2"/>
  <c r="I447" i="2" s="1"/>
  <c r="J445" i="2" s="1"/>
  <c r="J71" i="2"/>
  <c r="J447" i="2" s="1"/>
  <c r="K71" i="2"/>
  <c r="K447" i="2" s="1"/>
  <c r="L71" i="2"/>
  <c r="L447" i="2" s="1"/>
  <c r="M445" i="2" s="1"/>
  <c r="M71" i="2"/>
  <c r="AF71" i="2" s="1"/>
  <c r="AF447" i="2" s="1"/>
  <c r="AG445" i="2" s="1"/>
  <c r="N71" i="2"/>
  <c r="N447" i="2" s="1"/>
  <c r="O71" i="2"/>
  <c r="O447" i="2" s="1"/>
  <c r="P71" i="2"/>
  <c r="P447" i="2" s="1"/>
  <c r="Q445" i="2" s="1"/>
  <c r="Q71" i="2"/>
  <c r="Q447" i="2" s="1"/>
  <c r="R445" i="2" s="1"/>
  <c r="R71" i="2"/>
  <c r="R447" i="2" s="1"/>
  <c r="S445" i="2" s="1"/>
  <c r="S71" i="2"/>
  <c r="S447" i="2" s="1"/>
  <c r="T445" i="2" s="1"/>
  <c r="T71" i="2"/>
  <c r="T447" i="2" s="1"/>
  <c r="U445" i="2" s="1"/>
  <c r="U71" i="2"/>
  <c r="AH71" i="2" s="1"/>
  <c r="AH447" i="2" s="1"/>
  <c r="V71" i="2"/>
  <c r="V447" i="2" s="1"/>
  <c r="W71" i="2"/>
  <c r="W447" i="2" s="1"/>
  <c r="X71" i="2"/>
  <c r="X447" i="2" s="1"/>
  <c r="Y71" i="2"/>
  <c r="Y447" i="2" s="1"/>
  <c r="Z445" i="2" s="1"/>
  <c r="Z71" i="2"/>
  <c r="Z447" i="2" s="1"/>
  <c r="AA71" i="2"/>
  <c r="AA447" i="2" s="1"/>
  <c r="AB71" i="2"/>
  <c r="F73" i="2"/>
  <c r="F459" i="2" s="1"/>
  <c r="G73" i="2"/>
  <c r="G459" i="2" s="1"/>
  <c r="H457" i="2" s="1"/>
  <c r="H73" i="2"/>
  <c r="H459" i="2" s="1"/>
  <c r="I457" i="2" s="1"/>
  <c r="I73" i="2"/>
  <c r="AE73" i="2" s="1"/>
  <c r="AE459" i="2" s="1"/>
  <c r="AF457" i="2" s="1"/>
  <c r="J73" i="2"/>
  <c r="J459" i="2" s="1"/>
  <c r="K457" i="2" s="1"/>
  <c r="K73" i="2"/>
  <c r="K459" i="2" s="1"/>
  <c r="L73" i="2"/>
  <c r="L459" i="2" s="1"/>
  <c r="M457" i="2" s="1"/>
  <c r="M73" i="2"/>
  <c r="AF73" i="2" s="1"/>
  <c r="AF459" i="2" s="1"/>
  <c r="AG457" i="2" s="1"/>
  <c r="N73" i="2"/>
  <c r="N459" i="2" s="1"/>
  <c r="O457" i="2" s="1"/>
  <c r="O73" i="2"/>
  <c r="O459" i="2" s="1"/>
  <c r="P73" i="2"/>
  <c r="P459" i="2" s="1"/>
  <c r="Q73" i="2"/>
  <c r="AG73" i="2" s="1"/>
  <c r="AG459" i="2" s="1"/>
  <c r="R73" i="2"/>
  <c r="R459" i="2" s="1"/>
  <c r="S457" i="2" s="1"/>
  <c r="S73" i="2"/>
  <c r="S459" i="2" s="1"/>
  <c r="T457" i="2" s="1"/>
  <c r="T73" i="2"/>
  <c r="T459" i="2" s="1"/>
  <c r="U457" i="2" s="1"/>
  <c r="U73" i="2"/>
  <c r="AH73" i="2" s="1"/>
  <c r="AH459" i="2" s="1"/>
  <c r="V73" i="2"/>
  <c r="V459" i="2" s="1"/>
  <c r="W457" i="2" s="1"/>
  <c r="W73" i="2"/>
  <c r="W459" i="2" s="1"/>
  <c r="X73" i="2"/>
  <c r="X459" i="2" s="1"/>
  <c r="Y457" i="2" s="1"/>
  <c r="Y73" i="2"/>
  <c r="AI73" i="2" s="1"/>
  <c r="AI459" i="2" s="1"/>
  <c r="AJ457" i="2" s="1"/>
  <c r="Z73" i="2"/>
  <c r="Z459" i="2" s="1"/>
  <c r="AA457" i="2" s="1"/>
  <c r="AA73" i="2"/>
  <c r="AA459" i="2" s="1"/>
  <c r="AB73" i="2"/>
  <c r="AB459" i="2" s="1"/>
  <c r="AC457" i="2" s="1"/>
  <c r="F74" i="2"/>
  <c r="F471" i="2" s="1"/>
  <c r="G74" i="2"/>
  <c r="G471" i="2" s="1"/>
  <c r="H74" i="2"/>
  <c r="H471" i="2" s="1"/>
  <c r="I74" i="2"/>
  <c r="J74" i="2"/>
  <c r="J471" i="2" s="1"/>
  <c r="K74" i="2"/>
  <c r="K471" i="2" s="1"/>
  <c r="L74" i="2"/>
  <c r="L471" i="2" s="1"/>
  <c r="M469" i="2" s="1"/>
  <c r="M74" i="2"/>
  <c r="AF74" i="2" s="1"/>
  <c r="AF471" i="2" s="1"/>
  <c r="AG469" i="2" s="1"/>
  <c r="N74" i="2"/>
  <c r="N471" i="2" s="1"/>
  <c r="O74" i="2"/>
  <c r="O471" i="2" s="1"/>
  <c r="P74" i="2"/>
  <c r="P471" i="2" s="1"/>
  <c r="Q74" i="2"/>
  <c r="AG74" i="2" s="1"/>
  <c r="AG471" i="2" s="1"/>
  <c r="R74" i="2"/>
  <c r="R471" i="2" s="1"/>
  <c r="S469" i="2" s="1"/>
  <c r="S74" i="2"/>
  <c r="S471" i="2" s="1"/>
  <c r="T469" i="2" s="1"/>
  <c r="T74" i="2"/>
  <c r="T471" i="2" s="1"/>
  <c r="U469" i="2" s="1"/>
  <c r="U74" i="2"/>
  <c r="V74" i="2"/>
  <c r="V471" i="2" s="1"/>
  <c r="W469" i="2" s="1"/>
  <c r="W74" i="2"/>
  <c r="W471" i="2" s="1"/>
  <c r="X469" i="2" s="1"/>
  <c r="X74" i="2"/>
  <c r="X471" i="2" s="1"/>
  <c r="Y469" i="2" s="1"/>
  <c r="Y74" i="2"/>
  <c r="AI74" i="2" s="1"/>
  <c r="AI471" i="2" s="1"/>
  <c r="AJ469" i="2" s="1"/>
  <c r="Z74" i="2"/>
  <c r="Z471" i="2" s="1"/>
  <c r="AA74" i="2"/>
  <c r="AA471" i="2" s="1"/>
  <c r="AB74" i="2"/>
  <c r="AB471" i="2" s="1"/>
  <c r="AC469" i="2" s="1"/>
  <c r="F75" i="2"/>
  <c r="F483" i="2" s="1"/>
  <c r="G75" i="2"/>
  <c r="G483" i="2" s="1"/>
  <c r="H481" i="2" s="1"/>
  <c r="H75" i="2"/>
  <c r="H483" i="2" s="1"/>
  <c r="I481" i="2" s="1"/>
  <c r="I75" i="2"/>
  <c r="J75" i="2"/>
  <c r="J483" i="2" s="1"/>
  <c r="K481" i="2" s="1"/>
  <c r="K75" i="2"/>
  <c r="K483" i="2" s="1"/>
  <c r="L481" i="2" s="1"/>
  <c r="L75" i="2"/>
  <c r="L483" i="2" s="1"/>
  <c r="M75" i="2"/>
  <c r="AF75" i="2" s="1"/>
  <c r="AF483" i="2" s="1"/>
  <c r="AG481" i="2" s="1"/>
  <c r="N75" i="2"/>
  <c r="N483" i="2" s="1"/>
  <c r="O481" i="2" s="1"/>
  <c r="O75" i="2"/>
  <c r="O483" i="2" s="1"/>
  <c r="P75" i="2"/>
  <c r="P483" i="2" s="1"/>
  <c r="Q75" i="2"/>
  <c r="R75" i="2"/>
  <c r="R483" i="2" s="1"/>
  <c r="S481" i="2" s="1"/>
  <c r="S75" i="2"/>
  <c r="S483" i="2" s="1"/>
  <c r="T481" i="2" s="1"/>
  <c r="T75" i="2"/>
  <c r="T483" i="2" s="1"/>
  <c r="U481" i="2" s="1"/>
  <c r="U75" i="2"/>
  <c r="AH75" i="2" s="1"/>
  <c r="AH483" i="2" s="1"/>
  <c r="V75" i="2"/>
  <c r="V483" i="2" s="1"/>
  <c r="W481" i="2" s="1"/>
  <c r="W75" i="2"/>
  <c r="W483" i="2" s="1"/>
  <c r="X481" i="2" s="1"/>
  <c r="X75" i="2"/>
  <c r="X483" i="2" s="1"/>
  <c r="Y481" i="2" s="1"/>
  <c r="Y75" i="2"/>
  <c r="AI75" i="2" s="1"/>
  <c r="AI483" i="2" s="1"/>
  <c r="AJ481" i="2" s="1"/>
  <c r="Z75" i="2"/>
  <c r="Z483" i="2" s="1"/>
  <c r="AA481" i="2" s="1"/>
  <c r="AA75" i="2"/>
  <c r="AA483" i="2" s="1"/>
  <c r="AB75" i="2"/>
  <c r="J114" i="2"/>
  <c r="AE118" i="2"/>
  <c r="AA141" i="2"/>
  <c r="S163" i="2"/>
  <c r="AE240" i="2"/>
  <c r="G250" i="2"/>
  <c r="S250" i="2"/>
  <c r="AE256" i="2"/>
  <c r="AE267" i="2"/>
  <c r="AE286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F327" i="2"/>
  <c r="F346" i="2"/>
  <c r="AE380" i="2"/>
  <c r="AE392" i="2"/>
  <c r="V404" i="2"/>
  <c r="AE423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Z436" i="2"/>
  <c r="AA436" i="2"/>
  <c r="AB436" i="2"/>
  <c r="AE449" i="2"/>
  <c r="AE461" i="2"/>
  <c r="AE473" i="2"/>
  <c r="AE485" i="2"/>
  <c r="D10" i="6"/>
  <c r="E10" i="3"/>
  <c r="E11" i="3"/>
  <c r="E9" i="3"/>
  <c r="E8" i="3"/>
  <c r="E7" i="3"/>
  <c r="E6" i="3"/>
  <c r="E5" i="3"/>
  <c r="E4" i="3"/>
  <c r="E13" i="3"/>
  <c r="D13" i="3"/>
  <c r="H95" i="7"/>
  <c r="H96" i="7"/>
  <c r="AC258" i="2" l="1"/>
  <c r="G11" i="2"/>
  <c r="I114" i="2"/>
  <c r="AC14" i="2"/>
  <c r="AC447" i="2"/>
  <c r="AC130" i="2"/>
  <c r="AC151" i="2"/>
  <c r="AC153" i="2" s="1"/>
  <c r="AJ65" i="2"/>
  <c r="AJ70" i="2"/>
  <c r="AJ434" i="2" s="1"/>
  <c r="AJ85" i="2"/>
  <c r="AJ54" i="2"/>
  <c r="AJ329" i="2" s="1"/>
  <c r="AJ74" i="2"/>
  <c r="AC90" i="2"/>
  <c r="AJ51" i="2"/>
  <c r="AC390" i="2"/>
  <c r="AC458" i="2"/>
  <c r="AC461" i="2" s="1"/>
  <c r="AJ47" i="2"/>
  <c r="AJ226" i="2" s="1"/>
  <c r="AC421" i="2"/>
  <c r="AC420" i="2" s="1"/>
  <c r="AC423" i="2" s="1"/>
  <c r="AJ50" i="2"/>
  <c r="AJ269" i="2" s="1"/>
  <c r="AJ402" i="2"/>
  <c r="AJ401" i="2" s="1"/>
  <c r="AJ411" i="2" s="1"/>
  <c r="AC348" i="2"/>
  <c r="Y141" i="2"/>
  <c r="AJ258" i="2"/>
  <c r="AC76" i="2"/>
  <c r="AC66" i="2"/>
  <c r="AJ53" i="2"/>
  <c r="AJ366" i="2" s="1"/>
  <c r="AJ60" i="2"/>
  <c r="AJ100" i="2" s="1"/>
  <c r="AC470" i="2"/>
  <c r="AC473" i="2" s="1"/>
  <c r="AC88" i="2"/>
  <c r="AJ63" i="2"/>
  <c r="AJ378" i="2" s="1"/>
  <c r="AJ377" i="2" s="1"/>
  <c r="AJ380" i="2" s="1"/>
  <c r="AC206" i="2"/>
  <c r="AJ48" i="2"/>
  <c r="AJ238" i="2" s="1"/>
  <c r="AC181" i="2"/>
  <c r="Q310" i="2"/>
  <c r="Q309" i="2" s="1"/>
  <c r="Y421" i="2"/>
  <c r="Z419" i="2" s="1"/>
  <c r="Z420" i="2" s="1"/>
  <c r="Z423" i="2" s="1"/>
  <c r="R130" i="2"/>
  <c r="AC140" i="2"/>
  <c r="AC25" i="2"/>
  <c r="AJ73" i="2"/>
  <c r="AJ459" i="2" s="1"/>
  <c r="AJ458" i="2" s="1"/>
  <c r="AJ461" i="2" s="1"/>
  <c r="AF46" i="2"/>
  <c r="AF141" i="2" s="1"/>
  <c r="AF142" i="2" s="1"/>
  <c r="AC11" i="2"/>
  <c r="AC17" i="2" s="1"/>
  <c r="AC161" i="2" s="1"/>
  <c r="AC405" i="2"/>
  <c r="AJ43" i="2"/>
  <c r="AJ86" i="2" s="1"/>
  <c r="AJ215" i="2" s="1"/>
  <c r="AJ75" i="2"/>
  <c r="AJ483" i="2" s="1"/>
  <c r="AJ482" i="2" s="1"/>
  <c r="AJ485" i="2" s="1"/>
  <c r="AJ310" i="2"/>
  <c r="AJ348" i="2"/>
  <c r="AJ347" i="2" s="1"/>
  <c r="AJ356" i="2" s="1"/>
  <c r="AC116" i="2"/>
  <c r="AC199" i="2"/>
  <c r="AC215" i="2"/>
  <c r="AC139" i="2"/>
  <c r="AC249" i="2"/>
  <c r="AC56" i="2"/>
  <c r="AC99" i="2"/>
  <c r="N88" i="2"/>
  <c r="N91" i="2" s="1"/>
  <c r="K114" i="2"/>
  <c r="R405" i="2"/>
  <c r="S151" i="2"/>
  <c r="Y87" i="2"/>
  <c r="Y116" i="2" s="1"/>
  <c r="V124" i="1"/>
  <c r="AG43" i="2"/>
  <c r="AG86" i="2" s="1"/>
  <c r="Z73" i="1"/>
  <c r="Q434" i="2"/>
  <c r="R431" i="2" s="1"/>
  <c r="M86" i="2"/>
  <c r="M139" i="2" s="1"/>
  <c r="U269" i="2"/>
  <c r="V267" i="2" s="1"/>
  <c r="V268" i="2" s="1"/>
  <c r="V271" i="2" s="1"/>
  <c r="O88" i="2"/>
  <c r="M378" i="2"/>
  <c r="N376" i="2" s="1"/>
  <c r="N377" i="2" s="1"/>
  <c r="N380" i="2" s="1"/>
  <c r="Y86" i="2"/>
  <c r="Y215" i="2" s="1"/>
  <c r="AG53" i="2"/>
  <c r="AG366" i="2" s="1"/>
  <c r="AG365" i="2" s="1"/>
  <c r="AG368" i="2" s="1"/>
  <c r="W389" i="2"/>
  <c r="W392" i="2" s="1"/>
  <c r="G215" i="2"/>
  <c r="X206" i="2"/>
  <c r="W206" i="2"/>
  <c r="L206" i="2"/>
  <c r="AB310" i="2"/>
  <c r="M288" i="2"/>
  <c r="M287" i="2" s="1"/>
  <c r="Q100" i="2"/>
  <c r="Q101" i="2" s="1"/>
  <c r="Q104" i="2" s="1"/>
  <c r="AB329" i="2"/>
  <c r="AC326" i="2" s="1"/>
  <c r="U434" i="2"/>
  <c r="V431" i="2" s="1"/>
  <c r="V405" i="2"/>
  <c r="U86" i="2"/>
  <c r="U215" i="2" s="1"/>
  <c r="G90" i="2"/>
  <c r="I86" i="2"/>
  <c r="AH46" i="2"/>
  <c r="AH141" i="2" s="1"/>
  <c r="M269" i="2"/>
  <c r="N267" i="2" s="1"/>
  <c r="N268" i="2" s="1"/>
  <c r="N271" i="2" s="1"/>
  <c r="G206" i="2"/>
  <c r="AE71" i="2"/>
  <c r="AE447" i="2" s="1"/>
  <c r="AF445" i="2" s="1"/>
  <c r="AF446" i="2" s="1"/>
  <c r="AF449" i="2" s="1"/>
  <c r="AE46" i="2"/>
  <c r="AE141" i="2" s="1"/>
  <c r="AI41" i="2"/>
  <c r="AI85" i="2" s="1"/>
  <c r="AI88" i="2" s="1"/>
  <c r="AE50" i="2"/>
  <c r="AE269" i="2" s="1"/>
  <c r="AF267" i="2" s="1"/>
  <c r="AF268" i="2" s="1"/>
  <c r="AF271" i="2" s="1"/>
  <c r="U447" i="2"/>
  <c r="V445" i="2" s="1"/>
  <c r="V446" i="2" s="1"/>
  <c r="V449" i="2" s="1"/>
  <c r="I421" i="2"/>
  <c r="I420" i="2" s="1"/>
  <c r="I423" i="2" s="1"/>
  <c r="AB258" i="2"/>
  <c r="AC256" i="2" s="1"/>
  <c r="K389" i="2"/>
  <c r="K392" i="2" s="1"/>
  <c r="M85" i="2"/>
  <c r="AB348" i="2"/>
  <c r="AC345" i="2" s="1"/>
  <c r="AC346" i="2" s="1"/>
  <c r="AC350" i="2" s="1"/>
  <c r="S130" i="2"/>
  <c r="S114" i="2"/>
  <c r="AB402" i="2"/>
  <c r="W215" i="2"/>
  <c r="G419" i="2"/>
  <c r="G420" i="2" s="1"/>
  <c r="G423" i="2" s="1"/>
  <c r="U402" i="2"/>
  <c r="V400" i="2" s="1"/>
  <c r="V401" i="2" s="1"/>
  <c r="V411" i="2" s="1"/>
  <c r="Q378" i="2"/>
  <c r="R376" i="2" s="1"/>
  <c r="R377" i="2" s="1"/>
  <c r="R380" i="2" s="1"/>
  <c r="Q312" i="2"/>
  <c r="AB86" i="2"/>
  <c r="AB215" i="2" s="1"/>
  <c r="Y378" i="2"/>
  <c r="Z376" i="2" s="1"/>
  <c r="Z377" i="2" s="1"/>
  <c r="Z380" i="2" s="1"/>
  <c r="S199" i="2"/>
  <c r="S207" i="2" s="1"/>
  <c r="S90" i="2"/>
  <c r="AJ421" i="2"/>
  <c r="AJ420" i="2" s="1"/>
  <c r="AJ423" i="2" s="1"/>
  <c r="Z405" i="2"/>
  <c r="I366" i="2"/>
  <c r="J364" i="2" s="1"/>
  <c r="J365" i="2" s="1"/>
  <c r="J368" i="2" s="1"/>
  <c r="AF215" i="2"/>
  <c r="G181" i="2"/>
  <c r="AJ471" i="2"/>
  <c r="AJ470" i="2" s="1"/>
  <c r="AJ473" i="2" s="1"/>
  <c r="J268" i="2"/>
  <c r="J271" i="2" s="1"/>
  <c r="N14" i="2"/>
  <c r="Q238" i="2"/>
  <c r="R236" i="2" s="1"/>
  <c r="R237" i="2" s="1"/>
  <c r="R240" i="2" s="1"/>
  <c r="AF69" i="2"/>
  <c r="AF421" i="2" s="1"/>
  <c r="Y402" i="2"/>
  <c r="Y405" i="2" s="1"/>
  <c r="M206" i="2"/>
  <c r="Y130" i="2"/>
  <c r="G237" i="2"/>
  <c r="G240" i="2" s="1"/>
  <c r="AG47" i="2"/>
  <c r="AG226" i="2" s="1"/>
  <c r="AH224" i="2" s="1"/>
  <c r="G405" i="2"/>
  <c r="M402" i="2"/>
  <c r="N400" i="2" s="1"/>
  <c r="N401" i="2" s="1"/>
  <c r="N411" i="2" s="1"/>
  <c r="U366" i="2"/>
  <c r="V364" i="2" s="1"/>
  <c r="V365" i="2" s="1"/>
  <c r="V368" i="2" s="1"/>
  <c r="S405" i="2"/>
  <c r="M471" i="2"/>
  <c r="N469" i="2" s="1"/>
  <c r="N470" i="2" s="1"/>
  <c r="N473" i="2" s="1"/>
  <c r="AB378" i="2"/>
  <c r="AC376" i="2" s="1"/>
  <c r="AC377" i="2" s="1"/>
  <c r="AC380" i="2" s="1"/>
  <c r="W267" i="2"/>
  <c r="F181" i="2"/>
  <c r="AF54" i="2"/>
  <c r="AF329" i="2" s="1"/>
  <c r="AG326" i="2" s="1"/>
  <c r="M329" i="2"/>
  <c r="N326" i="2" s="1"/>
  <c r="AI53" i="2"/>
  <c r="AI366" i="2" s="1"/>
  <c r="AJ364" i="2" s="1"/>
  <c r="Y366" i="2"/>
  <c r="Z364" i="2" s="1"/>
  <c r="Z365" i="2" s="1"/>
  <c r="Z368" i="2" s="1"/>
  <c r="AH47" i="2"/>
  <c r="AH226" i="2" s="1"/>
  <c r="AI224" i="2" s="1"/>
  <c r="AI225" i="2" s="1"/>
  <c r="AI228" i="2" s="1"/>
  <c r="U226" i="2"/>
  <c r="U225" i="2" s="1"/>
  <c r="U228" i="2" s="1"/>
  <c r="K287" i="2"/>
  <c r="K296" i="2" s="1"/>
  <c r="K297" i="2" s="1"/>
  <c r="K298" i="2" s="1"/>
  <c r="AF55" i="2"/>
  <c r="AF348" i="2" s="1"/>
  <c r="AG345" i="2" s="1"/>
  <c r="AG350" i="2" s="1"/>
  <c r="M348" i="2"/>
  <c r="N345" i="2" s="1"/>
  <c r="N350" i="2" s="1"/>
  <c r="X312" i="2"/>
  <c r="L312" i="2"/>
  <c r="AE54" i="2"/>
  <c r="AE329" i="2" s="1"/>
  <c r="AF326" i="2" s="1"/>
  <c r="I329" i="2"/>
  <c r="J326" i="2" s="1"/>
  <c r="Y348" i="2"/>
  <c r="Z345" i="2" s="1"/>
  <c r="Z350" i="2" s="1"/>
  <c r="Y329" i="2"/>
  <c r="Z326" i="2" s="1"/>
  <c r="AE55" i="2"/>
  <c r="AE348" i="2" s="1"/>
  <c r="AF345" i="2" s="1"/>
  <c r="I348" i="2"/>
  <c r="I346" i="2" s="1"/>
  <c r="AB226" i="2"/>
  <c r="AC224" i="2" s="1"/>
  <c r="AC225" i="2" s="1"/>
  <c r="AC228" i="2" s="1"/>
  <c r="Q25" i="2"/>
  <c r="AA25" i="2"/>
  <c r="O25" i="2"/>
  <c r="V120" i="2"/>
  <c r="V130" i="2" s="1"/>
  <c r="V14" i="2"/>
  <c r="I99" i="2"/>
  <c r="AE59" i="2"/>
  <c r="AE99" i="2" s="1"/>
  <c r="AE119" i="2" s="1"/>
  <c r="Q269" i="2"/>
  <c r="R267" i="2" s="1"/>
  <c r="R268" i="2" s="1"/>
  <c r="R271" i="2" s="1"/>
  <c r="AG50" i="2"/>
  <c r="AG269" i="2" s="1"/>
  <c r="AH267" i="2" s="1"/>
  <c r="AH268" i="2" s="1"/>
  <c r="AH271" i="2" s="1"/>
  <c r="AE139" i="2"/>
  <c r="AE215" i="2"/>
  <c r="I310" i="2"/>
  <c r="J307" i="2" s="1"/>
  <c r="J312" i="2" s="1"/>
  <c r="S139" i="2"/>
  <c r="S142" i="2" s="1"/>
  <c r="S145" i="2" s="1"/>
  <c r="V116" i="2"/>
  <c r="W113" i="2" s="1"/>
  <c r="AH60" i="2"/>
  <c r="AH100" i="2" s="1"/>
  <c r="U100" i="2"/>
  <c r="U348" i="2"/>
  <c r="V345" i="2" s="1"/>
  <c r="V350" i="2" s="1"/>
  <c r="I100" i="2"/>
  <c r="I434" i="2"/>
  <c r="J431" i="2" s="1"/>
  <c r="AE70" i="2"/>
  <c r="AE434" i="2" s="1"/>
  <c r="AF431" i="2" s="1"/>
  <c r="I226" i="2"/>
  <c r="J224" i="2" s="1"/>
  <c r="J225" i="2" s="1"/>
  <c r="J228" i="2" s="1"/>
  <c r="U99" i="2"/>
  <c r="I483" i="2"/>
  <c r="J481" i="2" s="1"/>
  <c r="J482" i="2" s="1"/>
  <c r="J485" i="2" s="1"/>
  <c r="AE75" i="2"/>
  <c r="AE483" i="2" s="1"/>
  <c r="AF481" i="2" s="1"/>
  <c r="AF482" i="2" s="1"/>
  <c r="AF485" i="2" s="1"/>
  <c r="AH74" i="2"/>
  <c r="AH471" i="2" s="1"/>
  <c r="AI469" i="2" s="1"/>
  <c r="AI470" i="2" s="1"/>
  <c r="AI473" i="2" s="1"/>
  <c r="U471" i="2"/>
  <c r="V469" i="2" s="1"/>
  <c r="V470" i="2" s="1"/>
  <c r="V473" i="2" s="1"/>
  <c r="AE65" i="2"/>
  <c r="AE402" i="2" s="1"/>
  <c r="AE411" i="2" s="1"/>
  <c r="I402" i="2"/>
  <c r="I401" i="2" s="1"/>
  <c r="I411" i="2" s="1"/>
  <c r="U288" i="2"/>
  <c r="V286" i="2" s="1"/>
  <c r="V287" i="2" s="1"/>
  <c r="I238" i="2"/>
  <c r="J236" i="2" s="1"/>
  <c r="J237" i="2" s="1"/>
  <c r="J240" i="2" s="1"/>
  <c r="U76" i="2"/>
  <c r="AH48" i="2"/>
  <c r="AH238" i="2" s="1"/>
  <c r="AI236" i="2" s="1"/>
  <c r="U238" i="2"/>
  <c r="V236" i="2" s="1"/>
  <c r="V237" i="2" s="1"/>
  <c r="V240" i="2" s="1"/>
  <c r="W116" i="2"/>
  <c r="X113" i="2" s="1"/>
  <c r="W199" i="2"/>
  <c r="T114" i="2"/>
  <c r="T206" i="2"/>
  <c r="H114" i="2"/>
  <c r="AE51" i="2"/>
  <c r="AE288" i="2" s="1"/>
  <c r="AF286" i="2" s="1"/>
  <c r="I288" i="2"/>
  <c r="J286" i="2" s="1"/>
  <c r="J287" i="2" s="1"/>
  <c r="AH52" i="2"/>
  <c r="AH310" i="2" s="1"/>
  <c r="AI307" i="2" s="1"/>
  <c r="U310" i="2"/>
  <c r="V307" i="2" s="1"/>
  <c r="V90" i="2"/>
  <c r="V151" i="2"/>
  <c r="V153" i="2" s="1"/>
  <c r="G253" i="2"/>
  <c r="L190" i="2"/>
  <c r="S88" i="2"/>
  <c r="G88" i="2"/>
  <c r="G346" i="2"/>
  <c r="G356" i="2" s="1"/>
  <c r="T249" i="2"/>
  <c r="T253" i="2" s="1"/>
  <c r="T181" i="2"/>
  <c r="Y114" i="2"/>
  <c r="AB483" i="2"/>
  <c r="AC481" i="2" s="1"/>
  <c r="AC482" i="2" s="1"/>
  <c r="AC485" i="2" s="1"/>
  <c r="S249" i="2"/>
  <c r="S253" i="2" s="1"/>
  <c r="S181" i="2"/>
  <c r="S11" i="2"/>
  <c r="S103" i="2"/>
  <c r="R151" i="2"/>
  <c r="R153" i="2" s="1"/>
  <c r="AG64" i="2"/>
  <c r="AG390" i="2" s="1"/>
  <c r="AH388" i="2" s="1"/>
  <c r="AH389" i="2" s="1"/>
  <c r="AH392" i="2" s="1"/>
  <c r="Q390" i="2"/>
  <c r="R388" i="2" s="1"/>
  <c r="R389" i="2" s="1"/>
  <c r="R392" i="2" s="1"/>
  <c r="R181" i="2"/>
  <c r="P215" i="2"/>
  <c r="AI51" i="2"/>
  <c r="AI288" i="2" s="1"/>
  <c r="AI287" i="2" s="1"/>
  <c r="Y288" i="2"/>
  <c r="Z286" i="2" s="1"/>
  <c r="Z287" i="2" s="1"/>
  <c r="AI50" i="2"/>
  <c r="AI269" i="2" s="1"/>
  <c r="AJ267" i="2" s="1"/>
  <c r="Y269" i="2"/>
  <c r="Z267" i="2" s="1"/>
  <c r="Z268" i="2" s="1"/>
  <c r="Z271" i="2" s="1"/>
  <c r="U206" i="2"/>
  <c r="U114" i="2"/>
  <c r="J405" i="2"/>
  <c r="I268" i="2"/>
  <c r="I271" i="2" s="1"/>
  <c r="I25" i="2"/>
  <c r="S25" i="2"/>
  <c r="AA420" i="2"/>
  <c r="AA423" i="2" s="1"/>
  <c r="AG377" i="2"/>
  <c r="AG380" i="2" s="1"/>
  <c r="T287" i="2"/>
  <c r="T290" i="2" s="1"/>
  <c r="K405" i="2"/>
  <c r="U25" i="2"/>
  <c r="G25" i="2"/>
  <c r="Y471" i="2"/>
  <c r="Z469" i="2" s="1"/>
  <c r="Z470" i="2" s="1"/>
  <c r="Z473" i="2" s="1"/>
  <c r="Y14" i="2"/>
  <c r="I286" i="2"/>
  <c r="H287" i="2"/>
  <c r="H290" i="2" s="1"/>
  <c r="H307" i="2"/>
  <c r="H309" i="2" s="1"/>
  <c r="H318" i="2" s="1"/>
  <c r="G309" i="2"/>
  <c r="G328" i="2" s="1"/>
  <c r="G327" i="2" s="1"/>
  <c r="G331" i="2" s="1"/>
  <c r="AA347" i="2"/>
  <c r="AA356" i="2" s="1"/>
  <c r="AG116" i="2"/>
  <c r="AH113" i="2" s="1"/>
  <c r="AG199" i="2"/>
  <c r="R199" i="2"/>
  <c r="R116" i="2"/>
  <c r="S113" i="2" s="1"/>
  <c r="F458" i="2"/>
  <c r="G457" i="2"/>
  <c r="G458" i="2" s="1"/>
  <c r="G461" i="2" s="1"/>
  <c r="F470" i="2"/>
  <c r="G469" i="2"/>
  <c r="G470" i="2" s="1"/>
  <c r="G473" i="2" s="1"/>
  <c r="J119" i="2"/>
  <c r="J190" i="2"/>
  <c r="J101" i="2"/>
  <c r="J104" i="2" s="1"/>
  <c r="AE287" i="2"/>
  <c r="AE290" i="2" s="1"/>
  <c r="Q459" i="2"/>
  <c r="R457" i="2" s="1"/>
  <c r="R458" i="2" s="1"/>
  <c r="R461" i="2" s="1"/>
  <c r="L401" i="2"/>
  <c r="L411" i="2" s="1"/>
  <c r="M258" i="2"/>
  <c r="N256" i="2" s="1"/>
  <c r="N257" i="2" s="1"/>
  <c r="N260" i="2" s="1"/>
  <c r="M99" i="2"/>
  <c r="Z56" i="2"/>
  <c r="W312" i="2"/>
  <c r="W405" i="2"/>
  <c r="I390" i="2"/>
  <c r="J388" i="2" s="1"/>
  <c r="J389" i="2" s="1"/>
  <c r="J392" i="2" s="1"/>
  <c r="X237" i="2"/>
  <c r="X240" i="2" s="1"/>
  <c r="AA181" i="2"/>
  <c r="O181" i="2"/>
  <c r="N181" i="2"/>
  <c r="Y181" i="2"/>
  <c r="M483" i="2"/>
  <c r="N481" i="2" s="1"/>
  <c r="N482" i="2" s="1"/>
  <c r="N485" i="2" s="1"/>
  <c r="P253" i="2"/>
  <c r="W237" i="2"/>
  <c r="W240" i="2" s="1"/>
  <c r="M226" i="2"/>
  <c r="N224" i="2" s="1"/>
  <c r="N225" i="2" s="1"/>
  <c r="N228" i="2" s="1"/>
  <c r="M181" i="2"/>
  <c r="F116" i="2"/>
  <c r="G113" i="2" s="1"/>
  <c r="AB87" i="2"/>
  <c r="AB116" i="2" s="1"/>
  <c r="AC113" i="2" s="1"/>
  <c r="AH69" i="2"/>
  <c r="AH421" i="2" s="1"/>
  <c r="AI419" i="2" s="1"/>
  <c r="AI420" i="2" s="1"/>
  <c r="AI423" i="2" s="1"/>
  <c r="H420" i="2"/>
  <c r="H423" i="2" s="1"/>
  <c r="AG46" i="2"/>
  <c r="AG141" i="2" s="1"/>
  <c r="G142" i="2"/>
  <c r="G145" i="2" s="1"/>
  <c r="AG49" i="2"/>
  <c r="AG258" i="2" s="1"/>
  <c r="AH256" i="2" s="1"/>
  <c r="P420" i="2"/>
  <c r="P423" i="2" s="1"/>
  <c r="U390" i="2"/>
  <c r="V388" i="2" s="1"/>
  <c r="V389" i="2" s="1"/>
  <c r="V392" i="2" s="1"/>
  <c r="M366" i="2"/>
  <c r="N364" i="2" s="1"/>
  <c r="N365" i="2" s="1"/>
  <c r="N368" i="2" s="1"/>
  <c r="T139" i="2"/>
  <c r="T142" i="2" s="1"/>
  <c r="T145" i="2" s="1"/>
  <c r="G287" i="2"/>
  <c r="G290" i="2" s="1"/>
  <c r="W130" i="2"/>
  <c r="AA377" i="2"/>
  <c r="AA380" i="2" s="1"/>
  <c r="AI64" i="2"/>
  <c r="AI390" i="2" s="1"/>
  <c r="AJ388" i="2" s="1"/>
  <c r="Q471" i="2"/>
  <c r="R469" i="2" s="1"/>
  <c r="R470" i="2" s="1"/>
  <c r="R473" i="2" s="1"/>
  <c r="Y459" i="2"/>
  <c r="Z457" i="2" s="1"/>
  <c r="Z458" i="2" s="1"/>
  <c r="Z461" i="2" s="1"/>
  <c r="I459" i="2"/>
  <c r="J457" i="2" s="1"/>
  <c r="J458" i="2" s="1"/>
  <c r="J461" i="2" s="1"/>
  <c r="Y258" i="2"/>
  <c r="Z256" i="2" s="1"/>
  <c r="Z257" i="2" s="1"/>
  <c r="Z260" i="2" s="1"/>
  <c r="Y226" i="2"/>
  <c r="Z224" i="2" s="1"/>
  <c r="Z225" i="2" s="1"/>
  <c r="Z228" i="2" s="1"/>
  <c r="O199" i="2"/>
  <c r="K130" i="2"/>
  <c r="AB85" i="2"/>
  <c r="W470" i="2"/>
  <c r="W473" i="2" s="1"/>
  <c r="L388" i="2"/>
  <c r="L389" i="2" s="1"/>
  <c r="L392" i="2" s="1"/>
  <c r="Y25" i="2"/>
  <c r="M25" i="2"/>
  <c r="M253" i="2"/>
  <c r="M447" i="2"/>
  <c r="N445" i="2" s="1"/>
  <c r="N446" i="2" s="1"/>
  <c r="N449" i="2" s="1"/>
  <c r="AF365" i="2"/>
  <c r="AF368" i="2" s="1"/>
  <c r="P142" i="2"/>
  <c r="P145" i="2" s="1"/>
  <c r="AB312" i="2"/>
  <c r="U483" i="2"/>
  <c r="V481" i="2" s="1"/>
  <c r="V482" i="2" s="1"/>
  <c r="V485" i="2" s="1"/>
  <c r="AB366" i="2"/>
  <c r="L151" i="2"/>
  <c r="L153" i="2" s="1"/>
  <c r="Y99" i="2"/>
  <c r="AA309" i="2"/>
  <c r="O312" i="2"/>
  <c r="P287" i="2"/>
  <c r="P290" i="2" s="1"/>
  <c r="Q181" i="2"/>
  <c r="Y483" i="2"/>
  <c r="Z481" i="2" s="1"/>
  <c r="Z482" i="2" s="1"/>
  <c r="Z485" i="2" s="1"/>
  <c r="M459" i="2"/>
  <c r="N457" i="2" s="1"/>
  <c r="N458" i="2" s="1"/>
  <c r="N461" i="2" s="1"/>
  <c r="G445" i="2"/>
  <c r="G446" i="2" s="1"/>
  <c r="G449" i="2" s="1"/>
  <c r="U459" i="2"/>
  <c r="V457" i="2" s="1"/>
  <c r="V458" i="2" s="1"/>
  <c r="V461" i="2" s="1"/>
  <c r="M400" i="2"/>
  <c r="T482" i="2"/>
  <c r="T485" i="2" s="1"/>
  <c r="M390" i="2"/>
  <c r="N388" i="2" s="1"/>
  <c r="N389" i="2" s="1"/>
  <c r="N392" i="2" s="1"/>
  <c r="AA267" i="2"/>
  <c r="AA268" i="2" s="1"/>
  <c r="Q215" i="2"/>
  <c r="K207" i="2"/>
  <c r="Y140" i="2"/>
  <c r="Q87" i="2"/>
  <c r="Q116" i="2" s="1"/>
  <c r="X88" i="2"/>
  <c r="O389" i="2"/>
  <c r="O392" i="2" s="1"/>
  <c r="P181" i="2"/>
  <c r="H405" i="2"/>
  <c r="G377" i="2"/>
  <c r="G380" i="2" s="1"/>
  <c r="H236" i="2"/>
  <c r="H237" i="2" s="1"/>
  <c r="H240" i="2" s="1"/>
  <c r="U181" i="2"/>
  <c r="K377" i="2"/>
  <c r="K380" i="2" s="1"/>
  <c r="L376" i="2"/>
  <c r="L377" i="2" s="1"/>
  <c r="L380" i="2" s="1"/>
  <c r="W458" i="2"/>
  <c r="W461" i="2" s="1"/>
  <c r="X457" i="2"/>
  <c r="X458" i="2" s="1"/>
  <c r="X461" i="2" s="1"/>
  <c r="K458" i="2"/>
  <c r="K461" i="2" s="1"/>
  <c r="L457" i="2"/>
  <c r="L458" i="2" s="1"/>
  <c r="L461" i="2" s="1"/>
  <c r="X445" i="2"/>
  <c r="X446" i="2" s="1"/>
  <c r="X449" i="2" s="1"/>
  <c r="L469" i="2"/>
  <c r="L470" i="2" s="1"/>
  <c r="L473" i="2" s="1"/>
  <c r="J446" i="2"/>
  <c r="J449" i="2" s="1"/>
  <c r="K445" i="2"/>
  <c r="K446" i="2" s="1"/>
  <c r="K449" i="2" s="1"/>
  <c r="AA401" i="2"/>
  <c r="AA411" i="2" s="1"/>
  <c r="AB400" i="2"/>
  <c r="I388" i="2"/>
  <c r="I376" i="2"/>
  <c r="L445" i="2"/>
  <c r="L446" i="2" s="1"/>
  <c r="L449" i="2" s="1"/>
  <c r="AF70" i="2"/>
  <c r="AF434" i="2" s="1"/>
  <c r="AG431" i="2" s="1"/>
  <c r="M434" i="2"/>
  <c r="N431" i="2" s="1"/>
  <c r="Q421" i="2"/>
  <c r="AG69" i="2"/>
  <c r="AG421" i="2" s="1"/>
  <c r="AH419" i="2" s="1"/>
  <c r="W377" i="2"/>
  <c r="W380" i="2" s="1"/>
  <c r="X376" i="2"/>
  <c r="X377" i="2" s="1"/>
  <c r="X380" i="2" s="1"/>
  <c r="AF61" i="2"/>
  <c r="M66" i="2"/>
  <c r="AH44" i="2"/>
  <c r="AH87" i="2" s="1"/>
  <c r="AH116" i="2" s="1"/>
  <c r="U87" i="2"/>
  <c r="U56" i="2"/>
  <c r="V88" i="2"/>
  <c r="V139" i="2"/>
  <c r="V142" i="2" s="1"/>
  <c r="V145" i="2" s="1"/>
  <c r="V215" i="2"/>
  <c r="J215" i="2"/>
  <c r="J139" i="2"/>
  <c r="J142" i="2" s="1"/>
  <c r="J145" i="2" s="1"/>
  <c r="R25" i="2"/>
  <c r="R114" i="2"/>
  <c r="R206" i="2"/>
  <c r="F25" i="2"/>
  <c r="F206" i="2"/>
  <c r="F207" i="2" s="1"/>
  <c r="AB151" i="2"/>
  <c r="AB153" i="2" s="1"/>
  <c r="AB90" i="2"/>
  <c r="P11" i="2"/>
  <c r="P90" i="2"/>
  <c r="P151" i="2"/>
  <c r="P153" i="2" s="1"/>
  <c r="AB445" i="2"/>
  <c r="T405" i="2"/>
  <c r="W445" i="2"/>
  <c r="W446" i="2" s="1"/>
  <c r="W449" i="2" s="1"/>
  <c r="Q66" i="2"/>
  <c r="AB11" i="2"/>
  <c r="AB103" i="2"/>
  <c r="AA90" i="2"/>
  <c r="AA11" i="2"/>
  <c r="O11" i="2"/>
  <c r="O151" i="2"/>
  <c r="O153" i="2" s="1"/>
  <c r="O90" i="2"/>
  <c r="AA458" i="2"/>
  <c r="AA461" i="2" s="1"/>
  <c r="AB457" i="2"/>
  <c r="AB458" i="2" s="1"/>
  <c r="AB461" i="2" s="1"/>
  <c r="O458" i="2"/>
  <c r="O461" i="2" s="1"/>
  <c r="P457" i="2"/>
  <c r="P458" i="2" s="1"/>
  <c r="P461" i="2" s="1"/>
  <c r="U400" i="2"/>
  <c r="F389" i="2"/>
  <c r="AI48" i="2"/>
  <c r="AI238" i="2" s="1"/>
  <c r="AJ236" i="2" s="1"/>
  <c r="Y238" i="2"/>
  <c r="Z236" i="2" s="1"/>
  <c r="Z237" i="2" s="1"/>
  <c r="Z240" i="2" s="1"/>
  <c r="AF48" i="2"/>
  <c r="AF238" i="2" s="1"/>
  <c r="AG236" i="2" s="1"/>
  <c r="AG237" i="2" s="1"/>
  <c r="AG240" i="2" s="1"/>
  <c r="M238" i="2"/>
  <c r="Z90" i="2"/>
  <c r="Z151" i="2"/>
  <c r="Z153" i="2" s="1"/>
  <c r="Q469" i="2"/>
  <c r="X388" i="2"/>
  <c r="X389" i="2" s="1"/>
  <c r="X392" i="2" s="1"/>
  <c r="O257" i="2"/>
  <c r="O260" i="2" s="1"/>
  <c r="Q457" i="2"/>
  <c r="Y445" i="2"/>
  <c r="Y446" i="2" s="1"/>
  <c r="Y449" i="2" s="1"/>
  <c r="U388" i="2"/>
  <c r="Y376" i="2"/>
  <c r="AG267" i="2"/>
  <c r="U140" i="2"/>
  <c r="O401" i="2"/>
  <c r="O411" i="2" s="1"/>
  <c r="P400" i="2"/>
  <c r="P401" i="2" s="1"/>
  <c r="P411" i="2" s="1"/>
  <c r="S377" i="2"/>
  <c r="S380" i="2" s="1"/>
  <c r="T376" i="2"/>
  <c r="T377" i="2" s="1"/>
  <c r="T380" i="2" s="1"/>
  <c r="AG54" i="2"/>
  <c r="AG329" i="2" s="1"/>
  <c r="AH326" i="2" s="1"/>
  <c r="Q329" i="2"/>
  <c r="R326" i="2" s="1"/>
  <c r="S365" i="2"/>
  <c r="S368" i="2" s="1"/>
  <c r="T364" i="2"/>
  <c r="T365" i="2" s="1"/>
  <c r="T368" i="2" s="1"/>
  <c r="H364" i="2"/>
  <c r="H365" i="2" s="1"/>
  <c r="H368" i="2" s="1"/>
  <c r="AE45" i="2"/>
  <c r="AE140" i="2" s="1"/>
  <c r="Z206" i="2"/>
  <c r="Z114" i="2"/>
  <c r="N114" i="2"/>
  <c r="N206" i="2"/>
  <c r="X90" i="2"/>
  <c r="X151" i="2"/>
  <c r="X153" i="2" s="1"/>
  <c r="Q481" i="2"/>
  <c r="Q225" i="2"/>
  <c r="Q228" i="2" s="1"/>
  <c r="R224" i="2"/>
  <c r="R225" i="2" s="1"/>
  <c r="R228" i="2" s="1"/>
  <c r="Q140" i="2"/>
  <c r="Q142" i="2" s="1"/>
  <c r="Q145" i="2" s="1"/>
  <c r="F482" i="2"/>
  <c r="G481" i="2"/>
  <c r="G482" i="2" s="1"/>
  <c r="G485" i="2" s="1"/>
  <c r="O482" i="2"/>
  <c r="O485" i="2" s="1"/>
  <c r="P481" i="2"/>
  <c r="P482" i="2" s="1"/>
  <c r="P485" i="2" s="1"/>
  <c r="N420" i="2"/>
  <c r="N423" i="2" s="1"/>
  <c r="K257" i="2"/>
  <c r="K260" i="2" s="1"/>
  <c r="L256" i="2"/>
  <c r="L257" i="2" s="1"/>
  <c r="W287" i="2"/>
  <c r="W296" i="2" s="1"/>
  <c r="X286" i="2"/>
  <c r="X287" i="2" s="1"/>
  <c r="AG256" i="2"/>
  <c r="AA151" i="2"/>
  <c r="AA153" i="2" s="1"/>
  <c r="P76" i="2"/>
  <c r="AB447" i="2"/>
  <c r="AC445" i="2" s="1"/>
  <c r="AC446" i="2" s="1"/>
  <c r="AC449" i="2" s="1"/>
  <c r="AJ447" i="2"/>
  <c r="AI70" i="2"/>
  <c r="AI434" i="2" s="1"/>
  <c r="AJ431" i="2" s="1"/>
  <c r="Q376" i="2"/>
  <c r="I258" i="2"/>
  <c r="AE49" i="2"/>
  <c r="AE258" i="2" s="1"/>
  <c r="Z116" i="2"/>
  <c r="AA113" i="2" s="1"/>
  <c r="Z199" i="2"/>
  <c r="AA482" i="2"/>
  <c r="AA485" i="2" s="1"/>
  <c r="AB481" i="2"/>
  <c r="Y56" i="2"/>
  <c r="AF44" i="2"/>
  <c r="AF87" i="2" s="1"/>
  <c r="AF88" i="2" s="1"/>
  <c r="M87" i="2"/>
  <c r="M116" i="2" s="1"/>
  <c r="N215" i="2"/>
  <c r="N139" i="2"/>
  <c r="N142" i="2" s="1"/>
  <c r="N145" i="2" s="1"/>
  <c r="AA405" i="2"/>
  <c r="O405" i="2"/>
  <c r="W25" i="2"/>
  <c r="K25" i="2"/>
  <c r="V25" i="2"/>
  <c r="V114" i="2"/>
  <c r="V206" i="2"/>
  <c r="V207" i="2" s="1"/>
  <c r="U14" i="2"/>
  <c r="U129" i="2"/>
  <c r="U130" i="2" s="1"/>
  <c r="H90" i="2"/>
  <c r="H151" i="2"/>
  <c r="H153" i="2" s="1"/>
  <c r="L482" i="2"/>
  <c r="L485" i="2" s="1"/>
  <c r="M481" i="2"/>
  <c r="X470" i="2"/>
  <c r="X473" i="2" s="1"/>
  <c r="M140" i="2"/>
  <c r="AB469" i="2"/>
  <c r="AB470" i="2" s="1"/>
  <c r="AB473" i="2" s="1"/>
  <c r="Y310" i="2"/>
  <c r="Z307" i="2" s="1"/>
  <c r="AI52" i="2"/>
  <c r="AI310" i="2" s="1"/>
  <c r="AJ307" i="2" s="1"/>
  <c r="AF52" i="2"/>
  <c r="AF310" i="2" s="1"/>
  <c r="AG307" i="2" s="1"/>
  <c r="M310" i="2"/>
  <c r="N307" i="2" s="1"/>
  <c r="P469" i="2"/>
  <c r="P470" i="2" s="1"/>
  <c r="P473" i="2" s="1"/>
  <c r="AG75" i="2"/>
  <c r="AG483" i="2" s="1"/>
  <c r="AG482" i="2" s="1"/>
  <c r="AG485" i="2" s="1"/>
  <c r="Q483" i="2"/>
  <c r="R481" i="2" s="1"/>
  <c r="R482" i="2" s="1"/>
  <c r="R485" i="2" s="1"/>
  <c r="X420" i="2"/>
  <c r="X423" i="2" s="1"/>
  <c r="K420" i="2"/>
  <c r="K423" i="2" s="1"/>
  <c r="L419" i="2"/>
  <c r="L420" i="2" s="1"/>
  <c r="L423" i="2" s="1"/>
  <c r="AA469" i="2"/>
  <c r="AA470" i="2" s="1"/>
  <c r="AA473" i="2" s="1"/>
  <c r="U364" i="2"/>
  <c r="I87" i="2"/>
  <c r="I199" i="2" s="1"/>
  <c r="I207" i="2" s="1"/>
  <c r="AA389" i="2"/>
  <c r="AA392" i="2" s="1"/>
  <c r="AB388" i="2"/>
  <c r="U258" i="2"/>
  <c r="AH49" i="2"/>
  <c r="AH258" i="2" s="1"/>
  <c r="T56" i="2"/>
  <c r="T238" i="2"/>
  <c r="U236" i="2" s="1"/>
  <c r="I236" i="2"/>
  <c r="N199" i="2"/>
  <c r="N116" i="2"/>
  <c r="O113" i="2" s="1"/>
  <c r="AA215" i="2"/>
  <c r="AA139" i="2"/>
  <c r="AA142" i="2" s="1"/>
  <c r="AA145" i="2" s="1"/>
  <c r="O215" i="2"/>
  <c r="O139" i="2"/>
  <c r="O142" i="2" s="1"/>
  <c r="O145" i="2" s="1"/>
  <c r="Z215" i="2"/>
  <c r="Z139" i="2"/>
  <c r="Z142" i="2" s="1"/>
  <c r="Z145" i="2" s="1"/>
  <c r="T11" i="2"/>
  <c r="T151" i="2"/>
  <c r="T153" i="2" s="1"/>
  <c r="O365" i="2"/>
  <c r="O368" i="2" s="1"/>
  <c r="P364" i="2"/>
  <c r="P365" i="2" s="1"/>
  <c r="P368" i="2" s="1"/>
  <c r="X482" i="2"/>
  <c r="X485" i="2" s="1"/>
  <c r="T470" i="2"/>
  <c r="T473" i="2" s="1"/>
  <c r="O445" i="2"/>
  <c r="O446" i="2" s="1"/>
  <c r="O449" i="2" s="1"/>
  <c r="L405" i="2"/>
  <c r="K365" i="2"/>
  <c r="K368" i="2" s="1"/>
  <c r="L364" i="2"/>
  <c r="L365" i="2" s="1"/>
  <c r="L368" i="2" s="1"/>
  <c r="N151" i="2"/>
  <c r="N153" i="2" s="1"/>
  <c r="AG59" i="2"/>
  <c r="AG99" i="2" s="1"/>
  <c r="R99" i="2"/>
  <c r="R101" i="2" s="1"/>
  <c r="R104" i="2" s="1"/>
  <c r="R66" i="2"/>
  <c r="F66" i="2"/>
  <c r="F99" i="2"/>
  <c r="F101" i="2" s="1"/>
  <c r="F104" i="2" s="1"/>
  <c r="M364" i="2"/>
  <c r="AB420" i="2"/>
  <c r="AB423" i="2" s="1"/>
  <c r="M420" i="2"/>
  <c r="M423" i="2" s="1"/>
  <c r="U326" i="2"/>
  <c r="T309" i="2"/>
  <c r="U307" i="2"/>
  <c r="U312" i="2" s="1"/>
  <c r="L252" i="2"/>
  <c r="L253" i="2" s="1"/>
  <c r="L181" i="2"/>
  <c r="W251" i="2"/>
  <c r="W253" i="2" s="1"/>
  <c r="W181" i="2"/>
  <c r="V250" i="2"/>
  <c r="V253" i="2" s="1"/>
  <c r="V181" i="2"/>
  <c r="J250" i="2"/>
  <c r="J253" i="2" s="1"/>
  <c r="J181" i="2"/>
  <c r="I249" i="2"/>
  <c r="I253" i="2" s="1"/>
  <c r="I181" i="2"/>
  <c r="O469" i="2"/>
  <c r="O470" i="2" s="1"/>
  <c r="O473" i="2" s="1"/>
  <c r="Z446" i="2"/>
  <c r="Z449" i="2" s="1"/>
  <c r="AA445" i="2"/>
  <c r="AA446" i="2" s="1"/>
  <c r="AA449" i="2" s="1"/>
  <c r="X405" i="2"/>
  <c r="G400" i="2"/>
  <c r="G401" i="2" s="1"/>
  <c r="G411" i="2" s="1"/>
  <c r="F405" i="2"/>
  <c r="T236" i="2"/>
  <c r="S237" i="2"/>
  <c r="S240" i="2" s="1"/>
  <c r="H249" i="2"/>
  <c r="H253" i="2" s="1"/>
  <c r="H181" i="2"/>
  <c r="S401" i="2"/>
  <c r="S411" i="2" s="1"/>
  <c r="T400" i="2"/>
  <c r="T401" i="2" s="1"/>
  <c r="T411" i="2" s="1"/>
  <c r="AA257" i="2"/>
  <c r="AA260" i="2" s="1"/>
  <c r="R253" i="2"/>
  <c r="Z88" i="2"/>
  <c r="K469" i="2"/>
  <c r="K470" i="2" s="1"/>
  <c r="K473" i="2" s="1"/>
  <c r="AF458" i="2"/>
  <c r="AF461" i="2" s="1"/>
  <c r="AI60" i="2"/>
  <c r="H71" i="7" s="1"/>
  <c r="Y100" i="2"/>
  <c r="Y66" i="2"/>
  <c r="AF60" i="2"/>
  <c r="AF100" i="2" s="1"/>
  <c r="AF101" i="2" s="1"/>
  <c r="M100" i="2"/>
  <c r="AJ99" i="2"/>
  <c r="AB99" i="2"/>
  <c r="S257" i="2"/>
  <c r="S260" i="2" s="1"/>
  <c r="T256" i="2"/>
  <c r="T257" i="2" s="1"/>
  <c r="T260" i="2" s="1"/>
  <c r="I469" i="2"/>
  <c r="AF389" i="2"/>
  <c r="AF392" i="2" s="1"/>
  <c r="Q253" i="2"/>
  <c r="AG65" i="2"/>
  <c r="AG402" i="2" s="1"/>
  <c r="AH400" i="2" s="1"/>
  <c r="AH401" i="2" s="1"/>
  <c r="AH411" i="2" s="1"/>
  <c r="Q402" i="2"/>
  <c r="R400" i="2" s="1"/>
  <c r="R401" i="2" s="1"/>
  <c r="R411" i="2" s="1"/>
  <c r="U378" i="2"/>
  <c r="AH63" i="2"/>
  <c r="AH378" i="2" s="1"/>
  <c r="AH377" i="2" s="1"/>
  <c r="AH380" i="2" s="1"/>
  <c r="I378" i="2"/>
  <c r="AE63" i="2"/>
  <c r="AE378" i="2" s="1"/>
  <c r="AF376" i="2" s="1"/>
  <c r="AF377" i="2" s="1"/>
  <c r="AF380" i="2" s="1"/>
  <c r="X190" i="2"/>
  <c r="AA99" i="2"/>
  <c r="AA101" i="2" s="1"/>
  <c r="AA104" i="2" s="1"/>
  <c r="AA66" i="2"/>
  <c r="Y286" i="2"/>
  <c r="AB269" i="2"/>
  <c r="H469" i="2"/>
  <c r="H470" i="2" s="1"/>
  <c r="H473" i="2" s="1"/>
  <c r="T446" i="2"/>
  <c r="T449" i="2" s="1"/>
  <c r="X401" i="2"/>
  <c r="X411" i="2" s="1"/>
  <c r="O377" i="2"/>
  <c r="O380" i="2" s="1"/>
  <c r="P376" i="2"/>
  <c r="P377" i="2" s="1"/>
  <c r="P380" i="2" s="1"/>
  <c r="S389" i="2"/>
  <c r="S392" i="2" s="1"/>
  <c r="T388" i="2"/>
  <c r="T389" i="2" s="1"/>
  <c r="T392" i="2" s="1"/>
  <c r="G389" i="2"/>
  <c r="G392" i="2" s="1"/>
  <c r="H388" i="2"/>
  <c r="H389" i="2" s="1"/>
  <c r="H392" i="2" s="1"/>
  <c r="U376" i="2"/>
  <c r="V66" i="2"/>
  <c r="Z119" i="2"/>
  <c r="Z101" i="2"/>
  <c r="Z104" i="2" s="1"/>
  <c r="Z190" i="2"/>
  <c r="P56" i="2"/>
  <c r="AH54" i="2"/>
  <c r="AH329" i="2" s="1"/>
  <c r="AI326" i="2" s="1"/>
  <c r="U329" i="2"/>
  <c r="V326" i="2" s="1"/>
  <c r="W365" i="2"/>
  <c r="W368" i="2" s="1"/>
  <c r="L287" i="2"/>
  <c r="L296" i="2" s="1"/>
  <c r="AE61" i="2"/>
  <c r="I66" i="2"/>
  <c r="AG55" i="2"/>
  <c r="AG348" i="2" s="1"/>
  <c r="AH345" i="2" s="1"/>
  <c r="Q348" i="2"/>
  <c r="AI139" i="2"/>
  <c r="AI142" i="2" s="1"/>
  <c r="AI215" i="2"/>
  <c r="AA88" i="2"/>
  <c r="J130" i="2"/>
  <c r="X11" i="2"/>
  <c r="X103" i="2"/>
  <c r="L11" i="2"/>
  <c r="L103" i="2"/>
  <c r="W151" i="2"/>
  <c r="W153" i="2" s="1"/>
  <c r="W11" i="2"/>
  <c r="K11" i="2"/>
  <c r="K90" i="2"/>
  <c r="K151" i="2"/>
  <c r="K153" i="2" s="1"/>
  <c r="W482" i="2"/>
  <c r="W485" i="2" s="1"/>
  <c r="K482" i="2"/>
  <c r="K485" i="2" s="1"/>
  <c r="U420" i="2"/>
  <c r="U423" i="2" s="1"/>
  <c r="V419" i="2"/>
  <c r="V420" i="2" s="1"/>
  <c r="V423" i="2" s="1"/>
  <c r="H400" i="2"/>
  <c r="H401" i="2" s="1"/>
  <c r="H411" i="2" s="1"/>
  <c r="AA365" i="2"/>
  <c r="AA368" i="2" s="1"/>
  <c r="K312" i="2"/>
  <c r="J199" i="2"/>
  <c r="J207" i="2" s="1"/>
  <c r="J116" i="2"/>
  <c r="K113" i="2" s="1"/>
  <c r="AJ390" i="2"/>
  <c r="AB390" i="2"/>
  <c r="AC388" i="2" s="1"/>
  <c r="P389" i="2"/>
  <c r="P392" i="2" s="1"/>
  <c r="N56" i="2"/>
  <c r="AB181" i="2"/>
  <c r="AB249" i="2"/>
  <c r="AB253" i="2" s="1"/>
  <c r="H482" i="2"/>
  <c r="H485" i="2" s="1"/>
  <c r="S446" i="2"/>
  <c r="S449" i="2" s="1"/>
  <c r="P405" i="2"/>
  <c r="I307" i="2"/>
  <c r="AA237" i="2"/>
  <c r="AA240" i="2" s="1"/>
  <c r="AB236" i="2"/>
  <c r="J76" i="2"/>
  <c r="AF288" i="2"/>
  <c r="S287" i="2"/>
  <c r="H56" i="2"/>
  <c r="H87" i="2"/>
  <c r="H116" i="2" s="1"/>
  <c r="S482" i="2"/>
  <c r="S485" i="2" s="1"/>
  <c r="R446" i="2"/>
  <c r="R449" i="2" s="1"/>
  <c r="G364" i="2"/>
  <c r="G365" i="2" s="1"/>
  <c r="G368" i="2" s="1"/>
  <c r="K267" i="2"/>
  <c r="K268" i="2" s="1"/>
  <c r="AH215" i="2"/>
  <c r="AH139" i="2"/>
  <c r="N76" i="2"/>
  <c r="I471" i="2"/>
  <c r="J469" i="2" s="1"/>
  <c r="J470" i="2" s="1"/>
  <c r="J473" i="2" s="1"/>
  <c r="AE74" i="2"/>
  <c r="AE471" i="2" s="1"/>
  <c r="AF469" i="2" s="1"/>
  <c r="AF470" i="2" s="1"/>
  <c r="AF473" i="2" s="1"/>
  <c r="K237" i="2"/>
  <c r="K240" i="2" s="1"/>
  <c r="L236" i="2"/>
  <c r="L237" i="2" s="1"/>
  <c r="L240" i="2" s="1"/>
  <c r="G199" i="2"/>
  <c r="G116" i="2"/>
  <c r="J88" i="2"/>
  <c r="Z181" i="2"/>
  <c r="Z251" i="2"/>
  <c r="Z253" i="2" s="1"/>
  <c r="X181" i="2"/>
  <c r="X249" i="2"/>
  <c r="X253" i="2" s="1"/>
  <c r="J14" i="2"/>
  <c r="R14" i="2"/>
  <c r="S470" i="2"/>
  <c r="S473" i="2" s="1"/>
  <c r="X309" i="2"/>
  <c r="X318" i="2" s="1"/>
  <c r="Y307" i="2"/>
  <c r="Y312" i="2" s="1"/>
  <c r="V76" i="2"/>
  <c r="Q114" i="2"/>
  <c r="Q206" i="2"/>
  <c r="F151" i="2"/>
  <c r="F153" i="2" s="1"/>
  <c r="F14" i="2"/>
  <c r="P445" i="2"/>
  <c r="P446" i="2" s="1"/>
  <c r="P449" i="2" s="1"/>
  <c r="Y388" i="2"/>
  <c r="Y389" i="2" s="1"/>
  <c r="Y392" i="2" s="1"/>
  <c r="H376" i="2"/>
  <c r="H377" i="2" s="1"/>
  <c r="H380" i="2" s="1"/>
  <c r="W347" i="2"/>
  <c r="W356" i="2" s="1"/>
  <c r="G312" i="2"/>
  <c r="K116" i="2"/>
  <c r="L113" i="2" s="1"/>
  <c r="U66" i="2"/>
  <c r="P190" i="2"/>
  <c r="AH99" i="2"/>
  <c r="AJ288" i="2"/>
  <c r="AB288" i="2"/>
  <c r="AJ141" i="2"/>
  <c r="AB141" i="2"/>
  <c r="U85" i="2"/>
  <c r="AH41" i="2"/>
  <c r="AH85" i="2" s="1"/>
  <c r="I85" i="2"/>
  <c r="I56" i="2"/>
  <c r="AE41" i="2"/>
  <c r="AE85" i="2" s="1"/>
  <c r="AE88" i="2" s="1"/>
  <c r="K181" i="2"/>
  <c r="AA114" i="2"/>
  <c r="AA206" i="2"/>
  <c r="O114" i="2"/>
  <c r="O206" i="2"/>
  <c r="I14" i="2"/>
  <c r="H446" i="2"/>
  <c r="H449" i="2" s="1"/>
  <c r="T312" i="2"/>
  <c r="O237" i="2"/>
  <c r="O240" i="2" s="1"/>
  <c r="AB114" i="2"/>
  <c r="AB206" i="2"/>
  <c r="P114" i="2"/>
  <c r="P206" i="2"/>
  <c r="S14" i="2"/>
  <c r="G14" i="2"/>
  <c r="G120" i="2"/>
  <c r="G130" i="2" s="1"/>
  <c r="G151" i="2"/>
  <c r="G153" i="2" s="1"/>
  <c r="J90" i="2"/>
  <c r="J151" i="2"/>
  <c r="J153" i="2" s="1"/>
  <c r="T458" i="2"/>
  <c r="T461" i="2" s="1"/>
  <c r="H458" i="2"/>
  <c r="H461" i="2" s="1"/>
  <c r="W401" i="2"/>
  <c r="W411" i="2" s="1"/>
  <c r="K401" i="2"/>
  <c r="K411" i="2" s="1"/>
  <c r="N130" i="2"/>
  <c r="Z76" i="2"/>
  <c r="J56" i="2"/>
  <c r="AB238" i="2"/>
  <c r="AC236" i="2" s="1"/>
  <c r="AC237" i="2" s="1"/>
  <c r="AC240" i="2" s="1"/>
  <c r="X56" i="2"/>
  <c r="U253" i="2"/>
  <c r="Q14" i="2"/>
  <c r="Q129" i="2"/>
  <c r="Q130" i="2" s="1"/>
  <c r="S458" i="2"/>
  <c r="S461" i="2" s="1"/>
  <c r="L309" i="2"/>
  <c r="L318" i="2" s="1"/>
  <c r="F253" i="2"/>
  <c r="G225" i="2"/>
  <c r="G228" i="2" s="1"/>
  <c r="M130" i="2"/>
  <c r="AA14" i="2"/>
  <c r="O14" i="2"/>
  <c r="AA199" i="2"/>
  <c r="AA116" i="2"/>
  <c r="AB113" i="2" s="1"/>
  <c r="W142" i="2"/>
  <c r="W145" i="2" s="1"/>
  <c r="K139" i="2"/>
  <c r="K142" i="2" s="1"/>
  <c r="K145" i="2" s="1"/>
  <c r="K215" i="2"/>
  <c r="AA130" i="2"/>
  <c r="O130" i="2"/>
  <c r="Z14" i="2"/>
  <c r="Z120" i="2"/>
  <c r="Z130" i="2" s="1"/>
  <c r="W88" i="2"/>
  <c r="W91" i="2" s="1"/>
  <c r="K88" i="2"/>
  <c r="T76" i="2"/>
  <c r="I76" i="2"/>
  <c r="H11" i="2"/>
  <c r="M14" i="2"/>
  <c r="F76" i="2"/>
  <c r="T190" i="2"/>
  <c r="T216" i="2" s="1"/>
  <c r="H190" i="2"/>
  <c r="W14" i="2"/>
  <c r="K14" i="2"/>
  <c r="AG458" i="2"/>
  <c r="AG461" i="2" s="1"/>
  <c r="AG470" i="2"/>
  <c r="AG473" i="2" s="1"/>
  <c r="I446" i="2"/>
  <c r="I449" i="2" s="1"/>
  <c r="Q11" i="2"/>
  <c r="Q90" i="2"/>
  <c r="Q151" i="2"/>
  <c r="Q153" i="2" s="1"/>
  <c r="AI481" i="2"/>
  <c r="AI482" i="2" s="1"/>
  <c r="AI485" i="2" s="1"/>
  <c r="AI457" i="2"/>
  <c r="AI458" i="2" s="1"/>
  <c r="AI461" i="2" s="1"/>
  <c r="AI445" i="2"/>
  <c r="W431" i="2"/>
  <c r="G431" i="2"/>
  <c r="T420" i="2"/>
  <c r="T423" i="2" s="1"/>
  <c r="O420" i="2"/>
  <c r="O423" i="2" s="1"/>
  <c r="AI388" i="2"/>
  <c r="X365" i="2"/>
  <c r="X368" i="2" s="1"/>
  <c r="X345" i="2"/>
  <c r="H345" i="2"/>
  <c r="AA326" i="2"/>
  <c r="S326" i="2"/>
  <c r="O326" i="2"/>
  <c r="K326" i="2"/>
  <c r="AA312" i="2"/>
  <c r="N253" i="2"/>
  <c r="AG224" i="2"/>
  <c r="AF225" i="2"/>
  <c r="AF228" i="2" s="1"/>
  <c r="AA224" i="2"/>
  <c r="AA225" i="2" s="1"/>
  <c r="AA228" i="2" s="1"/>
  <c r="W224" i="2"/>
  <c r="W225" i="2" s="1"/>
  <c r="W228" i="2" s="1"/>
  <c r="S224" i="2"/>
  <c r="S225" i="2" s="1"/>
  <c r="S228" i="2" s="1"/>
  <c r="O224" i="2"/>
  <c r="O225" i="2" s="1"/>
  <c r="O228" i="2" s="1"/>
  <c r="K224" i="2"/>
  <c r="K225" i="2" s="1"/>
  <c r="K228" i="2" s="1"/>
  <c r="AB345" i="2"/>
  <c r="S309" i="2"/>
  <c r="S312" i="2"/>
  <c r="Y11" i="2"/>
  <c r="Y90" i="2"/>
  <c r="Y151" i="2"/>
  <c r="Y153" i="2" s="1"/>
  <c r="M11" i="2"/>
  <c r="M90" i="2"/>
  <c r="M151" i="2"/>
  <c r="M153" i="2" s="1"/>
  <c r="AH469" i="2"/>
  <c r="AH457" i="2"/>
  <c r="AH458" i="2" s="1"/>
  <c r="AH461" i="2" s="1"/>
  <c r="S420" i="2"/>
  <c r="S423" i="2" s="1"/>
  <c r="Z388" i="2"/>
  <c r="Z389" i="2" s="1"/>
  <c r="Z392" i="2" s="1"/>
  <c r="T345" i="2"/>
  <c r="W326" i="2"/>
  <c r="Q446" i="2"/>
  <c r="Q449" i="2" s="1"/>
  <c r="Q365" i="2"/>
  <c r="Q368" i="2" s="1"/>
  <c r="L345" i="2"/>
  <c r="U90" i="2"/>
  <c r="U151" i="2"/>
  <c r="U153" i="2" s="1"/>
  <c r="U11" i="2"/>
  <c r="I11" i="2"/>
  <c r="I90" i="2"/>
  <c r="I151" i="2"/>
  <c r="I153" i="2" s="1"/>
  <c r="Y431" i="2"/>
  <c r="U431" i="2"/>
  <c r="Q431" i="2"/>
  <c r="M431" i="2"/>
  <c r="I431" i="2"/>
  <c r="AF420" i="2"/>
  <c r="AF423" i="2" s="1"/>
  <c r="W420" i="2"/>
  <c r="W423" i="2" s="1"/>
  <c r="AG419" i="2"/>
  <c r="N405" i="2"/>
  <c r="AI401" i="2"/>
  <c r="AI411" i="2" s="1"/>
  <c r="F377" i="2"/>
  <c r="R365" i="2"/>
  <c r="R368" i="2" s="1"/>
  <c r="AI364" i="2"/>
  <c r="P345" i="2"/>
  <c r="M312" i="2"/>
  <c r="S345" i="2"/>
  <c r="S346" i="2" s="1"/>
  <c r="S350" i="2" s="1"/>
  <c r="O345" i="2"/>
  <c r="O350" i="2" s="1"/>
  <c r="K345" i="2"/>
  <c r="K350" i="2" s="1"/>
  <c r="O287" i="2"/>
  <c r="M267" i="2"/>
  <c r="L268" i="2"/>
  <c r="L271" i="2" s="1"/>
  <c r="P268" i="2"/>
  <c r="P271" i="2" s="1"/>
  <c r="W257" i="2"/>
  <c r="X256" i="2"/>
  <c r="X257" i="2" s="1"/>
  <c r="G257" i="2"/>
  <c r="H256" i="2"/>
  <c r="H257" i="2" s="1"/>
  <c r="AI346" i="2"/>
  <c r="P307" i="2"/>
  <c r="P312" i="2" s="1"/>
  <c r="O309" i="2"/>
  <c r="K309" i="2"/>
  <c r="X267" i="2"/>
  <c r="X268" i="2" s="1"/>
  <c r="X271" i="2" s="1"/>
  <c r="W268" i="2"/>
  <c r="W271" i="2" s="1"/>
  <c r="H267" i="2"/>
  <c r="H268" i="2" s="1"/>
  <c r="H271" i="2" s="1"/>
  <c r="G268" i="2"/>
  <c r="G271" i="2" s="1"/>
  <c r="P256" i="2"/>
  <c r="P257" i="2" s="1"/>
  <c r="V101" i="2"/>
  <c r="V104" i="2" s="1"/>
  <c r="V119" i="2"/>
  <c r="V190" i="2"/>
  <c r="V200" i="2" s="1"/>
  <c r="N119" i="2"/>
  <c r="N101" i="2"/>
  <c r="N104" i="2" s="1"/>
  <c r="N190" i="2"/>
  <c r="W309" i="2"/>
  <c r="Q287" i="2"/>
  <c r="R286" i="2"/>
  <c r="R287" i="2" s="1"/>
  <c r="AA286" i="2"/>
  <c r="AA287" i="2" s="1"/>
  <c r="S267" i="2"/>
  <c r="S268" i="2" s="1"/>
  <c r="T268" i="2"/>
  <c r="T271" i="2" s="1"/>
  <c r="O267" i="2"/>
  <c r="O268" i="2" s="1"/>
  <c r="AJ256" i="2"/>
  <c r="R256" i="2"/>
  <c r="R257" i="2" s="1"/>
  <c r="Q257" i="2"/>
  <c r="AB256" i="2"/>
  <c r="Y253" i="2"/>
  <c r="AA253" i="2"/>
  <c r="O253" i="2"/>
  <c r="K253" i="2"/>
  <c r="AB224" i="2"/>
  <c r="P224" i="2"/>
  <c r="P225" i="2" s="1"/>
  <c r="P228" i="2" s="1"/>
  <c r="L224" i="2"/>
  <c r="L225" i="2" s="1"/>
  <c r="L228" i="2" s="1"/>
  <c r="S152" i="2"/>
  <c r="S153" i="2" s="1"/>
  <c r="AJ113" i="2"/>
  <c r="AE116" i="2"/>
  <c r="AF113" i="2" s="1"/>
  <c r="AE199" i="2"/>
  <c r="R113" i="2"/>
  <c r="X139" i="2"/>
  <c r="X142" i="2" s="1"/>
  <c r="X145" i="2" s="1"/>
  <c r="X215" i="2"/>
  <c r="R88" i="2"/>
  <c r="R91" i="2" s="1"/>
  <c r="R139" i="2"/>
  <c r="R142" i="2" s="1"/>
  <c r="R145" i="2" s="1"/>
  <c r="H139" i="2"/>
  <c r="H142" i="2" s="1"/>
  <c r="H145" i="2" s="1"/>
  <c r="H215" i="2"/>
  <c r="AI71" i="2"/>
  <c r="AI447" i="2" s="1"/>
  <c r="Y76" i="2"/>
  <c r="AG71" i="2"/>
  <c r="AG447" i="2" s="1"/>
  <c r="Q76" i="2"/>
  <c r="AI199" i="2"/>
  <c r="P237" i="2"/>
  <c r="P240" i="2" s="1"/>
  <c r="AJ224" i="2"/>
  <c r="I130" i="2"/>
  <c r="T113" i="2"/>
  <c r="X116" i="2"/>
  <c r="X199" i="2"/>
  <c r="T116" i="2"/>
  <c r="T88" i="2"/>
  <c r="T91" i="2" s="1"/>
  <c r="T199" i="2"/>
  <c r="P116" i="2"/>
  <c r="P88" i="2"/>
  <c r="P199" i="2"/>
  <c r="L116" i="2"/>
  <c r="L199" i="2"/>
  <c r="L88" i="2"/>
  <c r="L91" i="2" s="1"/>
  <c r="L139" i="2"/>
  <c r="L142" i="2" s="1"/>
  <c r="L145" i="2" s="1"/>
  <c r="L215" i="2"/>
  <c r="F88" i="2"/>
  <c r="F91" i="2" s="1"/>
  <c r="F139" i="2"/>
  <c r="F142" i="2" s="1"/>
  <c r="F145" i="2" s="1"/>
  <c r="AH236" i="2"/>
  <c r="X225" i="2"/>
  <c r="X228" i="2" s="1"/>
  <c r="T225" i="2"/>
  <c r="T228" i="2" s="1"/>
  <c r="H225" i="2"/>
  <c r="H228" i="2" s="1"/>
  <c r="F215" i="2"/>
  <c r="AB100" i="2"/>
  <c r="AB66" i="2"/>
  <c r="W66" i="2"/>
  <c r="W99" i="2"/>
  <c r="S66" i="2"/>
  <c r="S99" i="2"/>
  <c r="O66" i="2"/>
  <c r="O99" i="2"/>
  <c r="K99" i="2"/>
  <c r="K66" i="2"/>
  <c r="G66" i="2"/>
  <c r="G99" i="2"/>
  <c r="AB76" i="2"/>
  <c r="X76" i="2"/>
  <c r="L76" i="2"/>
  <c r="H76" i="2"/>
  <c r="R76" i="2"/>
  <c r="X101" i="2"/>
  <c r="X119" i="2"/>
  <c r="T101" i="2"/>
  <c r="T104" i="2" s="1"/>
  <c r="T119" i="2"/>
  <c r="P101" i="2"/>
  <c r="P104" i="2" s="1"/>
  <c r="P119" i="2"/>
  <c r="L101" i="2"/>
  <c r="L119" i="2"/>
  <c r="H101" i="2"/>
  <c r="H104" i="2" s="1"/>
  <c r="H119" i="2"/>
  <c r="M76" i="2"/>
  <c r="M77" i="2" s="1"/>
  <c r="AA76" i="2"/>
  <c r="W76" i="2"/>
  <c r="S76" i="2"/>
  <c r="O76" i="2"/>
  <c r="K76" i="2"/>
  <c r="G76" i="2"/>
  <c r="Z66" i="2"/>
  <c r="N66" i="2"/>
  <c r="J66" i="2"/>
  <c r="AG51" i="2"/>
  <c r="AG288" i="2" s="1"/>
  <c r="Q56" i="2"/>
  <c r="M56" i="2"/>
  <c r="V56" i="2"/>
  <c r="R56" i="2"/>
  <c r="F56" i="2"/>
  <c r="AJ140" i="2"/>
  <c r="AB56" i="2"/>
  <c r="L56" i="2"/>
  <c r="AB14" i="2"/>
  <c r="AB120" i="2"/>
  <c r="X14" i="2"/>
  <c r="X120" i="2"/>
  <c r="T14" i="2"/>
  <c r="T120" i="2"/>
  <c r="P14" i="2"/>
  <c r="P120" i="2"/>
  <c r="L14" i="2"/>
  <c r="L120" i="2"/>
  <c r="H14" i="2"/>
  <c r="H120" i="2"/>
  <c r="Q88" i="2"/>
  <c r="AJ87" i="2"/>
  <c r="X66" i="2"/>
  <c r="T66" i="2"/>
  <c r="P66" i="2"/>
  <c r="L66" i="2"/>
  <c r="H66" i="2"/>
  <c r="AA56" i="2"/>
  <c r="W56" i="2"/>
  <c r="S56" i="2"/>
  <c r="O56" i="2"/>
  <c r="K56" i="2"/>
  <c r="G56" i="2"/>
  <c r="Z25" i="2"/>
  <c r="N25" i="2"/>
  <c r="J25" i="2"/>
  <c r="AB25" i="2"/>
  <c r="X25" i="2"/>
  <c r="T25" i="2"/>
  <c r="P25" i="2"/>
  <c r="L25" i="2"/>
  <c r="H25" i="2"/>
  <c r="Z11" i="2"/>
  <c r="V11" i="2"/>
  <c r="R11" i="2"/>
  <c r="N11" i="2"/>
  <c r="J11" i="2"/>
  <c r="F11" i="2"/>
  <c r="H76" i="7"/>
  <c r="H73" i="7"/>
  <c r="H66" i="7"/>
  <c r="H67" i="7"/>
  <c r="I35" i="7"/>
  <c r="H35" i="7"/>
  <c r="B15" i="7"/>
  <c r="D15" i="7"/>
  <c r="L15" i="7"/>
  <c r="H15" i="7"/>
  <c r="R307" i="2" l="1"/>
  <c r="G17" i="2"/>
  <c r="M268" i="2"/>
  <c r="M271" i="2" s="1"/>
  <c r="AC257" i="2"/>
  <c r="AC389" i="2"/>
  <c r="AC392" i="2" s="1"/>
  <c r="AJ139" i="2"/>
  <c r="AC142" i="2"/>
  <c r="AC145" i="2" s="1"/>
  <c r="M377" i="2"/>
  <c r="M380" i="2" s="1"/>
  <c r="AC27" i="2"/>
  <c r="AC179" i="2" s="1"/>
  <c r="AC182" i="2" s="1"/>
  <c r="AH364" i="2"/>
  <c r="AH365" i="2" s="1"/>
  <c r="AH368" i="2" s="1"/>
  <c r="AC115" i="2"/>
  <c r="AC118" i="2" s="1"/>
  <c r="AC356" i="2"/>
  <c r="Y420" i="2"/>
  <c r="Y423" i="2" s="1"/>
  <c r="G350" i="2"/>
  <c r="AC91" i="2"/>
  <c r="AC260" i="2"/>
  <c r="AB287" i="2"/>
  <c r="AB290" i="2" s="1"/>
  <c r="AC286" i="2"/>
  <c r="AC287" i="2" s="1"/>
  <c r="AB309" i="2"/>
  <c r="AB318" i="2" s="1"/>
  <c r="AC307" i="2"/>
  <c r="AC77" i="2"/>
  <c r="AC78" i="2" s="1"/>
  <c r="AJ257" i="2"/>
  <c r="AJ260" i="2" s="1"/>
  <c r="Y377" i="2"/>
  <c r="Y380" i="2" s="1"/>
  <c r="AB268" i="2"/>
  <c r="AB271" i="2" s="1"/>
  <c r="AC267" i="2"/>
  <c r="AC268" i="2" s="1"/>
  <c r="AC271" i="2" s="1"/>
  <c r="AJ88" i="2"/>
  <c r="AB365" i="2"/>
  <c r="AB368" i="2" s="1"/>
  <c r="AC364" i="2"/>
  <c r="AC365" i="2" s="1"/>
  <c r="AC368" i="2" s="1"/>
  <c r="AB377" i="2"/>
  <c r="AB380" i="2" s="1"/>
  <c r="M215" i="2"/>
  <c r="AJ365" i="2"/>
  <c r="AJ368" i="2" s="1"/>
  <c r="AB405" i="2"/>
  <c r="AC400" i="2"/>
  <c r="AC401" i="2" s="1"/>
  <c r="AC411" i="2" s="1"/>
  <c r="AC253" i="2"/>
  <c r="AC248" i="2"/>
  <c r="AC32" i="2"/>
  <c r="AC207" i="2"/>
  <c r="AC101" i="2"/>
  <c r="AC104" i="2" s="1"/>
  <c r="AC190" i="2"/>
  <c r="AC119" i="2"/>
  <c r="AC164" i="2"/>
  <c r="AC171" i="2"/>
  <c r="M346" i="2"/>
  <c r="M350" i="2" s="1"/>
  <c r="O91" i="2"/>
  <c r="AB401" i="2"/>
  <c r="AB411" i="2" s="1"/>
  <c r="Y199" i="2"/>
  <c r="Y207" i="2" s="1"/>
  <c r="G91" i="2"/>
  <c r="Q190" i="2"/>
  <c r="J17" i="2"/>
  <c r="J27" i="2" s="1"/>
  <c r="F77" i="2"/>
  <c r="F78" i="2" s="1"/>
  <c r="S115" i="2"/>
  <c r="S118" i="2" s="1"/>
  <c r="AH142" i="2"/>
  <c r="Y88" i="2"/>
  <c r="Y91" i="2" s="1"/>
  <c r="Z77" i="2"/>
  <c r="Z78" i="2" s="1"/>
  <c r="Q119" i="2"/>
  <c r="M470" i="2"/>
  <c r="M473" i="2" s="1"/>
  <c r="AE268" i="2"/>
  <c r="AE271" i="2" s="1"/>
  <c r="U101" i="2"/>
  <c r="U104" i="2" s="1"/>
  <c r="H296" i="2"/>
  <c r="H297" i="2" s="1"/>
  <c r="H298" i="2" s="1"/>
  <c r="U268" i="2"/>
  <c r="U271" i="2" s="1"/>
  <c r="AE142" i="2"/>
  <c r="AB139" i="2"/>
  <c r="AB142" i="2" s="1"/>
  <c r="AB145" i="2" s="1"/>
  <c r="AG389" i="2"/>
  <c r="AG392" i="2" s="1"/>
  <c r="U389" i="2"/>
  <c r="U392" i="2" s="1"/>
  <c r="Y225" i="2"/>
  <c r="Y228" i="2" s="1"/>
  <c r="I116" i="2"/>
  <c r="J113" i="2" s="1"/>
  <c r="J115" i="2" s="1"/>
  <c r="J118" i="2" s="1"/>
  <c r="J121" i="2" s="1"/>
  <c r="Y139" i="2"/>
  <c r="Y142" i="2" s="1"/>
  <c r="Y145" i="2" s="1"/>
  <c r="M458" i="2"/>
  <c r="M461" i="2" s="1"/>
  <c r="L200" i="2"/>
  <c r="Y17" i="2"/>
  <c r="Y161" i="2" s="1"/>
  <c r="X17" i="2"/>
  <c r="X27" i="2" s="1"/>
  <c r="U139" i="2"/>
  <c r="U142" i="2" s="1"/>
  <c r="U145" i="2" s="1"/>
  <c r="AB328" i="2"/>
  <c r="AB327" i="2" s="1"/>
  <c r="AB331" i="2" s="1"/>
  <c r="V17" i="2"/>
  <c r="V27" i="2" s="1"/>
  <c r="T200" i="2"/>
  <c r="Z17" i="2"/>
  <c r="Z27" i="2" s="1"/>
  <c r="M389" i="2"/>
  <c r="M392" i="2" s="1"/>
  <c r="Q77" i="2"/>
  <c r="Q78" i="2" s="1"/>
  <c r="N286" i="2"/>
  <c r="N287" i="2" s="1"/>
  <c r="N296" i="2" s="1"/>
  <c r="N297" i="2" s="1"/>
  <c r="N298" i="2" s="1"/>
  <c r="AF400" i="2"/>
  <c r="AF401" i="2" s="1"/>
  <c r="AF411" i="2" s="1"/>
  <c r="Q389" i="2"/>
  <c r="Q392" i="2" s="1"/>
  <c r="AH76" i="2"/>
  <c r="U470" i="2"/>
  <c r="U473" i="2" s="1"/>
  <c r="W207" i="2"/>
  <c r="AB199" i="2"/>
  <c r="AB207" i="2" s="1"/>
  <c r="G318" i="2"/>
  <c r="AH470" i="2"/>
  <c r="AH473" i="2" s="1"/>
  <c r="V347" i="2"/>
  <c r="V356" i="2" s="1"/>
  <c r="AH199" i="2"/>
  <c r="H216" i="2"/>
  <c r="AJ286" i="2"/>
  <c r="AJ287" i="2" s="1"/>
  <c r="AJ290" i="2" s="1"/>
  <c r="M309" i="2"/>
  <c r="M328" i="2" s="1"/>
  <c r="H312" i="2"/>
  <c r="Q237" i="2"/>
  <c r="Q240" i="2" s="1"/>
  <c r="U446" i="2"/>
  <c r="U449" i="2" s="1"/>
  <c r="N347" i="2"/>
  <c r="N356" i="2" s="1"/>
  <c r="L297" i="2"/>
  <c r="L298" i="2" s="1"/>
  <c r="AJ76" i="2"/>
  <c r="M199" i="2"/>
  <c r="M207" i="2" s="1"/>
  <c r="I119" i="2"/>
  <c r="U401" i="2"/>
  <c r="U411" i="2" s="1"/>
  <c r="N77" i="2"/>
  <c r="N78" i="2" s="1"/>
  <c r="F190" i="2"/>
  <c r="F200" i="2" s="1"/>
  <c r="Y470" i="2"/>
  <c r="Y473" i="2" s="1"/>
  <c r="I405" i="2"/>
  <c r="Z200" i="2"/>
  <c r="H65" i="7"/>
  <c r="AH237" i="2"/>
  <c r="AH240" i="2" s="1"/>
  <c r="T296" i="2"/>
  <c r="T297" i="2" s="1"/>
  <c r="T298" i="2" s="1"/>
  <c r="U482" i="2"/>
  <c r="U485" i="2" s="1"/>
  <c r="AH190" i="2"/>
  <c r="AH216" i="2" s="1"/>
  <c r="Q268" i="2"/>
  <c r="Q271" i="2" s="1"/>
  <c r="J419" i="2"/>
  <c r="J420" i="2" s="1"/>
  <c r="J423" i="2" s="1"/>
  <c r="Q405" i="2"/>
  <c r="P216" i="2"/>
  <c r="AJ268" i="2"/>
  <c r="AJ271" i="2" s="1"/>
  <c r="Z400" i="2"/>
  <c r="Z401" i="2" s="1"/>
  <c r="Z411" i="2" s="1"/>
  <c r="AB257" i="2"/>
  <c r="U405" i="2"/>
  <c r="U77" i="2"/>
  <c r="U78" i="2" s="1"/>
  <c r="M225" i="2"/>
  <c r="M228" i="2" s="1"/>
  <c r="Y401" i="2"/>
  <c r="Y411" i="2" s="1"/>
  <c r="N207" i="2"/>
  <c r="R17" i="2"/>
  <c r="R161" i="2" s="1"/>
  <c r="AA190" i="2"/>
  <c r="AA191" i="2" s="1"/>
  <c r="X216" i="2"/>
  <c r="M257" i="2"/>
  <c r="M260" i="2" s="1"/>
  <c r="G207" i="2"/>
  <c r="Y287" i="2"/>
  <c r="Y296" i="2" s="1"/>
  <c r="Y297" i="2" s="1"/>
  <c r="Y298" i="2" s="1"/>
  <c r="Z91" i="2"/>
  <c r="S91" i="2"/>
  <c r="U237" i="2"/>
  <c r="U240" i="2" s="1"/>
  <c r="Y458" i="2"/>
  <c r="Y461" i="2" s="1"/>
  <c r="M401" i="2"/>
  <c r="M411" i="2" s="1"/>
  <c r="M405" i="2"/>
  <c r="Q377" i="2"/>
  <c r="Q380" i="2" s="1"/>
  <c r="Y365" i="2"/>
  <c r="Y368" i="2" s="1"/>
  <c r="U190" i="2"/>
  <c r="U191" i="2" s="1"/>
  <c r="I139" i="2"/>
  <c r="I142" i="2" s="1"/>
  <c r="I145" i="2" s="1"/>
  <c r="I215" i="2"/>
  <c r="Y346" i="2"/>
  <c r="Y350" i="2" s="1"/>
  <c r="AB88" i="2"/>
  <c r="AB91" i="2" s="1"/>
  <c r="U119" i="2"/>
  <c r="S17" i="2"/>
  <c r="S27" i="2" s="1"/>
  <c r="AF346" i="2"/>
  <c r="AF350" i="2" s="1"/>
  <c r="M482" i="2"/>
  <c r="M485" i="2" s="1"/>
  <c r="I101" i="2"/>
  <c r="I104" i="2" s="1"/>
  <c r="U365" i="2"/>
  <c r="U368" i="2" s="1"/>
  <c r="V91" i="2"/>
  <c r="AI268" i="2"/>
  <c r="AI271" i="2" s="1"/>
  <c r="R77" i="2"/>
  <c r="R78" i="2" s="1"/>
  <c r="R115" i="2"/>
  <c r="R118" i="2" s="1"/>
  <c r="AE296" i="2"/>
  <c r="K17" i="2"/>
  <c r="K27" i="2" s="1"/>
  <c r="AA17" i="2"/>
  <c r="AA27" i="2" s="1"/>
  <c r="I389" i="2"/>
  <c r="I392" i="2" s="1"/>
  <c r="N17" i="2"/>
  <c r="N27" i="2" s="1"/>
  <c r="AI365" i="2"/>
  <c r="AI368" i="2" s="1"/>
  <c r="W17" i="2"/>
  <c r="W161" i="2" s="1"/>
  <c r="AB446" i="2"/>
  <c r="AB449" i="2" s="1"/>
  <c r="U88" i="2"/>
  <c r="U91" i="2" s="1"/>
  <c r="P296" i="2"/>
  <c r="P297" i="2" s="1"/>
  <c r="P298" i="2" s="1"/>
  <c r="I365" i="2"/>
  <c r="I368" i="2" s="1"/>
  <c r="AG225" i="2"/>
  <c r="AG228" i="2" s="1"/>
  <c r="AJ389" i="2"/>
  <c r="AJ392" i="2" s="1"/>
  <c r="X104" i="2"/>
  <c r="V224" i="2"/>
  <c r="V225" i="2" s="1"/>
  <c r="V228" i="2" s="1"/>
  <c r="Y257" i="2"/>
  <c r="Y260" i="2" s="1"/>
  <c r="I237" i="2"/>
  <c r="I240" i="2" s="1"/>
  <c r="L17" i="2"/>
  <c r="L27" i="2" s="1"/>
  <c r="I458" i="2"/>
  <c r="I461" i="2" s="1"/>
  <c r="AB482" i="2"/>
  <c r="AB485" i="2" s="1"/>
  <c r="AG257" i="2"/>
  <c r="AG260" i="2" s="1"/>
  <c r="M101" i="2"/>
  <c r="M104" i="2" s="1"/>
  <c r="I350" i="2"/>
  <c r="I356" i="2"/>
  <c r="P91" i="2"/>
  <c r="V77" i="2"/>
  <c r="V78" i="2" s="1"/>
  <c r="H72" i="7"/>
  <c r="H74" i="7" s="1"/>
  <c r="J77" i="2"/>
  <c r="J78" i="2" s="1"/>
  <c r="I287" i="2"/>
  <c r="I290" i="2" s="1"/>
  <c r="J345" i="2"/>
  <c r="J346" i="2" s="1"/>
  <c r="J350" i="2" s="1"/>
  <c r="J91" i="2"/>
  <c r="I88" i="2"/>
  <c r="I91" i="2" s="1"/>
  <c r="R207" i="2"/>
  <c r="I190" i="2"/>
  <c r="T237" i="2"/>
  <c r="T240" i="2" s="1"/>
  <c r="AJ225" i="2"/>
  <c r="AJ228" i="2" s="1"/>
  <c r="AB225" i="2"/>
  <c r="AB228" i="2" s="1"/>
  <c r="AF190" i="2"/>
  <c r="AF216" i="2" s="1"/>
  <c r="I482" i="2"/>
  <c r="I485" i="2" s="1"/>
  <c r="AI389" i="2"/>
  <c r="AI392" i="2" s="1"/>
  <c r="O17" i="2"/>
  <c r="O27" i="2" s="1"/>
  <c r="Y119" i="2"/>
  <c r="AA91" i="2"/>
  <c r="P200" i="2"/>
  <c r="U458" i="2"/>
  <c r="U461" i="2" s="1"/>
  <c r="I309" i="2"/>
  <c r="I328" i="2" s="1"/>
  <c r="W115" i="2"/>
  <c r="W118" i="2" s="1"/>
  <c r="L216" i="2"/>
  <c r="Y309" i="2"/>
  <c r="Y318" i="2" s="1"/>
  <c r="AG347" i="2"/>
  <c r="AG356" i="2" s="1"/>
  <c r="N277" i="2"/>
  <c r="N278" i="2" s="1"/>
  <c r="N279" i="2" s="1"/>
  <c r="AB237" i="2"/>
  <c r="AB240" i="2" s="1"/>
  <c r="AH88" i="2"/>
  <c r="AE346" i="2"/>
  <c r="I225" i="2"/>
  <c r="I228" i="2" s="1"/>
  <c r="AH225" i="2"/>
  <c r="AH228" i="2" s="1"/>
  <c r="AB17" i="2"/>
  <c r="AB27" i="2" s="1"/>
  <c r="AA119" i="2"/>
  <c r="Y482" i="2"/>
  <c r="Y485" i="2" s="1"/>
  <c r="AH481" i="2"/>
  <c r="AH482" i="2" s="1"/>
  <c r="AH485" i="2" s="1"/>
  <c r="M365" i="2"/>
  <c r="M368" i="2" s="1"/>
  <c r="F17" i="2"/>
  <c r="F27" i="2" s="1"/>
  <c r="P77" i="2"/>
  <c r="P78" i="2" s="1"/>
  <c r="AF66" i="2"/>
  <c r="AH119" i="2"/>
  <c r="Y237" i="2"/>
  <c r="Y240" i="2" s="1"/>
  <c r="L290" i="2"/>
  <c r="Z277" i="2"/>
  <c r="Z278" i="2" s="1"/>
  <c r="Z279" i="2" s="1"/>
  <c r="J400" i="2"/>
  <c r="J401" i="2" s="1"/>
  <c r="J411" i="2" s="1"/>
  <c r="Q470" i="2"/>
  <c r="Q473" i="2" s="1"/>
  <c r="Y268" i="2"/>
  <c r="Y271" i="2" s="1"/>
  <c r="T77" i="2"/>
  <c r="T78" i="2" s="1"/>
  <c r="AG66" i="2"/>
  <c r="AH101" i="2"/>
  <c r="X200" i="2"/>
  <c r="Q199" i="2"/>
  <c r="Q207" i="2" s="1"/>
  <c r="U287" i="2"/>
  <c r="U290" i="2" s="1"/>
  <c r="W290" i="2"/>
  <c r="M446" i="2"/>
  <c r="M449" i="2" s="1"/>
  <c r="K290" i="2"/>
  <c r="AE66" i="2"/>
  <c r="J216" i="2"/>
  <c r="M88" i="2"/>
  <c r="M91" i="2" s="1"/>
  <c r="AF119" i="2"/>
  <c r="U346" i="2"/>
  <c r="U350" i="2" s="1"/>
  <c r="G296" i="2"/>
  <c r="G297" i="2" s="1"/>
  <c r="G298" i="2" s="1"/>
  <c r="X77" i="2"/>
  <c r="X78" i="2" s="1"/>
  <c r="Y77" i="2"/>
  <c r="Y78" i="2" s="1"/>
  <c r="Q17" i="2"/>
  <c r="Q27" i="2" s="1"/>
  <c r="O207" i="2"/>
  <c r="AG268" i="2"/>
  <c r="AG271" i="2" s="1"/>
  <c r="AA328" i="2"/>
  <c r="AA327" i="2" s="1"/>
  <c r="AA331" i="2" s="1"/>
  <c r="X91" i="2"/>
  <c r="H78" i="7"/>
  <c r="I17" i="2"/>
  <c r="I27" i="2" s="1"/>
  <c r="AI56" i="2"/>
  <c r="AI376" i="2"/>
  <c r="AI377" i="2" s="1"/>
  <c r="AI380" i="2" s="1"/>
  <c r="AA318" i="2"/>
  <c r="H84" i="7"/>
  <c r="AA207" i="2"/>
  <c r="AH66" i="2"/>
  <c r="H85" i="7"/>
  <c r="P17" i="2"/>
  <c r="P27" i="2" s="1"/>
  <c r="J309" i="2"/>
  <c r="J318" i="2" s="1"/>
  <c r="AB101" i="2"/>
  <c r="AB104" i="2" s="1"/>
  <c r="O115" i="2"/>
  <c r="O118" i="2" s="1"/>
  <c r="W297" i="2"/>
  <c r="W298" i="2" s="1"/>
  <c r="AI237" i="2"/>
  <c r="AI240" i="2" s="1"/>
  <c r="AB389" i="2"/>
  <c r="AB392" i="2" s="1"/>
  <c r="AA77" i="2"/>
  <c r="AA78" i="2" s="1"/>
  <c r="T17" i="2"/>
  <c r="T161" i="2" s="1"/>
  <c r="AA115" i="2"/>
  <c r="AA118" i="2" s="1"/>
  <c r="AH420" i="2"/>
  <c r="AH423" i="2" s="1"/>
  <c r="H68" i="7"/>
  <c r="V216" i="2"/>
  <c r="M17" i="2"/>
  <c r="M161" i="2" s="1"/>
  <c r="Y190" i="2"/>
  <c r="Y191" i="2" s="1"/>
  <c r="Q458" i="2"/>
  <c r="Q461" i="2" s="1"/>
  <c r="K277" i="2"/>
  <c r="K278" i="2" s="1"/>
  <c r="K279" i="2" s="1"/>
  <c r="K271" i="2"/>
  <c r="X290" i="2"/>
  <c r="X296" i="2"/>
  <c r="X297" i="2" s="1"/>
  <c r="X298" i="2" s="1"/>
  <c r="AE76" i="2"/>
  <c r="AF56" i="2"/>
  <c r="U309" i="2"/>
  <c r="U328" i="2" s="1"/>
  <c r="I312" i="2"/>
  <c r="Z216" i="2"/>
  <c r="U199" i="2"/>
  <c r="U116" i="2"/>
  <c r="V113" i="2" s="1"/>
  <c r="V115" i="2" s="1"/>
  <c r="V118" i="2" s="1"/>
  <c r="V121" i="2" s="1"/>
  <c r="L104" i="2"/>
  <c r="H88" i="2"/>
  <c r="H91" i="2" s="1"/>
  <c r="J200" i="2"/>
  <c r="AJ237" i="2"/>
  <c r="AJ240" i="2" s="1"/>
  <c r="U17" i="2"/>
  <c r="U27" i="2" s="1"/>
  <c r="Q401" i="2"/>
  <c r="Q411" i="2" s="1"/>
  <c r="H328" i="2"/>
  <c r="AI100" i="2"/>
  <c r="AI66" i="2"/>
  <c r="J256" i="2"/>
  <c r="J257" i="2" s="1"/>
  <c r="I257" i="2"/>
  <c r="N236" i="2"/>
  <c r="N237" i="2" s="1"/>
  <c r="N240" i="2" s="1"/>
  <c r="M237" i="2"/>
  <c r="M240" i="2" s="1"/>
  <c r="AF76" i="2"/>
  <c r="AF256" i="2"/>
  <c r="AF257" i="2" s="1"/>
  <c r="AE257" i="2"/>
  <c r="H17" i="2"/>
  <c r="H161" i="2" s="1"/>
  <c r="H199" i="2"/>
  <c r="H200" i="2" s="1"/>
  <c r="AI76" i="2"/>
  <c r="AB115" i="2"/>
  <c r="AB118" i="2" s="1"/>
  <c r="G115" i="2"/>
  <c r="G118" i="2" s="1"/>
  <c r="H113" i="2"/>
  <c r="H115" i="2" s="1"/>
  <c r="H118" i="2" s="1"/>
  <c r="H121" i="2" s="1"/>
  <c r="AI256" i="2"/>
  <c r="AI257" i="2" s="1"/>
  <c r="AI260" i="2" s="1"/>
  <c r="AH257" i="2"/>
  <c r="AE101" i="2"/>
  <c r="AE190" i="2"/>
  <c r="AE216" i="2" s="1"/>
  <c r="AG420" i="2"/>
  <c r="AG423" i="2" s="1"/>
  <c r="AF237" i="2"/>
  <c r="AF240" i="2" s="1"/>
  <c r="U257" i="2"/>
  <c r="V256" i="2"/>
  <c r="V257" i="2" s="1"/>
  <c r="M142" i="2"/>
  <c r="M145" i="2" s="1"/>
  <c r="T207" i="2"/>
  <c r="I470" i="2"/>
  <c r="I473" i="2" s="1"/>
  <c r="AG401" i="2"/>
  <c r="AG411" i="2" s="1"/>
  <c r="I377" i="2"/>
  <c r="I380" i="2" s="1"/>
  <c r="J376" i="2"/>
  <c r="J377" i="2" s="1"/>
  <c r="J380" i="2" s="1"/>
  <c r="H77" i="7"/>
  <c r="H77" i="2"/>
  <c r="H78" i="2" s="1"/>
  <c r="N200" i="2"/>
  <c r="Q482" i="2"/>
  <c r="Q485" i="2" s="1"/>
  <c r="K115" i="2"/>
  <c r="K118" i="2" s="1"/>
  <c r="R190" i="2"/>
  <c r="R119" i="2"/>
  <c r="AJ66" i="2"/>
  <c r="V376" i="2"/>
  <c r="V377" i="2" s="1"/>
  <c r="V380" i="2" s="1"/>
  <c r="U377" i="2"/>
  <c r="U380" i="2" s="1"/>
  <c r="AF199" i="2"/>
  <c r="AF116" i="2"/>
  <c r="AG113" i="2" s="1"/>
  <c r="T328" i="2"/>
  <c r="T318" i="2"/>
  <c r="I77" i="2"/>
  <c r="I78" i="2" s="1"/>
  <c r="K91" i="2"/>
  <c r="R345" i="2"/>
  <c r="Q346" i="2"/>
  <c r="Y101" i="2"/>
  <c r="Y104" i="2" s="1"/>
  <c r="AE56" i="2"/>
  <c r="AG56" i="2"/>
  <c r="AB190" i="2"/>
  <c r="AJ142" i="2"/>
  <c r="AH56" i="2"/>
  <c r="S296" i="2"/>
  <c r="S297" i="2" s="1"/>
  <c r="S298" i="2" s="1"/>
  <c r="S290" i="2"/>
  <c r="M190" i="2"/>
  <c r="M191" i="2" s="1"/>
  <c r="M119" i="2"/>
  <c r="Q420" i="2"/>
  <c r="Q423" i="2" s="1"/>
  <c r="R419" i="2"/>
  <c r="R420" i="2" s="1"/>
  <c r="R423" i="2" s="1"/>
  <c r="AF287" i="2"/>
  <c r="AG286" i="2"/>
  <c r="AG287" i="2" s="1"/>
  <c r="Z207" i="2"/>
  <c r="O271" i="2"/>
  <c r="O277" i="2"/>
  <c r="O278" i="2" s="1"/>
  <c r="O279" i="2" s="1"/>
  <c r="AG446" i="2"/>
  <c r="AG449" i="2" s="1"/>
  <c r="AH445" i="2"/>
  <c r="AH446" i="2" s="1"/>
  <c r="AH449" i="2" s="1"/>
  <c r="Z113" i="2"/>
  <c r="Z115" i="2" s="1"/>
  <c r="Z118" i="2" s="1"/>
  <c r="Z121" i="2" s="1"/>
  <c r="L207" i="2"/>
  <c r="J296" i="2"/>
  <c r="J297" i="2" s="1"/>
  <c r="J298" i="2" s="1"/>
  <c r="J290" i="2"/>
  <c r="O318" i="2"/>
  <c r="O290" i="2"/>
  <c r="O296" i="2"/>
  <c r="O297" i="2" s="1"/>
  <c r="O298" i="2" s="1"/>
  <c r="T277" i="2"/>
  <c r="T278" i="2" s="1"/>
  <c r="T279" i="2" s="1"/>
  <c r="R309" i="2"/>
  <c r="R312" i="2"/>
  <c r="L77" i="2"/>
  <c r="L78" i="2" s="1"/>
  <c r="AJ116" i="2"/>
  <c r="AJ199" i="2"/>
  <c r="L130" i="2"/>
  <c r="T130" i="2"/>
  <c r="AB130" i="2"/>
  <c r="M78" i="2"/>
  <c r="AG76" i="2"/>
  <c r="AB119" i="2"/>
  <c r="G77" i="2"/>
  <c r="G78" i="2" s="1"/>
  <c r="O77" i="2"/>
  <c r="O78" i="2" s="1"/>
  <c r="W77" i="2"/>
  <c r="W78" i="2" s="1"/>
  <c r="AB77" i="2"/>
  <c r="AB78" i="2" s="1"/>
  <c r="L115" i="2"/>
  <c r="L118" i="2" s="1"/>
  <c r="L121" i="2" s="1"/>
  <c r="M113" i="2"/>
  <c r="M115" i="2" s="1"/>
  <c r="M118" i="2" s="1"/>
  <c r="X115" i="2"/>
  <c r="X118" i="2" s="1"/>
  <c r="X121" i="2" s="1"/>
  <c r="Y113" i="2"/>
  <c r="Y115" i="2" s="1"/>
  <c r="Y118" i="2" s="1"/>
  <c r="P207" i="2"/>
  <c r="AA271" i="2"/>
  <c r="AA277" i="2"/>
  <c r="AA278" i="2" s="1"/>
  <c r="AA279" i="2" s="1"/>
  <c r="W318" i="2"/>
  <c r="W328" i="2"/>
  <c r="W327" i="2" s="1"/>
  <c r="W331" i="2" s="1"/>
  <c r="Q191" i="2"/>
  <c r="Q216" i="2"/>
  <c r="Z296" i="2"/>
  <c r="Z297" i="2" s="1"/>
  <c r="Z298" i="2" s="1"/>
  <c r="Z290" i="2"/>
  <c r="P309" i="2"/>
  <c r="P350" i="2"/>
  <c r="P347" i="2"/>
  <c r="P356" i="2" s="1"/>
  <c r="AH346" i="2"/>
  <c r="AH350" i="2" s="1"/>
  <c r="Q318" i="2"/>
  <c r="Q328" i="2"/>
  <c r="Z309" i="2"/>
  <c r="Z312" i="2"/>
  <c r="T346" i="2"/>
  <c r="T350" i="2" s="1"/>
  <c r="AG190" i="2"/>
  <c r="AG101" i="2"/>
  <c r="AG119" i="2"/>
  <c r="W101" i="2"/>
  <c r="W104" i="2" s="1"/>
  <c r="W190" i="2"/>
  <c r="W119" i="2"/>
  <c r="P115" i="2"/>
  <c r="P118" i="2" s="1"/>
  <c r="P121" i="2" s="1"/>
  <c r="Q113" i="2"/>
  <c r="Q115" i="2" s="1"/>
  <c r="Q118" i="2" s="1"/>
  <c r="G260" i="2"/>
  <c r="G277" i="2"/>
  <c r="G278" i="2" s="1"/>
  <c r="G279" i="2" s="1"/>
  <c r="K77" i="2"/>
  <c r="K78" i="2" s="1"/>
  <c r="S119" i="2"/>
  <c r="S121" i="2" s="1"/>
  <c r="S190" i="2"/>
  <c r="S101" i="2"/>
  <c r="S104" i="2" s="1"/>
  <c r="AI113" i="2"/>
  <c r="AJ445" i="2"/>
  <c r="AJ446" i="2" s="1"/>
  <c r="AJ449" i="2" s="1"/>
  <c r="AI446" i="2"/>
  <c r="AI449" i="2" s="1"/>
  <c r="L260" i="2"/>
  <c r="L277" i="2"/>
  <c r="L278" i="2" s="1"/>
  <c r="L279" i="2" s="1"/>
  <c r="S271" i="2"/>
  <c r="S277" i="2"/>
  <c r="S278" i="2" s="1"/>
  <c r="S279" i="2" s="1"/>
  <c r="M290" i="2"/>
  <c r="M296" i="2"/>
  <c r="M297" i="2" s="1"/>
  <c r="M298" i="2" s="1"/>
  <c r="N216" i="2"/>
  <c r="N290" i="2"/>
  <c r="K318" i="2"/>
  <c r="X260" i="2"/>
  <c r="X277" i="2"/>
  <c r="X278" i="2" s="1"/>
  <c r="X279" i="2" s="1"/>
  <c r="S356" i="2"/>
  <c r="AI296" i="2"/>
  <c r="AI290" i="2"/>
  <c r="L350" i="2"/>
  <c r="L347" i="2"/>
  <c r="G337" i="2"/>
  <c r="V312" i="2"/>
  <c r="V309" i="2"/>
  <c r="AB346" i="2"/>
  <c r="AB350" i="2" s="1"/>
  <c r="H346" i="2"/>
  <c r="H350" i="2" s="1"/>
  <c r="Q91" i="2"/>
  <c r="G101" i="2"/>
  <c r="G104" i="2" s="1"/>
  <c r="G190" i="2"/>
  <c r="G119" i="2"/>
  <c r="O190" i="2"/>
  <c r="O101" i="2"/>
  <c r="O104" i="2" s="1"/>
  <c r="O119" i="2"/>
  <c r="R260" i="2"/>
  <c r="R277" i="2"/>
  <c r="R278" i="2" s="1"/>
  <c r="R279" i="2" s="1"/>
  <c r="AA290" i="2"/>
  <c r="AA296" i="2"/>
  <c r="AA297" i="2" s="1"/>
  <c r="AA298" i="2" s="1"/>
  <c r="Q296" i="2"/>
  <c r="Q297" i="2" s="1"/>
  <c r="Q298" i="2" s="1"/>
  <c r="Q290" i="2"/>
  <c r="P277" i="2"/>
  <c r="P278" i="2" s="1"/>
  <c r="P279" i="2" s="1"/>
  <c r="P260" i="2"/>
  <c r="AJ101" i="2"/>
  <c r="AJ119" i="2"/>
  <c r="AJ190" i="2"/>
  <c r="J161" i="2"/>
  <c r="G27" i="2"/>
  <c r="G161" i="2"/>
  <c r="H130" i="2"/>
  <c r="P130" i="2"/>
  <c r="X130" i="2"/>
  <c r="AH286" i="2"/>
  <c r="AH287" i="2" s="1"/>
  <c r="AG139" i="2"/>
  <c r="AG142" i="2" s="1"/>
  <c r="AG215" i="2"/>
  <c r="AJ56" i="2"/>
  <c r="K101" i="2"/>
  <c r="K104" i="2" s="1"/>
  <c r="K190" i="2"/>
  <c r="K119" i="2"/>
  <c r="S77" i="2"/>
  <c r="S78" i="2" s="1"/>
  <c r="AG88" i="2"/>
  <c r="I113" i="2"/>
  <c r="T115" i="2"/>
  <c r="T118" i="2" s="1"/>
  <c r="T121" i="2" s="1"/>
  <c r="U113" i="2"/>
  <c r="N113" i="2"/>
  <c r="N115" i="2" s="1"/>
  <c r="N118" i="2" s="1"/>
  <c r="N121" i="2" s="1"/>
  <c r="X207" i="2"/>
  <c r="Q260" i="2"/>
  <c r="R290" i="2"/>
  <c r="R296" i="2"/>
  <c r="R297" i="2" s="1"/>
  <c r="R298" i="2" s="1"/>
  <c r="V290" i="2"/>
  <c r="V296" i="2"/>
  <c r="V297" i="2" s="1"/>
  <c r="V298" i="2" s="1"/>
  <c r="AI350" i="2"/>
  <c r="AI356" i="2"/>
  <c r="U216" i="2"/>
  <c r="H260" i="2"/>
  <c r="H277" i="2"/>
  <c r="H278" i="2" s="1"/>
  <c r="H279" i="2" s="1"/>
  <c r="W277" i="2"/>
  <c r="W278" i="2" s="1"/>
  <c r="W279" i="2" s="1"/>
  <c r="W260" i="2"/>
  <c r="Z347" i="2"/>
  <c r="Z356" i="2" s="1"/>
  <c r="K347" i="2"/>
  <c r="K356" i="2" s="1"/>
  <c r="N312" i="2"/>
  <c r="N309" i="2"/>
  <c r="S318" i="2"/>
  <c r="S328" i="2"/>
  <c r="S327" i="2" s="1"/>
  <c r="S331" i="2" s="1"/>
  <c r="O347" i="2"/>
  <c r="O356" i="2" s="1"/>
  <c r="X350" i="2"/>
  <c r="X347" i="2"/>
  <c r="Q121" i="2" l="1"/>
  <c r="M356" i="2"/>
  <c r="AA216" i="2"/>
  <c r="AB296" i="2"/>
  <c r="AB297" i="2" s="1"/>
  <c r="AB298" i="2" s="1"/>
  <c r="K161" i="2"/>
  <c r="Q161" i="2"/>
  <c r="AC121" i="2"/>
  <c r="AC312" i="2"/>
  <c r="AC309" i="2"/>
  <c r="AC191" i="2"/>
  <c r="V191" i="2"/>
  <c r="AC290" i="2"/>
  <c r="AC296" i="2"/>
  <c r="AC297" i="2" s="1"/>
  <c r="AC298" i="2" s="1"/>
  <c r="U318" i="2"/>
  <c r="M277" i="2"/>
  <c r="M278" i="2" s="1"/>
  <c r="M279" i="2" s="1"/>
  <c r="AB277" i="2"/>
  <c r="AB278" i="2" s="1"/>
  <c r="AB279" i="2" s="1"/>
  <c r="AC277" i="2"/>
  <c r="AC278" i="2" s="1"/>
  <c r="AC279" i="2" s="1"/>
  <c r="AC200" i="2"/>
  <c r="AC216" i="2"/>
  <c r="AC35" i="2"/>
  <c r="AC432" i="2"/>
  <c r="R27" i="2"/>
  <c r="R179" i="2" s="1"/>
  <c r="R182" i="2" s="1"/>
  <c r="I115" i="2"/>
  <c r="I118" i="2" s="1"/>
  <c r="I121" i="2" s="1"/>
  <c r="AG216" i="2"/>
  <c r="AG277" i="2"/>
  <c r="V161" i="2"/>
  <c r="V164" i="2" s="1"/>
  <c r="U115" i="2"/>
  <c r="U118" i="2" s="1"/>
  <c r="U121" i="2" s="1"/>
  <c r="AH200" i="2"/>
  <c r="I216" i="2"/>
  <c r="M318" i="2"/>
  <c r="I318" i="2"/>
  <c r="AA200" i="2"/>
  <c r="X161" i="2"/>
  <c r="X171" i="2" s="1"/>
  <c r="AB260" i="2"/>
  <c r="Y27" i="2"/>
  <c r="Y32" i="2" s="1"/>
  <c r="Y121" i="2"/>
  <c r="Z161" i="2"/>
  <c r="Z164" i="2" s="1"/>
  <c r="AB191" i="2"/>
  <c r="AJ77" i="2"/>
  <c r="AJ78" i="2" s="1"/>
  <c r="AH77" i="2"/>
  <c r="AH78" i="2" s="1"/>
  <c r="Q277" i="2"/>
  <c r="Q278" i="2" s="1"/>
  <c r="Q279" i="2" s="1"/>
  <c r="Y290" i="2"/>
  <c r="AE77" i="2"/>
  <c r="AE78" i="2" s="1"/>
  <c r="AG77" i="2"/>
  <c r="AG78" i="2" s="1"/>
  <c r="AA161" i="2"/>
  <c r="AA164" i="2" s="1"/>
  <c r="AJ296" i="2"/>
  <c r="P161" i="2"/>
  <c r="P171" i="2" s="1"/>
  <c r="AB200" i="2"/>
  <c r="F161" i="2"/>
  <c r="F171" i="2" s="1"/>
  <c r="AF356" i="2"/>
  <c r="W121" i="2"/>
  <c r="S161" i="2"/>
  <c r="S164" i="2" s="1"/>
  <c r="AJ277" i="2"/>
  <c r="AB161" i="2"/>
  <c r="AB164" i="2" s="1"/>
  <c r="AI77" i="2"/>
  <c r="AI78" i="2" s="1"/>
  <c r="AF200" i="2"/>
  <c r="H69" i="7"/>
  <c r="R121" i="2"/>
  <c r="F216" i="2"/>
  <c r="I200" i="2"/>
  <c r="O161" i="2"/>
  <c r="O164" i="2" s="1"/>
  <c r="M121" i="2"/>
  <c r="H79" i="7"/>
  <c r="H87" i="7" s="1"/>
  <c r="Y356" i="2"/>
  <c r="W27" i="2"/>
  <c r="W32" i="2" s="1"/>
  <c r="I296" i="2"/>
  <c r="I297" i="2" s="1"/>
  <c r="I298" i="2" s="1"/>
  <c r="Z191" i="2"/>
  <c r="AF77" i="2"/>
  <c r="AF78" i="2" s="1"/>
  <c r="N161" i="2"/>
  <c r="N171" i="2" s="1"/>
  <c r="L161" i="2"/>
  <c r="L164" i="2" s="1"/>
  <c r="O121" i="2"/>
  <c r="I191" i="2"/>
  <c r="U356" i="2"/>
  <c r="J328" i="2"/>
  <c r="J327" i="2" s="1"/>
  <c r="J331" i="2" s="1"/>
  <c r="H27" i="2"/>
  <c r="H32" i="2" s="1"/>
  <c r="AA121" i="2"/>
  <c r="Q200" i="2"/>
  <c r="I161" i="2"/>
  <c r="I164" i="2" s="1"/>
  <c r="M27" i="2"/>
  <c r="M32" i="2" s="1"/>
  <c r="U296" i="2"/>
  <c r="U297" i="2" s="1"/>
  <c r="U298" i="2" s="1"/>
  <c r="Y328" i="2"/>
  <c r="Y327" i="2" s="1"/>
  <c r="Y331" i="2" s="1"/>
  <c r="T27" i="2"/>
  <c r="T32" i="2" s="1"/>
  <c r="J191" i="2"/>
  <c r="H207" i="2"/>
  <c r="Y277" i="2"/>
  <c r="Y278" i="2" s="1"/>
  <c r="Y279" i="2" s="1"/>
  <c r="AI277" i="2"/>
  <c r="H58" i="4"/>
  <c r="M200" i="2"/>
  <c r="AA337" i="2"/>
  <c r="N191" i="2"/>
  <c r="Y216" i="2"/>
  <c r="Y200" i="2"/>
  <c r="M216" i="2"/>
  <c r="T356" i="2"/>
  <c r="U260" i="2"/>
  <c r="U277" i="2"/>
  <c r="U278" i="2" s="1"/>
  <c r="U279" i="2" s="1"/>
  <c r="I260" i="2"/>
  <c r="I277" i="2"/>
  <c r="I278" i="2" s="1"/>
  <c r="I279" i="2" s="1"/>
  <c r="AF290" i="2"/>
  <c r="AF296" i="2"/>
  <c r="T327" i="2"/>
  <c r="T331" i="2" s="1"/>
  <c r="J260" i="2"/>
  <c r="J277" i="2"/>
  <c r="J278" i="2" s="1"/>
  <c r="J279" i="2" s="1"/>
  <c r="H356" i="2"/>
  <c r="AB216" i="2"/>
  <c r="AB121" i="2"/>
  <c r="V260" i="2"/>
  <c r="V277" i="2"/>
  <c r="V278" i="2" s="1"/>
  <c r="V279" i="2" s="1"/>
  <c r="U161" i="2"/>
  <c r="U171" i="2" s="1"/>
  <c r="R216" i="2"/>
  <c r="R191" i="2"/>
  <c r="R200" i="2"/>
  <c r="AF191" i="2"/>
  <c r="AH260" i="2"/>
  <c r="AH277" i="2"/>
  <c r="AF260" i="2"/>
  <c r="AF277" i="2"/>
  <c r="R346" i="2"/>
  <c r="R350" i="2" s="1"/>
  <c r="G121" i="2"/>
  <c r="AI190" i="2"/>
  <c r="AJ191" i="2" s="1"/>
  <c r="AI119" i="2"/>
  <c r="AI101" i="2"/>
  <c r="U207" i="2"/>
  <c r="U200" i="2"/>
  <c r="AE277" i="2"/>
  <c r="AE260" i="2"/>
  <c r="H327" i="2"/>
  <c r="H331" i="2" s="1"/>
  <c r="H337" i="2"/>
  <c r="K121" i="2"/>
  <c r="AB337" i="2"/>
  <c r="Q350" i="2"/>
  <c r="Q356" i="2"/>
  <c r="AE200" i="2"/>
  <c r="AA32" i="2"/>
  <c r="AA179" i="2"/>
  <c r="AA182" i="2" s="1"/>
  <c r="AA248" i="2"/>
  <c r="Q32" i="2"/>
  <c r="Q248" i="2"/>
  <c r="Q179" i="2"/>
  <c r="Q182" i="2" s="1"/>
  <c r="U327" i="2"/>
  <c r="U331" i="2" s="1"/>
  <c r="AG296" i="2"/>
  <c r="AG290" i="2"/>
  <c r="J171" i="2"/>
  <c r="J164" i="2"/>
  <c r="N32" i="2"/>
  <c r="N179" i="2"/>
  <c r="N182" i="2" s="1"/>
  <c r="N248" i="2"/>
  <c r="AB356" i="2"/>
  <c r="V328" i="2"/>
  <c r="V318" i="2"/>
  <c r="W164" i="2"/>
  <c r="W171" i="2"/>
  <c r="Z318" i="2"/>
  <c r="Z328" i="2"/>
  <c r="I32" i="2"/>
  <c r="I248" i="2"/>
  <c r="I179" i="2"/>
  <c r="I182" i="2" s="1"/>
  <c r="W337" i="2"/>
  <c r="AJ216" i="2"/>
  <c r="K164" i="2"/>
  <c r="K171" i="2"/>
  <c r="AJ200" i="2"/>
  <c r="R171" i="2"/>
  <c r="R164" i="2"/>
  <c r="AH356" i="2"/>
  <c r="O179" i="2"/>
  <c r="O182" i="2" s="1"/>
  <c r="O32" i="2"/>
  <c r="O248" i="2"/>
  <c r="K32" i="2"/>
  <c r="K179" i="2"/>
  <c r="K182" i="2" s="1"/>
  <c r="K248" i="2"/>
  <c r="R328" i="2"/>
  <c r="R318" i="2"/>
  <c r="P32" i="2"/>
  <c r="P248" i="2"/>
  <c r="P179" i="2"/>
  <c r="P182" i="2" s="1"/>
  <c r="AH290" i="2"/>
  <c r="AH296" i="2"/>
  <c r="J32" i="2"/>
  <c r="J179" i="2"/>
  <c r="J182" i="2" s="1"/>
  <c r="J248" i="2"/>
  <c r="O191" i="2"/>
  <c r="O216" i="2"/>
  <c r="O200" i="2"/>
  <c r="P191" i="2"/>
  <c r="U32" i="2"/>
  <c r="U248" i="2"/>
  <c r="U179" i="2"/>
  <c r="U182" i="2" s="1"/>
  <c r="N328" i="2"/>
  <c r="N318" i="2"/>
  <c r="S32" i="2"/>
  <c r="S179" i="2"/>
  <c r="S182" i="2" s="1"/>
  <c r="S248" i="2"/>
  <c r="K191" i="2"/>
  <c r="K200" i="2"/>
  <c r="K216" i="2"/>
  <c r="L191" i="2"/>
  <c r="G164" i="2"/>
  <c r="G171" i="2"/>
  <c r="X32" i="2"/>
  <c r="X179" i="2"/>
  <c r="X182" i="2" s="1"/>
  <c r="X248" i="2"/>
  <c r="M171" i="2"/>
  <c r="M164" i="2"/>
  <c r="M327" i="2"/>
  <c r="M331" i="2" s="1"/>
  <c r="L328" i="2"/>
  <c r="L356" i="2"/>
  <c r="K328" i="2"/>
  <c r="S191" i="2"/>
  <c r="S216" i="2"/>
  <c r="T191" i="2"/>
  <c r="S200" i="2"/>
  <c r="W191" i="2"/>
  <c r="W200" i="2"/>
  <c r="W216" i="2"/>
  <c r="X191" i="2"/>
  <c r="AG191" i="2"/>
  <c r="AG200" i="2"/>
  <c r="J356" i="2"/>
  <c r="O328" i="2"/>
  <c r="H164" i="2"/>
  <c r="H171" i="2"/>
  <c r="L32" i="2"/>
  <c r="L179" i="2"/>
  <c r="L182" i="2" s="1"/>
  <c r="L248" i="2"/>
  <c r="F179" i="2"/>
  <c r="F182" i="2" s="1"/>
  <c r="F248" i="2"/>
  <c r="F32" i="2"/>
  <c r="Y171" i="2"/>
  <c r="Y164" i="2"/>
  <c r="Q327" i="2"/>
  <c r="Q331" i="2" s="1"/>
  <c r="Q171" i="2"/>
  <c r="Q164" i="2"/>
  <c r="X356" i="2"/>
  <c r="X328" i="2"/>
  <c r="S337" i="2"/>
  <c r="G32" i="2"/>
  <c r="G179" i="2"/>
  <c r="G182" i="2" s="1"/>
  <c r="G248" i="2"/>
  <c r="Z32" i="2"/>
  <c r="Z179" i="2"/>
  <c r="Z182" i="2" s="1"/>
  <c r="Z248" i="2"/>
  <c r="V32" i="2"/>
  <c r="V179" i="2"/>
  <c r="V182" i="2" s="1"/>
  <c r="V248" i="2"/>
  <c r="I327" i="2"/>
  <c r="I331" i="2" s="1"/>
  <c r="G191" i="2"/>
  <c r="H191" i="2"/>
  <c r="G200" i="2"/>
  <c r="G216" i="2"/>
  <c r="P328" i="2"/>
  <c r="P318" i="2"/>
  <c r="AH191" i="2"/>
  <c r="T171" i="2"/>
  <c r="T164" i="2"/>
  <c r="AB32" i="2"/>
  <c r="AB179" i="2"/>
  <c r="AB182" i="2" s="1"/>
  <c r="AB248" i="2"/>
  <c r="R32" i="2" l="1"/>
  <c r="V171" i="2"/>
  <c r="Y248" i="2"/>
  <c r="Y179" i="2"/>
  <c r="Y182" i="2" s="1"/>
  <c r="AC318" i="2"/>
  <c r="AC328" i="2"/>
  <c r="AC437" i="2"/>
  <c r="AC433" i="2"/>
  <c r="AA171" i="2"/>
  <c r="R248" i="2"/>
  <c r="S171" i="2"/>
  <c r="P164" i="2"/>
  <c r="Z171" i="2"/>
  <c r="X164" i="2"/>
  <c r="AB171" i="2"/>
  <c r="O171" i="2"/>
  <c r="L171" i="2"/>
  <c r="I171" i="2"/>
  <c r="M248" i="2"/>
  <c r="N164" i="2"/>
  <c r="F164" i="2"/>
  <c r="H81" i="7"/>
  <c r="H82" i="7" s="1"/>
  <c r="W179" i="2"/>
  <c r="W182" i="2" s="1"/>
  <c r="W248" i="2"/>
  <c r="M179" i="2"/>
  <c r="M182" i="2" s="1"/>
  <c r="H248" i="2"/>
  <c r="T248" i="2"/>
  <c r="H179" i="2"/>
  <c r="H182" i="2" s="1"/>
  <c r="T179" i="2"/>
  <c r="T182" i="2" s="1"/>
  <c r="T337" i="2"/>
  <c r="G25" i="4"/>
  <c r="R356" i="2"/>
  <c r="H34" i="4"/>
  <c r="J337" i="2"/>
  <c r="U164" i="2"/>
  <c r="U337" i="2"/>
  <c r="H25" i="4"/>
  <c r="M337" i="2"/>
  <c r="AI216" i="2"/>
  <c r="AI200" i="2"/>
  <c r="AI191" i="2"/>
  <c r="Q337" i="2"/>
  <c r="Z35" i="2"/>
  <c r="Z432" i="2"/>
  <c r="H35" i="2"/>
  <c r="H432" i="2"/>
  <c r="G35" i="2"/>
  <c r="G432" i="2"/>
  <c r="K327" i="2"/>
  <c r="K331" i="2" s="1"/>
  <c r="R35" i="2"/>
  <c r="R432" i="2"/>
  <c r="K35" i="2"/>
  <c r="K432" i="2"/>
  <c r="V327" i="2"/>
  <c r="V331" i="2" s="1"/>
  <c r="Q35" i="2"/>
  <c r="Q432" i="2"/>
  <c r="J35" i="2"/>
  <c r="J432" i="2"/>
  <c r="R327" i="2"/>
  <c r="R331" i="2" s="1"/>
  <c r="I35" i="2"/>
  <c r="I432" i="2"/>
  <c r="N35" i="2"/>
  <c r="N432" i="2"/>
  <c r="AA35" i="2"/>
  <c r="AA432" i="2"/>
  <c r="AB35" i="2"/>
  <c r="AB432" i="2"/>
  <c r="P327" i="2"/>
  <c r="P331" i="2" s="1"/>
  <c r="V35" i="2"/>
  <c r="V432" i="2"/>
  <c r="L35" i="2"/>
  <c r="L432" i="2"/>
  <c r="L327" i="2"/>
  <c r="L331" i="2" s="1"/>
  <c r="X35" i="2"/>
  <c r="X432" i="2"/>
  <c r="N327" i="2"/>
  <c r="N331" i="2" s="1"/>
  <c r="U35" i="2"/>
  <c r="U432" i="2"/>
  <c r="P35" i="2"/>
  <c r="P432" i="2"/>
  <c r="Z327" i="2"/>
  <c r="Z331" i="2" s="1"/>
  <c r="O327" i="2"/>
  <c r="O331" i="2" s="1"/>
  <c r="Y35" i="2"/>
  <c r="Y432" i="2"/>
  <c r="M35" i="2"/>
  <c r="M432" i="2"/>
  <c r="I337" i="2"/>
  <c r="X327" i="2"/>
  <c r="X331" i="2" s="1"/>
  <c r="F35" i="2"/>
  <c r="F432" i="2"/>
  <c r="Y337" i="2"/>
  <c r="S35" i="2"/>
  <c r="S432" i="2"/>
  <c r="T35" i="2"/>
  <c r="T432" i="2"/>
  <c r="O35" i="2"/>
  <c r="O432" i="2"/>
  <c r="W35" i="2"/>
  <c r="W432" i="2"/>
  <c r="E91" i="6"/>
  <c r="E92" i="6" s="1"/>
  <c r="AC327" i="2" l="1"/>
  <c r="AC331" i="2" s="1"/>
  <c r="L337" i="2"/>
  <c r="K337" i="2"/>
  <c r="N337" i="2"/>
  <c r="X337" i="2"/>
  <c r="S437" i="2"/>
  <c r="S433" i="2"/>
  <c r="M437" i="2"/>
  <c r="M433" i="2"/>
  <c r="F437" i="2"/>
  <c r="F433" i="2"/>
  <c r="V437" i="2"/>
  <c r="V433" i="2"/>
  <c r="AB437" i="2"/>
  <c r="AB433" i="2"/>
  <c r="I437" i="2"/>
  <c r="I433" i="2"/>
  <c r="J437" i="2"/>
  <c r="J433" i="2"/>
  <c r="Q437" i="2"/>
  <c r="Q433" i="2"/>
  <c r="K437" i="2"/>
  <c r="K433" i="2"/>
  <c r="H433" i="2"/>
  <c r="H437" i="2"/>
  <c r="O337" i="2"/>
  <c r="Z337" i="2"/>
  <c r="U437" i="2"/>
  <c r="U433" i="2"/>
  <c r="X437" i="2"/>
  <c r="X433" i="2"/>
  <c r="L437" i="2"/>
  <c r="L433" i="2"/>
  <c r="AA437" i="2"/>
  <c r="AA433" i="2"/>
  <c r="N437" i="2"/>
  <c r="N433" i="2"/>
  <c r="R437" i="2"/>
  <c r="R433" i="2"/>
  <c r="G437" i="2"/>
  <c r="G433" i="2"/>
  <c r="Z437" i="2"/>
  <c r="Z433" i="2"/>
  <c r="O437" i="2"/>
  <c r="O433" i="2"/>
  <c r="W437" i="2"/>
  <c r="W433" i="2"/>
  <c r="T437" i="2"/>
  <c r="T433" i="2"/>
  <c r="Y437" i="2"/>
  <c r="Y433" i="2"/>
  <c r="G79" i="4"/>
  <c r="P437" i="2"/>
  <c r="P433" i="2"/>
  <c r="P337" i="2"/>
  <c r="R337" i="2"/>
  <c r="V337" i="2"/>
  <c r="AC337" i="2" l="1"/>
  <c r="G69" i="4"/>
  <c r="O73" i="5"/>
  <c r="P73" i="5"/>
  <c r="Q73" i="5"/>
  <c r="R73" i="5"/>
  <c r="S73" i="5"/>
  <c r="T73" i="5"/>
  <c r="U73" i="5"/>
  <c r="V73" i="5"/>
  <c r="W73" i="5"/>
  <c r="X73" i="5"/>
  <c r="Y73" i="5"/>
  <c r="Z73" i="5"/>
  <c r="H73" i="5"/>
  <c r="I73" i="5"/>
  <c r="J73" i="5"/>
  <c r="K73" i="5"/>
  <c r="L73" i="5"/>
  <c r="M73" i="5"/>
  <c r="N73" i="5"/>
  <c r="G73" i="5"/>
  <c r="K106" i="4"/>
  <c r="F73" i="5"/>
  <c r="I182" i="4"/>
  <c r="E28" i="5"/>
  <c r="F28" i="5" s="1"/>
  <c r="D11" i="6" s="1"/>
  <c r="D12" i="6" s="1"/>
  <c r="I233" i="4"/>
  <c r="L162" i="4"/>
  <c r="L118" i="4"/>
  <c r="I116" i="4"/>
  <c r="F214" i="4" l="1"/>
  <c r="G214" i="4"/>
  <c r="H214" i="4"/>
  <c r="G28" i="5"/>
  <c r="F38" i="6"/>
  <c r="H28" i="5" l="1"/>
  <c r="G38" i="6"/>
  <c r="D66" i="6"/>
  <c r="D82" i="6"/>
  <c r="L143" i="4"/>
  <c r="H15" i="3"/>
  <c r="I15" i="3"/>
  <c r="J15" i="3"/>
  <c r="K15" i="3"/>
  <c r="L15" i="3"/>
  <c r="M15" i="3"/>
  <c r="P15" i="3"/>
  <c r="Q15" i="3"/>
  <c r="R15" i="3"/>
  <c r="S15" i="3"/>
  <c r="V15" i="3"/>
  <c r="W15" i="3"/>
  <c r="Z15" i="3"/>
  <c r="AA15" i="3"/>
  <c r="AB15" i="3"/>
  <c r="AC15" i="3"/>
  <c r="AD15" i="3"/>
  <c r="AE15" i="3"/>
  <c r="H16" i="3"/>
  <c r="I16" i="3"/>
  <c r="J16" i="3"/>
  <c r="K16" i="3"/>
  <c r="L16" i="3"/>
  <c r="M16" i="3"/>
  <c r="P16" i="3"/>
  <c r="Q16" i="3"/>
  <c r="R16" i="3"/>
  <c r="S16" i="3"/>
  <c r="V16" i="3"/>
  <c r="W16" i="3"/>
  <c r="Z16" i="3"/>
  <c r="AA16" i="3"/>
  <c r="AB16" i="3"/>
  <c r="AC16" i="3"/>
  <c r="AD16" i="3"/>
  <c r="AE16" i="3"/>
  <c r="H17" i="3"/>
  <c r="I17" i="3"/>
  <c r="J17" i="3"/>
  <c r="K17" i="3"/>
  <c r="L17" i="3"/>
  <c r="M17" i="3"/>
  <c r="P17" i="3"/>
  <c r="Q17" i="3"/>
  <c r="R17" i="3"/>
  <c r="S17" i="3"/>
  <c r="V17" i="3"/>
  <c r="W17" i="3"/>
  <c r="Z17" i="3"/>
  <c r="AA17" i="3"/>
  <c r="AB17" i="3"/>
  <c r="AC17" i="3"/>
  <c r="AD17" i="3"/>
  <c r="AE17" i="3"/>
  <c r="H18" i="3"/>
  <c r="I18" i="3"/>
  <c r="J18" i="3"/>
  <c r="K18" i="3"/>
  <c r="L18" i="3"/>
  <c r="M18" i="3"/>
  <c r="P18" i="3"/>
  <c r="Q18" i="3"/>
  <c r="R18" i="3"/>
  <c r="S18" i="3"/>
  <c r="V18" i="3"/>
  <c r="W18" i="3"/>
  <c r="Z18" i="3"/>
  <c r="AA18" i="3"/>
  <c r="AB18" i="3"/>
  <c r="AC18" i="3"/>
  <c r="AD18" i="3"/>
  <c r="AE18" i="3"/>
  <c r="E15" i="3"/>
  <c r="F15" i="3"/>
  <c r="E16" i="3"/>
  <c r="F16" i="3"/>
  <c r="E17" i="3"/>
  <c r="F17" i="3"/>
  <c r="E18" i="3"/>
  <c r="F18" i="3"/>
  <c r="D18" i="3"/>
  <c r="D17" i="3"/>
  <c r="D16" i="3"/>
  <c r="D15" i="3"/>
  <c r="AX5" i="3"/>
  <c r="AY5" i="3"/>
  <c r="AX6" i="3"/>
  <c r="AY6" i="3"/>
  <c r="AX7" i="3"/>
  <c r="AY7" i="3"/>
  <c r="AX8" i="3"/>
  <c r="AY8" i="3"/>
  <c r="AX9" i="3"/>
  <c r="AY9" i="3"/>
  <c r="AX10" i="3"/>
  <c r="AY10" i="3"/>
  <c r="AX11" i="3"/>
  <c r="AY11" i="3"/>
  <c r="AY4" i="3"/>
  <c r="AX4" i="3"/>
  <c r="AV5" i="3"/>
  <c r="AV6" i="3"/>
  <c r="AW6" i="3"/>
  <c r="AV7" i="3"/>
  <c r="AV8" i="3"/>
  <c r="AV9" i="3"/>
  <c r="AV10" i="3"/>
  <c r="AV11" i="3"/>
  <c r="AN5" i="3"/>
  <c r="AO5" i="3"/>
  <c r="AN9" i="3"/>
  <c r="AO9" i="3"/>
  <c r="AO10" i="3"/>
  <c r="AV4" i="3"/>
  <c r="AT5" i="3"/>
  <c r="AU5" i="3"/>
  <c r="AT6" i="3"/>
  <c r="AU6" i="3"/>
  <c r="AT7" i="3"/>
  <c r="AU7" i="3"/>
  <c r="AT8" i="3"/>
  <c r="AU8" i="3"/>
  <c r="AT9" i="3"/>
  <c r="AU9" i="3"/>
  <c r="AT10" i="3"/>
  <c r="AU10" i="3"/>
  <c r="AT11" i="3"/>
  <c r="AU11" i="3"/>
  <c r="AU4" i="3"/>
  <c r="AT4" i="3"/>
  <c r="AR5" i="3"/>
  <c r="AS5" i="3"/>
  <c r="AR9" i="3"/>
  <c r="AS9" i="3"/>
  <c r="AP5" i="3"/>
  <c r="AQ5" i="3"/>
  <c r="AP9" i="3"/>
  <c r="AQ9" i="3"/>
  <c r="AH5" i="3"/>
  <c r="AH6" i="3"/>
  <c r="AI6" i="3"/>
  <c r="AH7" i="3"/>
  <c r="AI7" i="3"/>
  <c r="AH8" i="3"/>
  <c r="AI8" i="3"/>
  <c r="AH9" i="3"/>
  <c r="AI9" i="3"/>
  <c r="AH10" i="3"/>
  <c r="AI10" i="3"/>
  <c r="AH11" i="3"/>
  <c r="AI11" i="3"/>
  <c r="AI4" i="3"/>
  <c r="AH4" i="3"/>
  <c r="Y11" i="3"/>
  <c r="AQ11" i="3" s="1"/>
  <c r="U11" i="3"/>
  <c r="U17" i="3" s="1"/>
  <c r="X11" i="3"/>
  <c r="AP11" i="3" s="1"/>
  <c r="T11" i="3"/>
  <c r="T15" i="3" s="1"/>
  <c r="Y10" i="3"/>
  <c r="AS10" i="3" s="1"/>
  <c r="X10" i="3"/>
  <c r="AP10" i="3" s="1"/>
  <c r="O9" i="3"/>
  <c r="AM9" i="3" s="1"/>
  <c r="Y8" i="3"/>
  <c r="AS8" i="3" s="1"/>
  <c r="X8" i="3"/>
  <c r="AP8" i="3" s="1"/>
  <c r="Y7" i="3"/>
  <c r="AQ7" i="3" s="1"/>
  <c r="X7" i="3"/>
  <c r="AR7" i="3" s="1"/>
  <c r="Y6" i="3"/>
  <c r="AS6" i="3" s="1"/>
  <c r="X6" i="3"/>
  <c r="AP6" i="3" s="1"/>
  <c r="G5" i="3"/>
  <c r="AI5" i="3" s="1"/>
  <c r="N6" i="3"/>
  <c r="AL6" i="3" s="1"/>
  <c r="O6" i="3"/>
  <c r="AG6" i="3" s="1"/>
  <c r="N7" i="3"/>
  <c r="AF7" i="3" s="1"/>
  <c r="O7" i="3"/>
  <c r="AM7" i="3" s="1"/>
  <c r="N8" i="3"/>
  <c r="AL8" i="3" s="1"/>
  <c r="O8" i="3"/>
  <c r="AG8" i="3" s="1"/>
  <c r="N9" i="3"/>
  <c r="AF9" i="3" s="1"/>
  <c r="N10" i="3"/>
  <c r="AL10" i="3" s="1"/>
  <c r="O10" i="3"/>
  <c r="AG10" i="3" s="1"/>
  <c r="N11" i="3"/>
  <c r="AL11" i="3" s="1"/>
  <c r="O11" i="3"/>
  <c r="AM11" i="3" s="1"/>
  <c r="N5" i="3"/>
  <c r="AL5" i="3" s="1"/>
  <c r="Y4" i="3"/>
  <c r="AQ4" i="3" s="1"/>
  <c r="O4" i="3"/>
  <c r="AM4" i="3" s="1"/>
  <c r="N4" i="3"/>
  <c r="AW4" i="3" s="1"/>
  <c r="X4" i="3"/>
  <c r="AP4" i="3" s="1"/>
  <c r="F13" i="3"/>
  <c r="N13" i="3" s="1"/>
  <c r="G13" i="3"/>
  <c r="O13" i="3" s="1"/>
  <c r="E34" i="5"/>
  <c r="L103" i="4"/>
  <c r="E36" i="5"/>
  <c r="L109" i="4"/>
  <c r="E37" i="5"/>
  <c r="L122" i="4"/>
  <c r="L128" i="4"/>
  <c r="L134" i="4"/>
  <c r="E40" i="5"/>
  <c r="E41" i="5"/>
  <c r="E42" i="5"/>
  <c r="E43" i="5"/>
  <c r="E44" i="5"/>
  <c r="L183" i="4"/>
  <c r="L177" i="4"/>
  <c r="E50" i="5"/>
  <c r="L191" i="4"/>
  <c r="E52" i="5"/>
  <c r="L209" i="4"/>
  <c r="L222" i="4"/>
  <c r="E58" i="5"/>
  <c r="L228" i="4"/>
  <c r="E59" i="5"/>
  <c r="L234" i="4"/>
  <c r="E60" i="5"/>
  <c r="L240" i="4"/>
  <c r="E61" i="5"/>
  <c r="E23" i="5"/>
  <c r="E19" i="5"/>
  <c r="F3" i="2"/>
  <c r="F4" i="2" s="1"/>
  <c r="F5" i="2" s="1"/>
  <c r="I28" i="5" l="1"/>
  <c r="H38" i="6"/>
  <c r="AH17" i="3"/>
  <c r="AF10" i="3"/>
  <c r="AW7" i="3"/>
  <c r="AT17" i="3"/>
  <c r="AY15" i="3"/>
  <c r="AY18" i="3"/>
  <c r="U16" i="3"/>
  <c r="O5" i="3"/>
  <c r="AM5" i="3" s="1"/>
  <c r="AU17" i="3"/>
  <c r="AN10" i="3"/>
  <c r="T16" i="3"/>
  <c r="AX15" i="3"/>
  <c r="AF5" i="3"/>
  <c r="AT16" i="3"/>
  <c r="AW5" i="3"/>
  <c r="AY17" i="3"/>
  <c r="T17" i="3"/>
  <c r="AH16" i="3"/>
  <c r="AU16" i="3"/>
  <c r="AI16" i="3"/>
  <c r="AX17" i="3"/>
  <c r="AI17" i="3"/>
  <c r="AH15" i="3"/>
  <c r="AW10" i="3"/>
  <c r="AY16" i="3"/>
  <c r="AV16" i="3"/>
  <c r="N17" i="3"/>
  <c r="AO4" i="3"/>
  <c r="G18" i="3"/>
  <c r="AN11" i="3"/>
  <c r="AW8" i="3"/>
  <c r="E15" i="5"/>
  <c r="E49" i="5"/>
  <c r="L185" i="4"/>
  <c r="AN6" i="3"/>
  <c r="Y17" i="3"/>
  <c r="E14" i="5"/>
  <c r="E20" i="5"/>
  <c r="AS11" i="3"/>
  <c r="AO11" i="3"/>
  <c r="G15" i="3"/>
  <c r="AV17" i="3"/>
  <c r="X17" i="3"/>
  <c r="AW11" i="3"/>
  <c r="Y18" i="3"/>
  <c r="Y15" i="3"/>
  <c r="E8" i="5"/>
  <c r="E17" i="5"/>
  <c r="G17" i="3"/>
  <c r="AV18" i="3"/>
  <c r="X18" i="3"/>
  <c r="AV15" i="3"/>
  <c r="X15" i="3"/>
  <c r="E38" i="5"/>
  <c r="AU18" i="3"/>
  <c r="AI18" i="3"/>
  <c r="AU15" i="3"/>
  <c r="AI15" i="3"/>
  <c r="L203" i="4"/>
  <c r="E21" i="5"/>
  <c r="AX18" i="3"/>
  <c r="N18" i="3"/>
  <c r="AO8" i="3"/>
  <c r="AT18" i="3"/>
  <c r="AH18" i="3"/>
  <c r="AX16" i="3"/>
  <c r="N16" i="3"/>
  <c r="AT15" i="3"/>
  <c r="E9" i="5"/>
  <c r="E48" i="5"/>
  <c r="E39" i="5"/>
  <c r="E35" i="5"/>
  <c r="AJ5" i="3"/>
  <c r="AN8" i="3"/>
  <c r="AW9" i="3"/>
  <c r="G16" i="3"/>
  <c r="U18" i="3"/>
  <c r="Y16" i="3"/>
  <c r="U15" i="3"/>
  <c r="E11" i="5"/>
  <c r="E18" i="5"/>
  <c r="E25" i="5"/>
  <c r="AO7" i="3"/>
  <c r="T18" i="3"/>
  <c r="X16" i="3"/>
  <c r="N15" i="3"/>
  <c r="E57" i="5"/>
  <c r="E62" i="5" s="1"/>
  <c r="AN7" i="3"/>
  <c r="E12" i="5"/>
  <c r="AN4" i="3"/>
  <c r="AO6" i="3"/>
  <c r="L215" i="4"/>
  <c r="L160" i="4"/>
  <c r="L151" i="4"/>
  <c r="L135" i="4"/>
  <c r="L136" i="4" s="1"/>
  <c r="L123" i="4"/>
  <c r="L124" i="4" s="1"/>
  <c r="L91" i="4"/>
  <c r="L117" i="4"/>
  <c r="L89" i="4"/>
  <c r="L169" i="4"/>
  <c r="L99" i="4"/>
  <c r="AJ4" i="3"/>
  <c r="AF8" i="3"/>
  <c r="AL4" i="3"/>
  <c r="AP7" i="3"/>
  <c r="AP17" i="3" s="1"/>
  <c r="AR8" i="3"/>
  <c r="AG4" i="3"/>
  <c r="AG7" i="3"/>
  <c r="AJ9" i="3"/>
  <c r="AL9" i="3"/>
  <c r="AQ10" i="3"/>
  <c r="AR10" i="3"/>
  <c r="AS7" i="3"/>
  <c r="AR11" i="3"/>
  <c r="AG11" i="3"/>
  <c r="AF6" i="3"/>
  <c r="AJ7" i="3"/>
  <c r="AL7" i="3"/>
  <c r="AR6" i="3"/>
  <c r="AG9" i="3"/>
  <c r="AK10" i="3"/>
  <c r="AK8" i="3"/>
  <c r="AK6" i="3"/>
  <c r="AM10" i="3"/>
  <c r="AM8" i="3"/>
  <c r="AM6" i="3"/>
  <c r="AQ8" i="3"/>
  <c r="AQ6" i="3"/>
  <c r="AR4" i="3"/>
  <c r="AF11" i="3"/>
  <c r="AJ10" i="3"/>
  <c r="AJ8" i="3"/>
  <c r="AJ6" i="3"/>
  <c r="AS4" i="3"/>
  <c r="AK4" i="3"/>
  <c r="AJ11" i="3"/>
  <c r="AF4" i="3"/>
  <c r="AK11" i="3"/>
  <c r="AK9" i="3"/>
  <c r="AK7" i="3"/>
  <c r="AE3" i="2"/>
  <c r="AE4" i="2" s="1"/>
  <c r="G3" i="2"/>
  <c r="G4" i="2" s="1"/>
  <c r="G5" i="2" s="1"/>
  <c r="F2" i="2"/>
  <c r="R109" i="1"/>
  <c r="R116" i="1"/>
  <c r="V116" i="1"/>
  <c r="H92" i="7" s="1"/>
  <c r="R127" i="1"/>
  <c r="V127" i="1"/>
  <c r="S122" i="1"/>
  <c r="T122" i="1"/>
  <c r="U122" i="1"/>
  <c r="V122" i="1"/>
  <c r="H93" i="7" s="1"/>
  <c r="S116" i="1"/>
  <c r="T116" i="1"/>
  <c r="U116" i="1"/>
  <c r="W116" i="1"/>
  <c r="S127" i="1"/>
  <c r="T127" i="1"/>
  <c r="U127" i="1"/>
  <c r="S109" i="1"/>
  <c r="T109" i="1"/>
  <c r="U109" i="1"/>
  <c r="S71" i="1"/>
  <c r="T71" i="1"/>
  <c r="U71" i="1"/>
  <c r="V71" i="1"/>
  <c r="S61" i="1"/>
  <c r="T61" i="1"/>
  <c r="U61" i="1"/>
  <c r="V61" i="1"/>
  <c r="S51" i="1"/>
  <c r="T51" i="1"/>
  <c r="U51" i="1"/>
  <c r="V51" i="1"/>
  <c r="V6" i="1"/>
  <c r="V11" i="1" s="1"/>
  <c r="V20" i="1" s="1"/>
  <c r="V25" i="1" s="1"/>
  <c r="V29" i="1" s="1"/>
  <c r="O122" i="1"/>
  <c r="P122" i="1"/>
  <c r="Q122" i="1"/>
  <c r="R122" i="1"/>
  <c r="N122" i="1"/>
  <c r="M127" i="1"/>
  <c r="N127" i="1"/>
  <c r="O127" i="1"/>
  <c r="P127" i="1"/>
  <c r="Q127" i="1"/>
  <c r="M116" i="1"/>
  <c r="N116" i="1"/>
  <c r="O116" i="1"/>
  <c r="P116" i="1"/>
  <c r="Q116" i="1"/>
  <c r="M109" i="1"/>
  <c r="N109" i="1"/>
  <c r="O109" i="1"/>
  <c r="P109" i="1"/>
  <c r="Q109" i="1"/>
  <c r="M71" i="1"/>
  <c r="N71" i="1"/>
  <c r="O71" i="1"/>
  <c r="P71" i="1"/>
  <c r="Q71" i="1"/>
  <c r="R71" i="1"/>
  <c r="O61" i="1"/>
  <c r="P61" i="1"/>
  <c r="Q61" i="1"/>
  <c r="R61" i="1"/>
  <c r="M61" i="1"/>
  <c r="N61" i="1"/>
  <c r="N51" i="1"/>
  <c r="M51" i="1"/>
  <c r="O51" i="1"/>
  <c r="P51" i="1"/>
  <c r="Q51" i="1"/>
  <c r="R51" i="1"/>
  <c r="N6" i="1"/>
  <c r="N11" i="1" s="1"/>
  <c r="N20" i="1" s="1"/>
  <c r="N25" i="1" s="1"/>
  <c r="N29" i="1" s="1"/>
  <c r="O6" i="1"/>
  <c r="O11" i="1" s="1"/>
  <c r="O20" i="1" s="1"/>
  <c r="P6" i="1"/>
  <c r="P11" i="1" s="1"/>
  <c r="P20" i="1" s="1"/>
  <c r="Q6" i="1"/>
  <c r="Q11" i="1" s="1"/>
  <c r="Q20" i="1" s="1"/>
  <c r="R6" i="1"/>
  <c r="R11" i="1" s="1"/>
  <c r="J127" i="1"/>
  <c r="D127" i="1"/>
  <c r="E127" i="1"/>
  <c r="F127" i="1"/>
  <c r="G127" i="1"/>
  <c r="H127" i="1"/>
  <c r="I127" i="1"/>
  <c r="H122" i="1"/>
  <c r="I122" i="1"/>
  <c r="J122" i="1"/>
  <c r="F122" i="1"/>
  <c r="J116" i="1"/>
  <c r="H116" i="1"/>
  <c r="I116" i="1"/>
  <c r="F116" i="1"/>
  <c r="I109" i="1"/>
  <c r="J109" i="1"/>
  <c r="F109" i="1"/>
  <c r="E71" i="1"/>
  <c r="F71" i="1"/>
  <c r="G71" i="1"/>
  <c r="H71" i="1"/>
  <c r="I71" i="1"/>
  <c r="J71" i="1"/>
  <c r="J61" i="1"/>
  <c r="E61" i="1"/>
  <c r="F61" i="1"/>
  <c r="G61" i="1"/>
  <c r="H61" i="1"/>
  <c r="I61" i="1"/>
  <c r="E51" i="1"/>
  <c r="F51" i="1"/>
  <c r="G51" i="1"/>
  <c r="H51" i="1"/>
  <c r="I51" i="1"/>
  <c r="J51" i="1"/>
  <c r="G6" i="1"/>
  <c r="H6" i="1"/>
  <c r="I6" i="1"/>
  <c r="J6" i="1"/>
  <c r="J11" i="1" s="1"/>
  <c r="E6" i="1"/>
  <c r="F6" i="1"/>
  <c r="Y122" i="1"/>
  <c r="Y116" i="1"/>
  <c r="X122" i="1"/>
  <c r="X116" i="1"/>
  <c r="W109" i="1"/>
  <c r="X109" i="1"/>
  <c r="Y109" i="1"/>
  <c r="W127" i="1"/>
  <c r="X127" i="1"/>
  <c r="Y127" i="1"/>
  <c r="W122" i="1"/>
  <c r="W71" i="1"/>
  <c r="X71" i="1"/>
  <c r="Y71" i="1"/>
  <c r="W61" i="1"/>
  <c r="X61" i="1"/>
  <c r="Y61" i="1"/>
  <c r="W51" i="1"/>
  <c r="X51" i="1"/>
  <c r="Y51" i="1"/>
  <c r="S6" i="1"/>
  <c r="T6" i="1"/>
  <c r="U6" i="1"/>
  <c r="W6" i="1"/>
  <c r="X6" i="1"/>
  <c r="Y6" i="1"/>
  <c r="Y11" i="1" s="1"/>
  <c r="K127" i="1"/>
  <c r="L127" i="1"/>
  <c r="K122" i="1"/>
  <c r="L122" i="1"/>
  <c r="M122" i="1"/>
  <c r="L116" i="1"/>
  <c r="K109" i="1"/>
  <c r="L109" i="1"/>
  <c r="E101" i="1"/>
  <c r="K71" i="1"/>
  <c r="L71" i="1"/>
  <c r="K61" i="1"/>
  <c r="L61" i="1"/>
  <c r="K51" i="1"/>
  <c r="L51" i="1"/>
  <c r="L6" i="1"/>
  <c r="L11" i="1" s="1"/>
  <c r="L20" i="1" s="1"/>
  <c r="L25" i="1" s="1"/>
  <c r="M6" i="1"/>
  <c r="M11" i="1" s="1"/>
  <c r="M20" i="1" s="1"/>
  <c r="M25" i="1" s="1"/>
  <c r="K6" i="1"/>
  <c r="K11" i="1" s="1"/>
  <c r="K20" i="1" s="1"/>
  <c r="K25" i="1" s="1"/>
  <c r="H109" i="1"/>
  <c r="G109" i="1"/>
  <c r="G122" i="1"/>
  <c r="K116" i="1"/>
  <c r="G116" i="1"/>
  <c r="E116" i="1"/>
  <c r="E89" i="1"/>
  <c r="D116" i="1"/>
  <c r="D101" i="1"/>
  <c r="D71" i="1"/>
  <c r="D89" i="1"/>
  <c r="D61" i="1"/>
  <c r="C61" i="1"/>
  <c r="D51" i="1"/>
  <c r="C51" i="1"/>
  <c r="D6" i="1"/>
  <c r="D11" i="1" s="1"/>
  <c r="C116" i="1"/>
  <c r="C101" i="1"/>
  <c r="C89" i="1"/>
  <c r="C71" i="1"/>
  <c r="C6" i="1"/>
  <c r="V73" i="1" l="1"/>
  <c r="H94" i="7"/>
  <c r="H97" i="7" s="1"/>
  <c r="I96" i="7" s="1"/>
  <c r="J28" i="5"/>
  <c r="I38" i="6"/>
  <c r="O15" i="3"/>
  <c r="M73" i="1"/>
  <c r="AG5" i="3"/>
  <c r="AG18" i="3" s="1"/>
  <c r="O16" i="3"/>
  <c r="AO17" i="3"/>
  <c r="AK5" i="3"/>
  <c r="AK15" i="3" s="1"/>
  <c r="O17" i="3"/>
  <c r="AM16" i="3"/>
  <c r="O18" i="3"/>
  <c r="E22" i="5"/>
  <c r="AO18" i="3"/>
  <c r="AW16" i="3"/>
  <c r="AQ16" i="3"/>
  <c r="AP18" i="3"/>
  <c r="AR15" i="3"/>
  <c r="AR18" i="3"/>
  <c r="AR17" i="3"/>
  <c r="AR16" i="3"/>
  <c r="AW15" i="3"/>
  <c r="L184" i="4"/>
  <c r="AN17" i="3"/>
  <c r="AN16" i="3"/>
  <c r="AN15" i="3"/>
  <c r="AN18" i="3"/>
  <c r="AO16" i="3"/>
  <c r="AL17" i="3"/>
  <c r="AL16" i="3"/>
  <c r="AL18" i="3"/>
  <c r="AL15" i="3"/>
  <c r="L241" i="4"/>
  <c r="L242" i="4" s="1"/>
  <c r="D73" i="1"/>
  <c r="AM18" i="3"/>
  <c r="AM15" i="3"/>
  <c r="L223" i="4"/>
  <c r="L224" i="4" s="1"/>
  <c r="AW18" i="3"/>
  <c r="AJ16" i="3"/>
  <c r="AJ15" i="3"/>
  <c r="AJ18" i="3"/>
  <c r="AJ17" i="3"/>
  <c r="AF15" i="3"/>
  <c r="AF18" i="3"/>
  <c r="AF17" i="3"/>
  <c r="AF16" i="3"/>
  <c r="L210" i="4"/>
  <c r="L211" i="4" s="1"/>
  <c r="E111" i="5"/>
  <c r="F110" i="5" s="1"/>
  <c r="E45" i="5"/>
  <c r="AQ15" i="3"/>
  <c r="L94" i="4"/>
  <c r="L92" i="4" s="1"/>
  <c r="AM17" i="3"/>
  <c r="AP16" i="3"/>
  <c r="AO15" i="3"/>
  <c r="L229" i="4"/>
  <c r="L230" i="4" s="1"/>
  <c r="E13" i="5"/>
  <c r="AQ17" i="3"/>
  <c r="AP15" i="3"/>
  <c r="AS15" i="3"/>
  <c r="AS18" i="3"/>
  <c r="AS17" i="3"/>
  <c r="AS16" i="3"/>
  <c r="L235" i="4"/>
  <c r="L236" i="4" s="1"/>
  <c r="AQ18" i="3"/>
  <c r="E10" i="5"/>
  <c r="AW17" i="3"/>
  <c r="E53" i="5"/>
  <c r="E63" i="5" s="1"/>
  <c r="L192" i="4"/>
  <c r="L193" i="4" s="1"/>
  <c r="L110" i="4"/>
  <c r="L111" i="4" s="1"/>
  <c r="L104" i="4"/>
  <c r="L129" i="4"/>
  <c r="L130" i="4" s="1"/>
  <c r="L142" i="4"/>
  <c r="L178" i="4"/>
  <c r="L179" i="4" s="1"/>
  <c r="AD13" i="3"/>
  <c r="AL13" i="3" s="1"/>
  <c r="AE13" i="3"/>
  <c r="AM13" i="3" s="1"/>
  <c r="AB13" i="3"/>
  <c r="P13" i="3"/>
  <c r="X13" i="3"/>
  <c r="AJ13" i="3" s="1"/>
  <c r="R13" i="3"/>
  <c r="Y13" i="3"/>
  <c r="V13" i="3"/>
  <c r="T13" i="3"/>
  <c r="Q13" i="3"/>
  <c r="U13" i="3"/>
  <c r="S13" i="3"/>
  <c r="AE2" i="2"/>
  <c r="AE5" i="2"/>
  <c r="AF3" i="2"/>
  <c r="AF4" i="2" s="1"/>
  <c r="H3" i="2"/>
  <c r="H4" i="2" s="1"/>
  <c r="H5" i="2" s="1"/>
  <c r="G2" i="2"/>
  <c r="R20" i="1"/>
  <c r="R25" i="1" s="1"/>
  <c r="R29" i="1" s="1"/>
  <c r="Q73" i="1"/>
  <c r="P73" i="1"/>
  <c r="O73" i="1"/>
  <c r="N73" i="1"/>
  <c r="U73" i="1"/>
  <c r="T73" i="1"/>
  <c r="S73" i="1"/>
  <c r="R73" i="1"/>
  <c r="C11" i="1"/>
  <c r="C20" i="1" s="1"/>
  <c r="C25" i="1" s="1"/>
  <c r="C29" i="1" s="1"/>
  <c r="M29" i="1"/>
  <c r="L29" i="1"/>
  <c r="X11" i="1"/>
  <c r="X20" i="1" s="1"/>
  <c r="X25" i="1" s="1"/>
  <c r="X29" i="1" s="1"/>
  <c r="W11" i="1"/>
  <c r="W20" i="1" s="1"/>
  <c r="W25" i="1" s="1"/>
  <c r="W29" i="1" s="1"/>
  <c r="U11" i="1"/>
  <c r="T11" i="1"/>
  <c r="S11" i="1"/>
  <c r="Q25" i="1"/>
  <c r="Q29" i="1" s="1"/>
  <c r="F11" i="1"/>
  <c r="F20" i="1" s="1"/>
  <c r="F25" i="1" s="1"/>
  <c r="F29" i="1" s="1"/>
  <c r="E11" i="1"/>
  <c r="E20" i="1" s="1"/>
  <c r="E25" i="1" s="1"/>
  <c r="E29" i="1" s="1"/>
  <c r="J20" i="1"/>
  <c r="I11" i="1"/>
  <c r="I20" i="1" s="1"/>
  <c r="I25" i="1" s="1"/>
  <c r="I29" i="1" s="1"/>
  <c r="H11" i="1"/>
  <c r="H20" i="1" s="1"/>
  <c r="H25" i="1" s="1"/>
  <c r="H29" i="1" s="1"/>
  <c r="G11" i="1"/>
  <c r="G20" i="1" s="1"/>
  <c r="G25" i="1" s="1"/>
  <c r="G29" i="1" s="1"/>
  <c r="E109" i="1"/>
  <c r="J73" i="1"/>
  <c r="I73" i="1"/>
  <c r="H73" i="1"/>
  <c r="G73" i="1"/>
  <c r="F73" i="1"/>
  <c r="D20" i="1"/>
  <c r="D25" i="1" s="1"/>
  <c r="D29" i="1" s="1"/>
  <c r="K29" i="1"/>
  <c r="Y20" i="1"/>
  <c r="Y25" i="1" s="1"/>
  <c r="Y29" i="1" s="1"/>
  <c r="Y73" i="1"/>
  <c r="X73" i="1"/>
  <c r="W73" i="1"/>
  <c r="L73" i="1"/>
  <c r="K73" i="1"/>
  <c r="D109" i="1"/>
  <c r="E73" i="1"/>
  <c r="C73" i="1"/>
  <c r="C109" i="1"/>
  <c r="C124" i="1" s="1"/>
  <c r="C127" i="1" s="1"/>
  <c r="K28" i="5" l="1"/>
  <c r="J38" i="6"/>
  <c r="AG17" i="3"/>
  <c r="AG15" i="3"/>
  <c r="C31" i="3"/>
  <c r="D33" i="6"/>
  <c r="AG16" i="3"/>
  <c r="F58" i="4"/>
  <c r="AK16" i="3"/>
  <c r="AK17" i="3"/>
  <c r="AK18" i="3"/>
  <c r="E64" i="5"/>
  <c r="F82" i="5"/>
  <c r="E16" i="5"/>
  <c r="E24" i="5" s="1"/>
  <c r="E26" i="5" s="1"/>
  <c r="E29" i="5" s="1"/>
  <c r="L105" i="4"/>
  <c r="L90" i="4"/>
  <c r="C30" i="3"/>
  <c r="G58" i="4"/>
  <c r="L144" i="4"/>
  <c r="L145" i="4" s="1"/>
  <c r="L170" i="4"/>
  <c r="L171" i="4" s="1"/>
  <c r="L161" i="4"/>
  <c r="L163" i="4" s="1"/>
  <c r="L85" i="4"/>
  <c r="AW13" i="3"/>
  <c r="AQ13" i="3"/>
  <c r="F190" i="4"/>
  <c r="H127" i="4"/>
  <c r="AO13" i="3"/>
  <c r="AR13" i="3"/>
  <c r="AN13" i="3"/>
  <c r="AP13" i="3"/>
  <c r="AS13" i="3"/>
  <c r="W13" i="3"/>
  <c r="C36" i="3"/>
  <c r="AK13" i="3"/>
  <c r="AC13" i="3"/>
  <c r="AF2" i="2"/>
  <c r="AF5" i="2"/>
  <c r="AG3" i="2"/>
  <c r="AG4" i="2" s="1"/>
  <c r="I3" i="2"/>
  <c r="I4" i="2" s="1"/>
  <c r="I5" i="2" s="1"/>
  <c r="H2" i="2"/>
  <c r="S20" i="1"/>
  <c r="S25" i="1" s="1"/>
  <c r="S29" i="1" s="1"/>
  <c r="T20" i="1"/>
  <c r="T25" i="1" s="1"/>
  <c r="T29" i="1" s="1"/>
  <c r="U20" i="1"/>
  <c r="U25" i="1" s="1"/>
  <c r="U29" i="1" s="1"/>
  <c r="J25" i="1"/>
  <c r="J29" i="1" s="1"/>
  <c r="O25" i="1"/>
  <c r="O29" i="1" s="1"/>
  <c r="P25" i="1"/>
  <c r="P29" i="1" s="1"/>
  <c r="L28" i="5" l="1"/>
  <c r="K38" i="6"/>
  <c r="C32" i="3"/>
  <c r="C33" i="3" s="1"/>
  <c r="C25" i="3"/>
  <c r="D31" i="6"/>
  <c r="D32" i="6"/>
  <c r="C37" i="3"/>
  <c r="C38" i="3" s="1"/>
  <c r="C39" i="3" s="1"/>
  <c r="L106" i="4"/>
  <c r="F25" i="4"/>
  <c r="H15" i="4"/>
  <c r="N234" i="4"/>
  <c r="F15" i="4"/>
  <c r="F239" i="4"/>
  <c r="H239" i="4"/>
  <c r="G239" i="4"/>
  <c r="G15" i="4"/>
  <c r="I15" i="4" s="1"/>
  <c r="F103" i="4"/>
  <c r="F103" i="5"/>
  <c r="H208" i="4"/>
  <c r="G208" i="4"/>
  <c r="I208" i="4" s="1"/>
  <c r="F208" i="4"/>
  <c r="F168" i="4"/>
  <c r="L199" i="4"/>
  <c r="I58" i="4"/>
  <c r="F221" i="4"/>
  <c r="G221" i="4"/>
  <c r="I221" i="4" s="1"/>
  <c r="H221" i="4"/>
  <c r="F227" i="4"/>
  <c r="G227" i="4"/>
  <c r="I227" i="4" s="1"/>
  <c r="H227" i="4"/>
  <c r="H49" i="4"/>
  <c r="G89" i="4"/>
  <c r="H89" i="4"/>
  <c r="G127" i="4"/>
  <c r="F127" i="4"/>
  <c r="H190" i="4"/>
  <c r="G190" i="4"/>
  <c r="F108" i="4"/>
  <c r="G108" i="4"/>
  <c r="H108" i="4"/>
  <c r="L153" i="4"/>
  <c r="F49" i="4"/>
  <c r="G133" i="4"/>
  <c r="H133" i="4"/>
  <c r="F133" i="4"/>
  <c r="H102" i="4"/>
  <c r="G49" i="4"/>
  <c r="F89" i="4"/>
  <c r="F176" i="4"/>
  <c r="G176" i="4"/>
  <c r="H176" i="4"/>
  <c r="AG5" i="2"/>
  <c r="AG2" i="2"/>
  <c r="AH3" i="2"/>
  <c r="AH4" i="2" s="1"/>
  <c r="I2" i="2"/>
  <c r="J3" i="2"/>
  <c r="J4" i="2" s="1"/>
  <c r="J5" i="2" s="1"/>
  <c r="M28" i="5" l="1"/>
  <c r="L38" i="6"/>
  <c r="N183" i="4"/>
  <c r="N184" i="4" s="1"/>
  <c r="G82" i="5" s="1"/>
  <c r="H168" i="4"/>
  <c r="F34" i="4"/>
  <c r="G98" i="4"/>
  <c r="I127" i="4"/>
  <c r="N128" i="4" s="1"/>
  <c r="N129" i="4" s="1"/>
  <c r="F100" i="4"/>
  <c r="F100" i="5"/>
  <c r="F101" i="5"/>
  <c r="F101" i="4"/>
  <c r="L200" i="4"/>
  <c r="L201" i="4" s="1"/>
  <c r="I190" i="4"/>
  <c r="N191" i="4" s="1"/>
  <c r="N192" i="4" s="1"/>
  <c r="I239" i="4"/>
  <c r="H98" i="4"/>
  <c r="F102" i="5"/>
  <c r="I102" i="4"/>
  <c r="G168" i="4"/>
  <c r="I168" i="4" s="1"/>
  <c r="N235" i="4"/>
  <c r="G103" i="5" s="1"/>
  <c r="I89" i="4"/>
  <c r="F72" i="5" s="1"/>
  <c r="I25" i="4"/>
  <c r="I133" i="4"/>
  <c r="H88" i="4"/>
  <c r="F84" i="4"/>
  <c r="H84" i="4"/>
  <c r="I176" i="4"/>
  <c r="F141" i="4"/>
  <c r="G88" i="4"/>
  <c r="L116" i="4"/>
  <c r="G121" i="4"/>
  <c r="H121" i="4"/>
  <c r="F121" i="4"/>
  <c r="L152" i="4"/>
  <c r="L154" i="4" s="1"/>
  <c r="F88" i="4"/>
  <c r="G84" i="4"/>
  <c r="G34" i="4"/>
  <c r="H159" i="4"/>
  <c r="G159" i="4"/>
  <c r="F159" i="4"/>
  <c r="F98" i="4"/>
  <c r="H141" i="4"/>
  <c r="G141" i="4"/>
  <c r="I49" i="4"/>
  <c r="I108" i="4"/>
  <c r="L216" i="4"/>
  <c r="F160" i="4"/>
  <c r="F142" i="4"/>
  <c r="H160" i="4"/>
  <c r="G160" i="4"/>
  <c r="AH5" i="2"/>
  <c r="AH2" i="2"/>
  <c r="AI3" i="2"/>
  <c r="AI4" i="2" s="1"/>
  <c r="J2" i="2"/>
  <c r="K3" i="2"/>
  <c r="K4" i="2" s="1"/>
  <c r="K5" i="2" s="1"/>
  <c r="N28" i="5" l="1"/>
  <c r="M38" i="6"/>
  <c r="F84" i="5"/>
  <c r="N236" i="4"/>
  <c r="G60" i="5" s="1"/>
  <c r="F78" i="5"/>
  <c r="F104" i="5"/>
  <c r="F104" i="4"/>
  <c r="N222" i="4"/>
  <c r="N185" i="4"/>
  <c r="N209" i="4"/>
  <c r="N228" i="4"/>
  <c r="I34" i="4"/>
  <c r="F95" i="5"/>
  <c r="N177" i="4"/>
  <c r="N178" i="4" s="1"/>
  <c r="F83" i="5"/>
  <c r="N134" i="4"/>
  <c r="N135" i="4" s="1"/>
  <c r="F79" i="5"/>
  <c r="N103" i="4"/>
  <c r="N130" i="4"/>
  <c r="G39" i="5" s="1"/>
  <c r="G78" i="5"/>
  <c r="N193" i="4"/>
  <c r="O191" i="4" s="1"/>
  <c r="O192" i="4" s="1"/>
  <c r="G84" i="5"/>
  <c r="I98" i="4"/>
  <c r="I88" i="4"/>
  <c r="I121" i="4"/>
  <c r="G199" i="4"/>
  <c r="H199" i="4"/>
  <c r="F199" i="4"/>
  <c r="I159" i="4"/>
  <c r="F92" i="5" s="1"/>
  <c r="I141" i="4"/>
  <c r="F93" i="5" s="1"/>
  <c r="I84" i="4"/>
  <c r="F79" i="4"/>
  <c r="F115" i="4"/>
  <c r="F69" i="4"/>
  <c r="G142" i="4"/>
  <c r="H142" i="4"/>
  <c r="H79" i="4"/>
  <c r="I160" i="4"/>
  <c r="H69" i="4"/>
  <c r="L217" i="4"/>
  <c r="L218" i="4" s="1"/>
  <c r="AI5" i="2"/>
  <c r="AI2" i="2"/>
  <c r="AJ3" i="2"/>
  <c r="AJ4" i="2" s="1"/>
  <c r="K2" i="2"/>
  <c r="L3" i="2"/>
  <c r="L4" i="2" s="1"/>
  <c r="L5" i="2" s="1"/>
  <c r="O28" i="5" l="1"/>
  <c r="N38" i="6"/>
  <c r="O234" i="4"/>
  <c r="O235" i="4" s="1"/>
  <c r="H103" i="5" s="1"/>
  <c r="H115" i="4"/>
  <c r="I142" i="4"/>
  <c r="N223" i="4"/>
  <c r="G101" i="5" s="1"/>
  <c r="G115" i="4"/>
  <c r="I115" i="4" s="1"/>
  <c r="N240" i="4"/>
  <c r="H198" i="4"/>
  <c r="N229" i="4"/>
  <c r="G102" i="5" s="1"/>
  <c r="N210" i="4"/>
  <c r="G100" i="5" s="1"/>
  <c r="G198" i="4"/>
  <c r="F198" i="4"/>
  <c r="O183" i="4"/>
  <c r="G49" i="5"/>
  <c r="N109" i="4"/>
  <c r="N110" i="4" s="1"/>
  <c r="G95" i="5" s="1"/>
  <c r="O128" i="4"/>
  <c r="O129" i="4" s="1"/>
  <c r="H78" i="5" s="1"/>
  <c r="G51" i="5"/>
  <c r="N169" i="4"/>
  <c r="N170" i="4" s="1"/>
  <c r="F80" i="5"/>
  <c r="N104" i="4"/>
  <c r="N179" i="4"/>
  <c r="O177" i="4" s="1"/>
  <c r="O178" i="4" s="1"/>
  <c r="G83" i="5"/>
  <c r="F77" i="5"/>
  <c r="N136" i="4"/>
  <c r="G40" i="5" s="1"/>
  <c r="G79" i="5"/>
  <c r="O193" i="4"/>
  <c r="P191" i="4" s="1"/>
  <c r="P192" i="4" s="1"/>
  <c r="H84" i="5"/>
  <c r="F94" i="5"/>
  <c r="I79" i="4"/>
  <c r="I69" i="4"/>
  <c r="I199" i="4"/>
  <c r="M26" i="4"/>
  <c r="M27" i="4" s="1"/>
  <c r="N85" i="4"/>
  <c r="M36" i="4"/>
  <c r="G150" i="4"/>
  <c r="H150" i="4"/>
  <c r="F150" i="4"/>
  <c r="F151" i="4"/>
  <c r="AJ2" i="2"/>
  <c r="AJ5" i="2"/>
  <c r="L2" i="2"/>
  <c r="M3" i="2"/>
  <c r="M4" i="2" s="1"/>
  <c r="M5" i="2" s="1"/>
  <c r="D17" i="6" l="1"/>
  <c r="D20" i="6" s="1"/>
  <c r="D21" i="6" s="1"/>
  <c r="I198" i="4"/>
  <c r="F85" i="5" s="1"/>
  <c r="P28" i="5"/>
  <c r="O38" i="6"/>
  <c r="N211" i="4"/>
  <c r="G56" i="5" s="1"/>
  <c r="N224" i="4"/>
  <c r="O222" i="4" s="1"/>
  <c r="O236" i="4"/>
  <c r="P234" i="4" s="1"/>
  <c r="N230" i="4"/>
  <c r="G59" i="5" s="1"/>
  <c r="F81" i="5"/>
  <c r="F36" i="6"/>
  <c r="N241" i="4"/>
  <c r="G104" i="5" s="1"/>
  <c r="O184" i="4"/>
  <c r="H82" i="5" s="1"/>
  <c r="I214" i="4"/>
  <c r="O130" i="4"/>
  <c r="H39" i="5" s="1"/>
  <c r="N111" i="4"/>
  <c r="O109" i="4" s="1"/>
  <c r="O110" i="4" s="1"/>
  <c r="O111" i="4" s="1"/>
  <c r="H37" i="5" s="1"/>
  <c r="G50" i="5"/>
  <c r="N171" i="4"/>
  <c r="G42" i="5" s="1"/>
  <c r="G80" i="5" s="1"/>
  <c r="F76" i="5"/>
  <c r="N122" i="4"/>
  <c r="N123" i="4" s="1"/>
  <c r="G77" i="5" s="1"/>
  <c r="O134" i="4"/>
  <c r="O135" i="4" s="1"/>
  <c r="H79" i="5" s="1"/>
  <c r="H51" i="5"/>
  <c r="P193" i="4"/>
  <c r="Q191" i="4" s="1"/>
  <c r="Q192" i="4" s="1"/>
  <c r="I84" i="5"/>
  <c r="O179" i="4"/>
  <c r="P177" i="4" s="1"/>
  <c r="P178" i="4" s="1"/>
  <c r="H83" i="5"/>
  <c r="N105" i="4"/>
  <c r="G94" i="5"/>
  <c r="M18" i="4"/>
  <c r="N99" i="4"/>
  <c r="G34" i="5" s="1"/>
  <c r="G48" i="5"/>
  <c r="G36" i="6" s="1"/>
  <c r="N89" i="4"/>
  <c r="N91" i="4" s="1"/>
  <c r="G17" i="5" s="1"/>
  <c r="G72" i="5" s="1"/>
  <c r="N142" i="4"/>
  <c r="N143" i="4" s="1"/>
  <c r="M50" i="4"/>
  <c r="M53" i="4" s="1"/>
  <c r="I150" i="4"/>
  <c r="F91" i="5" s="1"/>
  <c r="N160" i="4"/>
  <c r="N161" i="4" s="1"/>
  <c r="M17" i="4"/>
  <c r="N94" i="4"/>
  <c r="N26" i="4"/>
  <c r="N27" i="4" s="1"/>
  <c r="N36" i="4"/>
  <c r="O85" i="4"/>
  <c r="H151" i="4"/>
  <c r="G151" i="4"/>
  <c r="M2" i="2"/>
  <c r="N3" i="2"/>
  <c r="N4" i="2" s="1"/>
  <c r="N5" i="2" s="1"/>
  <c r="N199" i="4" l="1"/>
  <c r="N200" i="4" s="1"/>
  <c r="N201" i="4" s="1"/>
  <c r="O209" i="4"/>
  <c r="O210" i="4" s="1"/>
  <c r="H100" i="5" s="1"/>
  <c r="Q28" i="5"/>
  <c r="P38" i="6"/>
  <c r="O228" i="4"/>
  <c r="O229" i="4" s="1"/>
  <c r="H102" i="5" s="1"/>
  <c r="N29" i="4"/>
  <c r="G9" i="5" s="1"/>
  <c r="F53" i="5"/>
  <c r="G58" i="5"/>
  <c r="H60" i="5"/>
  <c r="O185" i="4"/>
  <c r="H49" i="5" s="1"/>
  <c r="N242" i="4"/>
  <c r="G61" i="5" s="1"/>
  <c r="I151" i="4"/>
  <c r="F71" i="5" s="1"/>
  <c r="P235" i="4"/>
  <c r="I103" i="5" s="1"/>
  <c r="O223" i="4"/>
  <c r="H101" i="5" s="1"/>
  <c r="H95" i="5"/>
  <c r="G37" i="5"/>
  <c r="P128" i="4"/>
  <c r="P129" i="4" s="1"/>
  <c r="I78" i="5" s="1"/>
  <c r="O169" i="4"/>
  <c r="O170" i="4" s="1"/>
  <c r="N17" i="4"/>
  <c r="N124" i="4"/>
  <c r="O122" i="4" s="1"/>
  <c r="O123" i="4" s="1"/>
  <c r="H77" i="5" s="1"/>
  <c r="O136" i="4"/>
  <c r="P134" i="4" s="1"/>
  <c r="P135" i="4" s="1"/>
  <c r="I79" i="5" s="1"/>
  <c r="F75" i="5"/>
  <c r="G75" i="5"/>
  <c r="P109" i="4"/>
  <c r="P110" i="4" s="1"/>
  <c r="I95" i="5" s="1"/>
  <c r="I51" i="5"/>
  <c r="F96" i="5"/>
  <c r="I92" i="7" s="1"/>
  <c r="H50" i="5"/>
  <c r="O103" i="4"/>
  <c r="N106" i="4"/>
  <c r="G36" i="5"/>
  <c r="N162" i="4"/>
  <c r="N163" i="4" s="1"/>
  <c r="G44" i="5" s="1"/>
  <c r="G92" i="5"/>
  <c r="Q193" i="4"/>
  <c r="R191" i="4" s="1"/>
  <c r="R192" i="4" s="1"/>
  <c r="J84" i="5"/>
  <c r="M35" i="4"/>
  <c r="M37" i="4" s="1"/>
  <c r="N144" i="4"/>
  <c r="N145" i="4" s="1"/>
  <c r="O142" i="4" s="1"/>
  <c r="G93" i="5"/>
  <c r="G81" i="5"/>
  <c r="P179" i="4"/>
  <c r="I50" i="5" s="1"/>
  <c r="I83" i="5"/>
  <c r="N50" i="4"/>
  <c r="N53" i="4" s="1"/>
  <c r="N55" i="4" s="1"/>
  <c r="G14" i="5" s="1"/>
  <c r="O26" i="4"/>
  <c r="O27" i="4" s="1"/>
  <c r="O29" i="4" s="1"/>
  <c r="H9" i="5" s="1"/>
  <c r="H48" i="5"/>
  <c r="H36" i="6" s="1"/>
  <c r="M72" i="4"/>
  <c r="M61" i="4"/>
  <c r="N18" i="4"/>
  <c r="G35" i="5"/>
  <c r="P85" i="4"/>
  <c r="O99" i="4"/>
  <c r="O94" i="4"/>
  <c r="O36" i="4"/>
  <c r="N92" i="4"/>
  <c r="N90" i="4" s="1"/>
  <c r="N35" i="4" s="1"/>
  <c r="N37" i="4" s="1"/>
  <c r="N39" i="4" s="1"/>
  <c r="G11" i="5" s="1"/>
  <c r="N2" i="2"/>
  <c r="O3" i="2"/>
  <c r="O4" i="2" s="1"/>
  <c r="O5" i="2" s="1"/>
  <c r="R28" i="5" l="1"/>
  <c r="Q38" i="6"/>
  <c r="P183" i="4"/>
  <c r="P184" i="4" s="1"/>
  <c r="I82" i="5" s="1"/>
  <c r="O230" i="4"/>
  <c r="H59" i="5" s="1"/>
  <c r="O240" i="4"/>
  <c r="O241" i="4" s="1"/>
  <c r="H104" i="5" s="1"/>
  <c r="O211" i="4"/>
  <c r="P209" i="4" s="1"/>
  <c r="O224" i="4"/>
  <c r="H58" i="5" s="1"/>
  <c r="P236" i="4"/>
  <c r="I60" i="5" s="1"/>
  <c r="G52" i="5"/>
  <c r="O199" i="4"/>
  <c r="O200" i="4" s="1"/>
  <c r="O201" i="4" s="1"/>
  <c r="N203" i="4"/>
  <c r="G21" i="5" s="1"/>
  <c r="O171" i="4"/>
  <c r="P169" i="4" s="1"/>
  <c r="P170" i="4" s="1"/>
  <c r="P130" i="4"/>
  <c r="Q128" i="4" s="1"/>
  <c r="Q129" i="4" s="1"/>
  <c r="J78" i="5" s="1"/>
  <c r="H40" i="5"/>
  <c r="G38" i="5"/>
  <c r="P136" i="4"/>
  <c r="I40" i="5" s="1"/>
  <c r="O124" i="4"/>
  <c r="P122" i="4" s="1"/>
  <c r="P123" i="4" s="1"/>
  <c r="I77" i="5" s="1"/>
  <c r="P111" i="4"/>
  <c r="Q109" i="4" s="1"/>
  <c r="Q110" i="4" s="1"/>
  <c r="J95" i="5" s="1"/>
  <c r="G76" i="5"/>
  <c r="J51" i="5"/>
  <c r="N61" i="4"/>
  <c r="M60" i="4"/>
  <c r="R193" i="4"/>
  <c r="S191" i="4" s="1"/>
  <c r="S192" i="4" s="1"/>
  <c r="K84" i="5"/>
  <c r="Q177" i="4"/>
  <c r="Q178" i="4" s="1"/>
  <c r="H81" i="5"/>
  <c r="O160" i="4"/>
  <c r="O161" i="4" s="1"/>
  <c r="H92" i="5" s="1"/>
  <c r="O104" i="4"/>
  <c r="N72" i="4"/>
  <c r="P99" i="4"/>
  <c r="I34" i="5" s="1"/>
  <c r="I48" i="5"/>
  <c r="I36" i="6" s="1"/>
  <c r="O143" i="4"/>
  <c r="G41" i="5"/>
  <c r="O18" i="4"/>
  <c r="H35" i="5"/>
  <c r="O50" i="4"/>
  <c r="O53" i="4" s="1"/>
  <c r="O55" i="4" s="1"/>
  <c r="H14" i="5" s="1"/>
  <c r="H34" i="5"/>
  <c r="O92" i="4"/>
  <c r="P89" i="4" s="1"/>
  <c r="P91" i="4" s="1"/>
  <c r="I17" i="5" s="1"/>
  <c r="I72" i="5" s="1"/>
  <c r="O17" i="4"/>
  <c r="Q85" i="4"/>
  <c r="P26" i="4"/>
  <c r="P27" i="4" s="1"/>
  <c r="P29" i="4" s="1"/>
  <c r="I9" i="5" s="1"/>
  <c r="P94" i="4"/>
  <c r="P36" i="4"/>
  <c r="O89" i="4"/>
  <c r="O91" i="4" s="1"/>
  <c r="H17" i="5" s="1"/>
  <c r="H72" i="5" s="1"/>
  <c r="N60" i="4"/>
  <c r="O2" i="2"/>
  <c r="P3" i="2"/>
  <c r="P4" i="2" s="1"/>
  <c r="P5" i="2" s="1"/>
  <c r="S28" i="5" l="1"/>
  <c r="R38" i="6"/>
  <c r="Q234" i="4"/>
  <c r="Q235" i="4" s="1"/>
  <c r="J103" i="5" s="1"/>
  <c r="P228" i="4"/>
  <c r="P229" i="4" s="1"/>
  <c r="I102" i="5" s="1"/>
  <c r="P222" i="4"/>
  <c r="P223" i="4" s="1"/>
  <c r="I101" i="5" s="1"/>
  <c r="H56" i="5"/>
  <c r="P185" i="4"/>
  <c r="I49" i="5" s="1"/>
  <c r="P210" i="4"/>
  <c r="I100" i="5" s="1"/>
  <c r="O242" i="4"/>
  <c r="H52" i="5"/>
  <c r="P199" i="4"/>
  <c r="P200" i="4" s="1"/>
  <c r="P201" i="4" s="1"/>
  <c r="O203" i="4"/>
  <c r="H21" i="5" s="1"/>
  <c r="G85" i="5"/>
  <c r="G53" i="5"/>
  <c r="P171" i="4"/>
  <c r="Q169" i="4" s="1"/>
  <c r="Q170" i="4" s="1"/>
  <c r="H42" i="5"/>
  <c r="H80" i="5" s="1"/>
  <c r="Q130" i="4"/>
  <c r="R128" i="4" s="1"/>
  <c r="R129" i="4" s="1"/>
  <c r="K78" i="5" s="1"/>
  <c r="I39" i="5"/>
  <c r="P124" i="4"/>
  <c r="Q122" i="4" s="1"/>
  <c r="Q123" i="4" s="1"/>
  <c r="Q124" i="4" s="1"/>
  <c r="R122" i="4" s="1"/>
  <c r="R123" i="4" s="1"/>
  <c r="H38" i="5"/>
  <c r="I37" i="5"/>
  <c r="Q111" i="4"/>
  <c r="R109" i="4" s="1"/>
  <c r="R110" i="4" s="1"/>
  <c r="K95" i="5" s="1"/>
  <c r="Q134" i="4"/>
  <c r="Q135" i="4" s="1"/>
  <c r="J79" i="5" s="1"/>
  <c r="I75" i="5"/>
  <c r="H75" i="5"/>
  <c r="H76" i="5"/>
  <c r="K51" i="5"/>
  <c r="O162" i="4"/>
  <c r="O163" i="4" s="1"/>
  <c r="H44" i="5" s="1"/>
  <c r="S193" i="4"/>
  <c r="T191" i="4" s="1"/>
  <c r="T192" i="4" s="1"/>
  <c r="L84" i="5"/>
  <c r="I81" i="5"/>
  <c r="O105" i="4"/>
  <c r="H94" i="5"/>
  <c r="O144" i="4"/>
  <c r="O145" i="4" s="1"/>
  <c r="H41" i="5" s="1"/>
  <c r="H93" i="5"/>
  <c r="Q179" i="4"/>
  <c r="J83" i="5"/>
  <c r="P50" i="4"/>
  <c r="P53" i="4" s="1"/>
  <c r="P55" i="4" s="1"/>
  <c r="I14" i="5" s="1"/>
  <c r="P17" i="4"/>
  <c r="N151" i="4"/>
  <c r="Q36" i="4"/>
  <c r="J48" i="5"/>
  <c r="P92" i="4"/>
  <c r="Q89" i="4" s="1"/>
  <c r="Q91" i="4" s="1"/>
  <c r="J17" i="5" s="1"/>
  <c r="J72" i="5" s="1"/>
  <c r="I35" i="5"/>
  <c r="O72" i="4"/>
  <c r="P18" i="4"/>
  <c r="O61" i="4"/>
  <c r="R85" i="4"/>
  <c r="O90" i="4"/>
  <c r="O35" i="4" s="1"/>
  <c r="O37" i="4" s="1"/>
  <c r="O39" i="4" s="1"/>
  <c r="H11" i="5" s="1"/>
  <c r="Q26" i="4"/>
  <c r="Q27" i="4" s="1"/>
  <c r="Q29" i="4" s="1"/>
  <c r="J9" i="5" s="1"/>
  <c r="Q94" i="4"/>
  <c r="J35" i="5" s="1"/>
  <c r="Q99" i="4"/>
  <c r="P2" i="2"/>
  <c r="Q3" i="2"/>
  <c r="Q4" i="2" s="1"/>
  <c r="Q5" i="2" s="1"/>
  <c r="T28" i="5" l="1"/>
  <c r="S38" i="6"/>
  <c r="Q183" i="4"/>
  <c r="Q184" i="4" s="1"/>
  <c r="J82" i="5" s="1"/>
  <c r="Q236" i="4"/>
  <c r="R234" i="4" s="1"/>
  <c r="J81" i="5"/>
  <c r="J36" i="6"/>
  <c r="P224" i="4"/>
  <c r="I58" i="5" s="1"/>
  <c r="P211" i="4"/>
  <c r="Q209" i="4" s="1"/>
  <c r="H85" i="5"/>
  <c r="H53" i="5"/>
  <c r="I52" i="5"/>
  <c r="Q199" i="4"/>
  <c r="P203" i="4"/>
  <c r="I21" i="5" s="1"/>
  <c r="I42" i="5"/>
  <c r="I80" i="5" s="1"/>
  <c r="J77" i="5"/>
  <c r="P230" i="4"/>
  <c r="H61" i="5"/>
  <c r="P240" i="4"/>
  <c r="I38" i="5"/>
  <c r="J39" i="5"/>
  <c r="R130" i="4"/>
  <c r="J37" i="5"/>
  <c r="R111" i="4"/>
  <c r="S109" i="4" s="1"/>
  <c r="S110" i="4" s="1"/>
  <c r="L95" i="5" s="1"/>
  <c r="Q136" i="4"/>
  <c r="R134" i="4" s="1"/>
  <c r="L51" i="5"/>
  <c r="J76" i="5"/>
  <c r="I76" i="5"/>
  <c r="P160" i="4"/>
  <c r="P161" i="4" s="1"/>
  <c r="I92" i="5" s="1"/>
  <c r="P72" i="4"/>
  <c r="R124" i="4"/>
  <c r="S122" i="4" s="1"/>
  <c r="S123" i="4" s="1"/>
  <c r="K77" i="5"/>
  <c r="T193" i="4"/>
  <c r="U191" i="4" s="1"/>
  <c r="U192" i="4" s="1"/>
  <c r="M84" i="5"/>
  <c r="J38" i="5"/>
  <c r="P103" i="4"/>
  <c r="H36" i="5"/>
  <c r="Q171" i="4"/>
  <c r="R169" i="4" s="1"/>
  <c r="R170" i="4" s="1"/>
  <c r="J50" i="5"/>
  <c r="R177" i="4"/>
  <c r="R178" i="4" s="1"/>
  <c r="O106" i="4"/>
  <c r="P142" i="4"/>
  <c r="P143" i="4" s="1"/>
  <c r="P61" i="4"/>
  <c r="P90" i="4"/>
  <c r="P35" i="4" s="1"/>
  <c r="P37" i="4" s="1"/>
  <c r="P39" i="4" s="1"/>
  <c r="I11" i="5" s="1"/>
  <c r="N152" i="4"/>
  <c r="R99" i="4"/>
  <c r="K34" i="5" s="1"/>
  <c r="K48" i="5"/>
  <c r="K36" i="6" s="1"/>
  <c r="R94" i="4"/>
  <c r="K35" i="5" s="1"/>
  <c r="Q18" i="4"/>
  <c r="R36" i="4"/>
  <c r="Q92" i="4"/>
  <c r="R89" i="4" s="1"/>
  <c r="R91" i="4" s="1"/>
  <c r="K17" i="5" s="1"/>
  <c r="K72" i="5" s="1"/>
  <c r="R26" i="4"/>
  <c r="R27" i="4" s="1"/>
  <c r="R29" i="4" s="1"/>
  <c r="K9" i="5" s="1"/>
  <c r="O60" i="4"/>
  <c r="Q50" i="4"/>
  <c r="Q53" i="4" s="1"/>
  <c r="Q55" i="4" s="1"/>
  <c r="J14" i="5" s="1"/>
  <c r="J34" i="5"/>
  <c r="S85" i="4"/>
  <c r="S94" i="4" s="1"/>
  <c r="L35" i="5" s="1"/>
  <c r="Q17" i="4"/>
  <c r="Q2" i="2"/>
  <c r="R3" i="2"/>
  <c r="R4" i="2" s="1"/>
  <c r="R5" i="2" s="1"/>
  <c r="Q222" i="4" l="1"/>
  <c r="Q223" i="4" s="1"/>
  <c r="J101" i="5" s="1"/>
  <c r="U28" i="5"/>
  <c r="T38" i="6"/>
  <c r="I56" i="5"/>
  <c r="J60" i="5"/>
  <c r="Q185" i="4"/>
  <c r="J49" i="5" s="1"/>
  <c r="P241" i="4"/>
  <c r="I104" i="5" s="1"/>
  <c r="Q228" i="4"/>
  <c r="I59" i="5"/>
  <c r="Q200" i="4"/>
  <c r="Q201" i="4" s="1"/>
  <c r="Q210" i="4"/>
  <c r="J100" i="5" s="1"/>
  <c r="R235" i="4"/>
  <c r="K103" i="5" s="1"/>
  <c r="I85" i="5"/>
  <c r="I53" i="5"/>
  <c r="S128" i="4"/>
  <c r="K39" i="5"/>
  <c r="K37" i="5"/>
  <c r="S111" i="4"/>
  <c r="L37" i="5" s="1"/>
  <c r="J40" i="5"/>
  <c r="K38" i="5"/>
  <c r="R135" i="4"/>
  <c r="K79" i="5" s="1"/>
  <c r="M51" i="5"/>
  <c r="P162" i="4"/>
  <c r="P163" i="4" s="1"/>
  <c r="Q160" i="4" s="1"/>
  <c r="Q161" i="4" s="1"/>
  <c r="J92" i="5" s="1"/>
  <c r="L76" i="5"/>
  <c r="K75" i="5"/>
  <c r="J75" i="5"/>
  <c r="K76" i="5"/>
  <c r="R92" i="4"/>
  <c r="R90" i="4" s="1"/>
  <c r="R35" i="4" s="1"/>
  <c r="R37" i="4" s="1"/>
  <c r="R39" i="4" s="1"/>
  <c r="K11" i="5" s="1"/>
  <c r="J42" i="5"/>
  <c r="J80" i="5" s="1"/>
  <c r="P60" i="4"/>
  <c r="K81" i="5"/>
  <c r="U193" i="4"/>
  <c r="N51" i="5" s="1"/>
  <c r="N84" i="5"/>
  <c r="N153" i="4"/>
  <c r="G91" i="5"/>
  <c r="P104" i="4"/>
  <c r="P144" i="4"/>
  <c r="P145" i="4" s="1"/>
  <c r="I93" i="5"/>
  <c r="S124" i="4"/>
  <c r="T122" i="4" s="1"/>
  <c r="T123" i="4" s="1"/>
  <c r="L77" i="5"/>
  <c r="R171" i="4"/>
  <c r="K42" i="5" s="1"/>
  <c r="R179" i="4"/>
  <c r="K83" i="5"/>
  <c r="Q72" i="4"/>
  <c r="R18" i="4"/>
  <c r="R50" i="4"/>
  <c r="R53" i="4" s="1"/>
  <c r="R55" i="4" s="1"/>
  <c r="K14" i="5" s="1"/>
  <c r="S36" i="4"/>
  <c r="L48" i="5"/>
  <c r="L36" i="6" s="1"/>
  <c r="R17" i="4"/>
  <c r="Q90" i="4"/>
  <c r="Q35" i="4" s="1"/>
  <c r="Q37" i="4" s="1"/>
  <c r="Q39" i="4" s="1"/>
  <c r="J11" i="5" s="1"/>
  <c r="Q61" i="4"/>
  <c r="S26" i="4"/>
  <c r="S27" i="4" s="1"/>
  <c r="S29" i="4" s="1"/>
  <c r="L9" i="5" s="1"/>
  <c r="T85" i="4"/>
  <c r="S99" i="4"/>
  <c r="L34" i="5" s="1"/>
  <c r="S18" i="4"/>
  <c r="S92" i="4"/>
  <c r="R2" i="2"/>
  <c r="S3" i="2"/>
  <c r="S4" i="2" s="1"/>
  <c r="S5" i="2" s="1"/>
  <c r="V28" i="5" l="1"/>
  <c r="U38" i="6"/>
  <c r="R183" i="4"/>
  <c r="R184" i="4" s="1"/>
  <c r="K82" i="5" s="1"/>
  <c r="Q224" i="4"/>
  <c r="R222" i="4" s="1"/>
  <c r="P242" i="4"/>
  <c r="I61" i="5" s="1"/>
  <c r="R236" i="4"/>
  <c r="S234" i="4" s="1"/>
  <c r="J52" i="5"/>
  <c r="R199" i="4"/>
  <c r="R200" i="4" s="1"/>
  <c r="R201" i="4" s="1"/>
  <c r="Q203" i="4"/>
  <c r="J21" i="5" s="1"/>
  <c r="Q229" i="4"/>
  <c r="J102" i="5" s="1"/>
  <c r="Q211" i="4"/>
  <c r="T109" i="4"/>
  <c r="T110" i="4" s="1"/>
  <c r="M95" i="5" s="1"/>
  <c r="S129" i="4"/>
  <c r="L78" i="5" s="1"/>
  <c r="L38" i="5"/>
  <c r="I44" i="5"/>
  <c r="Q162" i="4"/>
  <c r="Q163" i="4" s="1"/>
  <c r="R160" i="4" s="1"/>
  <c r="R161" i="4" s="1"/>
  <c r="S89" i="4"/>
  <c r="S91" i="4" s="1"/>
  <c r="L17" i="5" s="1"/>
  <c r="L72" i="5" s="1"/>
  <c r="R136" i="4"/>
  <c r="L75" i="5"/>
  <c r="V191" i="4"/>
  <c r="V192" i="4" s="1"/>
  <c r="O84" i="5" s="1"/>
  <c r="I41" i="5"/>
  <c r="Q142" i="4"/>
  <c r="Q143" i="4" s="1"/>
  <c r="K80" i="5"/>
  <c r="G96" i="5"/>
  <c r="S169" i="4"/>
  <c r="S170" i="4" s="1"/>
  <c r="T124" i="4"/>
  <c r="M38" i="5" s="1"/>
  <c r="M77" i="5"/>
  <c r="G19" i="5"/>
  <c r="G71" i="5" s="1"/>
  <c r="N154" i="4"/>
  <c r="L81" i="5"/>
  <c r="P105" i="4"/>
  <c r="I94" i="5"/>
  <c r="K50" i="5"/>
  <c r="S177" i="4"/>
  <c r="S178" i="4" s="1"/>
  <c r="R61" i="4"/>
  <c r="R72" i="4"/>
  <c r="T36" i="4"/>
  <c r="M48" i="5"/>
  <c r="M36" i="6" s="1"/>
  <c r="Q60" i="4"/>
  <c r="S50" i="4"/>
  <c r="S53" i="4" s="1"/>
  <c r="S55" i="4" s="1"/>
  <c r="L14" i="5" s="1"/>
  <c r="U85" i="4"/>
  <c r="N48" i="5" s="1"/>
  <c r="N36" i="6" s="1"/>
  <c r="T99" i="4"/>
  <c r="M34" i="5" s="1"/>
  <c r="T94" i="4"/>
  <c r="M35" i="5" s="1"/>
  <c r="T26" i="4"/>
  <c r="T27" i="4" s="1"/>
  <c r="T29" i="4" s="1"/>
  <c r="M9" i="5" s="1"/>
  <c r="S17" i="4"/>
  <c r="R60" i="4"/>
  <c r="T89" i="4"/>
  <c r="T91" i="4" s="1"/>
  <c r="M17" i="5" s="1"/>
  <c r="M72" i="5" s="1"/>
  <c r="S2" i="2"/>
  <c r="T3" i="2"/>
  <c r="T4" i="2" s="1"/>
  <c r="T5" i="2" s="1"/>
  <c r="W28" i="5" l="1"/>
  <c r="V38" i="6"/>
  <c r="Q240" i="4"/>
  <c r="Q241" i="4" s="1"/>
  <c r="J104" i="5" s="1"/>
  <c r="J58" i="5"/>
  <c r="K60" i="5"/>
  <c r="R185" i="4"/>
  <c r="R223" i="4"/>
  <c r="K101" i="5" s="1"/>
  <c r="Q230" i="4"/>
  <c r="S235" i="4"/>
  <c r="L103" i="5" s="1"/>
  <c r="T111" i="4"/>
  <c r="U109" i="4" s="1"/>
  <c r="U110" i="4" s="1"/>
  <c r="N95" i="5" s="1"/>
  <c r="R209" i="4"/>
  <c r="J56" i="5"/>
  <c r="R203" i="4"/>
  <c r="K21" i="5" s="1"/>
  <c r="S199" i="4"/>
  <c r="S200" i="4" s="1"/>
  <c r="S201" i="4" s="1"/>
  <c r="K52" i="5"/>
  <c r="K85" i="5" s="1"/>
  <c r="J85" i="5"/>
  <c r="J53" i="5"/>
  <c r="S130" i="4"/>
  <c r="T128" i="4" s="1"/>
  <c r="J44" i="5"/>
  <c r="S171" i="4"/>
  <c r="T169" i="4" s="1"/>
  <c r="T170" i="4" s="1"/>
  <c r="S90" i="4"/>
  <c r="S35" i="4" s="1"/>
  <c r="S37" i="4" s="1"/>
  <c r="S39" i="4" s="1"/>
  <c r="L11" i="5" s="1"/>
  <c r="V193" i="4"/>
  <c r="O51" i="5" s="1"/>
  <c r="S134" i="4"/>
  <c r="K40" i="5"/>
  <c r="M76" i="5"/>
  <c r="M75" i="5"/>
  <c r="U122" i="4"/>
  <c r="U123" i="4" s="1"/>
  <c r="N77" i="5" s="1"/>
  <c r="N81" i="5"/>
  <c r="R162" i="4"/>
  <c r="R163" i="4" s="1"/>
  <c r="K44" i="5" s="1"/>
  <c r="K92" i="5"/>
  <c r="Q144" i="4"/>
  <c r="Q145" i="4" s="1"/>
  <c r="R142" i="4" s="1"/>
  <c r="J93" i="5"/>
  <c r="I36" i="5"/>
  <c r="Q103" i="4"/>
  <c r="P106" i="4"/>
  <c r="G43" i="5"/>
  <c r="O151" i="4"/>
  <c r="O152" i="4" s="1"/>
  <c r="M81" i="5"/>
  <c r="S179" i="4"/>
  <c r="L83" i="5"/>
  <c r="U94" i="4"/>
  <c r="N35" i="5" s="1"/>
  <c r="U99" i="4"/>
  <c r="N34" i="5" s="1"/>
  <c r="U36" i="4"/>
  <c r="V85" i="4"/>
  <c r="O48" i="5" s="1"/>
  <c r="T50" i="4"/>
  <c r="T53" i="4" s="1"/>
  <c r="T55" i="4" s="1"/>
  <c r="M14" i="5" s="1"/>
  <c r="U26" i="4"/>
  <c r="U27" i="4" s="1"/>
  <c r="U29" i="4" s="1"/>
  <c r="N9" i="5" s="1"/>
  <c r="T92" i="4"/>
  <c r="T90" i="4" s="1"/>
  <c r="T35" i="4" s="1"/>
  <c r="T37" i="4" s="1"/>
  <c r="T39" i="4" s="1"/>
  <c r="M11" i="5" s="1"/>
  <c r="S61" i="4"/>
  <c r="S72" i="4"/>
  <c r="T17" i="4"/>
  <c r="T18" i="4"/>
  <c r="T2" i="2"/>
  <c r="U3" i="2"/>
  <c r="U4" i="2" s="1"/>
  <c r="U5" i="2" s="1"/>
  <c r="X28" i="5" l="1"/>
  <c r="W38" i="6"/>
  <c r="O81" i="5"/>
  <c r="O36" i="6"/>
  <c r="S236" i="4"/>
  <c r="T234" i="4" s="1"/>
  <c r="S203" i="4"/>
  <c r="L21" i="5" s="1"/>
  <c r="T199" i="4"/>
  <c r="T200" i="4" s="1"/>
  <c r="T201" i="4" s="1"/>
  <c r="L52" i="5"/>
  <c r="L85" i="5" s="1"/>
  <c r="R210" i="4"/>
  <c r="K100" i="5" s="1"/>
  <c r="J59" i="5"/>
  <c r="R228" i="4"/>
  <c r="U111" i="4"/>
  <c r="V109" i="4" s="1"/>
  <c r="V110" i="4" s="1"/>
  <c r="O95" i="5" s="1"/>
  <c r="Q242" i="4"/>
  <c r="R224" i="4"/>
  <c r="M37" i="5"/>
  <c r="S183" i="4"/>
  <c r="K49" i="5"/>
  <c r="K53" i="5" s="1"/>
  <c r="L39" i="5"/>
  <c r="T129" i="4"/>
  <c r="M78" i="5" s="1"/>
  <c r="L42" i="5"/>
  <c r="L80" i="5" s="1"/>
  <c r="S60" i="4"/>
  <c r="T171" i="4"/>
  <c r="U169" i="4" s="1"/>
  <c r="U170" i="4" s="1"/>
  <c r="U92" i="4"/>
  <c r="V89" i="4" s="1"/>
  <c r="V91" i="4" s="1"/>
  <c r="O17" i="5" s="1"/>
  <c r="O72" i="5" s="1"/>
  <c r="W191" i="4"/>
  <c r="W192" i="4" s="1"/>
  <c r="P84" i="5" s="1"/>
  <c r="S135" i="4"/>
  <c r="L79" i="5" s="1"/>
  <c r="V26" i="4"/>
  <c r="V27" i="4" s="1"/>
  <c r="V29" i="4" s="1"/>
  <c r="O9" i="5" s="1"/>
  <c r="V99" i="4"/>
  <c r="O34" i="5" s="1"/>
  <c r="O75" i="5" s="1"/>
  <c r="U124" i="4"/>
  <c r="N75" i="5"/>
  <c r="N76" i="5"/>
  <c r="V36" i="4"/>
  <c r="U18" i="4"/>
  <c r="U17" i="4"/>
  <c r="U50" i="4"/>
  <c r="U53" i="4" s="1"/>
  <c r="U55" i="4" s="1"/>
  <c r="N14" i="5" s="1"/>
  <c r="J41" i="5"/>
  <c r="Q104" i="4"/>
  <c r="L50" i="5"/>
  <c r="T177" i="4"/>
  <c r="T178" i="4" s="1"/>
  <c r="O153" i="4"/>
  <c r="H91" i="5"/>
  <c r="T61" i="4"/>
  <c r="T72" i="4"/>
  <c r="V94" i="4"/>
  <c r="O35" i="5" s="1"/>
  <c r="W85" i="4"/>
  <c r="P48" i="5" s="1"/>
  <c r="S160" i="4"/>
  <c r="S161" i="4" s="1"/>
  <c r="U89" i="4"/>
  <c r="U91" i="4" s="1"/>
  <c r="N17" i="5" s="1"/>
  <c r="N72" i="5" s="1"/>
  <c r="R143" i="4"/>
  <c r="T60" i="4"/>
  <c r="U2" i="2"/>
  <c r="V3" i="2"/>
  <c r="V4" i="2" s="1"/>
  <c r="V5" i="2" s="1"/>
  <c r="Y28" i="5" l="1"/>
  <c r="X38" i="6"/>
  <c r="L60" i="5"/>
  <c r="P81" i="5"/>
  <c r="P36" i="6"/>
  <c r="R211" i="4"/>
  <c r="S209" i="4" s="1"/>
  <c r="N37" i="5"/>
  <c r="J61" i="5"/>
  <c r="R240" i="4"/>
  <c r="R229" i="4"/>
  <c r="K102" i="5" s="1"/>
  <c r="T235" i="4"/>
  <c r="M103" i="5" s="1"/>
  <c r="V111" i="4"/>
  <c r="W109" i="4" s="1"/>
  <c r="W110" i="4" s="1"/>
  <c r="P95" i="5" s="1"/>
  <c r="S222" i="4"/>
  <c r="K58" i="5"/>
  <c r="S184" i="4"/>
  <c r="L82" i="5" s="1"/>
  <c r="M52" i="5"/>
  <c r="M85" i="5" s="1"/>
  <c r="U199" i="4"/>
  <c r="U200" i="4" s="1"/>
  <c r="U201" i="4" s="1"/>
  <c r="T203" i="4"/>
  <c r="M21" i="5" s="1"/>
  <c r="T130" i="4"/>
  <c r="M39" i="5" s="1"/>
  <c r="M42" i="5"/>
  <c r="M80" i="5" s="1"/>
  <c r="U171" i="4"/>
  <c r="N42" i="5" s="1"/>
  <c r="W193" i="4"/>
  <c r="X191" i="4" s="1"/>
  <c r="S136" i="4"/>
  <c r="T134" i="4" s="1"/>
  <c r="V17" i="4"/>
  <c r="V50" i="4"/>
  <c r="V53" i="4" s="1"/>
  <c r="V55" i="4" s="1"/>
  <c r="O14" i="5" s="1"/>
  <c r="U61" i="4"/>
  <c r="V122" i="4"/>
  <c r="N38" i="5"/>
  <c r="O76" i="5"/>
  <c r="U72" i="4"/>
  <c r="X85" i="4"/>
  <c r="Q48" i="5" s="1"/>
  <c r="H96" i="5"/>
  <c r="W99" i="4"/>
  <c r="P34" i="5" s="1"/>
  <c r="W36" i="4"/>
  <c r="W94" i="4"/>
  <c r="P35" i="5" s="1"/>
  <c r="W26" i="4"/>
  <c r="W27" i="4" s="1"/>
  <c r="W29" i="4" s="1"/>
  <c r="P9" i="5" s="1"/>
  <c r="Q105" i="4"/>
  <c r="Q106" i="4" s="1"/>
  <c r="J94" i="5"/>
  <c r="H19" i="5"/>
  <c r="H71" i="5" s="1"/>
  <c r="O154" i="4"/>
  <c r="S162" i="4"/>
  <c r="S163" i="4" s="1"/>
  <c r="T160" i="4" s="1"/>
  <c r="L92" i="5"/>
  <c r="T179" i="4"/>
  <c r="M83" i="5"/>
  <c r="R144" i="4"/>
  <c r="R145" i="4" s="1"/>
  <c r="K41" i="5" s="1"/>
  <c r="K93" i="5"/>
  <c r="U90" i="4"/>
  <c r="U35" i="4" s="1"/>
  <c r="U37" i="4" s="1"/>
  <c r="U39" i="4" s="1"/>
  <c r="N11" i="5" s="1"/>
  <c r="V92" i="4"/>
  <c r="V90" i="4" s="1"/>
  <c r="V35" i="4" s="1"/>
  <c r="V37" i="4" s="1"/>
  <c r="V39" i="4" s="1"/>
  <c r="O11" i="5" s="1"/>
  <c r="V18" i="4"/>
  <c r="V2" i="2"/>
  <c r="W3" i="2"/>
  <c r="W4" i="2" s="1"/>
  <c r="W5" i="2" s="1"/>
  <c r="Z28" i="5" l="1"/>
  <c r="Z38" i="6" s="1"/>
  <c r="Y38" i="6"/>
  <c r="T236" i="4"/>
  <c r="U234" i="4" s="1"/>
  <c r="K56" i="5"/>
  <c r="Q81" i="5"/>
  <c r="Q36" i="6"/>
  <c r="R230" i="4"/>
  <c r="K59" i="5" s="1"/>
  <c r="O37" i="5"/>
  <c r="S210" i="4"/>
  <c r="L100" i="5" s="1"/>
  <c r="U203" i="4"/>
  <c r="N21" i="5" s="1"/>
  <c r="N52" i="5"/>
  <c r="N85" i="5" s="1"/>
  <c r="V199" i="4"/>
  <c r="V200" i="4" s="1"/>
  <c r="V201" i="4" s="1"/>
  <c r="W111" i="4"/>
  <c r="P37" i="5" s="1"/>
  <c r="S185" i="4"/>
  <c r="R241" i="4"/>
  <c r="K104" i="5" s="1"/>
  <c r="S223" i="4"/>
  <c r="L101" i="5" s="1"/>
  <c r="V169" i="4"/>
  <c r="V170" i="4" s="1"/>
  <c r="V171" i="4" s="1"/>
  <c r="O42" i="5" s="1"/>
  <c r="O80" i="5" s="1"/>
  <c r="N80" i="5"/>
  <c r="U128" i="4"/>
  <c r="U129" i="4" s="1"/>
  <c r="N78" i="5" s="1"/>
  <c r="P51" i="5"/>
  <c r="V61" i="4"/>
  <c r="V72" i="4"/>
  <c r="L40" i="5"/>
  <c r="T135" i="4"/>
  <c r="M79" i="5" s="1"/>
  <c r="X192" i="4"/>
  <c r="Q84" i="5" s="1"/>
  <c r="Y85" i="4"/>
  <c r="R48" i="5" s="1"/>
  <c r="W89" i="4"/>
  <c r="W91" i="4" s="1"/>
  <c r="P17" i="5" s="1"/>
  <c r="P72" i="5" s="1"/>
  <c r="V123" i="4"/>
  <c r="O77" i="5" s="1"/>
  <c r="X36" i="4"/>
  <c r="P75" i="5"/>
  <c r="P76" i="5"/>
  <c r="W50" i="4"/>
  <c r="W53" i="4" s="1"/>
  <c r="W55" i="4" s="1"/>
  <c r="P14" i="5" s="1"/>
  <c r="L44" i="5"/>
  <c r="W17" i="4"/>
  <c r="W92" i="4"/>
  <c r="X89" i="4" s="1"/>
  <c r="X91" i="4" s="1"/>
  <c r="Q17" i="5" s="1"/>
  <c r="Q72" i="5" s="1"/>
  <c r="U60" i="4"/>
  <c r="X94" i="4"/>
  <c r="Q35" i="5" s="1"/>
  <c r="X26" i="4"/>
  <c r="X27" i="4" s="1"/>
  <c r="X29" i="4" s="1"/>
  <c r="Q9" i="5" s="1"/>
  <c r="X99" i="4"/>
  <c r="Q34" i="5" s="1"/>
  <c r="W18" i="4"/>
  <c r="M50" i="5"/>
  <c r="U177" i="4"/>
  <c r="U178" i="4" s="1"/>
  <c r="J36" i="5"/>
  <c r="R103" i="4"/>
  <c r="H43" i="5"/>
  <c r="P151" i="4"/>
  <c r="S142" i="4"/>
  <c r="S143" i="4" s="1"/>
  <c r="T161" i="4"/>
  <c r="V60" i="4"/>
  <c r="X3" i="2"/>
  <c r="X4" i="2" s="1"/>
  <c r="X5" i="2" s="1"/>
  <c r="W2" i="2"/>
  <c r="S228" i="4" l="1"/>
  <c r="M60" i="5"/>
  <c r="R81" i="5"/>
  <c r="R36" i="6"/>
  <c r="S224" i="4"/>
  <c r="T222" i="4" s="1"/>
  <c r="T183" i="4"/>
  <c r="L49" i="5"/>
  <c r="L53" i="5" s="1"/>
  <c r="W199" i="4"/>
  <c r="W200" i="4" s="1"/>
  <c r="W201" i="4" s="1"/>
  <c r="O52" i="5"/>
  <c r="O85" i="5" s="1"/>
  <c r="V203" i="4"/>
  <c r="O21" i="5" s="1"/>
  <c r="X109" i="4"/>
  <c r="X110" i="4" s="1"/>
  <c r="Q95" i="5" s="1"/>
  <c r="U235" i="4"/>
  <c r="N103" i="5" s="1"/>
  <c r="S229" i="4"/>
  <c r="L102" i="5" s="1"/>
  <c r="S211" i="4"/>
  <c r="R242" i="4"/>
  <c r="W169" i="4"/>
  <c r="W170" i="4" s="1"/>
  <c r="W171" i="4" s="1"/>
  <c r="P42" i="5" s="1"/>
  <c r="P80" i="5" s="1"/>
  <c r="U130" i="4"/>
  <c r="N39" i="5" s="1"/>
  <c r="W72" i="4"/>
  <c r="X193" i="4"/>
  <c r="Q51" i="5" s="1"/>
  <c r="Y99" i="4"/>
  <c r="R34" i="5" s="1"/>
  <c r="R75" i="5" s="1"/>
  <c r="T136" i="4"/>
  <c r="U134" i="4" s="1"/>
  <c r="Y26" i="4"/>
  <c r="Y27" i="4" s="1"/>
  <c r="Y29" i="4" s="1"/>
  <c r="R9" i="5" s="1"/>
  <c r="Z85" i="4"/>
  <c r="S48" i="5" s="1"/>
  <c r="W61" i="4"/>
  <c r="V124" i="4"/>
  <c r="O38" i="5" s="1"/>
  <c r="W90" i="4"/>
  <c r="W35" i="4" s="1"/>
  <c r="W37" i="4" s="1"/>
  <c r="W39" i="4" s="1"/>
  <c r="P11" i="5" s="1"/>
  <c r="X50" i="4"/>
  <c r="X53" i="4" s="1"/>
  <c r="X55" i="4" s="1"/>
  <c r="Q14" i="5" s="1"/>
  <c r="X17" i="4"/>
  <c r="X18" i="4"/>
  <c r="Y94" i="4"/>
  <c r="R35" i="5" s="1"/>
  <c r="R76" i="5" s="1"/>
  <c r="Y36" i="4"/>
  <c r="Q75" i="5"/>
  <c r="Q76" i="5"/>
  <c r="X92" i="4"/>
  <c r="X90" i="4" s="1"/>
  <c r="X35" i="4" s="1"/>
  <c r="X37" i="4" s="1"/>
  <c r="X39" i="4" s="1"/>
  <c r="Q11" i="5" s="1"/>
  <c r="T162" i="4"/>
  <c r="T163" i="4" s="1"/>
  <c r="U160" i="4" s="1"/>
  <c r="M92" i="5"/>
  <c r="S144" i="4"/>
  <c r="S145" i="4" s="1"/>
  <c r="T142" i="4" s="1"/>
  <c r="T143" i="4" s="1"/>
  <c r="L93" i="5"/>
  <c r="P152" i="4"/>
  <c r="U179" i="4"/>
  <c r="N83" i="5"/>
  <c r="R104" i="4"/>
  <c r="X2" i="2"/>
  <c r="Y3" i="2"/>
  <c r="Y4" i="2" s="1"/>
  <c r="Y5" i="2" s="1"/>
  <c r="L58" i="5" l="1"/>
  <c r="X169" i="4"/>
  <c r="X170" i="4" s="1"/>
  <c r="X171" i="4" s="1"/>
  <c r="Y169" i="4" s="1"/>
  <c r="S81" i="5"/>
  <c r="S36" i="6"/>
  <c r="U236" i="4"/>
  <c r="N60" i="5" s="1"/>
  <c r="X111" i="4"/>
  <c r="Q37" i="5" s="1"/>
  <c r="T223" i="4"/>
  <c r="M101" i="5" s="1"/>
  <c r="S240" i="4"/>
  <c r="K61" i="5"/>
  <c r="T209" i="4"/>
  <c r="L56" i="5"/>
  <c r="X199" i="4"/>
  <c r="X200" i="4" s="1"/>
  <c r="X201" i="4" s="1"/>
  <c r="W203" i="4"/>
  <c r="P21" i="5" s="1"/>
  <c r="P52" i="5"/>
  <c r="P85" i="5" s="1"/>
  <c r="S230" i="4"/>
  <c r="T184" i="4"/>
  <c r="M82" i="5" s="1"/>
  <c r="V128" i="4"/>
  <c r="V129" i="4" s="1"/>
  <c r="O78" i="5" s="1"/>
  <c r="Y191" i="4"/>
  <c r="Y192" i="4" s="1"/>
  <c r="R84" i="5" s="1"/>
  <c r="Y17" i="4"/>
  <c r="Y50" i="4"/>
  <c r="Y53" i="4" s="1"/>
  <c r="Y55" i="4" s="1"/>
  <c r="R14" i="5" s="1"/>
  <c r="Z94" i="4"/>
  <c r="S35" i="5" s="1"/>
  <c r="S76" i="5" s="1"/>
  <c r="AA85" i="4"/>
  <c r="T48" i="5" s="1"/>
  <c r="Z26" i="4"/>
  <c r="Z27" i="4" s="1"/>
  <c r="Z29" i="4" s="1"/>
  <c r="S9" i="5" s="1"/>
  <c r="Z36" i="4"/>
  <c r="W122" i="4"/>
  <c r="W123" i="4" s="1"/>
  <c r="P77" i="5" s="1"/>
  <c r="M40" i="5"/>
  <c r="Z99" i="4"/>
  <c r="S34" i="5" s="1"/>
  <c r="S75" i="5" s="1"/>
  <c r="W60" i="4"/>
  <c r="X72" i="4"/>
  <c r="X61" i="4"/>
  <c r="U135" i="4"/>
  <c r="N79" i="5" s="1"/>
  <c r="Y18" i="4"/>
  <c r="Y92" i="4"/>
  <c r="Z89" i="4" s="1"/>
  <c r="Z91" i="4" s="1"/>
  <c r="S17" i="5" s="1"/>
  <c r="S72" i="5" s="1"/>
  <c r="Y89" i="4"/>
  <c r="Y91" i="4" s="1"/>
  <c r="R17" i="5" s="1"/>
  <c r="R72" i="5" s="1"/>
  <c r="L41" i="5"/>
  <c r="R105" i="4"/>
  <c r="K94" i="5"/>
  <c r="P153" i="4"/>
  <c r="I91" i="5"/>
  <c r="I96" i="5" s="1"/>
  <c r="T144" i="4"/>
  <c r="T145" i="4" s="1"/>
  <c r="M93" i="5"/>
  <c r="V177" i="4"/>
  <c r="V178" i="4" s="1"/>
  <c r="N50" i="5"/>
  <c r="M44" i="5"/>
  <c r="U161" i="4"/>
  <c r="X60" i="4"/>
  <c r="Y2" i="2"/>
  <c r="Z3" i="2"/>
  <c r="Z4" i="2" s="1"/>
  <c r="Z5" i="2" s="1"/>
  <c r="V234" i="4" l="1"/>
  <c r="V235" i="4" s="1"/>
  <c r="O103" i="5" s="1"/>
  <c r="Q42" i="5"/>
  <c r="Q80" i="5" s="1"/>
  <c r="Y109" i="4"/>
  <c r="Y110" i="4" s="1"/>
  <c r="R95" i="5" s="1"/>
  <c r="T224" i="4"/>
  <c r="U222" i="4" s="1"/>
  <c r="T81" i="5"/>
  <c r="T36" i="6"/>
  <c r="Y61" i="4"/>
  <c r="Y72" i="4"/>
  <c r="L59" i="5"/>
  <c r="T228" i="4"/>
  <c r="T210" i="4"/>
  <c r="M100" i="5" s="1"/>
  <c r="Y199" i="4"/>
  <c r="Y200" i="4" s="1"/>
  <c r="Y201" i="4" s="1"/>
  <c r="Q52" i="5"/>
  <c r="Q85" i="5" s="1"/>
  <c r="X203" i="4"/>
  <c r="Q21" i="5" s="1"/>
  <c r="S241" i="4"/>
  <c r="L104" i="5" s="1"/>
  <c r="T185" i="4"/>
  <c r="V130" i="4"/>
  <c r="AA26" i="4"/>
  <c r="AA27" i="4" s="1"/>
  <c r="AA29" i="4" s="1"/>
  <c r="T9" i="5" s="1"/>
  <c r="AA94" i="4"/>
  <c r="T35" i="5" s="1"/>
  <c r="T76" i="5" s="1"/>
  <c r="AA99" i="4"/>
  <c r="T34" i="5" s="1"/>
  <c r="T75" i="5" s="1"/>
  <c r="AB85" i="4"/>
  <c r="U48" i="5" s="1"/>
  <c r="Z92" i="4"/>
  <c r="AA89" i="4" s="1"/>
  <c r="AA91" i="4" s="1"/>
  <c r="T17" i="5" s="1"/>
  <c r="T72" i="5" s="1"/>
  <c r="AA36" i="4"/>
  <c r="Z18" i="4"/>
  <c r="Z17" i="4"/>
  <c r="Z50" i="4"/>
  <c r="Z53" i="4" s="1"/>
  <c r="Z55" i="4" s="1"/>
  <c r="S14" i="5" s="1"/>
  <c r="U136" i="4"/>
  <c r="N40" i="5" s="1"/>
  <c r="W124" i="4"/>
  <c r="X122" i="4" s="1"/>
  <c r="Y193" i="4"/>
  <c r="Y90" i="4"/>
  <c r="Y35" i="4" s="1"/>
  <c r="Y37" i="4" s="1"/>
  <c r="Y39" i="4" s="1"/>
  <c r="R11" i="5" s="1"/>
  <c r="V179" i="4"/>
  <c r="W177" i="4" s="1"/>
  <c r="W178" i="4" s="1"/>
  <c r="O83" i="5"/>
  <c r="U142" i="4"/>
  <c r="U143" i="4" s="1"/>
  <c r="M41" i="5"/>
  <c r="K36" i="5"/>
  <c r="S103" i="4"/>
  <c r="R106" i="4"/>
  <c r="U162" i="4"/>
  <c r="U163" i="4" s="1"/>
  <c r="N92" i="5"/>
  <c r="I19" i="5"/>
  <c r="P154" i="4"/>
  <c r="Y170" i="4"/>
  <c r="Y171" i="4" s="1"/>
  <c r="Z2" i="2"/>
  <c r="AA3" i="2"/>
  <c r="AA4" i="2" s="1"/>
  <c r="AA5" i="2" s="1"/>
  <c r="Y111" i="4" l="1"/>
  <c r="Z109" i="4" s="1"/>
  <c r="Z110" i="4" s="1"/>
  <c r="S95" i="5" s="1"/>
  <c r="M58" i="5"/>
  <c r="T211" i="4"/>
  <c r="M56" i="5" s="1"/>
  <c r="V236" i="4"/>
  <c r="W234" i="4" s="1"/>
  <c r="U81" i="5"/>
  <c r="U36" i="6"/>
  <c r="S242" i="4"/>
  <c r="T240" i="4" s="1"/>
  <c r="Z199" i="4"/>
  <c r="Z200" i="4" s="1"/>
  <c r="Z201" i="4" s="1"/>
  <c r="R52" i="5"/>
  <c r="R85" i="5" s="1"/>
  <c r="Y203" i="4"/>
  <c r="R21" i="5" s="1"/>
  <c r="U223" i="4"/>
  <c r="N101" i="5" s="1"/>
  <c r="T229" i="4"/>
  <c r="M102" i="5" s="1"/>
  <c r="U183" i="4"/>
  <c r="M49" i="5"/>
  <c r="M53" i="5" s="1"/>
  <c r="AA92" i="4"/>
  <c r="AA90" i="4" s="1"/>
  <c r="AA35" i="4" s="1"/>
  <c r="AA37" i="4" s="1"/>
  <c r="AA39" i="4" s="1"/>
  <c r="T11" i="5" s="1"/>
  <c r="W128" i="4"/>
  <c r="O39" i="5"/>
  <c r="AA50" i="4"/>
  <c r="AA53" i="4" s="1"/>
  <c r="AA55" i="4" s="1"/>
  <c r="T14" i="5" s="1"/>
  <c r="AA18" i="4"/>
  <c r="AB94" i="4"/>
  <c r="U35" i="5" s="1"/>
  <c r="U76" i="5" s="1"/>
  <c r="AB26" i="4"/>
  <c r="AB27" i="4" s="1"/>
  <c r="AB29" i="4" s="1"/>
  <c r="U9" i="5" s="1"/>
  <c r="AC85" i="4"/>
  <c r="V48" i="5" s="1"/>
  <c r="AB99" i="4"/>
  <c r="U34" i="5" s="1"/>
  <c r="U75" i="5" s="1"/>
  <c r="AB36" i="4"/>
  <c r="Z90" i="4"/>
  <c r="Z35" i="4" s="1"/>
  <c r="Z37" i="4" s="1"/>
  <c r="Z39" i="4" s="1"/>
  <c r="S11" i="5" s="1"/>
  <c r="Z61" i="4"/>
  <c r="Z72" i="4"/>
  <c r="AA17" i="4"/>
  <c r="V134" i="4"/>
  <c r="V135" i="4" s="1"/>
  <c r="O79" i="5" s="1"/>
  <c r="Y60" i="4"/>
  <c r="P38" i="5"/>
  <c r="R51" i="5"/>
  <c r="Z191" i="4"/>
  <c r="X123" i="4"/>
  <c r="Q77" i="5" s="1"/>
  <c r="O50" i="5"/>
  <c r="W179" i="4"/>
  <c r="X177" i="4" s="1"/>
  <c r="X178" i="4" s="1"/>
  <c r="P83" i="5"/>
  <c r="U144" i="4"/>
  <c r="U145" i="4" s="1"/>
  <c r="N93" i="5"/>
  <c r="Q151" i="4"/>
  <c r="I43" i="5"/>
  <c r="I71" i="5"/>
  <c r="S104" i="4"/>
  <c r="Z169" i="4"/>
  <c r="Z170" i="4" s="1"/>
  <c r="Z171" i="4" s="1"/>
  <c r="R42" i="5"/>
  <c r="V160" i="4"/>
  <c r="N44" i="5"/>
  <c r="AA2" i="2"/>
  <c r="AB3" i="2"/>
  <c r="Z111" i="4" l="1"/>
  <c r="AA109" i="4" s="1"/>
  <c r="AA110" i="4" s="1"/>
  <c r="T95" i="5" s="1"/>
  <c r="R37" i="5"/>
  <c r="U209" i="4"/>
  <c r="U210" i="4" s="1"/>
  <c r="N100" i="5" s="1"/>
  <c r="O60" i="5"/>
  <c r="L61" i="5"/>
  <c r="V81" i="5"/>
  <c r="V36" i="6"/>
  <c r="AB89" i="4"/>
  <c r="AB91" i="4" s="1"/>
  <c r="U17" i="5" s="1"/>
  <c r="U72" i="5" s="1"/>
  <c r="U224" i="4"/>
  <c r="N58" i="5" s="1"/>
  <c r="U184" i="4"/>
  <c r="N82" i="5" s="1"/>
  <c r="AB4" i="2"/>
  <c r="E3" i="6"/>
  <c r="E3" i="5"/>
  <c r="T230" i="4"/>
  <c r="T241" i="4"/>
  <c r="M104" i="5" s="1"/>
  <c r="S52" i="5"/>
  <c r="S85" i="5" s="1"/>
  <c r="Z203" i="4"/>
  <c r="S21" i="5" s="1"/>
  <c r="AA199" i="4"/>
  <c r="AA200" i="4" s="1"/>
  <c r="AA201" i="4" s="1"/>
  <c r="W235" i="4"/>
  <c r="P103" i="5" s="1"/>
  <c r="AA72" i="4"/>
  <c r="AA61" i="4"/>
  <c r="W129" i="4"/>
  <c r="P78" i="5" s="1"/>
  <c r="AB50" i="4"/>
  <c r="AB53" i="4" s="1"/>
  <c r="AB55" i="4" s="1"/>
  <c r="U14" i="5" s="1"/>
  <c r="AC36" i="4"/>
  <c r="AC94" i="4"/>
  <c r="V35" i="5" s="1"/>
  <c r="V76" i="5" s="1"/>
  <c r="AB92" i="4"/>
  <c r="AC89" i="4" s="1"/>
  <c r="AC91" i="4" s="1"/>
  <c r="V17" i="5" s="1"/>
  <c r="V72" i="5" s="1"/>
  <c r="AC99" i="4"/>
  <c r="V34" i="5" s="1"/>
  <c r="V75" i="5" s="1"/>
  <c r="AB18" i="4"/>
  <c r="Z60" i="4"/>
  <c r="AC26" i="4"/>
  <c r="AC27" i="4" s="1"/>
  <c r="AC29" i="4" s="1"/>
  <c r="V9" i="5" s="1"/>
  <c r="AD85" i="4"/>
  <c r="W48" i="5" s="1"/>
  <c r="AB17" i="4"/>
  <c r="X124" i="4"/>
  <c r="Y122" i="4" s="1"/>
  <c r="V136" i="4"/>
  <c r="Z192" i="4"/>
  <c r="S84" i="5" s="1"/>
  <c r="P50" i="5"/>
  <c r="X179" i="4"/>
  <c r="Y177" i="4" s="1"/>
  <c r="Y178" i="4" s="1"/>
  <c r="Q83" i="5"/>
  <c r="R80" i="5"/>
  <c r="Q152" i="4"/>
  <c r="S105" i="4"/>
  <c r="L94" i="5"/>
  <c r="V161" i="4"/>
  <c r="AA169" i="4"/>
  <c r="AA170" i="4" s="1"/>
  <c r="AA171" i="4" s="1"/>
  <c r="S42" i="5"/>
  <c r="S80" i="5" s="1"/>
  <c r="V142" i="4"/>
  <c r="N41" i="5"/>
  <c r="AA60" i="4"/>
  <c r="AB2" i="2" l="1"/>
  <c r="AF13" i="2" s="1"/>
  <c r="AF129" i="2" s="1"/>
  <c r="AC3" i="2"/>
  <c r="AC4" i="2" s="1"/>
  <c r="S37" i="5"/>
  <c r="AA111" i="4"/>
  <c r="AB109" i="4" s="1"/>
  <c r="AE15" i="2"/>
  <c r="AE144" i="2" s="1"/>
  <c r="AE145" i="2" s="1"/>
  <c r="AE22" i="2"/>
  <c r="AE170" i="2" s="1"/>
  <c r="AE23" i="2"/>
  <c r="AE404" i="2" s="1"/>
  <c r="AE405" i="2" s="1"/>
  <c r="AE9" i="2"/>
  <c r="AE19" i="2"/>
  <c r="AE10" i="2"/>
  <c r="AE103" i="2" s="1"/>
  <c r="AE104" i="2" s="1"/>
  <c r="AF308" i="2"/>
  <c r="AF30" i="2"/>
  <c r="AF251" i="2" s="1"/>
  <c r="AF28" i="2"/>
  <c r="AF21" i="2"/>
  <c r="AF16" i="2"/>
  <c r="AF152" i="2" s="1"/>
  <c r="AF29" i="2"/>
  <c r="AF250" i="2" s="1"/>
  <c r="AG31" i="2"/>
  <c r="AG252" i="2" s="1"/>
  <c r="AG13" i="2"/>
  <c r="AG129" i="2" s="1"/>
  <c r="AG16" i="2"/>
  <c r="AG152" i="2" s="1"/>
  <c r="AG21" i="2"/>
  <c r="AG10" i="2"/>
  <c r="AG103" i="2" s="1"/>
  <c r="AG104" i="2" s="1"/>
  <c r="AG30" i="2"/>
  <c r="AG251" i="2" s="1"/>
  <c r="AG436" i="2"/>
  <c r="AG23" i="2"/>
  <c r="AG404" i="2" s="1"/>
  <c r="AG405" i="2" s="1"/>
  <c r="AG22" i="2"/>
  <c r="AG170" i="2" s="1"/>
  <c r="AG9" i="2"/>
  <c r="AG19" i="2"/>
  <c r="AH9" i="2"/>
  <c r="AH19" i="2"/>
  <c r="AH30" i="2"/>
  <c r="AH251" i="2" s="1"/>
  <c r="AH22" i="2"/>
  <c r="AH170" i="2" s="1"/>
  <c r="AH29" i="2"/>
  <c r="AH250" i="2" s="1"/>
  <c r="AH24" i="2"/>
  <c r="AH21" i="2"/>
  <c r="AH16" i="2"/>
  <c r="AH152" i="2" s="1"/>
  <c r="AH28" i="2"/>
  <c r="AH31" i="2"/>
  <c r="AH252" i="2" s="1"/>
  <c r="AH436" i="2"/>
  <c r="AH20" i="2"/>
  <c r="AH163" i="2" s="1"/>
  <c r="AI29" i="2"/>
  <c r="AI250" i="2" s="1"/>
  <c r="AI436" i="2"/>
  <c r="AI19" i="2"/>
  <c r="AI26" i="2"/>
  <c r="AI18" i="2"/>
  <c r="AI16" i="2"/>
  <c r="AI9" i="2"/>
  <c r="AI28" i="2"/>
  <c r="AI30" i="2"/>
  <c r="AI251" i="2" s="1"/>
  <c r="AJ436" i="2"/>
  <c r="T242" i="4"/>
  <c r="M61" i="5" s="1"/>
  <c r="W236" i="4"/>
  <c r="P60" i="5" s="1"/>
  <c r="V222" i="4"/>
  <c r="V223" i="4" s="1"/>
  <c r="O101" i="5" s="1"/>
  <c r="W81" i="5"/>
  <c r="W36" i="6"/>
  <c r="H8" i="4"/>
  <c r="M3" i="4" s="1"/>
  <c r="M4" i="4" s="1"/>
  <c r="AB5" i="2"/>
  <c r="AB3" i="5"/>
  <c r="AB4" i="5" s="1"/>
  <c r="E4" i="5"/>
  <c r="U211" i="4"/>
  <c r="E4" i="6"/>
  <c r="U228" i="4"/>
  <c r="M59" i="5"/>
  <c r="AA203" i="4"/>
  <c r="T21" i="5" s="1"/>
  <c r="AB199" i="4"/>
  <c r="AB200" i="4" s="1"/>
  <c r="AB201" i="4" s="1"/>
  <c r="T52" i="5"/>
  <c r="T85" i="5" s="1"/>
  <c r="U185" i="4"/>
  <c r="AB90" i="4"/>
  <c r="AB35" i="4" s="1"/>
  <c r="AB37" i="4" s="1"/>
  <c r="AB39" i="4" s="1"/>
  <c r="U11" i="5" s="1"/>
  <c r="W130" i="4"/>
  <c r="AC18" i="4"/>
  <c r="AC92" i="4"/>
  <c r="AC90" i="4" s="1"/>
  <c r="AC35" i="4" s="1"/>
  <c r="AC37" i="4" s="1"/>
  <c r="AC39" i="4" s="1"/>
  <c r="V11" i="5" s="1"/>
  <c r="AB72" i="4"/>
  <c r="AB61" i="4"/>
  <c r="AC50" i="4"/>
  <c r="AC53" i="4" s="1"/>
  <c r="AC55" i="4" s="1"/>
  <c r="V14" i="5" s="1"/>
  <c r="AD99" i="4"/>
  <c r="W34" i="5" s="1"/>
  <c r="W75" i="5" s="1"/>
  <c r="AC17" i="4"/>
  <c r="AD36" i="4"/>
  <c r="AD94" i="4"/>
  <c r="W35" i="5" s="1"/>
  <c r="W76" i="5" s="1"/>
  <c r="AE85" i="4"/>
  <c r="X48" i="5" s="1"/>
  <c r="AD26" i="4"/>
  <c r="AD27" i="4" s="1"/>
  <c r="AD29" i="4" s="1"/>
  <c r="W9" i="5" s="1"/>
  <c r="Q38" i="5"/>
  <c r="Q50" i="5"/>
  <c r="Z193" i="4"/>
  <c r="S51" i="5" s="1"/>
  <c r="O40" i="5"/>
  <c r="W134" i="4"/>
  <c r="Y123" i="4"/>
  <c r="R77" i="5" s="1"/>
  <c r="Y179" i="4"/>
  <c r="R50" i="5" s="1"/>
  <c r="R83" i="5"/>
  <c r="V162" i="4"/>
  <c r="V163" i="4" s="1"/>
  <c r="O44" i="5" s="1"/>
  <c r="O92" i="5"/>
  <c r="Q153" i="4"/>
  <c r="J19" i="5" s="1"/>
  <c r="J91" i="5"/>
  <c r="J96" i="5" s="1"/>
  <c r="L36" i="5"/>
  <c r="T103" i="4"/>
  <c r="S106" i="4"/>
  <c r="AB169" i="4"/>
  <c r="T42" i="5"/>
  <c r="T80" i="5" s="1"/>
  <c r="V143" i="4"/>
  <c r="AG24" i="2" l="1"/>
  <c r="AG28" i="2"/>
  <c r="AF24" i="2"/>
  <c r="AE24" i="2"/>
  <c r="AE13" i="2"/>
  <c r="AE129" i="2" s="1"/>
  <c r="AE436" i="2"/>
  <c r="AI22" i="2"/>
  <c r="AI170" i="2" s="1"/>
  <c r="AI24" i="2"/>
  <c r="AI31" i="2"/>
  <c r="AI252" i="2" s="1"/>
  <c r="AI297" i="2" s="1"/>
  <c r="AI298" i="2" s="1"/>
  <c r="AH13" i="2"/>
  <c r="AH129" i="2" s="1"/>
  <c r="AH23" i="2"/>
  <c r="AH404" i="2" s="1"/>
  <c r="AH405" i="2" s="1"/>
  <c r="AG20" i="2"/>
  <c r="AG163" i="2" s="1"/>
  <c r="AF10" i="2"/>
  <c r="AF103" i="2" s="1"/>
  <c r="AF104" i="2" s="1"/>
  <c r="AF12" i="2"/>
  <c r="AE29" i="2"/>
  <c r="AE250" i="2" s="1"/>
  <c r="AE297" i="2" s="1"/>
  <c r="AE298" i="2" s="1"/>
  <c r="AE308" i="2"/>
  <c r="AH308" i="2"/>
  <c r="AE30" i="2"/>
  <c r="AE251" i="2" s="1"/>
  <c r="AI23" i="2"/>
  <c r="AI404" i="2" s="1"/>
  <c r="AI405" i="2" s="1"/>
  <c r="AH18" i="2"/>
  <c r="AH114" i="2" s="1"/>
  <c r="AH115" i="2" s="1"/>
  <c r="AH118" i="2" s="1"/>
  <c r="AF20" i="2"/>
  <c r="AF163" i="2" s="1"/>
  <c r="AI308" i="2"/>
  <c r="AI309" i="2" s="1"/>
  <c r="AI318" i="2" s="1"/>
  <c r="AG26" i="2"/>
  <c r="AF19" i="2"/>
  <c r="AF25" i="2" s="1"/>
  <c r="AE26" i="2"/>
  <c r="AF9" i="2"/>
  <c r="AF151" i="2" s="1"/>
  <c r="AF153" i="2" s="1"/>
  <c r="AE28" i="2"/>
  <c r="AJ308" i="2"/>
  <c r="AH12" i="2"/>
  <c r="AG29" i="2"/>
  <c r="AG250" i="2" s="1"/>
  <c r="AG297" i="2" s="1"/>
  <c r="AG298" i="2" s="1"/>
  <c r="AF23" i="2"/>
  <c r="AF404" i="2" s="1"/>
  <c r="AF405" i="2" s="1"/>
  <c r="AE16" i="2"/>
  <c r="AE152" i="2" s="1"/>
  <c r="AI15" i="2"/>
  <c r="AI144" i="2" s="1"/>
  <c r="AI145" i="2" s="1"/>
  <c r="AI13" i="2"/>
  <c r="AI129" i="2" s="1"/>
  <c r="AH10" i="2"/>
  <c r="AH103" i="2" s="1"/>
  <c r="AH104" i="2" s="1"/>
  <c r="AG12" i="2"/>
  <c r="AG120" i="2" s="1"/>
  <c r="AG130" i="2" s="1"/>
  <c r="AF26" i="2"/>
  <c r="AE31" i="2"/>
  <c r="AE252" i="2" s="1"/>
  <c r="AE21" i="2"/>
  <c r="AE328" i="2" s="1"/>
  <c r="AE327" i="2" s="1"/>
  <c r="AI21" i="2"/>
  <c r="AH26" i="2"/>
  <c r="AI12" i="2"/>
  <c r="AF18" i="2"/>
  <c r="AI10" i="2"/>
  <c r="AI103" i="2" s="1"/>
  <c r="AI104" i="2" s="1"/>
  <c r="AI20" i="2"/>
  <c r="AI163" i="2" s="1"/>
  <c r="AH15" i="2"/>
  <c r="AH144" i="2" s="1"/>
  <c r="AH145" i="2" s="1"/>
  <c r="AG308" i="2"/>
  <c r="AG309" i="2" s="1"/>
  <c r="AG318" i="2" s="1"/>
  <c r="AG18" i="2"/>
  <c r="AG114" i="2" s="1"/>
  <c r="AG115" i="2" s="1"/>
  <c r="AG118" i="2" s="1"/>
  <c r="AF436" i="2"/>
  <c r="AF15" i="2"/>
  <c r="AF144" i="2" s="1"/>
  <c r="AF145" i="2" s="1"/>
  <c r="AE18" i="2"/>
  <c r="AG15" i="2"/>
  <c r="AG144" i="2" s="1"/>
  <c r="AG145" i="2" s="1"/>
  <c r="AF22" i="2"/>
  <c r="AF170" i="2" s="1"/>
  <c r="AF31" i="2"/>
  <c r="AF252" i="2" s="1"/>
  <c r="AE20" i="2"/>
  <c r="AE163" i="2" s="1"/>
  <c r="AE12" i="2"/>
  <c r="AE151" i="2" s="1"/>
  <c r="AE153" i="2" s="1"/>
  <c r="AC2" i="2"/>
  <c r="AC5" i="2"/>
  <c r="AI3" i="4"/>
  <c r="AI4" i="4" s="1"/>
  <c r="AJ3" i="4" s="1"/>
  <c r="AJ4" i="4" s="1"/>
  <c r="AF297" i="2"/>
  <c r="AF298" i="2" s="1"/>
  <c r="T37" i="5"/>
  <c r="AI114" i="2"/>
  <c r="AI115" i="2" s="1"/>
  <c r="AI118" i="2" s="1"/>
  <c r="AI206" i="2"/>
  <c r="AI207" i="2" s="1"/>
  <c r="H28" i="7"/>
  <c r="AF181" i="2"/>
  <c r="AF249" i="2"/>
  <c r="AF14" i="2"/>
  <c r="AF120" i="2"/>
  <c r="AF130" i="2" s="1"/>
  <c r="AI181" i="2"/>
  <c r="AI249" i="2"/>
  <c r="AH249" i="2"/>
  <c r="AH181" i="2"/>
  <c r="AG11" i="2"/>
  <c r="AG90" i="2"/>
  <c r="AG91" i="2" s="1"/>
  <c r="AG249" i="2"/>
  <c r="AE11" i="2"/>
  <c r="AE90" i="2"/>
  <c r="AE91" i="2" s="1"/>
  <c r="AJ312" i="2"/>
  <c r="AJ309" i="2"/>
  <c r="AJ318" i="2" s="1"/>
  <c r="AI11" i="2"/>
  <c r="AI90" i="2"/>
  <c r="AI91" i="2" s="1"/>
  <c r="AI151" i="2"/>
  <c r="AI312" i="2"/>
  <c r="AH297" i="2"/>
  <c r="AH298" i="2" s="1"/>
  <c r="AH90" i="2"/>
  <c r="AH91" i="2" s="1"/>
  <c r="AI120" i="2"/>
  <c r="AF114" i="2"/>
  <c r="AF115" i="2" s="1"/>
  <c r="AF118" i="2" s="1"/>
  <c r="AF206" i="2"/>
  <c r="AF207" i="2" s="1"/>
  <c r="AF11" i="2"/>
  <c r="AF90" i="2"/>
  <c r="AF91" i="2" s="1"/>
  <c r="AF312" i="2"/>
  <c r="AF309" i="2"/>
  <c r="AF318" i="2" s="1"/>
  <c r="AE249" i="2"/>
  <c r="AI152" i="2"/>
  <c r="H29" i="7"/>
  <c r="AH120" i="2"/>
  <c r="AH309" i="2"/>
  <c r="AH318" i="2" s="1"/>
  <c r="AH312" i="2"/>
  <c r="AG312" i="2"/>
  <c r="AE25" i="2"/>
  <c r="AE206" i="2"/>
  <c r="AE207" i="2" s="1"/>
  <c r="AE14" i="2"/>
  <c r="AE120" i="2"/>
  <c r="AE121" i="2" s="1"/>
  <c r="U240" i="4"/>
  <c r="U241" i="4" s="1"/>
  <c r="N104" i="5" s="1"/>
  <c r="X234" i="4"/>
  <c r="X235" i="4" s="1"/>
  <c r="Q103" i="5" s="1"/>
  <c r="X81" i="5"/>
  <c r="X36" i="6"/>
  <c r="V224" i="4"/>
  <c r="W222" i="4" s="1"/>
  <c r="U229" i="4"/>
  <c r="N102" i="5" s="1"/>
  <c r="V183" i="4"/>
  <c r="N49" i="5"/>
  <c r="N53" i="5" s="1"/>
  <c r="V209" i="4"/>
  <c r="N56" i="5"/>
  <c r="E5" i="6"/>
  <c r="F3" i="6"/>
  <c r="F4" i="6" s="1"/>
  <c r="E2" i="6"/>
  <c r="E2" i="5"/>
  <c r="F3" i="5"/>
  <c r="F4" i="5" s="1"/>
  <c r="E5" i="5"/>
  <c r="AB203" i="4"/>
  <c r="U21" i="5" s="1"/>
  <c r="U52" i="5"/>
  <c r="U85" i="5" s="1"/>
  <c r="AC199" i="4"/>
  <c r="AC200" i="4" s="1"/>
  <c r="AC201" i="4" s="1"/>
  <c r="AC3" i="5"/>
  <c r="AC4" i="5" s="1"/>
  <c r="AB5" i="5"/>
  <c r="AB2" i="5"/>
  <c r="AD89" i="4"/>
  <c r="AD91" i="4" s="1"/>
  <c r="W17" i="5" s="1"/>
  <c r="W72" i="5" s="1"/>
  <c r="AB60" i="4"/>
  <c r="AC61" i="4"/>
  <c r="P39" i="5"/>
  <c r="X128" i="4"/>
  <c r="AC72" i="4"/>
  <c r="AD92" i="4"/>
  <c r="AD18" i="4"/>
  <c r="AD50" i="4"/>
  <c r="AD53" i="4" s="1"/>
  <c r="AD55" i="4" s="1"/>
  <c r="W14" i="5" s="1"/>
  <c r="AD17" i="4"/>
  <c r="AE26" i="4"/>
  <c r="AE27" i="4" s="1"/>
  <c r="AE29" i="4" s="1"/>
  <c r="X9" i="5" s="1"/>
  <c r="AE99" i="4"/>
  <c r="X34" i="5" s="1"/>
  <c r="X75" i="5" s="1"/>
  <c r="AE94" i="4"/>
  <c r="X35" i="5" s="1"/>
  <c r="X76" i="5" s="1"/>
  <c r="AE36" i="4"/>
  <c r="AF85" i="4"/>
  <c r="Y48" i="5" s="1"/>
  <c r="AA191" i="4"/>
  <c r="AA192" i="4" s="1"/>
  <c r="T84" i="5" s="1"/>
  <c r="W135" i="4"/>
  <c r="P79" i="5" s="1"/>
  <c r="Y124" i="4"/>
  <c r="R38" i="5" s="1"/>
  <c r="Z177" i="4"/>
  <c r="Z178" i="4" s="1"/>
  <c r="S83" i="5" s="1"/>
  <c r="AB110" i="4"/>
  <c r="U95" i="5" s="1"/>
  <c r="Q154" i="4"/>
  <c r="R151" i="4" s="1"/>
  <c r="V144" i="4"/>
  <c r="V145" i="4" s="1"/>
  <c r="W142" i="4" s="1"/>
  <c r="O93" i="5"/>
  <c r="T104" i="4"/>
  <c r="J71" i="5"/>
  <c r="W160" i="4"/>
  <c r="W161" i="4" s="1"/>
  <c r="AB170" i="4"/>
  <c r="AB171" i="4" s="1"/>
  <c r="AC60" i="4"/>
  <c r="M5" i="4"/>
  <c r="M2" i="4"/>
  <c r="N3" i="4"/>
  <c r="N4" i="4" s="1"/>
  <c r="AE181" i="2" l="1"/>
  <c r="AH25" i="2"/>
  <c r="AG14" i="2"/>
  <c r="AG25" i="2"/>
  <c r="AI25" i="2"/>
  <c r="H31" i="7" s="1"/>
  <c r="AG151" i="2"/>
  <c r="AG153" i="2" s="1"/>
  <c r="AH14" i="2"/>
  <c r="AH206" i="2"/>
  <c r="AH207" i="2" s="1"/>
  <c r="AI14" i="2"/>
  <c r="H27" i="7" s="1"/>
  <c r="AG206" i="2"/>
  <c r="AG207" i="2" s="1"/>
  <c r="AH151" i="2"/>
  <c r="AH153" i="2" s="1"/>
  <c r="AH11" i="2"/>
  <c r="AG181" i="2"/>
  <c r="H33" i="7"/>
  <c r="AI5" i="4"/>
  <c r="AI2" i="4"/>
  <c r="AJ29" i="2"/>
  <c r="AJ250" i="2" s="1"/>
  <c r="AJ10" i="2"/>
  <c r="AJ103" i="2" s="1"/>
  <c r="AJ104" i="2" s="1"/>
  <c r="AJ13" i="2"/>
  <c r="AJ129" i="2" s="1"/>
  <c r="AJ21" i="2"/>
  <c r="AJ19" i="2"/>
  <c r="AJ28" i="2"/>
  <c r="AJ15" i="2"/>
  <c r="AJ31" i="2"/>
  <c r="AJ252" i="2" s="1"/>
  <c r="AJ20" i="2"/>
  <c r="AJ163" i="2" s="1"/>
  <c r="AJ30" i="2"/>
  <c r="AJ251" i="2" s="1"/>
  <c r="AJ18" i="2"/>
  <c r="AJ23" i="2"/>
  <c r="AJ404" i="2" s="1"/>
  <c r="AJ405" i="2" s="1"/>
  <c r="AJ16" i="2"/>
  <c r="AJ152" i="2" s="1"/>
  <c r="AJ24" i="2"/>
  <c r="AJ12" i="2"/>
  <c r="AJ22" i="2"/>
  <c r="AJ170" i="2" s="1"/>
  <c r="AJ26" i="2"/>
  <c r="AJ9" i="2"/>
  <c r="AH121" i="2"/>
  <c r="AH17" i="2"/>
  <c r="AH161" i="2" s="1"/>
  <c r="AI153" i="2"/>
  <c r="AG17" i="2"/>
  <c r="AG27" i="2" s="1"/>
  <c r="AF17" i="2"/>
  <c r="AF27" i="2" s="1"/>
  <c r="AE17" i="2"/>
  <c r="AE27" i="2" s="1"/>
  <c r="AI121" i="2"/>
  <c r="AF328" i="2"/>
  <c r="AI130" i="2"/>
  <c r="AH130" i="2"/>
  <c r="AI17" i="2"/>
  <c r="H26" i="7"/>
  <c r="H30" i="7" s="1"/>
  <c r="H39" i="7" s="1"/>
  <c r="AG121" i="2"/>
  <c r="AF253" i="2"/>
  <c r="AF278" i="2"/>
  <c r="AF279" i="2" s="1"/>
  <c r="AF161" i="2"/>
  <c r="AI328" i="2"/>
  <c r="AE130" i="2"/>
  <c r="AH278" i="2"/>
  <c r="AH279" i="2" s="1"/>
  <c r="AH253" i="2"/>
  <c r="AI278" i="2"/>
  <c r="AI279" i="2" s="1"/>
  <c r="AI253" i="2"/>
  <c r="AJ328" i="2"/>
  <c r="AE278" i="2"/>
  <c r="AE279" i="2" s="1"/>
  <c r="AE253" i="2"/>
  <c r="AG328" i="2"/>
  <c r="AG253" i="2"/>
  <c r="AG278" i="2"/>
  <c r="AG279" i="2" s="1"/>
  <c r="AF121" i="2"/>
  <c r="AH328" i="2"/>
  <c r="O58" i="5"/>
  <c r="Y81" i="5"/>
  <c r="Y36" i="6"/>
  <c r="F2" i="6"/>
  <c r="AB3" i="6"/>
  <c r="U230" i="4"/>
  <c r="N59" i="5" s="1"/>
  <c r="AC2" i="5"/>
  <c r="AD3" i="5"/>
  <c r="AD4" i="5" s="1"/>
  <c r="AC5" i="5"/>
  <c r="V210" i="4"/>
  <c r="O100" i="5" s="1"/>
  <c r="W223" i="4"/>
  <c r="P101" i="5" s="1"/>
  <c r="X236" i="4"/>
  <c r="G3" i="5"/>
  <c r="G4" i="5" s="1"/>
  <c r="F2" i="5"/>
  <c r="F5" i="5"/>
  <c r="V52" i="5"/>
  <c r="V85" i="5" s="1"/>
  <c r="AD199" i="4"/>
  <c r="AD200" i="4" s="1"/>
  <c r="AD201" i="4" s="1"/>
  <c r="AC203" i="4"/>
  <c r="V21" i="5" s="1"/>
  <c r="V184" i="4"/>
  <c r="O82" i="5" s="1"/>
  <c r="U242" i="4"/>
  <c r="AD90" i="4"/>
  <c r="AD35" i="4" s="1"/>
  <c r="AD37" i="4" s="1"/>
  <c r="AD39" i="4" s="1"/>
  <c r="W11" i="5" s="1"/>
  <c r="AE89" i="4"/>
  <c r="AE91" i="4" s="1"/>
  <c r="X17" i="5" s="1"/>
  <c r="X72" i="5" s="1"/>
  <c r="AD61" i="4"/>
  <c r="AD72" i="4"/>
  <c r="X129" i="4"/>
  <c r="Q78" i="5" s="1"/>
  <c r="AG85" i="4"/>
  <c r="Z48" i="5" s="1"/>
  <c r="Z36" i="6" s="1"/>
  <c r="AF26" i="4"/>
  <c r="AF27" i="4" s="1"/>
  <c r="AF29" i="4" s="1"/>
  <c r="Y9" i="5" s="1"/>
  <c r="AF99" i="4"/>
  <c r="Y34" i="5" s="1"/>
  <c r="Y75" i="5" s="1"/>
  <c r="AE17" i="4"/>
  <c r="AE50" i="4"/>
  <c r="AE53" i="4" s="1"/>
  <c r="AE55" i="4" s="1"/>
  <c r="X14" i="5" s="1"/>
  <c r="AF94" i="4"/>
  <c r="Y35" i="5" s="1"/>
  <c r="Y76" i="5" s="1"/>
  <c r="AF36" i="4"/>
  <c r="AE92" i="4"/>
  <c r="AE18" i="4"/>
  <c r="Z122" i="4"/>
  <c r="Z123" i="4" s="1"/>
  <c r="S77" i="5" s="1"/>
  <c r="J43" i="5"/>
  <c r="W136" i="4"/>
  <c r="P40" i="5" s="1"/>
  <c r="Z179" i="4"/>
  <c r="AA177" i="4" s="1"/>
  <c r="AA178" i="4" s="1"/>
  <c r="T83" i="5" s="1"/>
  <c r="AA193" i="4"/>
  <c r="AB191" i="4" s="1"/>
  <c r="AB111" i="4"/>
  <c r="AC109" i="4" s="1"/>
  <c r="O41" i="5"/>
  <c r="W162" i="4"/>
  <c r="W163" i="4" s="1"/>
  <c r="P44" i="5" s="1"/>
  <c r="P92" i="5"/>
  <c r="T105" i="4"/>
  <c r="M94" i="5"/>
  <c r="R152" i="4"/>
  <c r="W143" i="4"/>
  <c r="AC169" i="4"/>
  <c r="U42" i="5"/>
  <c r="N2" i="4"/>
  <c r="O3" i="4"/>
  <c r="O4" i="4" s="1"/>
  <c r="N5" i="4"/>
  <c r="AK3" i="4"/>
  <c r="AK4" i="4" s="1"/>
  <c r="AJ2" i="4"/>
  <c r="AJ5" i="4"/>
  <c r="AJ90" i="2" l="1"/>
  <c r="AJ91" i="2" s="1"/>
  <c r="AJ151" i="2"/>
  <c r="AJ153" i="2" s="1"/>
  <c r="AJ11" i="2"/>
  <c r="AJ181" i="2"/>
  <c r="AJ249" i="2"/>
  <c r="AJ144" i="2"/>
  <c r="AJ145" i="2" s="1"/>
  <c r="I28" i="7"/>
  <c r="AJ206" i="2"/>
  <c r="AJ207" i="2" s="1"/>
  <c r="AJ25" i="2"/>
  <c r="AJ114" i="2"/>
  <c r="AJ115" i="2" s="1"/>
  <c r="AJ118" i="2" s="1"/>
  <c r="AJ14" i="2"/>
  <c r="AJ120" i="2"/>
  <c r="AJ297" i="2"/>
  <c r="AJ298" i="2" s="1"/>
  <c r="AG161" i="2"/>
  <c r="AH27" i="2"/>
  <c r="AH32" i="2" s="1"/>
  <c r="AE161" i="2"/>
  <c r="AE164" i="2" s="1"/>
  <c r="AH171" i="2"/>
  <c r="AH164" i="2"/>
  <c r="AJ327" i="2"/>
  <c r="AJ331" i="2" s="1"/>
  <c r="AI327" i="2"/>
  <c r="AI331" i="2" s="1"/>
  <c r="AG164" i="2"/>
  <c r="AG171" i="2"/>
  <c r="AE32" i="2"/>
  <c r="AE248" i="2"/>
  <c r="AE179" i="2"/>
  <c r="AE182" i="2" s="1"/>
  <c r="AH327" i="2"/>
  <c r="AH331" i="2" s="1"/>
  <c r="AG327" i="2"/>
  <c r="AG331" i="2" s="1"/>
  <c r="AF171" i="2"/>
  <c r="AF164" i="2"/>
  <c r="AG32" i="2"/>
  <c r="AG179" i="2"/>
  <c r="AG182" i="2" s="1"/>
  <c r="AG248" i="2"/>
  <c r="H32" i="7"/>
  <c r="H34" i="7" s="1"/>
  <c r="H38" i="7"/>
  <c r="AF32" i="2"/>
  <c r="AF179" i="2"/>
  <c r="AF182" i="2" s="1"/>
  <c r="AF248" i="2"/>
  <c r="AI27" i="2"/>
  <c r="AI161" i="2"/>
  <c r="AF327" i="2"/>
  <c r="AF331" i="2" s="1"/>
  <c r="V228" i="4"/>
  <c r="V229" i="4" s="1"/>
  <c r="O102" i="5" s="1"/>
  <c r="F5" i="6"/>
  <c r="G3" i="6"/>
  <c r="G4" i="6" s="1"/>
  <c r="G2" i="6" s="1"/>
  <c r="V211" i="4"/>
  <c r="W209" i="4" s="1"/>
  <c r="V185" i="4"/>
  <c r="W183" i="4" s="1"/>
  <c r="AB4" i="6"/>
  <c r="V240" i="4"/>
  <c r="N61" i="5"/>
  <c r="Q60" i="5"/>
  <c r="Y234" i="4"/>
  <c r="AD60" i="4"/>
  <c r="W224" i="4"/>
  <c r="AD203" i="4"/>
  <c r="W21" i="5" s="1"/>
  <c r="W52" i="5"/>
  <c r="W85" i="5" s="1"/>
  <c r="AE199" i="4"/>
  <c r="AE200" i="4" s="1"/>
  <c r="AE201" i="4" s="1"/>
  <c r="AD2" i="5"/>
  <c r="AD5" i="5"/>
  <c r="AE3" i="5"/>
  <c r="AE4" i="5" s="1"/>
  <c r="AG26" i="4"/>
  <c r="AG27" i="4" s="1"/>
  <c r="AG29" i="4" s="1"/>
  <c r="Z9" i="5" s="1"/>
  <c r="H3" i="5"/>
  <c r="H4" i="5" s="1"/>
  <c r="G5" i="5"/>
  <c r="G2" i="5"/>
  <c r="X130" i="4"/>
  <c r="Q39" i="5" s="1"/>
  <c r="AE90" i="4"/>
  <c r="AE35" i="4" s="1"/>
  <c r="AE37" i="4" s="1"/>
  <c r="AE39" i="4" s="1"/>
  <c r="X11" i="5" s="1"/>
  <c r="AF50" i="4"/>
  <c r="AF53" i="4" s="1"/>
  <c r="AF55" i="4" s="1"/>
  <c r="Y14" i="5" s="1"/>
  <c r="AF17" i="4"/>
  <c r="AE72" i="4"/>
  <c r="AG94" i="4"/>
  <c r="Z35" i="5" s="1"/>
  <c r="AG99" i="4"/>
  <c r="Z34" i="5" s="1"/>
  <c r="AG36" i="4"/>
  <c r="AF18" i="4"/>
  <c r="Z81" i="5"/>
  <c r="AE61" i="4"/>
  <c r="AF92" i="4"/>
  <c r="AG89" i="4" s="1"/>
  <c r="AG91" i="4" s="1"/>
  <c r="Z17" i="5" s="1"/>
  <c r="AF89" i="4"/>
  <c r="AF91" i="4" s="1"/>
  <c r="Y17" i="5" s="1"/>
  <c r="Y72" i="5" s="1"/>
  <c r="X134" i="4"/>
  <c r="X135" i="4" s="1"/>
  <c r="Q79" i="5" s="1"/>
  <c r="T51" i="5"/>
  <c r="AA179" i="4"/>
  <c r="T50" i="5" s="1"/>
  <c r="S50" i="5"/>
  <c r="Z124" i="4"/>
  <c r="S38" i="5" s="1"/>
  <c r="U37" i="5"/>
  <c r="AB192" i="4"/>
  <c r="U84" i="5" s="1"/>
  <c r="AC110" i="4"/>
  <c r="V95" i="5" s="1"/>
  <c r="W144" i="4"/>
  <c r="W145" i="4" s="1"/>
  <c r="X142" i="4" s="1"/>
  <c r="P93" i="5"/>
  <c r="U80" i="5"/>
  <c r="R153" i="4"/>
  <c r="K91" i="5"/>
  <c r="K96" i="5" s="1"/>
  <c r="U103" i="4"/>
  <c r="M36" i="5"/>
  <c r="T106" i="4"/>
  <c r="X160" i="4"/>
  <c r="X161" i="4" s="1"/>
  <c r="AC170" i="4"/>
  <c r="AC171" i="4" s="1"/>
  <c r="AK2" i="4"/>
  <c r="AL3" i="4"/>
  <c r="AL4" i="4" s="1"/>
  <c r="AK5" i="4"/>
  <c r="O2" i="4"/>
  <c r="P3" i="4"/>
  <c r="P4" i="4" s="1"/>
  <c r="O5" i="4"/>
  <c r="H13" i="3"/>
  <c r="AH248" i="2" l="1"/>
  <c r="AE171" i="2"/>
  <c r="G24" i="6"/>
  <c r="G25" i="6" s="1"/>
  <c r="G26" i="6" s="1"/>
  <c r="G41" i="6" s="1"/>
  <c r="AJ130" i="2"/>
  <c r="AJ121" i="2"/>
  <c r="AJ253" i="2"/>
  <c r="AJ278" i="2"/>
  <c r="AJ279" i="2" s="1"/>
  <c r="AJ17" i="2"/>
  <c r="AH179" i="2"/>
  <c r="AH182" i="2" s="1"/>
  <c r="F45" i="6"/>
  <c r="F51" i="6" s="1"/>
  <c r="AG337" i="2"/>
  <c r="AG35" i="2"/>
  <c r="AG432" i="2"/>
  <c r="H86" i="7"/>
  <c r="H36" i="7"/>
  <c r="H40" i="7"/>
  <c r="AH35" i="2"/>
  <c r="AH432" i="2"/>
  <c r="AJ337" i="2"/>
  <c r="AI32" i="2"/>
  <c r="AI248" i="2"/>
  <c r="AI179" i="2"/>
  <c r="AI182" i="2" s="1"/>
  <c r="AE35" i="2"/>
  <c r="AE432" i="2"/>
  <c r="AF337" i="2"/>
  <c r="AH337" i="2"/>
  <c r="AI164" i="2"/>
  <c r="AI171" i="2"/>
  <c r="AF35" i="2"/>
  <c r="AF432" i="2"/>
  <c r="AI337" i="2"/>
  <c r="AB24" i="6"/>
  <c r="AB25" i="6" s="1"/>
  <c r="AB26" i="6" s="1"/>
  <c r="I25" i="7"/>
  <c r="H3" i="6"/>
  <c r="H4" i="6" s="1"/>
  <c r="H24" i="6" s="1"/>
  <c r="O56" i="5"/>
  <c r="O49" i="5"/>
  <c r="O53" i="5" s="1"/>
  <c r="G5" i="6"/>
  <c r="AB5" i="6"/>
  <c r="AB2" i="6"/>
  <c r="AC3" i="6"/>
  <c r="AC4" i="6" s="1"/>
  <c r="AF199" i="4"/>
  <c r="AF200" i="4" s="1"/>
  <c r="AF201" i="4" s="1"/>
  <c r="AE203" i="4"/>
  <c r="X21" i="5" s="1"/>
  <c r="X52" i="5"/>
  <c r="X85" i="5" s="1"/>
  <c r="I3" i="5"/>
  <c r="I4" i="5" s="1"/>
  <c r="H5" i="5"/>
  <c r="H2" i="5"/>
  <c r="AE5" i="5"/>
  <c r="AF3" i="5"/>
  <c r="AF4" i="5" s="1"/>
  <c r="AE2" i="5"/>
  <c r="W184" i="4"/>
  <c r="P82" i="5" s="1"/>
  <c r="Y128" i="4"/>
  <c r="Y129" i="4" s="1"/>
  <c r="R78" i="5" s="1"/>
  <c r="V230" i="4"/>
  <c r="Y235" i="4"/>
  <c r="R103" i="5" s="1"/>
  <c r="W210" i="4"/>
  <c r="P100" i="5" s="1"/>
  <c r="X222" i="4"/>
  <c r="P58" i="5"/>
  <c r="V241" i="4"/>
  <c r="O104" i="5" s="1"/>
  <c r="I3" i="6"/>
  <c r="I4" i="6" s="1"/>
  <c r="AF72" i="4"/>
  <c r="AF61" i="4"/>
  <c r="AG18" i="4"/>
  <c r="AE60" i="4"/>
  <c r="AG92" i="4"/>
  <c r="AG90" i="4" s="1"/>
  <c r="AG35" i="4" s="1"/>
  <c r="AG37" i="4" s="1"/>
  <c r="AG39" i="4" s="1"/>
  <c r="Z75" i="5"/>
  <c r="AG17" i="4"/>
  <c r="AG50" i="4"/>
  <c r="AG53" i="4" s="1"/>
  <c r="AG55" i="4" s="1"/>
  <c r="Z14" i="5" s="1"/>
  <c r="Z76" i="5"/>
  <c r="AB177" i="4"/>
  <c r="AB178" i="4" s="1"/>
  <c r="U83" i="5" s="1"/>
  <c r="AF90" i="4"/>
  <c r="AF35" i="4" s="1"/>
  <c r="AF37" i="4" s="1"/>
  <c r="AF39" i="4" s="1"/>
  <c r="Y11" i="5" s="1"/>
  <c r="AA122" i="4"/>
  <c r="AA123" i="4" s="1"/>
  <c r="T77" i="5" s="1"/>
  <c r="X136" i="4"/>
  <c r="Y134" i="4" s="1"/>
  <c r="AB193" i="4"/>
  <c r="U51" i="5" s="1"/>
  <c r="AC111" i="4"/>
  <c r="AD109" i="4" s="1"/>
  <c r="X162" i="4"/>
  <c r="X163" i="4" s="1"/>
  <c r="Q44" i="5" s="1"/>
  <c r="Q92" i="5"/>
  <c r="Z72" i="5"/>
  <c r="K19" i="5"/>
  <c r="K71" i="5" s="1"/>
  <c r="R154" i="4"/>
  <c r="U104" i="4"/>
  <c r="P41" i="5"/>
  <c r="AD169" i="4"/>
  <c r="AD170" i="4" s="1"/>
  <c r="AD171" i="4" s="1"/>
  <c r="V42" i="5"/>
  <c r="X143" i="4"/>
  <c r="P5" i="4"/>
  <c r="Q3" i="4"/>
  <c r="Q4" i="4" s="1"/>
  <c r="P2" i="4"/>
  <c r="AM3" i="4"/>
  <c r="AM4" i="4" s="1"/>
  <c r="AL5" i="4"/>
  <c r="AL2" i="4"/>
  <c r="J13" i="3"/>
  <c r="AX13" i="3" s="1"/>
  <c r="H5" i="6" l="1"/>
  <c r="AJ27" i="2"/>
  <c r="I13" i="3"/>
  <c r="AJ161" i="2"/>
  <c r="D134" i="2"/>
  <c r="D133" i="2"/>
  <c r="F43" i="4" s="1"/>
  <c r="AE433" i="2"/>
  <c r="AE437" i="2"/>
  <c r="AI35" i="2"/>
  <c r="AI432" i="2"/>
  <c r="AH433" i="2"/>
  <c r="AH437" i="2"/>
  <c r="AG433" i="2"/>
  <c r="AG437" i="2"/>
  <c r="AF433" i="2"/>
  <c r="AF437" i="2"/>
  <c r="AC24" i="6"/>
  <c r="AC25" i="6" s="1"/>
  <c r="AC26" i="6" s="1"/>
  <c r="J25" i="7"/>
  <c r="J64" i="7" s="1"/>
  <c r="J90" i="7" s="1"/>
  <c r="H2" i="6"/>
  <c r="I64" i="7"/>
  <c r="I90" i="7" s="1"/>
  <c r="H25" i="7"/>
  <c r="H64" i="7" s="1"/>
  <c r="H90" i="7" s="1"/>
  <c r="W185" i="4"/>
  <c r="P49" i="5" s="1"/>
  <c r="P53" i="5" s="1"/>
  <c r="Y236" i="4"/>
  <c r="Z234" i="4" s="1"/>
  <c r="W211" i="4"/>
  <c r="X209" i="4" s="1"/>
  <c r="AC5" i="6"/>
  <c r="AC2" i="6"/>
  <c r="AD3" i="6"/>
  <c r="AD4" i="6" s="1"/>
  <c r="G45" i="6"/>
  <c r="G51" i="6" s="1"/>
  <c r="H25" i="6"/>
  <c r="H26" i="6" s="1"/>
  <c r="H41" i="6" s="1"/>
  <c r="I24" i="6"/>
  <c r="O59" i="5"/>
  <c r="W228" i="4"/>
  <c r="X223" i="4"/>
  <c r="Q101" i="5" s="1"/>
  <c r="J3" i="5"/>
  <c r="J4" i="5" s="1"/>
  <c r="I2" i="5"/>
  <c r="I5" i="5"/>
  <c r="AG3" i="5"/>
  <c r="AG4" i="5" s="1"/>
  <c r="AF2" i="5"/>
  <c r="AF5" i="5"/>
  <c r="V242" i="4"/>
  <c r="Y52" i="5"/>
  <c r="Y85" i="5" s="1"/>
  <c r="AG199" i="4"/>
  <c r="AG200" i="4" s="1"/>
  <c r="AG201" i="4" s="1"/>
  <c r="AF203" i="4"/>
  <c r="Y21" i="5" s="1"/>
  <c r="I2" i="6"/>
  <c r="I5" i="6"/>
  <c r="J3" i="6"/>
  <c r="J4" i="6" s="1"/>
  <c r="AG61" i="4"/>
  <c r="AG72" i="4"/>
  <c r="AB179" i="4"/>
  <c r="AC177" i="4" s="1"/>
  <c r="AC178" i="4" s="1"/>
  <c r="V83" i="5" s="1"/>
  <c r="AF60" i="4"/>
  <c r="Y130" i="4"/>
  <c r="Q40" i="5"/>
  <c r="AC191" i="4"/>
  <c r="AC192" i="4" s="1"/>
  <c r="V84" i="5" s="1"/>
  <c r="V37" i="5"/>
  <c r="Y135" i="4"/>
  <c r="R79" i="5" s="1"/>
  <c r="AA124" i="4"/>
  <c r="AD110" i="4"/>
  <c r="W95" i="5" s="1"/>
  <c r="X144" i="4"/>
  <c r="X145" i="4" s="1"/>
  <c r="Q93" i="5"/>
  <c r="V80" i="5"/>
  <c r="U105" i="4"/>
  <c r="N94" i="5"/>
  <c r="S151" i="4"/>
  <c r="K43" i="5"/>
  <c r="Y160" i="4"/>
  <c r="Y161" i="4" s="1"/>
  <c r="AE169" i="4"/>
  <c r="AE170" i="4" s="1"/>
  <c r="AE171" i="4" s="1"/>
  <c r="W42" i="5"/>
  <c r="AG60" i="4"/>
  <c r="Z11" i="5"/>
  <c r="AN3" i="4"/>
  <c r="AN4" i="4" s="1"/>
  <c r="AM5" i="4"/>
  <c r="AM2" i="4"/>
  <c r="R3" i="4"/>
  <c r="R4" i="4" s="1"/>
  <c r="Q2" i="4"/>
  <c r="Q5" i="4"/>
  <c r="L13" i="3"/>
  <c r="G43" i="4" l="1"/>
  <c r="I43" i="4" s="1"/>
  <c r="O44" i="4" s="1"/>
  <c r="O71" i="4" s="1"/>
  <c r="H43" i="4"/>
  <c r="AJ171" i="2"/>
  <c r="AJ164" i="2"/>
  <c r="AJ32" i="2"/>
  <c r="AJ179" i="2"/>
  <c r="AJ182" i="2" s="1"/>
  <c r="AJ248" i="2"/>
  <c r="K13" i="3"/>
  <c r="AY13" i="3" s="1"/>
  <c r="AI433" i="2"/>
  <c r="AI437" i="2"/>
  <c r="AD24" i="6"/>
  <c r="AD25" i="6" s="1"/>
  <c r="AD26" i="6" s="1"/>
  <c r="K25" i="7"/>
  <c r="K64" i="7" s="1"/>
  <c r="K90" i="7" s="1"/>
  <c r="X183" i="4"/>
  <c r="X184" i="4" s="1"/>
  <c r="Q82" i="5" s="1"/>
  <c r="P56" i="5"/>
  <c r="R60" i="5"/>
  <c r="J24" i="6"/>
  <c r="AC179" i="4"/>
  <c r="AD177" i="4" s="1"/>
  <c r="AD178" i="4" s="1"/>
  <c r="W83" i="5" s="1"/>
  <c r="X224" i="4"/>
  <c r="Q58" i="5" s="1"/>
  <c r="H45" i="6"/>
  <c r="H51" i="6" s="1"/>
  <c r="I25" i="6"/>
  <c r="I26" i="6" s="1"/>
  <c r="I41" i="6" s="1"/>
  <c r="AE3" i="6"/>
  <c r="AE4" i="6" s="1"/>
  <c r="L25" i="7" s="1"/>
  <c r="L64" i="7" s="1"/>
  <c r="L90" i="7" s="1"/>
  <c r="AD2" i="6"/>
  <c r="AD5" i="6"/>
  <c r="U50" i="5"/>
  <c r="J2" i="5"/>
  <c r="K3" i="5"/>
  <c r="K4" i="5" s="1"/>
  <c r="J5" i="5"/>
  <c r="Z235" i="4"/>
  <c r="S103" i="5" s="1"/>
  <c r="J5" i="6"/>
  <c r="J2" i="6"/>
  <c r="K3" i="6"/>
  <c r="K4" i="6" s="1"/>
  <c r="W229" i="4"/>
  <c r="P102" i="5" s="1"/>
  <c r="AG203" i="4"/>
  <c r="Z21" i="5" s="1"/>
  <c r="Z52" i="5"/>
  <c r="Z85" i="5" s="1"/>
  <c r="O61" i="5"/>
  <c r="W240" i="4"/>
  <c r="AG5" i="5"/>
  <c r="AG2" i="5"/>
  <c r="X210" i="4"/>
  <c r="Q100" i="5" s="1"/>
  <c r="Z128" i="4"/>
  <c r="R39" i="5"/>
  <c r="AC193" i="4"/>
  <c r="V51" i="5" s="1"/>
  <c r="Y136" i="4"/>
  <c r="AD111" i="4"/>
  <c r="AE109" i="4" s="1"/>
  <c r="AB122" i="4"/>
  <c r="T38" i="5"/>
  <c r="Y162" i="4"/>
  <c r="Y163" i="4" s="1"/>
  <c r="Z160" i="4" s="1"/>
  <c r="R92" i="5"/>
  <c r="W80" i="5"/>
  <c r="S152" i="4"/>
  <c r="V103" i="4"/>
  <c r="N36" i="5"/>
  <c r="U106" i="4"/>
  <c r="Y142" i="4"/>
  <c r="Q41" i="5"/>
  <c r="AF169" i="4"/>
  <c r="X42" i="5"/>
  <c r="AN5" i="4"/>
  <c r="AN2" i="4"/>
  <c r="R5" i="4"/>
  <c r="R2" i="4"/>
  <c r="S3" i="4"/>
  <c r="S4" i="4" s="1"/>
  <c r="AH13" i="3"/>
  <c r="AF13" i="3"/>
  <c r="AT13" i="3"/>
  <c r="AA44" i="4" l="1"/>
  <c r="T12" i="5" s="1"/>
  <c r="T13" i="5" s="1"/>
  <c r="AE44" i="4"/>
  <c r="X12" i="5" s="1"/>
  <c r="X13" i="5" s="1"/>
  <c r="H12" i="5"/>
  <c r="H13" i="5" s="1"/>
  <c r="V44" i="4"/>
  <c r="V71" i="4" s="1"/>
  <c r="AB44" i="4"/>
  <c r="U12" i="5" s="1"/>
  <c r="U13" i="5" s="1"/>
  <c r="F13" i="5"/>
  <c r="I27" i="7" s="1"/>
  <c r="Q44" i="4"/>
  <c r="Q71" i="4" s="1"/>
  <c r="U44" i="4"/>
  <c r="U71" i="4" s="1"/>
  <c r="AC44" i="4"/>
  <c r="V12" i="5" s="1"/>
  <c r="V13" i="5" s="1"/>
  <c r="T44" i="4"/>
  <c r="T71" i="4" s="1"/>
  <c r="X44" i="4"/>
  <c r="X71" i="4" s="1"/>
  <c r="Z44" i="4"/>
  <c r="Z71" i="4" s="1"/>
  <c r="W44" i="4"/>
  <c r="W71" i="4" s="1"/>
  <c r="R44" i="4"/>
  <c r="R71" i="4" s="1"/>
  <c r="S44" i="4"/>
  <c r="L12" i="5" s="1"/>
  <c r="L13" i="5" s="1"/>
  <c r="Y44" i="4"/>
  <c r="R12" i="5" s="1"/>
  <c r="R13" i="5" s="1"/>
  <c r="AF44" i="4"/>
  <c r="AF71" i="4" s="1"/>
  <c r="AD44" i="4"/>
  <c r="W12" i="5" s="1"/>
  <c r="W13" i="5" s="1"/>
  <c r="P44" i="4"/>
  <c r="I12" i="5" s="1"/>
  <c r="I13" i="5" s="1"/>
  <c r="AG44" i="4"/>
  <c r="Z12" i="5" s="1"/>
  <c r="Z13" i="5" s="1"/>
  <c r="N44" i="4"/>
  <c r="G12" i="5" s="1"/>
  <c r="G13" i="5" s="1"/>
  <c r="AJ35" i="2"/>
  <c r="AJ432" i="2"/>
  <c r="M13" i="3"/>
  <c r="AD179" i="4"/>
  <c r="AE177" i="4" s="1"/>
  <c r="AE178" i="4" s="1"/>
  <c r="Y222" i="4"/>
  <c r="Y223" i="4" s="1"/>
  <c r="R101" i="5" s="1"/>
  <c r="V50" i="5"/>
  <c r="K24" i="6"/>
  <c r="AE5" i="6"/>
  <c r="AE2" i="6"/>
  <c r="AF3" i="6"/>
  <c r="AF4" i="6" s="1"/>
  <c r="M25" i="7" s="1"/>
  <c r="M64" i="7" s="1"/>
  <c r="M90" i="7" s="1"/>
  <c r="AE24" i="6"/>
  <c r="AE25" i="6" s="1"/>
  <c r="AE26" i="6" s="1"/>
  <c r="J25" i="6"/>
  <c r="J26" i="6" s="1"/>
  <c r="J41" i="6" s="1"/>
  <c r="I45" i="6"/>
  <c r="I51" i="6" s="1"/>
  <c r="Z236" i="4"/>
  <c r="AA234" i="4" s="1"/>
  <c r="W241" i="4"/>
  <c r="P104" i="5" s="1"/>
  <c r="X185" i="4"/>
  <c r="W230" i="4"/>
  <c r="K2" i="5"/>
  <c r="L3" i="5"/>
  <c r="L4" i="5" s="1"/>
  <c r="K5" i="5"/>
  <c r="L3" i="6"/>
  <c r="L4" i="6" s="1"/>
  <c r="K2" i="6"/>
  <c r="K5" i="6"/>
  <c r="X211" i="4"/>
  <c r="AD191" i="4"/>
  <c r="AD192" i="4" s="1"/>
  <c r="W84" i="5" s="1"/>
  <c r="W37" i="5"/>
  <c r="Z129" i="4"/>
  <c r="S78" i="5" s="1"/>
  <c r="Z134" i="4"/>
  <c r="R40" i="5"/>
  <c r="AB123" i="4"/>
  <c r="U77" i="5" s="1"/>
  <c r="AE110" i="4"/>
  <c r="X95" i="5" s="1"/>
  <c r="X80" i="5"/>
  <c r="AA71" i="4"/>
  <c r="V104" i="4"/>
  <c r="S153" i="4"/>
  <c r="L91" i="5"/>
  <c r="L96" i="5" s="1"/>
  <c r="R44" i="5"/>
  <c r="Y143" i="4"/>
  <c r="Z161" i="4"/>
  <c r="AF170" i="4"/>
  <c r="AF171" i="4" s="1"/>
  <c r="S2" i="4"/>
  <c r="S5" i="4"/>
  <c r="T3" i="4"/>
  <c r="T4" i="4" s="1"/>
  <c r="AE71" i="4" l="1"/>
  <c r="S71" i="4"/>
  <c r="N12" i="5"/>
  <c r="N13" i="5" s="1"/>
  <c r="M12" i="5"/>
  <c r="M13" i="5" s="1"/>
  <c r="M71" i="4"/>
  <c r="AB71" i="4"/>
  <c r="AC71" i="4"/>
  <c r="J12" i="5"/>
  <c r="J13" i="5" s="1"/>
  <c r="O12" i="5"/>
  <c r="O13" i="5" s="1"/>
  <c r="P12" i="5"/>
  <c r="P13" i="5" s="1"/>
  <c r="K12" i="5"/>
  <c r="K13" i="5" s="1"/>
  <c r="Q12" i="5"/>
  <c r="Q13" i="5" s="1"/>
  <c r="N71" i="4"/>
  <c r="S12" i="5"/>
  <c r="S13" i="5" s="1"/>
  <c r="AD71" i="4"/>
  <c r="Y12" i="5"/>
  <c r="Y13" i="5" s="1"/>
  <c r="Y71" i="4"/>
  <c r="P71" i="4"/>
  <c r="AG71" i="4"/>
  <c r="AI13" i="3"/>
  <c r="C24" i="3" s="1"/>
  <c r="C26" i="3" s="1"/>
  <c r="AV13" i="3"/>
  <c r="AG13" i="3"/>
  <c r="AU13" i="3"/>
  <c r="AJ437" i="2"/>
  <c r="AJ433" i="2"/>
  <c r="W50" i="5"/>
  <c r="S60" i="5"/>
  <c r="AF24" i="6"/>
  <c r="AF25" i="6" s="1"/>
  <c r="AF26" i="6" s="1"/>
  <c r="K25" i="6"/>
  <c r="K26" i="6" s="1"/>
  <c r="K41" i="6" s="1"/>
  <c r="J45" i="6"/>
  <c r="J51" i="6" s="1"/>
  <c r="AF5" i="6"/>
  <c r="AF2" i="6"/>
  <c r="AG3" i="6"/>
  <c r="AG4" i="6" s="1"/>
  <c r="L24" i="6"/>
  <c r="L5" i="5"/>
  <c r="M3" i="5"/>
  <c r="M4" i="5" s="1"/>
  <c r="L2" i="5"/>
  <c r="X228" i="4"/>
  <c r="P59" i="5"/>
  <c r="Y224" i="4"/>
  <c r="Y209" i="4"/>
  <c r="Q56" i="5"/>
  <c r="AA235" i="4"/>
  <c r="T103" i="5" s="1"/>
  <c r="L5" i="6"/>
  <c r="M3" i="6"/>
  <c r="M4" i="6" s="1"/>
  <c r="L2" i="6"/>
  <c r="Y183" i="4"/>
  <c r="Q49" i="5"/>
  <c r="Q53" i="5" s="1"/>
  <c r="W242" i="4"/>
  <c r="Z130" i="4"/>
  <c r="AB124" i="4"/>
  <c r="AC122" i="4" s="1"/>
  <c r="AD193" i="4"/>
  <c r="AE191" i="4" s="1"/>
  <c r="Z135" i="4"/>
  <c r="S79" i="5" s="1"/>
  <c r="AE111" i="4"/>
  <c r="AE179" i="4"/>
  <c r="AF177" i="4" s="1"/>
  <c r="X83" i="5"/>
  <c r="Z162" i="4"/>
  <c r="Z163" i="4" s="1"/>
  <c r="S92" i="5"/>
  <c r="Y144" i="4"/>
  <c r="Y145" i="4" s="1"/>
  <c r="Z142" i="4" s="1"/>
  <c r="R93" i="5"/>
  <c r="V105" i="4"/>
  <c r="O36" i="5" s="1"/>
  <c r="O94" i="5"/>
  <c r="L19" i="5"/>
  <c r="L71" i="5" s="1"/>
  <c r="S154" i="4"/>
  <c r="AG169" i="4"/>
  <c r="Y42" i="5"/>
  <c r="T5" i="4"/>
  <c r="U3" i="4"/>
  <c r="U4" i="4" s="1"/>
  <c r="T2" i="4"/>
  <c r="I25" i="3" l="1"/>
  <c r="I26" i="3" s="1"/>
  <c r="C27" i="3"/>
  <c r="N25" i="7"/>
  <c r="N64" i="7" s="1"/>
  <c r="N90" i="7" s="1"/>
  <c r="AG2" i="6"/>
  <c r="W51" i="5"/>
  <c r="AG24" i="6"/>
  <c r="AG25" i="6" s="1"/>
  <c r="AG26" i="6" s="1"/>
  <c r="AG5" i="6"/>
  <c r="L25" i="6"/>
  <c r="L26" i="6" s="1"/>
  <c r="L41" i="6" s="1"/>
  <c r="K45" i="6"/>
  <c r="K51" i="6" s="1"/>
  <c r="M24" i="6"/>
  <c r="Y184" i="4"/>
  <c r="Y185" i="4" s="1"/>
  <c r="X229" i="4"/>
  <c r="Q102" i="5" s="1"/>
  <c r="N3" i="5"/>
  <c r="N4" i="5" s="1"/>
  <c r="M2" i="5"/>
  <c r="M5" i="5"/>
  <c r="P61" i="5"/>
  <c r="X240" i="4"/>
  <c r="N3" i="6"/>
  <c r="N4" i="6" s="1"/>
  <c r="M5" i="6"/>
  <c r="M2" i="6"/>
  <c r="Y210" i="4"/>
  <c r="R100" i="5" s="1"/>
  <c r="AA236" i="4"/>
  <c r="Z222" i="4"/>
  <c r="R58" i="5"/>
  <c r="U38" i="5"/>
  <c r="AA128" i="4"/>
  <c r="S39" i="5"/>
  <c r="Z136" i="4"/>
  <c r="AA134" i="4" s="1"/>
  <c r="AE192" i="4"/>
  <c r="X84" i="5" s="1"/>
  <c r="R41" i="5"/>
  <c r="X50" i="5"/>
  <c r="AC123" i="4"/>
  <c r="V77" i="5" s="1"/>
  <c r="AF109" i="4"/>
  <c r="X37" i="5"/>
  <c r="W103" i="4"/>
  <c r="W104" i="4" s="1"/>
  <c r="V106" i="4"/>
  <c r="Y80" i="5"/>
  <c r="L43" i="5"/>
  <c r="T151" i="4"/>
  <c r="AF178" i="4"/>
  <c r="Y83" i="5" s="1"/>
  <c r="AA160" i="4"/>
  <c r="S44" i="5"/>
  <c r="AG170" i="4"/>
  <c r="AG171" i="4" s="1"/>
  <c r="Z42" i="5" s="1"/>
  <c r="Z143" i="4"/>
  <c r="V3" i="4"/>
  <c r="V4" i="4" s="1"/>
  <c r="U5" i="4"/>
  <c r="U2" i="4"/>
  <c r="M25" i="6" l="1"/>
  <c r="M26" i="6" s="1"/>
  <c r="M41" i="6" s="1"/>
  <c r="L45" i="6"/>
  <c r="L51" i="6" s="1"/>
  <c r="N24" i="6"/>
  <c r="Y211" i="4"/>
  <c r="O3" i="5"/>
  <c r="O4" i="5" s="1"/>
  <c r="N2" i="5"/>
  <c r="N5" i="5"/>
  <c r="N5" i="6"/>
  <c r="O3" i="6"/>
  <c r="O4" i="6" s="1"/>
  <c r="N2" i="6"/>
  <c r="X230" i="4"/>
  <c r="Z223" i="4"/>
  <c r="S101" i="5" s="1"/>
  <c r="X241" i="4"/>
  <c r="Q104" i="5" s="1"/>
  <c r="Z183" i="4"/>
  <c r="R49" i="5"/>
  <c r="R82" i="5"/>
  <c r="AB234" i="4"/>
  <c r="T60" i="5"/>
  <c r="AA129" i="4"/>
  <c r="T78" i="5" s="1"/>
  <c r="S40" i="5"/>
  <c r="AC124" i="4"/>
  <c r="AD122" i="4" s="1"/>
  <c r="AE193" i="4"/>
  <c r="AF191" i="4" s="1"/>
  <c r="AA135" i="4"/>
  <c r="T79" i="5" s="1"/>
  <c r="AF110" i="4"/>
  <c r="Y95" i="5" s="1"/>
  <c r="AF179" i="4"/>
  <c r="AG177" i="4" s="1"/>
  <c r="AG178" i="4" s="1"/>
  <c r="Z144" i="4"/>
  <c r="Z145" i="4" s="1"/>
  <c r="S41" i="5" s="1"/>
  <c r="S93" i="5"/>
  <c r="W105" i="4"/>
  <c r="X103" i="4" s="1"/>
  <c r="P94" i="5"/>
  <c r="Z80" i="5"/>
  <c r="T152" i="4"/>
  <c r="AA161" i="4"/>
  <c r="W3" i="4"/>
  <c r="W4" i="4" s="1"/>
  <c r="V2" i="4"/>
  <c r="V5" i="4"/>
  <c r="Z224" i="4" l="1"/>
  <c r="AA222" i="4" s="1"/>
  <c r="N25" i="6"/>
  <c r="N26" i="6" s="1"/>
  <c r="N41" i="6" s="1"/>
  <c r="M45" i="6"/>
  <c r="M51" i="6" s="1"/>
  <c r="O24" i="6"/>
  <c r="X242" i="4"/>
  <c r="Q61" i="5" s="1"/>
  <c r="P3" i="6"/>
  <c r="P4" i="6" s="1"/>
  <c r="O2" i="6"/>
  <c r="O5" i="6"/>
  <c r="R53" i="5"/>
  <c r="AB235" i="4"/>
  <c r="U103" i="5" s="1"/>
  <c r="Z209" i="4"/>
  <c r="R56" i="5"/>
  <c r="Z184" i="4"/>
  <c r="S82" i="5" s="1"/>
  <c r="Q59" i="5"/>
  <c r="Y228" i="4"/>
  <c r="P3" i="5"/>
  <c r="P4" i="5" s="1"/>
  <c r="O5" i="5"/>
  <c r="O2" i="5"/>
  <c r="AA130" i="4"/>
  <c r="AB128" i="4" s="1"/>
  <c r="W106" i="4"/>
  <c r="P36" i="5"/>
  <c r="V38" i="5"/>
  <c r="X51" i="5"/>
  <c r="AF111" i="4"/>
  <c r="Y37" i="5" s="1"/>
  <c r="AA136" i="4"/>
  <c r="Y50" i="5"/>
  <c r="AF192" i="4"/>
  <c r="Y84" i="5" s="1"/>
  <c r="AD123" i="4"/>
  <c r="W77" i="5" s="1"/>
  <c r="AA162" i="4"/>
  <c r="AA163" i="4" s="1"/>
  <c r="T44" i="5" s="1"/>
  <c r="T92" i="5"/>
  <c r="AG179" i="4"/>
  <c r="Z50" i="5" s="1"/>
  <c r="Z83" i="5"/>
  <c r="X104" i="4"/>
  <c r="T153" i="4"/>
  <c r="M91" i="5"/>
  <c r="M96" i="5" s="1"/>
  <c r="AA142" i="4"/>
  <c r="AA143" i="4" s="1"/>
  <c r="W2" i="4"/>
  <c r="W5" i="4"/>
  <c r="X3" i="4"/>
  <c r="X4" i="4" s="1"/>
  <c r="S58" i="5" l="1"/>
  <c r="Y240" i="4"/>
  <c r="Y241" i="4" s="1"/>
  <c r="R104" i="5" s="1"/>
  <c r="AB236" i="4"/>
  <c r="AC234" i="4" s="1"/>
  <c r="O25" i="6"/>
  <c r="O26" i="6" s="1"/>
  <c r="O41" i="6" s="1"/>
  <c r="N45" i="6"/>
  <c r="N51" i="6" s="1"/>
  <c r="P24" i="6"/>
  <c r="Z185" i="4"/>
  <c r="AA183" i="4" s="1"/>
  <c r="Z210" i="4"/>
  <c r="S100" i="5" s="1"/>
  <c r="Q3" i="6"/>
  <c r="Q4" i="6" s="1"/>
  <c r="P5" i="6"/>
  <c r="P2" i="6"/>
  <c r="AA223" i="4"/>
  <c r="T101" i="5" s="1"/>
  <c r="P2" i="5"/>
  <c r="Q3" i="5"/>
  <c r="Q4" i="5" s="1"/>
  <c r="P5" i="5"/>
  <c r="Y229" i="4"/>
  <c r="R102" i="5" s="1"/>
  <c r="T39" i="5"/>
  <c r="AG109" i="4"/>
  <c r="AG110" i="4" s="1"/>
  <c r="Z95" i="5" s="1"/>
  <c r="AB129" i="4"/>
  <c r="U78" i="5" s="1"/>
  <c r="AD124" i="4"/>
  <c r="W38" i="5" s="1"/>
  <c r="AF193" i="4"/>
  <c r="Y51" i="5" s="1"/>
  <c r="AB134" i="4"/>
  <c r="T40" i="5"/>
  <c r="AA144" i="4"/>
  <c r="AA145" i="4" s="1"/>
  <c r="AB142" i="4" s="1"/>
  <c r="T93" i="5"/>
  <c r="X105" i="4"/>
  <c r="Q36" i="5" s="1"/>
  <c r="Q94" i="5"/>
  <c r="M19" i="5"/>
  <c r="T154" i="4"/>
  <c r="AB160" i="4"/>
  <c r="AB161" i="4" s="1"/>
  <c r="X2" i="4"/>
  <c r="X5" i="4"/>
  <c r="Y3" i="4"/>
  <c r="Y4" i="4" s="1"/>
  <c r="Z211" i="4" l="1"/>
  <c r="AA209" i="4" s="1"/>
  <c r="U60" i="5"/>
  <c r="S49" i="5"/>
  <c r="S53" i="5" s="1"/>
  <c r="AA224" i="4"/>
  <c r="AB222" i="4" s="1"/>
  <c r="P25" i="6"/>
  <c r="P26" i="6" s="1"/>
  <c r="P41" i="6" s="1"/>
  <c r="O45" i="6"/>
  <c r="O51" i="6" s="1"/>
  <c r="Q24" i="6"/>
  <c r="Y242" i="4"/>
  <c r="AA184" i="4"/>
  <c r="T82" i="5" s="1"/>
  <c r="R3" i="6"/>
  <c r="R4" i="6" s="1"/>
  <c r="Q2" i="6"/>
  <c r="Q5" i="6"/>
  <c r="S56" i="5"/>
  <c r="R3" i="5"/>
  <c r="R4" i="5" s="1"/>
  <c r="Q2" i="5"/>
  <c r="Q5" i="5"/>
  <c r="Y230" i="4"/>
  <c r="AC235" i="4"/>
  <c r="V103" i="5" s="1"/>
  <c r="AB130" i="4"/>
  <c r="AC128" i="4" s="1"/>
  <c r="AE122" i="4"/>
  <c r="AE123" i="4" s="1"/>
  <c r="X77" i="5" s="1"/>
  <c r="AG191" i="4"/>
  <c r="AG192" i="4" s="1"/>
  <c r="Z84" i="5" s="1"/>
  <c r="AG111" i="4"/>
  <c r="Z37" i="5" s="1"/>
  <c r="AB135" i="4"/>
  <c r="U79" i="5" s="1"/>
  <c r="Y103" i="4"/>
  <c r="Y104" i="4" s="1"/>
  <c r="X106" i="4"/>
  <c r="AB162" i="4"/>
  <c r="AB163" i="4" s="1"/>
  <c r="U44" i="5" s="1"/>
  <c r="U92" i="5"/>
  <c r="M71" i="5"/>
  <c r="M43" i="5"/>
  <c r="U151" i="4"/>
  <c r="T41" i="5"/>
  <c r="AB143" i="4"/>
  <c r="Y2" i="4"/>
  <c r="Y5" i="4"/>
  <c r="Z3" i="4"/>
  <c r="Z4" i="4" s="1"/>
  <c r="AC236" i="4" l="1"/>
  <c r="V60" i="5" s="1"/>
  <c r="T58" i="5"/>
  <c r="AA185" i="4"/>
  <c r="AB183" i="4" s="1"/>
  <c r="Q25" i="6"/>
  <c r="Q26" i="6" s="1"/>
  <c r="Q41" i="6" s="1"/>
  <c r="P45" i="6"/>
  <c r="P51" i="6" s="1"/>
  <c r="R24" i="6"/>
  <c r="S3" i="6"/>
  <c r="S4" i="6" s="1"/>
  <c r="R2" i="6"/>
  <c r="R5" i="6"/>
  <c r="R5" i="5"/>
  <c r="S3" i="5"/>
  <c r="S4" i="5" s="1"/>
  <c r="R2" i="5"/>
  <c r="Z240" i="4"/>
  <c r="R61" i="5"/>
  <c r="AA210" i="4"/>
  <c r="T100" i="5" s="1"/>
  <c r="Z228" i="4"/>
  <c r="R59" i="5"/>
  <c r="AB223" i="4"/>
  <c r="U101" i="5" s="1"/>
  <c r="U39" i="5"/>
  <c r="AC129" i="4"/>
  <c r="V78" i="5" s="1"/>
  <c r="AG193" i="4"/>
  <c r="Z51" i="5" s="1"/>
  <c r="AB136" i="4"/>
  <c r="AE124" i="4"/>
  <c r="AC160" i="4"/>
  <c r="AC161" i="4" s="1"/>
  <c r="Y105" i="4"/>
  <c r="Z103" i="4" s="1"/>
  <c r="R94" i="5"/>
  <c r="AB144" i="4"/>
  <c r="AB145" i="4" s="1"/>
  <c r="U41" i="5" s="1"/>
  <c r="U93" i="5"/>
  <c r="U152" i="4"/>
  <c r="AA3" i="4"/>
  <c r="AA4" i="4" s="1"/>
  <c r="Z2" i="4"/>
  <c r="Z5" i="4"/>
  <c r="AD234" i="4" l="1"/>
  <c r="AD235" i="4" s="1"/>
  <c r="W103" i="5" s="1"/>
  <c r="T49" i="5"/>
  <c r="T53" i="5" s="1"/>
  <c r="R25" i="6"/>
  <c r="R26" i="6" s="1"/>
  <c r="R41" i="6" s="1"/>
  <c r="Q45" i="6"/>
  <c r="Q51" i="6" s="1"/>
  <c r="S24" i="6"/>
  <c r="AB224" i="4"/>
  <c r="AC222" i="4" s="1"/>
  <c r="Z241" i="4"/>
  <c r="S104" i="5" s="1"/>
  <c r="AA211" i="4"/>
  <c r="Z229" i="4"/>
  <c r="S102" i="5" s="1"/>
  <c r="S5" i="6"/>
  <c r="S2" i="6"/>
  <c r="T3" i="6"/>
  <c r="T4" i="6" s="1"/>
  <c r="T24" i="6" s="1"/>
  <c r="S2" i="5"/>
  <c r="S5" i="5"/>
  <c r="T3" i="5"/>
  <c r="T4" i="5" s="1"/>
  <c r="AB184" i="4"/>
  <c r="U82" i="5" s="1"/>
  <c r="AC130" i="4"/>
  <c r="V39" i="5" s="1"/>
  <c r="Y106" i="4"/>
  <c r="R36" i="5"/>
  <c r="AC134" i="4"/>
  <c r="U40" i="5"/>
  <c r="AF122" i="4"/>
  <c r="X38" i="5"/>
  <c r="AC162" i="4"/>
  <c r="AC163" i="4" s="1"/>
  <c r="V92" i="5"/>
  <c r="AC142" i="4"/>
  <c r="AC143" i="4" s="1"/>
  <c r="U153" i="4"/>
  <c r="N91" i="5"/>
  <c r="Z104" i="4"/>
  <c r="AB3" i="4"/>
  <c r="AB4" i="4" s="1"/>
  <c r="AA2" i="4"/>
  <c r="AA5" i="4"/>
  <c r="U58" i="5" l="1"/>
  <c r="AB185" i="4"/>
  <c r="U49" i="5" s="1"/>
  <c r="U53" i="5" s="1"/>
  <c r="S25" i="6"/>
  <c r="S26" i="6" s="1"/>
  <c r="S41" i="6" s="1"/>
  <c r="R45" i="6"/>
  <c r="R51" i="6" s="1"/>
  <c r="Z230" i="4"/>
  <c r="AA228" i="4" s="1"/>
  <c r="AD236" i="4"/>
  <c r="T2" i="6"/>
  <c r="T5" i="6"/>
  <c r="U3" i="6"/>
  <c r="U4" i="6" s="1"/>
  <c r="AC223" i="4"/>
  <c r="V101" i="5" s="1"/>
  <c r="Z242" i="4"/>
  <c r="T5" i="5"/>
  <c r="U3" i="5"/>
  <c r="U4" i="5" s="1"/>
  <c r="T2" i="5"/>
  <c r="AB209" i="4"/>
  <c r="T56" i="5"/>
  <c r="AD128" i="4"/>
  <c r="AD129" i="4" s="1"/>
  <c r="W78" i="5" s="1"/>
  <c r="AC135" i="4"/>
  <c r="V79" i="5" s="1"/>
  <c r="AF123" i="4"/>
  <c r="Y77" i="5" s="1"/>
  <c r="AC144" i="4"/>
  <c r="AC145" i="4" s="1"/>
  <c r="V93" i="5"/>
  <c r="Z105" i="4"/>
  <c r="AA103" i="4" s="1"/>
  <c r="S94" i="5"/>
  <c r="N96" i="5"/>
  <c r="N19" i="5"/>
  <c r="U154" i="4"/>
  <c r="AD160" i="4"/>
  <c r="V44" i="5"/>
  <c r="AB2" i="4"/>
  <c r="AB5" i="4"/>
  <c r="AC3" i="4"/>
  <c r="AC4" i="4" s="1"/>
  <c r="AC183" i="4" l="1"/>
  <c r="AC184" i="4" s="1"/>
  <c r="V82" i="5" s="1"/>
  <c r="AC224" i="4"/>
  <c r="V58" i="5" s="1"/>
  <c r="S59" i="5"/>
  <c r="T25" i="6"/>
  <c r="T26" i="6" s="1"/>
  <c r="T41" i="6" s="1"/>
  <c r="S45" i="6"/>
  <c r="S51" i="6" s="1"/>
  <c r="U24" i="6"/>
  <c r="U2" i="6"/>
  <c r="V3" i="6"/>
  <c r="V4" i="6" s="1"/>
  <c r="U5" i="6"/>
  <c r="U5" i="5"/>
  <c r="V3" i="5"/>
  <c r="V4" i="5" s="1"/>
  <c r="U2" i="5"/>
  <c r="AA240" i="4"/>
  <c r="S61" i="5"/>
  <c r="AA229" i="4"/>
  <c r="T102" i="5" s="1"/>
  <c r="W60" i="5"/>
  <c r="AE234" i="4"/>
  <c r="AB210" i="4"/>
  <c r="U100" i="5" s="1"/>
  <c r="AD130" i="4"/>
  <c r="AF124" i="4"/>
  <c r="AG122" i="4" s="1"/>
  <c r="AC136" i="4"/>
  <c r="AD142" i="4"/>
  <c r="AD143" i="4" s="1"/>
  <c r="V41" i="5"/>
  <c r="S36" i="5"/>
  <c r="Z106" i="4"/>
  <c r="V151" i="4"/>
  <c r="N43" i="5"/>
  <c r="N71" i="5"/>
  <c r="AA104" i="4"/>
  <c r="AD161" i="4"/>
  <c r="AD3" i="4"/>
  <c r="AD4" i="4" s="1"/>
  <c r="AC2" i="4"/>
  <c r="AC5" i="4"/>
  <c r="AD222" i="4" l="1"/>
  <c r="AD223" i="4" s="1"/>
  <c r="W101" i="5" s="1"/>
  <c r="AB211" i="4"/>
  <c r="AC209" i="4" s="1"/>
  <c r="U25" i="6"/>
  <c r="U26" i="6" s="1"/>
  <c r="U41" i="6" s="1"/>
  <c r="T45" i="6"/>
  <c r="T51" i="6" s="1"/>
  <c r="V24" i="6"/>
  <c r="AC185" i="4"/>
  <c r="AD183" i="4" s="1"/>
  <c r="W3" i="5"/>
  <c r="W4" i="5" s="1"/>
  <c r="V2" i="5"/>
  <c r="V5" i="5"/>
  <c r="AA241" i="4"/>
  <c r="T104" i="5" s="1"/>
  <c r="AA230" i="4"/>
  <c r="V2" i="6"/>
  <c r="W3" i="6"/>
  <c r="W4" i="6" s="1"/>
  <c r="V5" i="6"/>
  <c r="AE235" i="4"/>
  <c r="X103" i="5" s="1"/>
  <c r="W39" i="5"/>
  <c r="AE128" i="4"/>
  <c r="Y38" i="5"/>
  <c r="AD134" i="4"/>
  <c r="V40" i="5"/>
  <c r="AG123" i="4"/>
  <c r="Z77" i="5" s="1"/>
  <c r="AA105" i="4"/>
  <c r="AB103" i="4" s="1"/>
  <c r="T94" i="5"/>
  <c r="AD162" i="4"/>
  <c r="AD163" i="4" s="1"/>
  <c r="AE160" i="4" s="1"/>
  <c r="W92" i="5"/>
  <c r="AD144" i="4"/>
  <c r="AD145" i="4" s="1"/>
  <c r="AE142" i="4" s="1"/>
  <c r="W93" i="5"/>
  <c r="V152" i="4"/>
  <c r="AD5" i="4"/>
  <c r="AD2" i="4"/>
  <c r="AE3" i="4"/>
  <c r="AE4" i="4" s="1"/>
  <c r="U56" i="5" l="1"/>
  <c r="V49" i="5"/>
  <c r="V53" i="5" s="1"/>
  <c r="AE236" i="4"/>
  <c r="AF234" i="4" s="1"/>
  <c r="V25" i="6"/>
  <c r="V26" i="6" s="1"/>
  <c r="V41" i="6" s="1"/>
  <c r="U45" i="6"/>
  <c r="U51" i="6" s="1"/>
  <c r="W24" i="6"/>
  <c r="W5" i="5"/>
  <c r="X3" i="5"/>
  <c r="X4" i="5" s="1"/>
  <c r="W2" i="5"/>
  <c r="AB228" i="4"/>
  <c r="T59" i="5"/>
  <c r="AA242" i="4"/>
  <c r="W5" i="6"/>
  <c r="X3" i="6"/>
  <c r="X4" i="6" s="1"/>
  <c r="W2" i="6"/>
  <c r="AC210" i="4"/>
  <c r="V100" i="5" s="1"/>
  <c r="AD184" i="4"/>
  <c r="W82" i="5" s="1"/>
  <c r="AD224" i="4"/>
  <c r="AE129" i="4"/>
  <c r="X78" i="5" s="1"/>
  <c r="AG124" i="4"/>
  <c r="Z38" i="5" s="1"/>
  <c r="AA106" i="4"/>
  <c r="T36" i="5"/>
  <c r="AD135" i="4"/>
  <c r="W79" i="5" s="1"/>
  <c r="V153" i="4"/>
  <c r="O91" i="5"/>
  <c r="AB104" i="4"/>
  <c r="U94" i="5" s="1"/>
  <c r="W44" i="5"/>
  <c r="W41" i="5"/>
  <c r="AE143" i="4"/>
  <c r="AE161" i="4"/>
  <c r="AE2" i="4"/>
  <c r="AE5" i="4"/>
  <c r="AF3" i="4"/>
  <c r="AF4" i="4" s="1"/>
  <c r="X60" i="5" l="1"/>
  <c r="W25" i="6"/>
  <c r="W26" i="6" s="1"/>
  <c r="W41" i="6" s="1"/>
  <c r="V45" i="6"/>
  <c r="V51" i="6" s="1"/>
  <c r="X24" i="6"/>
  <c r="AC211" i="4"/>
  <c r="AB229" i="4"/>
  <c r="U102" i="5" s="1"/>
  <c r="AF235" i="4"/>
  <c r="Y103" i="5" s="1"/>
  <c r="AD185" i="4"/>
  <c r="Y3" i="6"/>
  <c r="Y4" i="6" s="1"/>
  <c r="X2" i="6"/>
  <c r="X5" i="6"/>
  <c r="X2" i="5"/>
  <c r="Y3" i="5"/>
  <c r="Y4" i="5" s="1"/>
  <c r="X5" i="5"/>
  <c r="AE222" i="4"/>
  <c r="W58" i="5"/>
  <c r="AB240" i="4"/>
  <c r="T61" i="5"/>
  <c r="AE130" i="4"/>
  <c r="AF128" i="4" s="1"/>
  <c r="AD136" i="4"/>
  <c r="AE134" i="4" s="1"/>
  <c r="AB105" i="4"/>
  <c r="AB106" i="4" s="1"/>
  <c r="O96" i="5"/>
  <c r="AE144" i="4"/>
  <c r="AE145" i="4" s="1"/>
  <c r="AF142" i="4" s="1"/>
  <c r="X93" i="5"/>
  <c r="AE162" i="4"/>
  <c r="AE163" i="4" s="1"/>
  <c r="AF160" i="4" s="1"/>
  <c r="X92" i="5"/>
  <c r="O19" i="5"/>
  <c r="O71" i="5" s="1"/>
  <c r="V154" i="4"/>
  <c r="AF2" i="4"/>
  <c r="AF5" i="4"/>
  <c r="AG3" i="4"/>
  <c r="AG4" i="4" s="1"/>
  <c r="AI183" i="4" s="1"/>
  <c r="X25" i="6" l="1"/>
  <c r="X26" i="6" s="1"/>
  <c r="X41" i="6" s="1"/>
  <c r="W45" i="6"/>
  <c r="W51" i="6" s="1"/>
  <c r="Y24" i="6"/>
  <c r="AB230" i="4"/>
  <c r="AC228" i="4" s="1"/>
  <c r="AF236" i="4"/>
  <c r="AG234" i="4" s="1"/>
  <c r="Y5" i="5"/>
  <c r="Y2" i="5"/>
  <c r="Z3" i="5"/>
  <c r="Z4" i="5" s="1"/>
  <c r="AE59" i="5" s="1"/>
  <c r="AB241" i="4"/>
  <c r="U104" i="5" s="1"/>
  <c r="AD209" i="4"/>
  <c r="V56" i="5"/>
  <c r="Z3" i="6"/>
  <c r="Z4" i="6" s="1"/>
  <c r="Y5" i="6"/>
  <c r="Y2" i="6"/>
  <c r="AE183" i="4"/>
  <c r="W49" i="5"/>
  <c r="W53" i="5" s="1"/>
  <c r="AE223" i="4"/>
  <c r="X101" i="5" s="1"/>
  <c r="X39" i="5"/>
  <c r="AF129" i="4"/>
  <c r="Y78" i="5" s="1"/>
  <c r="W40" i="5"/>
  <c r="AC103" i="4"/>
  <c r="AM103" i="4" s="1"/>
  <c r="U36" i="5"/>
  <c r="AE135" i="4"/>
  <c r="X79" i="5" s="1"/>
  <c r="W151" i="4"/>
  <c r="W152" i="4" s="1"/>
  <c r="O43" i="5"/>
  <c r="X41" i="5"/>
  <c r="X44" i="5"/>
  <c r="AF143" i="4"/>
  <c r="AI240" i="4"/>
  <c r="AI222" i="4"/>
  <c r="AI228" i="4"/>
  <c r="AI234" i="4"/>
  <c r="AF161" i="4"/>
  <c r="AI209" i="4"/>
  <c r="AI215" i="4"/>
  <c r="AG5" i="4"/>
  <c r="AG2" i="4"/>
  <c r="AL161" i="4" s="1"/>
  <c r="AI26" i="4"/>
  <c r="AI27" i="4" s="1"/>
  <c r="AI128" i="4"/>
  <c r="AI177" i="4"/>
  <c r="AI50" i="4"/>
  <c r="AI85" i="4"/>
  <c r="AI36" i="4"/>
  <c r="AI160" i="4"/>
  <c r="AI191" i="4"/>
  <c r="AI109" i="4"/>
  <c r="AI169" i="4"/>
  <c r="AK36" i="4"/>
  <c r="AI52" i="4"/>
  <c r="AI99" i="4"/>
  <c r="AI199" i="4"/>
  <c r="AI134" i="4"/>
  <c r="AJ94" i="4"/>
  <c r="AJ99" i="4"/>
  <c r="AI142" i="4"/>
  <c r="AI51" i="4"/>
  <c r="AI122" i="4"/>
  <c r="AI151" i="4"/>
  <c r="AI94" i="4"/>
  <c r="AI18" i="4"/>
  <c r="AI103" i="4"/>
  <c r="AI17" i="4"/>
  <c r="AI89" i="4"/>
  <c r="AK51" i="4"/>
  <c r="AJ109" i="4"/>
  <c r="AK18" i="4"/>
  <c r="AK85" i="4"/>
  <c r="AK94" i="4"/>
  <c r="AK52" i="4"/>
  <c r="AJ18" i="4"/>
  <c r="AJ50" i="4"/>
  <c r="AK26" i="4"/>
  <c r="AK27" i="4" s="1"/>
  <c r="AN52" i="4"/>
  <c r="AK103" i="4"/>
  <c r="AJ51" i="4"/>
  <c r="AJ17" i="4"/>
  <c r="AK17" i="4"/>
  <c r="AJ26" i="4"/>
  <c r="AJ27" i="4" s="1"/>
  <c r="AJ36" i="4"/>
  <c r="AK50" i="4"/>
  <c r="AK99" i="4"/>
  <c r="AK109" i="4"/>
  <c r="AJ52" i="4"/>
  <c r="AJ85" i="4"/>
  <c r="AJ103" i="4"/>
  <c r="AN94" i="4"/>
  <c r="AM85" i="4"/>
  <c r="AM18" i="4"/>
  <c r="AM36" i="4"/>
  <c r="AM50" i="4"/>
  <c r="AN99" i="4"/>
  <c r="AM51" i="4"/>
  <c r="AL51" i="4"/>
  <c r="AM26" i="4"/>
  <c r="AM27" i="4" s="1"/>
  <c r="AL36" i="4"/>
  <c r="AL52" i="4"/>
  <c r="AL103" i="4"/>
  <c r="AL26" i="4"/>
  <c r="AL27" i="4" s="1"/>
  <c r="AN18" i="4"/>
  <c r="AL50" i="4"/>
  <c r="AL94" i="4"/>
  <c r="AM17" i="4"/>
  <c r="AN50" i="4"/>
  <c r="AM94" i="4"/>
  <c r="AM109" i="4"/>
  <c r="AM52" i="4"/>
  <c r="AL18" i="4"/>
  <c r="AN85" i="4"/>
  <c r="AM99" i="4"/>
  <c r="AN17" i="4"/>
  <c r="AN51" i="4"/>
  <c r="AL109" i="4"/>
  <c r="AL99" i="4"/>
  <c r="AN36" i="4"/>
  <c r="AL17" i="4"/>
  <c r="AL85" i="4"/>
  <c r="AN109" i="4"/>
  <c r="AN26" i="4"/>
  <c r="AN27" i="4" s="1"/>
  <c r="AG51" i="5" l="1"/>
  <c r="AF41" i="5"/>
  <c r="AE36" i="5"/>
  <c r="AF56" i="5"/>
  <c r="M76" i="7" s="1"/>
  <c r="AF39" i="5"/>
  <c r="AF60" i="5"/>
  <c r="AF40" i="5"/>
  <c r="AF58" i="5"/>
  <c r="AG38" i="5"/>
  <c r="AB41" i="6"/>
  <c r="AB45" i="6" s="1"/>
  <c r="AC41" i="6"/>
  <c r="AD41" i="6"/>
  <c r="AE41" i="6"/>
  <c r="AF41" i="6"/>
  <c r="Y60" i="5"/>
  <c r="Z24" i="6"/>
  <c r="AB38" i="6"/>
  <c r="AD38" i="6"/>
  <c r="AB36" i="6"/>
  <c r="AC38" i="6"/>
  <c r="AC36" i="6"/>
  <c r="AE38" i="6"/>
  <c r="AD36" i="6"/>
  <c r="AE36" i="6"/>
  <c r="AG38" i="6"/>
  <c r="AF38" i="6"/>
  <c r="AF36" i="6"/>
  <c r="AG36" i="6"/>
  <c r="U59" i="5"/>
  <c r="Y25" i="6"/>
  <c r="Y26" i="6" s="1"/>
  <c r="Y41" i="6" s="1"/>
  <c r="X45" i="6"/>
  <c r="X51" i="6" s="1"/>
  <c r="Z5" i="6"/>
  <c r="Z2" i="6"/>
  <c r="AC229" i="4"/>
  <c r="V102" i="5" s="1"/>
  <c r="AE184" i="4"/>
  <c r="X82" i="5" s="1"/>
  <c r="AD210" i="4"/>
  <c r="W100" i="5" s="1"/>
  <c r="AG235" i="4"/>
  <c r="Z103" i="5" s="1"/>
  <c r="AD48" i="5"/>
  <c r="K71" i="7" s="1"/>
  <c r="Z2" i="5"/>
  <c r="AF100" i="5" s="1"/>
  <c r="Z5" i="5"/>
  <c r="AB43" i="5"/>
  <c r="AC35" i="5"/>
  <c r="J67" i="7" s="1"/>
  <c r="AD38" i="5"/>
  <c r="AC40" i="5"/>
  <c r="AB42" i="5"/>
  <c r="AC34" i="5"/>
  <c r="J66" i="7" s="1"/>
  <c r="AC56" i="5"/>
  <c r="J76" i="7" s="1"/>
  <c r="AB38" i="5"/>
  <c r="AB50" i="5"/>
  <c r="AB59" i="5"/>
  <c r="AC50" i="5"/>
  <c r="AB39" i="5"/>
  <c r="AB44" i="5"/>
  <c r="AB110" i="5"/>
  <c r="AD41" i="5"/>
  <c r="AB51" i="5"/>
  <c r="AC52" i="5"/>
  <c r="J73" i="7" s="1"/>
  <c r="AE38" i="5"/>
  <c r="AC36" i="5"/>
  <c r="AE37" i="5"/>
  <c r="AE51" i="5"/>
  <c r="AC58" i="5"/>
  <c r="AC44" i="5"/>
  <c r="AB40" i="5"/>
  <c r="AB56" i="5"/>
  <c r="I76" i="7" s="1"/>
  <c r="AD40" i="5"/>
  <c r="AB28" i="5"/>
  <c r="AD42" i="5"/>
  <c r="AB36" i="5"/>
  <c r="AD37" i="5"/>
  <c r="AB34" i="5"/>
  <c r="I66" i="7" s="1"/>
  <c r="AD39" i="5"/>
  <c r="AB61" i="5"/>
  <c r="AB49" i="5"/>
  <c r="AD59" i="5"/>
  <c r="AD34" i="5"/>
  <c r="K66" i="7" s="1"/>
  <c r="AB58" i="5"/>
  <c r="AB48" i="5"/>
  <c r="I71" i="7" s="1"/>
  <c r="AB37" i="5"/>
  <c r="AC37" i="5"/>
  <c r="AC49" i="5"/>
  <c r="AC51" i="5"/>
  <c r="AB35" i="5"/>
  <c r="I67" i="7" s="1"/>
  <c r="AB60" i="5"/>
  <c r="AB52" i="5"/>
  <c r="I73" i="7" s="1"/>
  <c r="AB41" i="5"/>
  <c r="AC59" i="5"/>
  <c r="AC61" i="5"/>
  <c r="AD52" i="5"/>
  <c r="K73" i="7" s="1"/>
  <c r="AD35" i="5"/>
  <c r="K67" i="7" s="1"/>
  <c r="AD28" i="5"/>
  <c r="K35" i="7" s="1"/>
  <c r="AD51" i="5"/>
  <c r="AC39" i="5"/>
  <c r="AC43" i="5"/>
  <c r="AD58" i="5"/>
  <c r="AD61" i="5"/>
  <c r="AC28" i="5"/>
  <c r="J35" i="7" s="1"/>
  <c r="AC48" i="5"/>
  <c r="J71" i="7" s="1"/>
  <c r="AC60" i="5"/>
  <c r="AC38" i="5"/>
  <c r="AE42" i="5"/>
  <c r="AC41" i="5"/>
  <c r="AD60" i="5"/>
  <c r="AD56" i="5"/>
  <c r="K76" i="7" s="1"/>
  <c r="AD49" i="5"/>
  <c r="AE39" i="5"/>
  <c r="AC42" i="5"/>
  <c r="AE52" i="5"/>
  <c r="L73" i="7" s="1"/>
  <c r="AE60" i="5"/>
  <c r="AE35" i="5"/>
  <c r="L67" i="7" s="1"/>
  <c r="AD44" i="5"/>
  <c r="AG35" i="5"/>
  <c r="N67" i="7" s="1"/>
  <c r="AG48" i="5"/>
  <c r="N71" i="7" s="1"/>
  <c r="AE28" i="5"/>
  <c r="L35" i="7" s="1"/>
  <c r="AD50" i="5"/>
  <c r="AE50" i="5"/>
  <c r="AF28" i="5"/>
  <c r="M35" i="7" s="1"/>
  <c r="AF52" i="5"/>
  <c r="M73" i="7" s="1"/>
  <c r="AE34" i="5"/>
  <c r="L66" i="7" s="1"/>
  <c r="AG34" i="5"/>
  <c r="N66" i="7" s="1"/>
  <c r="AF37" i="5"/>
  <c r="AF48" i="5"/>
  <c r="M71" i="7" s="1"/>
  <c r="AF35" i="5"/>
  <c r="M67" i="7" s="1"/>
  <c r="AG52" i="5"/>
  <c r="N73" i="7" s="1"/>
  <c r="AE48" i="5"/>
  <c r="L71" i="7" s="1"/>
  <c r="AF34" i="5"/>
  <c r="M66" i="7" s="1"/>
  <c r="AE58" i="5"/>
  <c r="AF51" i="5"/>
  <c r="AF50" i="5"/>
  <c r="AE40" i="5"/>
  <c r="AG28" i="5"/>
  <c r="N35" i="7" s="1"/>
  <c r="AF42" i="5"/>
  <c r="AD36" i="5"/>
  <c r="AF49" i="5"/>
  <c r="AG42" i="5"/>
  <c r="AE44" i="5"/>
  <c r="AE41" i="5"/>
  <c r="AE49" i="5"/>
  <c r="AG50" i="5"/>
  <c r="AG37" i="5"/>
  <c r="AE56" i="5"/>
  <c r="L76" i="7" s="1"/>
  <c r="AF38" i="5"/>
  <c r="AE61" i="5"/>
  <c r="AF44" i="5"/>
  <c r="AJ184" i="4"/>
  <c r="AI184" i="4"/>
  <c r="AI185" i="4" s="1"/>
  <c r="AJ183" i="4" s="1"/>
  <c r="AK184" i="4"/>
  <c r="AL184" i="4"/>
  <c r="AM184" i="4"/>
  <c r="AE224" i="4"/>
  <c r="AB242" i="4"/>
  <c r="AD43" i="5"/>
  <c r="AF130" i="4"/>
  <c r="AG128" i="4" s="1"/>
  <c r="AC104" i="4"/>
  <c r="AM104" i="4" s="1"/>
  <c r="AM105" i="4" s="1"/>
  <c r="AE136" i="4"/>
  <c r="AF144" i="4"/>
  <c r="AF145" i="4" s="1"/>
  <c r="AG142" i="4" s="1"/>
  <c r="Y93" i="5"/>
  <c r="W153" i="4"/>
  <c r="P91" i="5"/>
  <c r="AF162" i="4"/>
  <c r="AF163" i="4" s="1"/>
  <c r="Y92" i="5"/>
  <c r="AM161" i="4"/>
  <c r="AI229" i="4"/>
  <c r="AI230" i="4" s="1"/>
  <c r="AJ228" i="4" s="1"/>
  <c r="AI235" i="4"/>
  <c r="AI236" i="4" s="1"/>
  <c r="AJ234" i="4" s="1"/>
  <c r="AJ235" i="4"/>
  <c r="AI223" i="4"/>
  <c r="AI224" i="4" s="1"/>
  <c r="AJ222" i="4" s="1"/>
  <c r="AI241" i="4"/>
  <c r="AI242" i="4" s="1"/>
  <c r="AJ240" i="4" s="1"/>
  <c r="AL229" i="4"/>
  <c r="AJ223" i="4"/>
  <c r="AM235" i="4"/>
  <c r="AK229" i="4"/>
  <c r="AK223" i="4"/>
  <c r="AJ229" i="4"/>
  <c r="AK235" i="4"/>
  <c r="AL235" i="4"/>
  <c r="AM223" i="4"/>
  <c r="AJ241" i="4"/>
  <c r="AL223" i="4"/>
  <c r="AL241" i="4"/>
  <c r="AK241" i="4"/>
  <c r="AJ162" i="4"/>
  <c r="AL53" i="4"/>
  <c r="AI210" i="4"/>
  <c r="AI211" i="4" s="1"/>
  <c r="AJ209" i="4" s="1"/>
  <c r="AL210" i="4"/>
  <c r="AJ210" i="4"/>
  <c r="AM210" i="4"/>
  <c r="AK210" i="4"/>
  <c r="AI203" i="4"/>
  <c r="AJ203" i="4"/>
  <c r="AK203" i="4"/>
  <c r="AL203" i="4"/>
  <c r="AI200" i="4"/>
  <c r="AI201" i="4" s="1"/>
  <c r="AJ199" i="4" s="1"/>
  <c r="AJ200" i="4"/>
  <c r="AN203" i="4"/>
  <c r="AM203" i="4"/>
  <c r="AK200" i="4"/>
  <c r="AN53" i="4"/>
  <c r="AK53" i="4"/>
  <c r="AM53" i="4"/>
  <c r="AJ53" i="4"/>
  <c r="AI53" i="4"/>
  <c r="AJ35" i="4"/>
  <c r="AJ37" i="4" s="1"/>
  <c r="AJ170" i="4"/>
  <c r="AJ123" i="4"/>
  <c r="AJ144" i="4"/>
  <c r="AJ152" i="4"/>
  <c r="AI192" i="4"/>
  <c r="AI193" i="4" s="1"/>
  <c r="AJ191" i="4" s="1"/>
  <c r="AJ91" i="4"/>
  <c r="AI55" i="4"/>
  <c r="AI170" i="4"/>
  <c r="AI171" i="4" s="1"/>
  <c r="AJ169" i="4" s="1"/>
  <c r="AI143" i="4"/>
  <c r="AJ161" i="4"/>
  <c r="AJ90" i="4"/>
  <c r="AJ110" i="4"/>
  <c r="AJ111" i="4" s="1"/>
  <c r="AJ192" i="4"/>
  <c r="AI61" i="4"/>
  <c r="AI35" i="4"/>
  <c r="AI37" i="4" s="1"/>
  <c r="AI178" i="4"/>
  <c r="AI179" i="4" s="1"/>
  <c r="AJ177" i="4" s="1"/>
  <c r="AL170" i="4"/>
  <c r="AJ104" i="4"/>
  <c r="AJ105" i="4" s="1"/>
  <c r="AI29" i="4"/>
  <c r="AI60" i="4"/>
  <c r="AI161" i="4"/>
  <c r="AI91" i="4"/>
  <c r="AI135" i="4"/>
  <c r="AI136" i="4" s="1"/>
  <c r="AJ134" i="4" s="1"/>
  <c r="AJ61" i="4"/>
  <c r="AL200" i="4"/>
  <c r="AJ39" i="4"/>
  <c r="AI123" i="4"/>
  <c r="AI124" i="4" s="1"/>
  <c r="AJ122" i="4" s="1"/>
  <c r="AJ29" i="4"/>
  <c r="AK170" i="4"/>
  <c r="AJ72" i="4"/>
  <c r="AI153" i="4"/>
  <c r="AI39" i="4"/>
  <c r="AI144" i="4"/>
  <c r="AI162" i="4"/>
  <c r="AJ60" i="4"/>
  <c r="AJ178" i="4"/>
  <c r="AI90" i="4"/>
  <c r="AL71" i="4"/>
  <c r="AK91" i="4"/>
  <c r="AK71" i="4"/>
  <c r="AI72" i="4"/>
  <c r="AI129" i="4"/>
  <c r="AI130" i="4" s="1"/>
  <c r="AJ128" i="4" s="1"/>
  <c r="AI104" i="4"/>
  <c r="AI105" i="4" s="1"/>
  <c r="AI110" i="4"/>
  <c r="AI111" i="4" s="1"/>
  <c r="AJ55" i="4"/>
  <c r="AK123" i="4"/>
  <c r="AI71" i="4"/>
  <c r="AK44" i="4"/>
  <c r="AI152" i="4"/>
  <c r="AM71" i="4"/>
  <c r="AL91" i="4"/>
  <c r="AL39" i="4"/>
  <c r="AL104" i="4"/>
  <c r="AL105" i="4" s="1"/>
  <c r="AL61" i="4"/>
  <c r="AL44" i="4"/>
  <c r="AL178" i="4"/>
  <c r="AK152" i="4"/>
  <c r="AK29" i="4"/>
  <c r="AK110" i="4"/>
  <c r="AK111" i="4" s="1"/>
  <c r="AL60" i="4"/>
  <c r="AK61" i="4"/>
  <c r="AI44" i="4"/>
  <c r="AK39" i="4"/>
  <c r="AK60" i="4"/>
  <c r="AK90" i="4"/>
  <c r="AK72" i="4"/>
  <c r="AK144" i="4"/>
  <c r="AM61" i="4"/>
  <c r="AK135" i="4"/>
  <c r="AK192" i="4"/>
  <c r="AK178" i="4"/>
  <c r="AL123" i="4"/>
  <c r="AL192" i="4"/>
  <c r="AL35" i="4"/>
  <c r="AL37" i="4" s="1"/>
  <c r="AL90" i="4"/>
  <c r="AK55" i="4"/>
  <c r="AM200" i="4"/>
  <c r="AL55" i="4"/>
  <c r="AK35" i="4"/>
  <c r="AK37" i="4" s="1"/>
  <c r="AL72" i="4"/>
  <c r="AL110" i="4"/>
  <c r="AL111" i="4" s="1"/>
  <c r="AL29" i="4"/>
  <c r="AJ44" i="4"/>
  <c r="AM170" i="4"/>
  <c r="AM178" i="4"/>
  <c r="AN170" i="4"/>
  <c r="AN200" i="4"/>
  <c r="AM35" i="4"/>
  <c r="AM37" i="4" s="1"/>
  <c r="AM135" i="4"/>
  <c r="AL129" i="4"/>
  <c r="AJ71" i="4"/>
  <c r="AM29" i="4"/>
  <c r="AM60" i="4"/>
  <c r="AK104" i="4"/>
  <c r="AK105" i="4" s="1"/>
  <c r="AM110" i="4"/>
  <c r="AM111" i="4" s="1"/>
  <c r="AM90" i="4"/>
  <c r="AN61" i="4"/>
  <c r="AM44" i="4"/>
  <c r="AM192" i="4"/>
  <c r="AL135" i="4"/>
  <c r="AN91" i="4"/>
  <c r="AM123" i="4"/>
  <c r="AM55" i="4"/>
  <c r="AN123" i="4"/>
  <c r="AN178" i="4"/>
  <c r="AM72" i="4"/>
  <c r="AM91" i="4"/>
  <c r="AM39" i="4"/>
  <c r="AN192" i="4"/>
  <c r="AJ135" i="4"/>
  <c r="AN90" i="4"/>
  <c r="AN71" i="4"/>
  <c r="AN44" i="4"/>
  <c r="AN39" i="4"/>
  <c r="AN60" i="4"/>
  <c r="AK129" i="4"/>
  <c r="AN35" i="4"/>
  <c r="AN37" i="4" s="1"/>
  <c r="AJ153" i="4"/>
  <c r="AN72" i="4"/>
  <c r="AK153" i="4"/>
  <c r="AM129" i="4"/>
  <c r="AN55" i="4"/>
  <c r="AN110" i="4"/>
  <c r="AN111" i="4" s="1"/>
  <c r="AN29" i="4"/>
  <c r="AJ129" i="4"/>
  <c r="AJ143" i="4"/>
  <c r="AM143" i="4"/>
  <c r="AL144" i="4"/>
  <c r="AM144" i="4"/>
  <c r="AL143" i="4"/>
  <c r="AK143" i="4"/>
  <c r="AK161" i="4"/>
  <c r="AM162" i="4"/>
  <c r="AL162" i="4"/>
  <c r="AK162" i="4"/>
  <c r="I84" i="7" l="1"/>
  <c r="M85" i="7"/>
  <c r="K84" i="7"/>
  <c r="K85" i="7"/>
  <c r="I78" i="7"/>
  <c r="N85" i="7"/>
  <c r="N84" i="7"/>
  <c r="M84" i="7"/>
  <c r="L85" i="7"/>
  <c r="I85" i="7"/>
  <c r="L84" i="7"/>
  <c r="J85" i="7"/>
  <c r="J84" i="7"/>
  <c r="L72" i="7"/>
  <c r="L74" i="7" s="1"/>
  <c r="M72" i="7"/>
  <c r="M74" i="7" s="1"/>
  <c r="I72" i="7"/>
  <c r="I74" i="7" s="1"/>
  <c r="L78" i="7"/>
  <c r="K78" i="7"/>
  <c r="J68" i="7"/>
  <c r="J78" i="7"/>
  <c r="K68" i="7"/>
  <c r="K72" i="7"/>
  <c r="K74" i="7" s="1"/>
  <c r="J72" i="7"/>
  <c r="J74" i="7" s="1"/>
  <c r="I68" i="7"/>
  <c r="AM229" i="4"/>
  <c r="AF45" i="6"/>
  <c r="AF51" i="6" s="1"/>
  <c r="AD45" i="6"/>
  <c r="AD51" i="6" s="1"/>
  <c r="AB51" i="6"/>
  <c r="AC45" i="6"/>
  <c r="AC51" i="6" s="1"/>
  <c r="AE45" i="6"/>
  <c r="AE51" i="6" s="1"/>
  <c r="Y39" i="5"/>
  <c r="AD211" i="4"/>
  <c r="W56" i="5" s="1"/>
  <c r="Z25" i="6"/>
  <c r="Y45" i="6"/>
  <c r="Y51" i="6" s="1"/>
  <c r="AG236" i="4"/>
  <c r="Z60" i="5" s="1"/>
  <c r="AG60" i="5" s="1"/>
  <c r="AJ185" i="4"/>
  <c r="AK183" i="4" s="1"/>
  <c r="AK185" i="4" s="1"/>
  <c r="AL183" i="4" s="1"/>
  <c r="AL185" i="4" s="1"/>
  <c r="AM183" i="4" s="1"/>
  <c r="AM185" i="4" s="1"/>
  <c r="AN183" i="4" s="1"/>
  <c r="AG103" i="5"/>
  <c r="AD53" i="5"/>
  <c r="AC82" i="5"/>
  <c r="AD79" i="5"/>
  <c r="AB104" i="5"/>
  <c r="AB9" i="5"/>
  <c r="AB76" i="5"/>
  <c r="AB77" i="5"/>
  <c r="AC78" i="5"/>
  <c r="AD100" i="5"/>
  <c r="AB85" i="5"/>
  <c r="AC21" i="5"/>
  <c r="AB19" i="5"/>
  <c r="AB84" i="5"/>
  <c r="AC93" i="5"/>
  <c r="AB71" i="5"/>
  <c r="AC103" i="5"/>
  <c r="AB80" i="5"/>
  <c r="AB83" i="5"/>
  <c r="AC77" i="5"/>
  <c r="AB79" i="5"/>
  <c r="AC73" i="5"/>
  <c r="AB92" i="5"/>
  <c r="AB23" i="5"/>
  <c r="AC79" i="5"/>
  <c r="AC85" i="5"/>
  <c r="AC17" i="5"/>
  <c r="AB93" i="5"/>
  <c r="AB82" i="5"/>
  <c r="AB11" i="5"/>
  <c r="AC92" i="5"/>
  <c r="AB101" i="5"/>
  <c r="AB103" i="5"/>
  <c r="AB91" i="5"/>
  <c r="AB95" i="5"/>
  <c r="AC19" i="5"/>
  <c r="AB102" i="5"/>
  <c r="AB100" i="5"/>
  <c r="AC101" i="5"/>
  <c r="AB81" i="5"/>
  <c r="AB78" i="5"/>
  <c r="AB75" i="5"/>
  <c r="AB14" i="5"/>
  <c r="AB17" i="5"/>
  <c r="AB21" i="5"/>
  <c r="AC9" i="5"/>
  <c r="AB94" i="5"/>
  <c r="AD73" i="5"/>
  <c r="AE77" i="5"/>
  <c r="AE83" i="5"/>
  <c r="AD81" i="5"/>
  <c r="AC104" i="5"/>
  <c r="AE80" i="5"/>
  <c r="AC14" i="5"/>
  <c r="J28" i="7" s="1"/>
  <c r="AB73" i="5"/>
  <c r="AD17" i="5"/>
  <c r="AD85" i="5"/>
  <c r="AD101" i="5"/>
  <c r="AC83" i="5"/>
  <c r="AD78" i="5"/>
  <c r="AB72" i="5"/>
  <c r="AC95" i="5"/>
  <c r="AC76" i="5"/>
  <c r="AC81" i="5"/>
  <c r="AC100" i="5"/>
  <c r="AE84" i="5"/>
  <c r="AD103" i="5"/>
  <c r="AE72" i="5"/>
  <c r="AD82" i="5"/>
  <c r="AD75" i="5"/>
  <c r="AD21" i="5"/>
  <c r="AD77" i="5"/>
  <c r="AD14" i="5"/>
  <c r="K28" i="7" s="1"/>
  <c r="AG75" i="5"/>
  <c r="AE17" i="5"/>
  <c r="AE73" i="5"/>
  <c r="AG81" i="5"/>
  <c r="AD104" i="5"/>
  <c r="AE21" i="5"/>
  <c r="AF95" i="5"/>
  <c r="AC23" i="5"/>
  <c r="AF85" i="5"/>
  <c r="AD93" i="5"/>
  <c r="AD95" i="5"/>
  <c r="AD102" i="5"/>
  <c r="AE78" i="5"/>
  <c r="AG14" i="5"/>
  <c r="N28" i="7" s="1"/>
  <c r="AD84" i="5"/>
  <c r="AC102" i="5"/>
  <c r="AC84" i="5"/>
  <c r="AG17" i="5"/>
  <c r="AD23" i="5"/>
  <c r="AD92" i="5"/>
  <c r="AC75" i="5"/>
  <c r="AF73" i="5"/>
  <c r="AF76" i="5"/>
  <c r="AG72" i="5"/>
  <c r="AE9" i="5"/>
  <c r="AE76" i="5"/>
  <c r="AF21" i="5"/>
  <c r="AG76" i="5"/>
  <c r="AE79" i="5"/>
  <c r="AD9" i="5"/>
  <c r="AE85" i="5"/>
  <c r="AE23" i="5"/>
  <c r="AE75" i="5"/>
  <c r="AF72" i="5"/>
  <c r="AG11" i="5"/>
  <c r="AD83" i="5"/>
  <c r="AF84" i="5"/>
  <c r="AF81" i="5"/>
  <c r="AG9" i="5"/>
  <c r="AE95" i="5"/>
  <c r="AE14" i="5"/>
  <c r="L28" i="7" s="1"/>
  <c r="AE101" i="5"/>
  <c r="AD76" i="5"/>
  <c r="AF9" i="5"/>
  <c r="AE81" i="5"/>
  <c r="AF17" i="5"/>
  <c r="AE103" i="5"/>
  <c r="AF75" i="5"/>
  <c r="AF23" i="5"/>
  <c r="AC72" i="5"/>
  <c r="AF83" i="5"/>
  <c r="AD72" i="5"/>
  <c r="AG23" i="5"/>
  <c r="AD11" i="5"/>
  <c r="AG21" i="5"/>
  <c r="AC11" i="5"/>
  <c r="AF14" i="5"/>
  <c r="M28" i="7" s="1"/>
  <c r="AG73" i="5"/>
  <c r="AG85" i="5"/>
  <c r="AF12" i="5"/>
  <c r="AE11" i="5"/>
  <c r="AF11" i="5"/>
  <c r="AD12" i="5"/>
  <c r="AC94" i="5"/>
  <c r="AD94" i="5"/>
  <c r="AB12" i="5"/>
  <c r="AG12" i="5"/>
  <c r="AE100" i="5"/>
  <c r="AF80" i="5"/>
  <c r="AC12" i="5"/>
  <c r="AG95" i="5"/>
  <c r="AE104" i="5"/>
  <c r="AF77" i="5"/>
  <c r="AE12" i="5"/>
  <c r="AE102" i="5"/>
  <c r="AG83" i="5"/>
  <c r="AG80" i="5"/>
  <c r="AD80" i="5"/>
  <c r="AE82" i="5"/>
  <c r="AF79" i="5"/>
  <c r="AG84" i="5"/>
  <c r="AF103" i="5"/>
  <c r="AC80" i="5"/>
  <c r="AC91" i="5"/>
  <c r="AF82" i="5"/>
  <c r="AD19" i="5"/>
  <c r="AD91" i="5"/>
  <c r="AF101" i="5"/>
  <c r="AF78" i="5"/>
  <c r="AG77" i="5"/>
  <c r="AF53" i="5"/>
  <c r="AC53" i="5"/>
  <c r="V94" i="5"/>
  <c r="U61" i="5"/>
  <c r="AC240" i="4"/>
  <c r="AE185" i="4"/>
  <c r="AN235" i="4"/>
  <c r="AC105" i="4"/>
  <c r="AC106" i="4" s="1"/>
  <c r="AF222" i="4"/>
  <c r="X58" i="5"/>
  <c r="AE53" i="5"/>
  <c r="AC230" i="4"/>
  <c r="AB53" i="5"/>
  <c r="AF102" i="5"/>
  <c r="AG129" i="4"/>
  <c r="AG130" i="4" s="1"/>
  <c r="Z39" i="5" s="1"/>
  <c r="AG39" i="5" s="1"/>
  <c r="Y41" i="5"/>
  <c r="AF134" i="4"/>
  <c r="X40" i="5"/>
  <c r="P96" i="5"/>
  <c r="P19" i="5"/>
  <c r="P71" i="5" s="1"/>
  <c r="W154" i="4"/>
  <c r="AJ242" i="4"/>
  <c r="AK240" i="4" s="1"/>
  <c r="AK242" i="4" s="1"/>
  <c r="AL240" i="4" s="1"/>
  <c r="AL242" i="4" s="1"/>
  <c r="AM240" i="4" s="1"/>
  <c r="AJ236" i="4"/>
  <c r="AK234" i="4" s="1"/>
  <c r="AK236" i="4" s="1"/>
  <c r="AL234" i="4" s="1"/>
  <c r="AL236" i="4" s="1"/>
  <c r="AM234" i="4" s="1"/>
  <c r="AM236" i="4" s="1"/>
  <c r="AN234" i="4" s="1"/>
  <c r="AJ224" i="4"/>
  <c r="AK222" i="4" s="1"/>
  <c r="AK224" i="4" s="1"/>
  <c r="AL222" i="4" s="1"/>
  <c r="AL224" i="4" s="1"/>
  <c r="AM222" i="4" s="1"/>
  <c r="AM224" i="4" s="1"/>
  <c r="AN222" i="4" s="1"/>
  <c r="AG143" i="4"/>
  <c r="Z93" i="5" s="1"/>
  <c r="AG93" i="5" s="1"/>
  <c r="AG160" i="4"/>
  <c r="Y44" i="5"/>
  <c r="AJ230" i="4"/>
  <c r="AK228" i="4" s="1"/>
  <c r="AK230" i="4" s="1"/>
  <c r="AL228" i="4" s="1"/>
  <c r="AL230" i="4" s="1"/>
  <c r="AM228" i="4" s="1"/>
  <c r="AJ201" i="4"/>
  <c r="AK199" i="4" s="1"/>
  <c r="AK201" i="4" s="1"/>
  <c r="AL199" i="4" s="1"/>
  <c r="AL201" i="4" s="1"/>
  <c r="AM199" i="4" s="1"/>
  <c r="AM201" i="4" s="1"/>
  <c r="AN199" i="4" s="1"/>
  <c r="AN201" i="4" s="1"/>
  <c r="AJ211" i="4"/>
  <c r="AK209" i="4" s="1"/>
  <c r="AK211" i="4" s="1"/>
  <c r="AL209" i="4" s="1"/>
  <c r="AL211" i="4" s="1"/>
  <c r="AM209" i="4" s="1"/>
  <c r="AM211" i="4" s="1"/>
  <c r="AN209" i="4" s="1"/>
  <c r="AI163" i="4"/>
  <c r="AJ160" i="4" s="1"/>
  <c r="AJ163" i="4" s="1"/>
  <c r="AK160" i="4" s="1"/>
  <c r="AK163" i="4" s="1"/>
  <c r="AL160" i="4" s="1"/>
  <c r="AL163" i="4" s="1"/>
  <c r="AM160" i="4" s="1"/>
  <c r="AM163" i="4" s="1"/>
  <c r="AN160" i="4" s="1"/>
  <c r="AI92" i="4"/>
  <c r="AJ89" i="4" s="1"/>
  <c r="AJ92" i="4" s="1"/>
  <c r="AK89" i="4" s="1"/>
  <c r="AK92" i="4" s="1"/>
  <c r="AL89" i="4" s="1"/>
  <c r="AL92" i="4" s="1"/>
  <c r="AM89" i="4" s="1"/>
  <c r="AM92" i="4" s="1"/>
  <c r="AN89" i="4" s="1"/>
  <c r="AN92" i="4" s="1"/>
  <c r="AJ124" i="4"/>
  <c r="AK122" i="4" s="1"/>
  <c r="AK124" i="4" s="1"/>
  <c r="AL122" i="4" s="1"/>
  <c r="AL124" i="4" s="1"/>
  <c r="AM122" i="4" s="1"/>
  <c r="AM124" i="4" s="1"/>
  <c r="AN122" i="4" s="1"/>
  <c r="AN124" i="4" s="1"/>
  <c r="AI145" i="4"/>
  <c r="AJ142" i="4" s="1"/>
  <c r="AJ145" i="4" s="1"/>
  <c r="AK142" i="4" s="1"/>
  <c r="AK145" i="4" s="1"/>
  <c r="AL142" i="4" s="1"/>
  <c r="AL145" i="4" s="1"/>
  <c r="AM142" i="4" s="1"/>
  <c r="AM145" i="4" s="1"/>
  <c r="AN142" i="4" s="1"/>
  <c r="AJ171" i="4"/>
  <c r="AK169" i="4" s="1"/>
  <c r="AK171" i="4" s="1"/>
  <c r="AL169" i="4" s="1"/>
  <c r="AL171" i="4" s="1"/>
  <c r="AM169" i="4" s="1"/>
  <c r="AM171" i="4" s="1"/>
  <c r="AN169" i="4" s="1"/>
  <c r="AN171" i="4" s="1"/>
  <c r="AI154" i="4"/>
  <c r="AJ151" i="4" s="1"/>
  <c r="AJ154" i="4" s="1"/>
  <c r="AK151" i="4" s="1"/>
  <c r="AK154" i="4" s="1"/>
  <c r="AL151" i="4" s="1"/>
  <c r="AJ136" i="4"/>
  <c r="AK134" i="4" s="1"/>
  <c r="AK136" i="4" s="1"/>
  <c r="AL134" i="4" s="1"/>
  <c r="AL136" i="4" s="1"/>
  <c r="AM134" i="4" s="1"/>
  <c r="AM136" i="4" s="1"/>
  <c r="AN134" i="4" s="1"/>
  <c r="AJ193" i="4"/>
  <c r="AK191" i="4" s="1"/>
  <c r="AK193" i="4" s="1"/>
  <c r="AL191" i="4" s="1"/>
  <c r="AL193" i="4" s="1"/>
  <c r="AM191" i="4" s="1"/>
  <c r="AM193" i="4" s="1"/>
  <c r="AN191" i="4" s="1"/>
  <c r="AN193" i="4" s="1"/>
  <c r="AJ130" i="4"/>
  <c r="AK128" i="4" s="1"/>
  <c r="AK130" i="4" s="1"/>
  <c r="AL128" i="4" s="1"/>
  <c r="AL130" i="4" s="1"/>
  <c r="AM128" i="4" s="1"/>
  <c r="AM130" i="4" s="1"/>
  <c r="AN128" i="4" s="1"/>
  <c r="AJ179" i="4"/>
  <c r="AK177" i="4" s="1"/>
  <c r="AK179" i="4" s="1"/>
  <c r="AL177" i="4" s="1"/>
  <c r="AL179" i="4" s="1"/>
  <c r="AM177" i="4" s="1"/>
  <c r="AM179" i="4" s="1"/>
  <c r="AN177" i="4" s="1"/>
  <c r="AN179" i="4" s="1"/>
  <c r="AM230" i="4" l="1"/>
  <c r="AN228" i="4" s="1"/>
  <c r="Z26" i="6"/>
  <c r="Z41" i="6" s="1"/>
  <c r="AG41" i="6" s="1"/>
  <c r="AG45" i="6" s="1"/>
  <c r="AG51" i="6" s="1"/>
  <c r="V36" i="5"/>
  <c r="AF36" i="5" s="1"/>
  <c r="AE209" i="4"/>
  <c r="AE210" i="4" s="1"/>
  <c r="AE211" i="4" s="1"/>
  <c r="AB13" i="5"/>
  <c r="AD103" i="4"/>
  <c r="AD104" i="4" s="1"/>
  <c r="W94" i="5" s="1"/>
  <c r="AC13" i="5"/>
  <c r="J27" i="7" s="1"/>
  <c r="AC96" i="5"/>
  <c r="J92" i="7" s="1"/>
  <c r="AF13" i="5"/>
  <c r="M27" i="7" s="1"/>
  <c r="AB96" i="5"/>
  <c r="AD228" i="4"/>
  <c r="V59" i="5"/>
  <c r="AF59" i="5" s="1"/>
  <c r="AG13" i="5"/>
  <c r="N27" i="7" s="1"/>
  <c r="AF223" i="4"/>
  <c r="AF224" i="4" s="1"/>
  <c r="AD96" i="5"/>
  <c r="K92" i="7" s="1"/>
  <c r="X49" i="5"/>
  <c r="X53" i="5" s="1"/>
  <c r="AF183" i="4"/>
  <c r="AD13" i="5"/>
  <c r="K27" i="7" s="1"/>
  <c r="AN236" i="4"/>
  <c r="AC241" i="4"/>
  <c r="AC242" i="4" s="1"/>
  <c r="AE13" i="5"/>
  <c r="L27" i="7" s="1"/>
  <c r="Z78" i="5"/>
  <c r="AG78" i="5" s="1"/>
  <c r="AN129" i="4"/>
  <c r="AN130" i="4" s="1"/>
  <c r="AF135" i="4"/>
  <c r="AF136" i="4" s="1"/>
  <c r="X151" i="4"/>
  <c r="P43" i="5"/>
  <c r="AE93" i="5"/>
  <c r="AF93" i="5"/>
  <c r="AG144" i="4"/>
  <c r="AN143" i="4"/>
  <c r="AG161" i="4"/>
  <c r="Z92" i="5" s="1"/>
  <c r="AD105" i="4" l="1"/>
  <c r="W36" i="5" s="1"/>
  <c r="Z45" i="6"/>
  <c r="Z51" i="6" s="1"/>
  <c r="AD229" i="4"/>
  <c r="AD230" i="4" s="1"/>
  <c r="AD240" i="4"/>
  <c r="V61" i="5"/>
  <c r="AF61" i="5" s="1"/>
  <c r="M78" i="7" s="1"/>
  <c r="Y58" i="5"/>
  <c r="AG222" i="4"/>
  <c r="V104" i="5"/>
  <c r="AF104" i="5" s="1"/>
  <c r="AM241" i="4"/>
  <c r="AM242" i="4" s="1"/>
  <c r="AN240" i="4" s="1"/>
  <c r="AF209" i="4"/>
  <c r="X56" i="5"/>
  <c r="Y101" i="5"/>
  <c r="AF184" i="4"/>
  <c r="Y82" i="5" s="1"/>
  <c r="X100" i="5"/>
  <c r="Y40" i="5"/>
  <c r="AG134" i="4"/>
  <c r="Y79" i="5"/>
  <c r="AE92" i="5"/>
  <c r="AF92" i="5"/>
  <c r="AG92" i="5"/>
  <c r="X152" i="4"/>
  <c r="AG162" i="4"/>
  <c r="AN161" i="4"/>
  <c r="AN144" i="4"/>
  <c r="AN145" i="4" s="1"/>
  <c r="AG145" i="4"/>
  <c r="Z41" i="5" s="1"/>
  <c r="AD106" i="4" l="1"/>
  <c r="AE103" i="4"/>
  <c r="AE104" i="4" s="1"/>
  <c r="X94" i="5" s="1"/>
  <c r="AF185" i="4"/>
  <c r="AG183" i="4" s="1"/>
  <c r="AG223" i="4"/>
  <c r="AG224" i="4" s="1"/>
  <c r="Z58" i="5" s="1"/>
  <c r="AG58" i="5" s="1"/>
  <c r="AD241" i="4"/>
  <c r="AD242" i="4" s="1"/>
  <c r="AE228" i="4"/>
  <c r="W59" i="5"/>
  <c r="AF210" i="4"/>
  <c r="AF211" i="4" s="1"/>
  <c r="W102" i="5"/>
  <c r="AG135" i="4"/>
  <c r="AG136" i="4" s="1"/>
  <c r="Z40" i="5" s="1"/>
  <c r="AG40" i="5" s="1"/>
  <c r="X153" i="4"/>
  <c r="Q19" i="5" s="1"/>
  <c r="Q71" i="5" s="1"/>
  <c r="Q91" i="5"/>
  <c r="AG41" i="5"/>
  <c r="AN162" i="4"/>
  <c r="AN163" i="4" s="1"/>
  <c r="AG163" i="4"/>
  <c r="Z44" i="5" s="1"/>
  <c r="AG44" i="5" s="1"/>
  <c r="Y49" i="5" l="1"/>
  <c r="Y53" i="5" s="1"/>
  <c r="Y56" i="5"/>
  <c r="AG209" i="4"/>
  <c r="AE240" i="4"/>
  <c r="W61" i="5"/>
  <c r="Y100" i="5"/>
  <c r="AG184" i="4"/>
  <c r="AG185" i="4" s="1"/>
  <c r="Z49" i="5" s="1"/>
  <c r="AE229" i="4"/>
  <c r="AE230" i="4" s="1"/>
  <c r="W104" i="5"/>
  <c r="Z101" i="5"/>
  <c r="AG101" i="5" s="1"/>
  <c r="AN223" i="4"/>
  <c r="AN224" i="4" s="1"/>
  <c r="X154" i="4"/>
  <c r="Q43" i="5" s="1"/>
  <c r="Z79" i="5"/>
  <c r="AG79" i="5" s="1"/>
  <c r="AN135" i="4"/>
  <c r="AN136" i="4" s="1"/>
  <c r="Q96" i="5"/>
  <c r="AE105" i="4"/>
  <c r="AE106" i="4" s="1"/>
  <c r="AF228" i="4" l="1"/>
  <c r="X59" i="5"/>
  <c r="X102" i="5"/>
  <c r="Z82" i="5"/>
  <c r="AG82" i="5" s="1"/>
  <c r="AN184" i="4"/>
  <c r="AN185" i="4" s="1"/>
  <c r="Z53" i="5"/>
  <c r="AG49" i="5"/>
  <c r="AE241" i="4"/>
  <c r="AG210" i="4"/>
  <c r="AG211" i="4" s="1"/>
  <c r="Z56" i="5" s="1"/>
  <c r="AG56" i="5" s="1"/>
  <c r="N76" i="7" s="1"/>
  <c r="Y151" i="4"/>
  <c r="Y152" i="4" s="1"/>
  <c r="Y153" i="4" s="1"/>
  <c r="Y154" i="4" s="1"/>
  <c r="AF103" i="4"/>
  <c r="X36" i="5"/>
  <c r="AG53" i="5" l="1"/>
  <c r="N72" i="7"/>
  <c r="N74" i="7" s="1"/>
  <c r="Z100" i="5"/>
  <c r="AG100" i="5" s="1"/>
  <c r="AN210" i="4"/>
  <c r="AN211" i="4" s="1"/>
  <c r="X104" i="5"/>
  <c r="AE242" i="4"/>
  <c r="AF229" i="4"/>
  <c r="AF230" i="4" s="1"/>
  <c r="Z151" i="4"/>
  <c r="R43" i="5"/>
  <c r="AE43" i="5" s="1"/>
  <c r="L68" i="7" s="1"/>
  <c r="AL153" i="4"/>
  <c r="R19" i="5"/>
  <c r="R91" i="5"/>
  <c r="AL152" i="4"/>
  <c r="AF104" i="4"/>
  <c r="Y94" i="5" s="1"/>
  <c r="AG228" i="4" l="1"/>
  <c r="Y59" i="5"/>
  <c r="Y102" i="5"/>
  <c r="AF240" i="4"/>
  <c r="X61" i="5"/>
  <c r="AL154" i="4"/>
  <c r="AM151" i="4" s="1"/>
  <c r="R71" i="5"/>
  <c r="AE19" i="5"/>
  <c r="R96" i="5"/>
  <c r="AE91" i="5"/>
  <c r="Z152" i="4"/>
  <c r="AF105" i="4"/>
  <c r="AF106" i="4" s="1"/>
  <c r="AF241" i="4" l="1"/>
  <c r="AF242" i="4" s="1"/>
  <c r="AG229" i="4"/>
  <c r="AG230" i="4" s="1"/>
  <c r="Z59" i="5" s="1"/>
  <c r="AG59" i="5" s="1"/>
  <c r="S91" i="5"/>
  <c r="Z153" i="4"/>
  <c r="S19" i="5" s="1"/>
  <c r="S71" i="5" s="1"/>
  <c r="AG103" i="4"/>
  <c r="Y36" i="5"/>
  <c r="Z102" i="5" l="1"/>
  <c r="AG102" i="5" s="1"/>
  <c r="AN229" i="4"/>
  <c r="AN230" i="4" s="1"/>
  <c r="AG240" i="4"/>
  <c r="Y61" i="5"/>
  <c r="Y104" i="5"/>
  <c r="Z154" i="4"/>
  <c r="S96" i="5"/>
  <c r="AG104" i="4"/>
  <c r="Z94" i="5" s="1"/>
  <c r="AN103" i="4"/>
  <c r="AG241" i="4" l="1"/>
  <c r="AE94" i="5"/>
  <c r="AE96" i="5" s="1"/>
  <c r="L92" i="7" s="1"/>
  <c r="AF94" i="5"/>
  <c r="AG94" i="5"/>
  <c r="AA151" i="4"/>
  <c r="S43" i="5"/>
  <c r="AG105" i="4"/>
  <c r="Z36" i="5" s="1"/>
  <c r="AG36" i="5" s="1"/>
  <c r="AN104" i="4"/>
  <c r="AN105" i="4" s="1"/>
  <c r="Z104" i="5" l="1"/>
  <c r="AG104" i="5" s="1"/>
  <c r="AN241" i="4"/>
  <c r="AN242" i="4" s="1"/>
  <c r="AG242" i="4"/>
  <c r="Z61" i="5" s="1"/>
  <c r="AG61" i="5" s="1"/>
  <c r="N78" i="7" s="1"/>
  <c r="AG106" i="4"/>
  <c r="AA152" i="4"/>
  <c r="T91" i="5" s="1"/>
  <c r="T96" i="5" l="1"/>
  <c r="AA153" i="4"/>
  <c r="T19" i="5" s="1"/>
  <c r="T71" i="5" s="1"/>
  <c r="AA154" i="4" l="1"/>
  <c r="AB151" i="4" s="1"/>
  <c r="T43" i="5" l="1"/>
  <c r="AB152" i="4"/>
  <c r="AB153" i="4" s="1"/>
  <c r="U19" i="5" s="1"/>
  <c r="U71" i="5" s="1"/>
  <c r="U91" i="5" l="1"/>
  <c r="AB154" i="4"/>
  <c r="AC151" i="4" l="1"/>
  <c r="AC152" i="4" s="1"/>
  <c r="V91" i="5" s="1"/>
  <c r="V96" i="5" s="1"/>
  <c r="U43" i="5"/>
  <c r="U96" i="5"/>
  <c r="AM152" i="4" l="1"/>
  <c r="AC153" i="4"/>
  <c r="V19" i="5" s="1"/>
  <c r="V71" i="5" s="1"/>
  <c r="AF91" i="5"/>
  <c r="AF96" i="5" s="1"/>
  <c r="M92" i="7" s="1"/>
  <c r="AM153" i="4" l="1"/>
  <c r="AM154" i="4" s="1"/>
  <c r="AN151" i="4" s="1"/>
  <c r="AC154" i="4"/>
  <c r="V43" i="5" s="1"/>
  <c r="AF19" i="5"/>
  <c r="AD151" i="4" l="1"/>
  <c r="AD152" i="4" s="1"/>
  <c r="W91" i="5" s="1"/>
  <c r="AF43" i="5"/>
  <c r="M68" i="7" s="1"/>
  <c r="AD153" i="4" l="1"/>
  <c r="AD154" i="4" s="1"/>
  <c r="W96" i="5"/>
  <c r="W19" i="5" l="1"/>
  <c r="W71" i="5" s="1"/>
  <c r="W43" i="5"/>
  <c r="AE151" i="4"/>
  <c r="AE152" i="4" l="1"/>
  <c r="AE153" i="4" l="1"/>
  <c r="X19" i="5" s="1"/>
  <c r="X71" i="5" s="1"/>
  <c r="X91" i="5"/>
  <c r="AE154" i="4" l="1"/>
  <c r="AF151" i="4" s="1"/>
  <c r="X96" i="5"/>
  <c r="X43" i="5" l="1"/>
  <c r="AF152" i="4"/>
  <c r="Y91" i="5" s="1"/>
  <c r="AF153" i="4" l="1"/>
  <c r="AF154" i="4" s="1"/>
  <c r="AG151" i="4" s="1"/>
  <c r="Y96" i="5"/>
  <c r="Y19" i="5" l="1"/>
  <c r="Y71" i="5" s="1"/>
  <c r="Y43" i="5"/>
  <c r="AG152" i="4"/>
  <c r="AN152" i="4" l="1"/>
  <c r="Z91" i="5"/>
  <c r="AG153" i="4"/>
  <c r="Z96" i="5" l="1"/>
  <c r="AG91" i="5"/>
  <c r="AG96" i="5" s="1"/>
  <c r="N92" i="7" s="1"/>
  <c r="Z19" i="5"/>
  <c r="Z71" i="5" s="1"/>
  <c r="AN153" i="4"/>
  <c r="AN154" i="4" s="1"/>
  <c r="AG154" i="4"/>
  <c r="Z43" i="5" s="1"/>
  <c r="AC71" i="5" l="1"/>
  <c r="AD71" i="5"/>
  <c r="AE71" i="5"/>
  <c r="AF71" i="5"/>
  <c r="AG71" i="5"/>
  <c r="AG43" i="5"/>
  <c r="N68" i="7" s="1"/>
  <c r="AG19" i="5"/>
  <c r="D73" i="6"/>
  <c r="D78" i="6" s="1"/>
  <c r="AB8" i="5"/>
  <c r="AB10" i="5" s="1"/>
  <c r="F10" i="5"/>
  <c r="I26" i="7" l="1"/>
  <c r="I29" i="7"/>
  <c r="I30" i="7" s="1"/>
  <c r="AB15" i="5"/>
  <c r="F16" i="5"/>
  <c r="AB16" i="5"/>
  <c r="I38" i="7" l="1"/>
  <c r="I31" i="7"/>
  <c r="I32" i="7" s="1"/>
  <c r="I39" i="7"/>
  <c r="AB18" i="5"/>
  <c r="AB20" i="5"/>
  <c r="F22" i="5"/>
  <c r="F24" i="5" s="1"/>
  <c r="AB22" i="5"/>
  <c r="AB24" i="5" s="1"/>
  <c r="F69" i="5" l="1"/>
  <c r="AI116" i="4"/>
  <c r="F86" i="5" l="1"/>
  <c r="AB69" i="5"/>
  <c r="AB86" i="5" s="1"/>
  <c r="AI117" i="4"/>
  <c r="AB25" i="5" l="1"/>
  <c r="AB26" i="5" s="1"/>
  <c r="AB29" i="5" s="1"/>
  <c r="I33" i="7"/>
  <c r="I34" i="7" s="1"/>
  <c r="F26" i="5"/>
  <c r="AI118" i="4"/>
  <c r="F87" i="5"/>
  <c r="AB87" i="5" l="1"/>
  <c r="AB88" i="5" s="1"/>
  <c r="F88" i="5"/>
  <c r="F29" i="5"/>
  <c r="F35" i="6"/>
  <c r="I40" i="7"/>
  <c r="I36" i="7"/>
  <c r="I91" i="7" l="1"/>
  <c r="AB35" i="6"/>
  <c r="AI216" i="4"/>
  <c r="N215" i="4" l="1"/>
  <c r="AI217" i="4"/>
  <c r="AI218" i="4" s="1"/>
  <c r="AJ215" i="4" s="1"/>
  <c r="F105" i="5"/>
  <c r="AB40" i="6"/>
  <c r="AB57" i="5" l="1"/>
  <c r="F62" i="5"/>
  <c r="AB105" i="5"/>
  <c r="AB106" i="5" s="1"/>
  <c r="AB108" i="5" s="1"/>
  <c r="F59" i="6"/>
  <c r="F106" i="5"/>
  <c r="F74" i="6"/>
  <c r="AB59" i="6" l="1"/>
  <c r="F63" i="5"/>
  <c r="F37" i="6"/>
  <c r="AB74" i="6"/>
  <c r="I93" i="7"/>
  <c r="I94" i="7" s="1"/>
  <c r="F108" i="5"/>
  <c r="I77" i="7"/>
  <c r="I79" i="7" s="1"/>
  <c r="AB62" i="5"/>
  <c r="AB63" i="5" s="1"/>
  <c r="F109" i="5" l="1"/>
  <c r="AB109" i="5" s="1"/>
  <c r="AB111" i="5" s="1"/>
  <c r="AB75" i="6"/>
  <c r="AB37" i="6"/>
  <c r="I87" i="7"/>
  <c r="I81" i="7"/>
  <c r="I86" i="7"/>
  <c r="AB60" i="6"/>
  <c r="AB42" i="6" l="1"/>
  <c r="AB46" i="6" s="1"/>
  <c r="AB52" i="6" s="1"/>
  <c r="F46" i="6"/>
  <c r="F52" i="6" s="1"/>
  <c r="I95" i="7"/>
  <c r="I97" i="7" s="1"/>
  <c r="J96" i="7" s="1"/>
  <c r="AC110" i="5"/>
  <c r="F111" i="5"/>
  <c r="G110" i="5" l="1"/>
  <c r="M16" i="4" l="1"/>
  <c r="AB33" i="5"/>
  <c r="F45" i="5"/>
  <c r="F64" i="5" s="1"/>
  <c r="AI16" i="4" l="1"/>
  <c r="AI19" i="4" s="1"/>
  <c r="M19" i="4"/>
  <c r="AB45" i="5"/>
  <c r="AB64" i="5" s="1"/>
  <c r="I65" i="7"/>
  <c r="I69" i="7" s="1"/>
  <c r="I82" i="7" s="1"/>
  <c r="M70" i="4" l="1"/>
  <c r="AI21" i="4"/>
  <c r="M59" i="4"/>
  <c r="M62" i="4" l="1"/>
  <c r="AI59" i="4"/>
  <c r="AI62" i="4" s="1"/>
  <c r="AI70" i="4"/>
  <c r="AI64" i="4" l="1"/>
  <c r="M73" i="4"/>
  <c r="AI73" i="4" l="1"/>
  <c r="AI74" i="4" s="1"/>
  <c r="M74" i="4"/>
  <c r="AI79" i="4" l="1"/>
  <c r="AI7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J16" i="4"/>
  <c r="AK16" i="4"/>
  <c r="AL16" i="4"/>
  <c r="AM16" i="4"/>
  <c r="AN16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J19" i="4"/>
  <c r="AK19" i="4"/>
  <c r="AL19" i="4"/>
  <c r="AM19" i="4"/>
  <c r="AN19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J21" i="4"/>
  <c r="AK21" i="4"/>
  <c r="AL21" i="4"/>
  <c r="AM21" i="4"/>
  <c r="AN21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J59" i="4"/>
  <c r="AK59" i="4"/>
  <c r="AL59" i="4"/>
  <c r="AM59" i="4"/>
  <c r="AN59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J62" i="4"/>
  <c r="AK62" i="4"/>
  <c r="AL62" i="4"/>
  <c r="AM62" i="4"/>
  <c r="AN62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J64" i="4"/>
  <c r="AK64" i="4"/>
  <c r="AL64" i="4"/>
  <c r="AM64" i="4"/>
  <c r="AN64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J70" i="4"/>
  <c r="AK70" i="4"/>
  <c r="AL70" i="4"/>
  <c r="AM70" i="4"/>
  <c r="AN70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J73" i="4"/>
  <c r="AK73" i="4"/>
  <c r="AL73" i="4"/>
  <c r="AM73" i="4"/>
  <c r="AN73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J74" i="4"/>
  <c r="AK74" i="4"/>
  <c r="AL74" i="4"/>
  <c r="AM74" i="4"/>
  <c r="AN74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J76" i="4"/>
  <c r="AK76" i="4"/>
  <c r="AL76" i="4"/>
  <c r="AM76" i="4"/>
  <c r="AN76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J79" i="4"/>
  <c r="AK79" i="4"/>
  <c r="AL79" i="4"/>
  <c r="AM79" i="4"/>
  <c r="AN79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J116" i="4"/>
  <c r="AK116" i="4"/>
  <c r="AL116" i="4"/>
  <c r="AM116" i="4"/>
  <c r="AN116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J117" i="4"/>
  <c r="AK117" i="4"/>
  <c r="AL117" i="4"/>
  <c r="AM117" i="4"/>
  <c r="AN117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J118" i="4"/>
  <c r="AK118" i="4"/>
  <c r="AL118" i="4"/>
  <c r="AM118" i="4"/>
  <c r="AN118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K215" i="4"/>
  <c r="AL215" i="4"/>
  <c r="AM215" i="4"/>
  <c r="AN215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J216" i="4"/>
  <c r="AK216" i="4"/>
  <c r="AL216" i="4"/>
  <c r="AM216" i="4"/>
  <c r="AN216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J217" i="4"/>
  <c r="AK217" i="4"/>
  <c r="AL217" i="4"/>
  <c r="AM217" i="4"/>
  <c r="AN217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J218" i="4"/>
  <c r="AK218" i="4"/>
  <c r="AL218" i="4"/>
  <c r="AM218" i="4"/>
  <c r="AN218" i="4"/>
  <c r="B9" i="7"/>
  <c r="D9" i="7"/>
  <c r="H9" i="7"/>
  <c r="L9" i="7"/>
  <c r="B16" i="7"/>
  <c r="F16" i="7"/>
  <c r="J16" i="7"/>
  <c r="N16" i="7"/>
  <c r="J26" i="7"/>
  <c r="K26" i="7"/>
  <c r="L26" i="7"/>
  <c r="M26" i="7"/>
  <c r="N26" i="7"/>
  <c r="J29" i="7"/>
  <c r="K29" i="7"/>
  <c r="L29" i="7"/>
  <c r="M29" i="7"/>
  <c r="N29" i="7"/>
  <c r="J30" i="7"/>
  <c r="K30" i="7"/>
  <c r="L30" i="7"/>
  <c r="M30" i="7"/>
  <c r="N30" i="7"/>
  <c r="J31" i="7"/>
  <c r="K31" i="7"/>
  <c r="L31" i="7"/>
  <c r="M31" i="7"/>
  <c r="N31" i="7"/>
  <c r="J32" i="7"/>
  <c r="K32" i="7"/>
  <c r="L32" i="7"/>
  <c r="M32" i="7"/>
  <c r="N32" i="7"/>
  <c r="J33" i="7"/>
  <c r="K33" i="7"/>
  <c r="L33" i="7"/>
  <c r="M33" i="7"/>
  <c r="N33" i="7"/>
  <c r="J34" i="7"/>
  <c r="K34" i="7"/>
  <c r="L34" i="7"/>
  <c r="M34" i="7"/>
  <c r="N34" i="7"/>
  <c r="J36" i="7"/>
  <c r="K36" i="7"/>
  <c r="L36" i="7"/>
  <c r="M36" i="7"/>
  <c r="N36" i="7"/>
  <c r="J38" i="7"/>
  <c r="K38" i="7"/>
  <c r="L38" i="7"/>
  <c r="M38" i="7"/>
  <c r="N38" i="7"/>
  <c r="J39" i="7"/>
  <c r="K39" i="7"/>
  <c r="L39" i="7"/>
  <c r="M39" i="7"/>
  <c r="N39" i="7"/>
  <c r="J40" i="7"/>
  <c r="K40" i="7"/>
  <c r="L40" i="7"/>
  <c r="M40" i="7"/>
  <c r="N40" i="7"/>
  <c r="J65" i="7"/>
  <c r="K65" i="7"/>
  <c r="L65" i="7"/>
  <c r="M65" i="7"/>
  <c r="N65" i="7"/>
  <c r="J69" i="7"/>
  <c r="K69" i="7"/>
  <c r="L69" i="7"/>
  <c r="M69" i="7"/>
  <c r="N69" i="7"/>
  <c r="J77" i="7"/>
  <c r="K77" i="7"/>
  <c r="L77" i="7"/>
  <c r="M77" i="7"/>
  <c r="N77" i="7"/>
  <c r="J79" i="7"/>
  <c r="K79" i="7"/>
  <c r="L79" i="7"/>
  <c r="M79" i="7"/>
  <c r="N79" i="7"/>
  <c r="J81" i="7"/>
  <c r="K81" i="7"/>
  <c r="L81" i="7"/>
  <c r="M81" i="7"/>
  <c r="N81" i="7"/>
  <c r="J82" i="7"/>
  <c r="K82" i="7"/>
  <c r="L82" i="7"/>
  <c r="M82" i="7"/>
  <c r="N82" i="7"/>
  <c r="J86" i="7"/>
  <c r="K86" i="7"/>
  <c r="L86" i="7"/>
  <c r="M86" i="7"/>
  <c r="N86" i="7"/>
  <c r="J87" i="7"/>
  <c r="K87" i="7"/>
  <c r="L87" i="7"/>
  <c r="M87" i="7"/>
  <c r="N87" i="7"/>
  <c r="J91" i="7"/>
  <c r="K91" i="7"/>
  <c r="L91" i="7"/>
  <c r="M91" i="7"/>
  <c r="N91" i="7"/>
  <c r="J93" i="7"/>
  <c r="K93" i="7"/>
  <c r="L93" i="7"/>
  <c r="M93" i="7"/>
  <c r="N93" i="7"/>
  <c r="J94" i="7"/>
  <c r="K94" i="7"/>
  <c r="L94" i="7"/>
  <c r="M94" i="7"/>
  <c r="N94" i="7"/>
  <c r="J95" i="7"/>
  <c r="K95" i="7"/>
  <c r="L95" i="7"/>
  <c r="M95" i="7"/>
  <c r="N95" i="7"/>
  <c r="K96" i="7"/>
  <c r="L96" i="7"/>
  <c r="M96" i="7"/>
  <c r="N96" i="7"/>
  <c r="J97" i="7"/>
  <c r="K97" i="7"/>
  <c r="L97" i="7"/>
  <c r="M97" i="7"/>
  <c r="N97" i="7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C8" i="5"/>
  <c r="AD8" i="5"/>
  <c r="AE8" i="5"/>
  <c r="AF8" i="5"/>
  <c r="AG8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C10" i="5"/>
  <c r="AD10" i="5"/>
  <c r="AE10" i="5"/>
  <c r="AF10" i="5"/>
  <c r="AG10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C15" i="5"/>
  <c r="AD15" i="5"/>
  <c r="AE15" i="5"/>
  <c r="AF15" i="5"/>
  <c r="AG15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C16" i="5"/>
  <c r="AD16" i="5"/>
  <c r="AE16" i="5"/>
  <c r="AF16" i="5"/>
  <c r="AG16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C18" i="5"/>
  <c r="AD18" i="5"/>
  <c r="AE18" i="5"/>
  <c r="AF18" i="5"/>
  <c r="AG18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C20" i="5"/>
  <c r="AD20" i="5"/>
  <c r="AE20" i="5"/>
  <c r="AF20" i="5"/>
  <c r="AG20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C22" i="5"/>
  <c r="AD22" i="5"/>
  <c r="AE22" i="5"/>
  <c r="AF22" i="5"/>
  <c r="AG22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C24" i="5"/>
  <c r="AD24" i="5"/>
  <c r="AE24" i="5"/>
  <c r="AF24" i="5"/>
  <c r="AG24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C25" i="5"/>
  <c r="AD25" i="5"/>
  <c r="AE25" i="5"/>
  <c r="AF25" i="5"/>
  <c r="AG25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C26" i="5"/>
  <c r="AD26" i="5"/>
  <c r="AE26" i="5"/>
  <c r="AF26" i="5"/>
  <c r="AG26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C29" i="5"/>
  <c r="AD29" i="5"/>
  <c r="AE29" i="5"/>
  <c r="AF29" i="5"/>
  <c r="AG29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C33" i="5"/>
  <c r="AD33" i="5"/>
  <c r="AE33" i="5"/>
  <c r="AF33" i="5"/>
  <c r="AG33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C45" i="5"/>
  <c r="AD45" i="5"/>
  <c r="AE45" i="5"/>
  <c r="AF45" i="5"/>
  <c r="AG45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C57" i="5"/>
  <c r="AD57" i="5"/>
  <c r="AE57" i="5"/>
  <c r="AF57" i="5"/>
  <c r="AG57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C62" i="5"/>
  <c r="AD62" i="5"/>
  <c r="AE62" i="5"/>
  <c r="AF62" i="5"/>
  <c r="AG62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C63" i="5"/>
  <c r="AD63" i="5"/>
  <c r="AE63" i="5"/>
  <c r="AF63" i="5"/>
  <c r="AG63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C64" i="5"/>
  <c r="AD64" i="5"/>
  <c r="AE64" i="5"/>
  <c r="AF64" i="5"/>
  <c r="AG64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C69" i="5"/>
  <c r="AD69" i="5"/>
  <c r="AE69" i="5"/>
  <c r="AF69" i="5"/>
  <c r="AG69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C86" i="5"/>
  <c r="AD86" i="5"/>
  <c r="AE86" i="5"/>
  <c r="AF86" i="5"/>
  <c r="AG86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C87" i="5"/>
  <c r="AD87" i="5"/>
  <c r="AE87" i="5"/>
  <c r="AF87" i="5"/>
  <c r="AG87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C88" i="5"/>
  <c r="AD88" i="5"/>
  <c r="AE88" i="5"/>
  <c r="AF88" i="5"/>
  <c r="AG88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C105" i="5"/>
  <c r="AD105" i="5"/>
  <c r="AE105" i="5"/>
  <c r="AF105" i="5"/>
  <c r="AG105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C106" i="5"/>
  <c r="AD106" i="5"/>
  <c r="AE106" i="5"/>
  <c r="AF106" i="5"/>
  <c r="AG106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C108" i="5"/>
  <c r="AD108" i="5"/>
  <c r="AE108" i="5"/>
  <c r="AF108" i="5"/>
  <c r="AG108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C109" i="5"/>
  <c r="AD109" i="5"/>
  <c r="AE109" i="5"/>
  <c r="AF109" i="5"/>
  <c r="AG109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D110" i="5"/>
  <c r="AE110" i="5"/>
  <c r="AF110" i="5"/>
  <c r="AG110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C111" i="5"/>
  <c r="AD111" i="5"/>
  <c r="AE111" i="5"/>
  <c r="AF111" i="5"/>
  <c r="AG111" i="5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C35" i="6"/>
  <c r="AD35" i="6"/>
  <c r="AE35" i="6"/>
  <c r="AF35" i="6"/>
  <c r="AG35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C37" i="6"/>
  <c r="AD37" i="6"/>
  <c r="AE37" i="6"/>
  <c r="AF37" i="6"/>
  <c r="AG37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C40" i="6"/>
  <c r="AD40" i="6"/>
  <c r="AE40" i="6"/>
  <c r="AF40" i="6"/>
  <c r="AG40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C42" i="6"/>
  <c r="AD42" i="6"/>
  <c r="AE42" i="6"/>
  <c r="AF42" i="6"/>
  <c r="AG42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B44" i="6"/>
  <c r="AC44" i="6"/>
  <c r="AD44" i="6"/>
  <c r="AE44" i="6"/>
  <c r="AF44" i="6"/>
  <c r="AG44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C46" i="6"/>
  <c r="AD46" i="6"/>
  <c r="AE46" i="6"/>
  <c r="AF46" i="6"/>
  <c r="AG46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B50" i="6"/>
  <c r="AC50" i="6"/>
  <c r="AD50" i="6"/>
  <c r="AE50" i="6"/>
  <c r="AF50" i="6"/>
  <c r="AG50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C52" i="6"/>
  <c r="AD52" i="6"/>
  <c r="AE52" i="6"/>
  <c r="AF52" i="6"/>
  <c r="AG52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B53" i="6"/>
  <c r="AC53" i="6"/>
  <c r="AD53" i="6"/>
  <c r="AE53" i="6"/>
  <c r="AF53" i="6"/>
  <c r="AG53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C59" i="6"/>
  <c r="AD59" i="6"/>
  <c r="AE59" i="6"/>
  <c r="AF59" i="6"/>
  <c r="AG59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C60" i="6"/>
  <c r="AD60" i="6"/>
  <c r="AE60" i="6"/>
  <c r="AF60" i="6"/>
  <c r="AG60" i="6"/>
  <c r="D61" i="6"/>
  <c r="D63" i="6"/>
  <c r="D64" i="6"/>
  <c r="G64" i="6"/>
  <c r="D65" i="6"/>
  <c r="D67" i="6"/>
  <c r="D68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C74" i="6"/>
  <c r="AD74" i="6"/>
  <c r="AE74" i="6"/>
  <c r="AF74" i="6"/>
  <c r="AG74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C75" i="6"/>
  <c r="AD75" i="6"/>
  <c r="AE75" i="6"/>
  <c r="AF75" i="6"/>
  <c r="AG75" i="6"/>
  <c r="D76" i="6"/>
  <c r="D79" i="6"/>
  <c r="G79" i="6"/>
  <c r="D80" i="6"/>
  <c r="D81" i="6"/>
  <c r="D83" i="6"/>
  <c r="D84" i="6"/>
  <c r="F89" i="6"/>
  <c r="G89" i="6"/>
  <c r="F90" i="6"/>
  <c r="G90" i="6"/>
  <c r="F91" i="6"/>
  <c r="G91" i="6"/>
  <c r="F92" i="6"/>
  <c r="G92" i="6"/>
  <c r="F93" i="6"/>
  <c r="G9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Prince</author>
  </authors>
  <commentList>
    <comment ref="B14" authorId="0" shapeId="0" xr:uid="{70246DD1-2FB4-44D6-84AB-8DA534F433E2}">
      <text>
        <r>
          <rPr>
            <b/>
            <sz val="9"/>
            <color indexed="81"/>
            <rFont val="Tahoma"/>
            <family val="2"/>
          </rPr>
          <t>10-Year GoG Bond Yield as of Dec. 2025</t>
        </r>
      </text>
    </comment>
    <comment ref="B15" authorId="0" shapeId="0" xr:uid="{E3468DE3-7053-4963-9CA7-00EF77CA4AB2}">
      <text>
        <r>
          <rPr>
            <b/>
            <sz val="9"/>
            <color indexed="81"/>
            <rFont val="Tahoma"/>
            <family val="2"/>
          </rPr>
          <t>Market Estimate based off other public banks.</t>
        </r>
      </text>
    </comment>
    <comment ref="B18" authorId="0" shapeId="0" xr:uid="{C3F101CA-8BAB-4589-A34D-5144BA9D4EAC}">
      <text>
        <r>
          <rPr>
            <b/>
            <sz val="9"/>
            <color indexed="81"/>
            <rFont val="Tahoma"/>
            <family val="2"/>
          </rPr>
          <t>Damodaran's Estimate</t>
        </r>
      </text>
    </comment>
    <comment ref="B19" authorId="0" shapeId="0" xr:uid="{DB4DE9CF-095C-48EE-9D56-44959EC79F2F}">
      <text>
        <r>
          <rPr>
            <b/>
            <sz val="9"/>
            <color indexed="81"/>
            <rFont val="Tahoma"/>
            <family val="2"/>
          </rPr>
          <t>Damodaran's Estimate of Ghana's Country Default Rate</t>
        </r>
      </text>
    </comment>
    <comment ref="B57" authorId="1" shapeId="0" xr:uid="{6BEB2767-76CF-4712-AB8D-461D387D09B8}">
      <text>
        <r>
          <rPr>
            <b/>
            <sz val="9"/>
            <color indexed="81"/>
            <rFont val="Tahoma"/>
            <family val="2"/>
          </rPr>
          <t>Proxy of quarter GDP Growth Rate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F0832B-D129-4D42-AF47-ED515057326B}" keepAlive="1" name="ModelConnection_ExternalData_1" description="Data Model" type="5" refreshedVersion="8" minRefreshableVersion="5" saveData="1">
    <dbPr connection="Data Model Connection" command="FAB_Share_Pric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2C4B088-B91D-476E-A484-E6D5088234A4}" name="Query - FAB_Share_Price" description="Connection to the 'FAB_Share_Price' query in the workbook." type="100" refreshedVersion="8" minRefreshableVersion="5">
    <extLst>
      <ext xmlns:x15="http://schemas.microsoft.com/office/spreadsheetml/2010/11/main" uri="{DE250136-89BD-433C-8126-D09CA5730AF9}">
        <x15:connection id="c2a1380d-47d7-4fd2-8096-10849caabeae"/>
      </ext>
    </extLst>
  </connection>
  <connection id="3" xr16:uid="{FC7D6BD9-B902-448A-B73E-7594C2E5B4B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<sst xmlns="http://schemas.openxmlformats.org/spreadsheetml/2006/main" count="1281" uniqueCount="388">
  <si>
    <t>FIRST ATLANTIC BANK LIMITED</t>
  </si>
  <si>
    <t>Income Statement</t>
  </si>
  <si>
    <t>Interest Income</t>
  </si>
  <si>
    <t>Interest Expense</t>
  </si>
  <si>
    <t>Net Interest Income</t>
  </si>
  <si>
    <t>Fee and commission income</t>
  </si>
  <si>
    <t>Net trading income</t>
  </si>
  <si>
    <t>Operating Income</t>
  </si>
  <si>
    <t>Impairment losses on loans and advances</t>
  </si>
  <si>
    <t>Personnel expenses</t>
  </si>
  <si>
    <t>Depreciation and amortisation</t>
  </si>
  <si>
    <t>Other expenses</t>
  </si>
  <si>
    <t>Merger related cost</t>
  </si>
  <si>
    <t>Profit before income tax</t>
  </si>
  <si>
    <t>Income tax expense</t>
  </si>
  <si>
    <t>National stabilisation levy</t>
  </si>
  <si>
    <t>Other comprehensive income, net of income tax</t>
  </si>
  <si>
    <t>Unrealised gains/(loss) on fair value changes on available-for-sale securities, net of tax</t>
  </si>
  <si>
    <t>Total comprehensive income for the period</t>
  </si>
  <si>
    <t>STATEMENT OF FINANCIAL POSITION</t>
  </si>
  <si>
    <t>Assets</t>
  </si>
  <si>
    <t>Cash and cash equivalents</t>
  </si>
  <si>
    <t>Loans and advances to customers</t>
  </si>
  <si>
    <t>Investment in associates</t>
  </si>
  <si>
    <t>Current tax assets</t>
  </si>
  <si>
    <t>Intangible assets</t>
  </si>
  <si>
    <t>Property and equipment</t>
  </si>
  <si>
    <t>Total Assets</t>
  </si>
  <si>
    <t>Deposits from banks</t>
  </si>
  <si>
    <t>Deposits from customers</t>
  </si>
  <si>
    <t>Current tax liabilities</t>
  </si>
  <si>
    <t>Liabilities</t>
  </si>
  <si>
    <t>Deferred tax liabilities</t>
  </si>
  <si>
    <t>Other liabilities</t>
  </si>
  <si>
    <t>Total Liabilities</t>
  </si>
  <si>
    <t>Equity</t>
  </si>
  <si>
    <t>Stated capital</t>
  </si>
  <si>
    <t>Revaluation reserve</t>
  </si>
  <si>
    <t>Statutory reserve fund</t>
  </si>
  <si>
    <t>Credit risk reserve</t>
  </si>
  <si>
    <t>Other reserves</t>
  </si>
  <si>
    <t>Total Equity</t>
  </si>
  <si>
    <t>Total Equity and Liabilities</t>
  </si>
  <si>
    <t>STATEMENT OF CASH FLOWS</t>
  </si>
  <si>
    <t>Cash flows from operating activities</t>
  </si>
  <si>
    <t>Adjusted for :</t>
  </si>
  <si>
    <t>Impairment on financial asstes</t>
  </si>
  <si>
    <t>Net interest income</t>
  </si>
  <si>
    <t xml:space="preserve">Interest received </t>
  </si>
  <si>
    <t>Interest paid</t>
  </si>
  <si>
    <t>Income tax paid</t>
  </si>
  <si>
    <t>Net cash generated from operating activities</t>
  </si>
  <si>
    <t>Cash flows from investing activities</t>
  </si>
  <si>
    <t>Purchase of property and equipment</t>
  </si>
  <si>
    <t>Purchase of intangible assets</t>
  </si>
  <si>
    <t>Net cash flows from investing activities</t>
  </si>
  <si>
    <t>Cash flows from financing activities</t>
  </si>
  <si>
    <t>Net cash generated from financing activities</t>
  </si>
  <si>
    <t>Cash and cash equivalents at start of year</t>
  </si>
  <si>
    <t>Cash and cash equivalents at end of year</t>
  </si>
  <si>
    <t>Q1</t>
  </si>
  <si>
    <t>Q2</t>
  </si>
  <si>
    <t>Q3</t>
  </si>
  <si>
    <t>Other income</t>
  </si>
  <si>
    <t>Right-of-Use Assets</t>
  </si>
  <si>
    <t>Lease liabilities</t>
  </si>
  <si>
    <t>Finance cost on lease liabilities</t>
  </si>
  <si>
    <t>Financial sector recovery levy</t>
  </si>
  <si>
    <t>Proceeds from asset disposal</t>
  </si>
  <si>
    <t>Payments on lease liabilities</t>
  </si>
  <si>
    <t>Net increase/decrease in cash and cash equivalents</t>
  </si>
  <si>
    <t>Trading assets (Investment securities)</t>
  </si>
  <si>
    <t>Growth and Sustainability levy</t>
  </si>
  <si>
    <t>Deferred tax asset</t>
  </si>
  <si>
    <t>Cash used in operating activities</t>
  </si>
  <si>
    <t>Investment in Associate</t>
  </si>
  <si>
    <t>Borrowings</t>
  </si>
  <si>
    <t>Fee and commission expense</t>
  </si>
  <si>
    <t>Finance cost on lease liability</t>
  </si>
  <si>
    <t>Investment in subsidiary</t>
  </si>
  <si>
    <t>Growth and Fiscal levies</t>
  </si>
  <si>
    <t>Income surplus account (Retained earnings)</t>
  </si>
  <si>
    <t>Tax and levies paid</t>
  </si>
  <si>
    <t>Dividends Paid</t>
  </si>
  <si>
    <t>Share of profit from associate company</t>
  </si>
  <si>
    <t>Profit before tax</t>
  </si>
  <si>
    <t>Gain on disposal of property and equipment</t>
  </si>
  <si>
    <t>Interest charged on finance lease</t>
  </si>
  <si>
    <t>Non-pledged trading assets</t>
  </si>
  <si>
    <t>Restricted cash</t>
  </si>
  <si>
    <t>Changes in operating assets and liabilities</t>
  </si>
  <si>
    <t>Other assets</t>
  </si>
  <si>
    <t>Share of profit of associate</t>
  </si>
  <si>
    <t xml:space="preserve">Profit for the year </t>
  </si>
  <si>
    <t>EPS</t>
  </si>
  <si>
    <t>Pledged trading assets</t>
  </si>
  <si>
    <t>Modification loss</t>
  </si>
  <si>
    <t>Effect of foreign exchange rate changes</t>
  </si>
  <si>
    <t>Start Date</t>
  </si>
  <si>
    <t>End Date</t>
  </si>
  <si>
    <t xml:space="preserve">Period </t>
  </si>
  <si>
    <t>Net Fees and Commission Income</t>
  </si>
  <si>
    <t>Total Operating Expenses</t>
  </si>
  <si>
    <t>Year</t>
  </si>
  <si>
    <t>Shares Outstanding</t>
  </si>
  <si>
    <t>Statement of Financial Position</t>
  </si>
  <si>
    <t>Check</t>
  </si>
  <si>
    <t>Company</t>
  </si>
  <si>
    <t>Ticker</t>
  </si>
  <si>
    <t>Price</t>
  </si>
  <si>
    <t>Q3 2025</t>
  </si>
  <si>
    <t>Operating Profit</t>
  </si>
  <si>
    <t>Net Profit</t>
  </si>
  <si>
    <t>Market Capitalization</t>
  </si>
  <si>
    <t>Loans</t>
  </si>
  <si>
    <t>Cash</t>
  </si>
  <si>
    <t>Investments</t>
  </si>
  <si>
    <t>Total Deposits</t>
  </si>
  <si>
    <t>Access Bank Ghana</t>
  </si>
  <si>
    <t>Agricultural Development Bank</t>
  </si>
  <si>
    <t>CalBank</t>
  </si>
  <si>
    <t>Ecobank Ghana</t>
  </si>
  <si>
    <t>GCB Bank</t>
  </si>
  <si>
    <t>Republic Bank Ghana</t>
  </si>
  <si>
    <t>Societe Generale Ghana</t>
  </si>
  <si>
    <t>Standard Chartered Bank Ghana</t>
  </si>
  <si>
    <t>GSE.ACCESS</t>
  </si>
  <si>
    <t>GSE.GCB</t>
  </si>
  <si>
    <t>GSE.ADB</t>
  </si>
  <si>
    <t>GSE.CAL</t>
  </si>
  <si>
    <t>GSE.EGH</t>
  </si>
  <si>
    <t>GSE.RBGH</t>
  </si>
  <si>
    <t>GSE.SOGEGH</t>
  </si>
  <si>
    <t>GSE.SCB</t>
  </si>
  <si>
    <t>First Atlantic Bank Ghana</t>
  </si>
  <si>
    <t>GSE.FAB</t>
  </si>
  <si>
    <t>Price-to-Earnings (P/E)</t>
  </si>
  <si>
    <t>Price-to-Book (P/B)</t>
  </si>
  <si>
    <t>Mean</t>
  </si>
  <si>
    <t>Median</t>
  </si>
  <si>
    <t>Low</t>
  </si>
  <si>
    <t>High</t>
  </si>
  <si>
    <t>Price-to-Deposit (P/D)</t>
  </si>
  <si>
    <t>Earnings Per Share (EPS)</t>
  </si>
  <si>
    <t>Investment-to-Deposit</t>
  </si>
  <si>
    <t>Loan-to-Deposit</t>
  </si>
  <si>
    <t>Return on Assets (ROA)</t>
  </si>
  <si>
    <t>Return on Equity (ROE)</t>
  </si>
  <si>
    <t>Cost-to-Income</t>
  </si>
  <si>
    <t>Cash-to-Deposit</t>
  </si>
  <si>
    <t>MIN</t>
  </si>
  <si>
    <t>AVG</t>
  </si>
  <si>
    <t>MED</t>
  </si>
  <si>
    <t>MAX</t>
  </si>
  <si>
    <t>FAB EPS</t>
  </si>
  <si>
    <t>Implied Value</t>
  </si>
  <si>
    <t>Potential</t>
  </si>
  <si>
    <t>Industry P/E Multiple</t>
  </si>
  <si>
    <t>FAB BPS</t>
  </si>
  <si>
    <t>Industry P/B Multiple</t>
  </si>
  <si>
    <t>AVERAGE</t>
  </si>
  <si>
    <t>FAB VALUATION - P/E</t>
  </si>
  <si>
    <t>FAB VALUATION - P/B</t>
  </si>
  <si>
    <t>FAB VALUATION - P/D</t>
  </si>
  <si>
    <t>FAB DPS</t>
  </si>
  <si>
    <t>Industry P/D Multiple</t>
  </si>
  <si>
    <t>Analysis</t>
  </si>
  <si>
    <t>Interest income generating assets</t>
  </si>
  <si>
    <t>Total Income generating assets</t>
  </si>
  <si>
    <t>Average</t>
  </si>
  <si>
    <t>Interest expense generating liabilities</t>
  </si>
  <si>
    <t>Fees &amp; Commission Income</t>
  </si>
  <si>
    <t>Loan Book</t>
  </si>
  <si>
    <t>Beginning Balance</t>
  </si>
  <si>
    <t>Impairments</t>
  </si>
  <si>
    <t>Additions</t>
  </si>
  <si>
    <t>Closing</t>
  </si>
  <si>
    <t>Loan Disbursement</t>
  </si>
  <si>
    <t>Total Deposit</t>
  </si>
  <si>
    <t>Fee income rate</t>
  </si>
  <si>
    <t>Interest expense rate</t>
  </si>
  <si>
    <t>Interest income rate</t>
  </si>
  <si>
    <t>Fees &amp; Commission Expense</t>
  </si>
  <si>
    <t>Fee expense charge (% of fee income)</t>
  </si>
  <si>
    <t>Trading &amp; Other Income</t>
  </si>
  <si>
    <t>Trading assets</t>
  </si>
  <si>
    <t>Other Income</t>
  </si>
  <si>
    <t>Net trading Income</t>
  </si>
  <si>
    <t>Net trading rate</t>
  </si>
  <si>
    <t>% fo Revenue</t>
  </si>
  <si>
    <t>Revenue</t>
  </si>
  <si>
    <t>Personal Expenses</t>
  </si>
  <si>
    <t>Personal &amp; Other Expenses</t>
  </si>
  <si>
    <t>% of Operating Income</t>
  </si>
  <si>
    <t>Other Expenses</t>
  </si>
  <si>
    <t>Tax Expense</t>
  </si>
  <si>
    <t>Total Taxes</t>
  </si>
  <si>
    <t>Effective tax rate</t>
  </si>
  <si>
    <t>Profit before Taxes</t>
  </si>
  <si>
    <t>Retained earnings</t>
  </si>
  <si>
    <t>Deposits</t>
  </si>
  <si>
    <t>% Change</t>
  </si>
  <si>
    <t>Loan-to-Deposit Ratio</t>
  </si>
  <si>
    <t>Investment-to-Deposit Ratio</t>
  </si>
  <si>
    <t>Closing Balance</t>
  </si>
  <si>
    <t>Net Addtions</t>
  </si>
  <si>
    <t>Net additions (% of beginning balance)</t>
  </si>
  <si>
    <t>% of Loans</t>
  </si>
  <si>
    <t>Tax Schedule</t>
  </si>
  <si>
    <t>Total income tax transfer</t>
  </si>
  <si>
    <t>Payment</t>
  </si>
  <si>
    <t>Payment rate</t>
  </si>
  <si>
    <t>Total levies transfer</t>
  </si>
  <si>
    <t>Intangible Assets</t>
  </si>
  <si>
    <t>Beginning balance</t>
  </si>
  <si>
    <t>Amortization</t>
  </si>
  <si>
    <t>Capex ratio</t>
  </si>
  <si>
    <t>Amortization rate</t>
  </si>
  <si>
    <t>Depreciation</t>
  </si>
  <si>
    <t>Net Additions</t>
  </si>
  <si>
    <t>Depreciation rate</t>
  </si>
  <si>
    <t>Net additions rate</t>
  </si>
  <si>
    <t>Interest rate</t>
  </si>
  <si>
    <t>Dividend Paid</t>
  </si>
  <si>
    <t>Dividend Payout ratio</t>
  </si>
  <si>
    <t>Dividend Paid &amp; Transfers</t>
  </si>
  <si>
    <t>General Model Assumptions</t>
  </si>
  <si>
    <t>Conservative</t>
  </si>
  <si>
    <t>Optimistic</t>
  </si>
  <si>
    <t>Interest Rate</t>
  </si>
  <si>
    <t>Scenario&gt;&gt;&gt;&gt;&gt;</t>
  </si>
  <si>
    <t>Moderate</t>
  </si>
  <si>
    <t>Live</t>
  </si>
  <si>
    <t>Total expense incurring liabilities</t>
  </si>
  <si>
    <t>Interest Assumptions</t>
  </si>
  <si>
    <t>Fees &amp; Commissions Assumptions</t>
  </si>
  <si>
    <t>Income rate</t>
  </si>
  <si>
    <t>Expense Rate</t>
  </si>
  <si>
    <t>Unit</t>
  </si>
  <si>
    <t>% of gen. assets</t>
  </si>
  <si>
    <t>% of incur. liab.</t>
  </si>
  <si>
    <t>% of fees &amp; comm.</t>
  </si>
  <si>
    <t>Trading &amp; Other Income Assumptions</t>
  </si>
  <si>
    <t>% of trad. assets</t>
  </si>
  <si>
    <t>% of Rev.</t>
  </si>
  <si>
    <t>Personal &amp; Other Expenses Assumptions</t>
  </si>
  <si>
    <t>% of op. income</t>
  </si>
  <si>
    <t>Growth Rate</t>
  </si>
  <si>
    <t>Balance Sheet</t>
  </si>
  <si>
    <t>x</t>
  </si>
  <si>
    <t>Impairment</t>
  </si>
  <si>
    <t>Disbursements</t>
  </si>
  <si>
    <t>Net Book Value</t>
  </si>
  <si>
    <t>q-o-q growth</t>
  </si>
  <si>
    <t>% of begin. bal.</t>
  </si>
  <si>
    <t>% of profit before tax</t>
  </si>
  <si>
    <t>Tax Payment</t>
  </si>
  <si>
    <t>% of total taxes</t>
  </si>
  <si>
    <t>Taxes Paid</t>
  </si>
  <si>
    <t>Intangible Assets Schedule</t>
  </si>
  <si>
    <t>% of outs. bal.</t>
  </si>
  <si>
    <t>Property and equipment Schedule</t>
  </si>
  <si>
    <t>Right-of-Use Assets Schedule</t>
  </si>
  <si>
    <t>Other assets Schedule</t>
  </si>
  <si>
    <t>Other liabilities Schedule</t>
  </si>
  <si>
    <t>Lease liabilities Schedule</t>
  </si>
  <si>
    <t>Equity Schedule</t>
  </si>
  <si>
    <t>% of net profit</t>
  </si>
  <si>
    <t xml:space="preserve">Profit for the period </t>
  </si>
  <si>
    <t>Deferred &amp; Current tax liabilities Schedule</t>
  </si>
  <si>
    <t>Statement of Cashflow</t>
  </si>
  <si>
    <t>Changes in operating assets and liabilities:</t>
  </si>
  <si>
    <t>Purchase of Right-of-Use Assets</t>
  </si>
  <si>
    <t>Changes in:</t>
  </si>
  <si>
    <t>Cash and cash equivalents at start of period</t>
  </si>
  <si>
    <t>Cash and cash equivalents at end of period</t>
  </si>
  <si>
    <t>Impairment on financial assets</t>
  </si>
  <si>
    <t>Adjustments</t>
  </si>
  <si>
    <t>Cost of Equity Calculation</t>
  </si>
  <si>
    <t>Date</t>
  </si>
  <si>
    <t>Current Share Price (GHS)</t>
  </si>
  <si>
    <t>Market Capitalisation</t>
  </si>
  <si>
    <t>Cost of Equity</t>
  </si>
  <si>
    <t>Risk-free Rate</t>
  </si>
  <si>
    <t>Market Risk Premium</t>
  </si>
  <si>
    <t>Country Risk Premium</t>
  </si>
  <si>
    <t>Quarterlized Cost of Equity</t>
  </si>
  <si>
    <t>FAB</t>
  </si>
  <si>
    <t>All amounts in thousands of GHS unless stated otherwise</t>
  </si>
  <si>
    <t>Unlevered Beta</t>
  </si>
  <si>
    <t>Debt-to-Equity Ratio</t>
  </si>
  <si>
    <t>Levered Beta</t>
  </si>
  <si>
    <t>Yearfrac</t>
  </si>
  <si>
    <t>Discount Factor</t>
  </si>
  <si>
    <t>Comparable Company Analysis</t>
  </si>
  <si>
    <t>Discounted EPS</t>
  </si>
  <si>
    <t>Discounted DPS</t>
  </si>
  <si>
    <t>Discounted BPS</t>
  </si>
  <si>
    <t>Rolling NTM Discounted EPS</t>
  </si>
  <si>
    <t>Rolling NTM Discounted DPS</t>
  </si>
  <si>
    <t>Rolling NTM Discounted BPS</t>
  </si>
  <si>
    <t>Industry Multiples</t>
  </si>
  <si>
    <t>P/E</t>
  </si>
  <si>
    <t>P/D</t>
  </si>
  <si>
    <t>P/B</t>
  </si>
  <si>
    <t>Share Price</t>
  </si>
  <si>
    <t>P/E Approach</t>
  </si>
  <si>
    <t>P/D Approach</t>
  </si>
  <si>
    <t>P/B Approach</t>
  </si>
  <si>
    <t>Average Price</t>
  </si>
  <si>
    <t>Dividend Discount Model</t>
  </si>
  <si>
    <t>Sustainable Growth Rate (g)</t>
  </si>
  <si>
    <t>Dividend</t>
  </si>
  <si>
    <t>Discounted Dividend</t>
  </si>
  <si>
    <t>Terminal Value</t>
  </si>
  <si>
    <t>Sum of PVs of Dividends</t>
  </si>
  <si>
    <t>PV of Terminal Value</t>
  </si>
  <si>
    <t>Equity Value</t>
  </si>
  <si>
    <t>Implied Share Price</t>
  </si>
  <si>
    <t>Residual Income Valuation</t>
  </si>
  <si>
    <t>Sensitivity Analysis - Cost of Equity vs Sustainable Growth Rate vs Share Price</t>
  </si>
  <si>
    <t>Sustainable Growth Rate</t>
  </si>
  <si>
    <t>Book Value of Equity</t>
  </si>
  <si>
    <t>Residual Income</t>
  </si>
  <si>
    <t>Discounted Residual Income</t>
  </si>
  <si>
    <t>Terminal Value of Residual Income</t>
  </si>
  <si>
    <t>Sum of PVs of Residual Income</t>
  </si>
  <si>
    <t>Weighted Average Price</t>
  </si>
  <si>
    <t>Multiples Approach</t>
  </si>
  <si>
    <t>Dividend Discount Model Approach</t>
  </si>
  <si>
    <t>Residual Income Valuation Approach</t>
  </si>
  <si>
    <t>Weights</t>
  </si>
  <si>
    <t>Valuation</t>
  </si>
  <si>
    <t>Weighted Average</t>
  </si>
  <si>
    <t>Weighted Price</t>
  </si>
  <si>
    <t>Recommendations</t>
  </si>
  <si>
    <t>Financial Highlights</t>
  </si>
  <si>
    <t>Operating Income Growth Rate</t>
  </si>
  <si>
    <t>Cost-to-Income Ratio</t>
  </si>
  <si>
    <t>Profit Margin</t>
  </si>
  <si>
    <t>Reserves</t>
  </si>
  <si>
    <t>Return on Equity</t>
  </si>
  <si>
    <t>Book Value of Equity per Share</t>
  </si>
  <si>
    <t>Cash generated from operating activities</t>
  </si>
  <si>
    <t>Cash generated from financing activities</t>
  </si>
  <si>
    <t>ACCESS</t>
  </si>
  <si>
    <t>ADB</t>
  </si>
  <si>
    <t>AGA</t>
  </si>
  <si>
    <t>ALLGH</t>
  </si>
  <si>
    <t>ALW</t>
  </si>
  <si>
    <t>ASG</t>
  </si>
  <si>
    <t>BOPP</t>
  </si>
  <si>
    <t>CAL</t>
  </si>
  <si>
    <t>CLYD</t>
  </si>
  <si>
    <t>CMLT</t>
  </si>
  <si>
    <t>CPC</t>
  </si>
  <si>
    <t>DASPHARMA</t>
  </si>
  <si>
    <t>DIGICUT</t>
  </si>
  <si>
    <t>EGH</t>
  </si>
  <si>
    <t>EGL</t>
  </si>
  <si>
    <t>ETI</t>
  </si>
  <si>
    <t>FML</t>
  </si>
  <si>
    <t>GCB</t>
  </si>
  <si>
    <t>GGBL</t>
  </si>
  <si>
    <t>GLD</t>
  </si>
  <si>
    <t>GOIL</t>
  </si>
  <si>
    <t>HORDS</t>
  </si>
  <si>
    <t>IIL</t>
  </si>
  <si>
    <t>MAC</t>
  </si>
  <si>
    <t>MMH</t>
  </si>
  <si>
    <t>MTNGH</t>
  </si>
  <si>
    <t>PBC</t>
  </si>
  <si>
    <t>RBGH</t>
  </si>
  <si>
    <t>SAMBA</t>
  </si>
  <si>
    <t>SCB</t>
  </si>
  <si>
    <t>SCBPREF</t>
  </si>
  <si>
    <t>SIC</t>
  </si>
  <si>
    <t>SOGEGH</t>
  </si>
  <si>
    <t>TBL</t>
  </si>
  <si>
    <t>TLW</t>
  </si>
  <si>
    <t>TOTAL</t>
  </si>
  <si>
    <t>UNIL</t>
  </si>
  <si>
    <t>Q4</t>
  </si>
  <si>
    <t>Placements with banks</t>
  </si>
  <si>
    <t>National Fiscal Stability Levy Liability</t>
  </si>
  <si>
    <t>Non-Controlling interest</t>
  </si>
  <si>
    <t>Unrealised exchange loss(gain)</t>
  </si>
  <si>
    <t>Proceeds from share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</si>
</sst>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(* #,##0_);_(* \(#,##0\);_(* &quot;-&quot;_);_(@_)"/>
    <numFmt numFmtId="164" formatCode="_-* #,##0.00_-;\-* #,##0.00_-;_-* &quot;-&quot;??_-;_-@_-"/>
    <numFmt numFmtId="165" formatCode="_-* #,##0_-;\-* #,##0_-;_-* &quot;-&quot;??_-;_-@_-"/>
    <numFmt numFmtId="166" formatCode="_(* #,##0.00_);_(* \(#,##0.00\);_(* &quot;-&quot;_);_(@_)"/>
    <numFmt numFmtId="167" formatCode="0.00\x"/>
    <numFmt numFmtId="168" formatCode="0.0%"/>
    <numFmt numFmtId="169" formatCode="_(* #,##0.0000_);_(* \(#,##0.00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ptos"/>
      <family val="2"/>
    </font>
    <font>
      <b/>
      <sz val="8"/>
      <color theme="0"/>
      <name val="Aptos"/>
      <family val="2"/>
    </font>
    <font>
      <sz val="8"/>
      <color theme="1"/>
      <name val="Aptos"/>
      <family val="2"/>
    </font>
    <font>
      <b/>
      <sz val="8"/>
      <color rgb="FF660066"/>
      <name val="Aptos"/>
      <family val="2"/>
    </font>
    <font>
      <b/>
      <sz val="8"/>
      <color theme="1"/>
      <name val="Aptos"/>
      <family val="2"/>
    </font>
    <font>
      <sz val="8"/>
      <color theme="0"/>
      <name val="Aptos"/>
      <family val="2"/>
    </font>
    <font>
      <i/>
      <sz val="8"/>
      <color theme="1"/>
      <name val="Aptos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b/>
      <i/>
      <sz val="8"/>
      <color theme="1" tint="0.499984740745262"/>
      <name val="Aptos"/>
      <family val="2"/>
    </font>
    <font>
      <i/>
      <sz val="8"/>
      <color theme="1" tint="0.499984740745262"/>
      <name val="Aptos"/>
      <family val="2"/>
    </font>
    <font>
      <b/>
      <sz val="8"/>
      <color rgb="FF00B050"/>
      <name val="Aptos"/>
      <family val="2"/>
    </font>
    <font>
      <sz val="8"/>
      <color rgb="FF00B050"/>
      <name val="Aptos"/>
      <family val="2"/>
    </font>
    <font>
      <sz val="8"/>
      <color rgb="FF0000FF"/>
      <name val="Aptos"/>
      <family val="2"/>
    </font>
    <font>
      <b/>
      <sz val="8"/>
      <color indexed="8"/>
      <name val="Aptos"/>
      <family val="2"/>
    </font>
    <font>
      <b/>
      <sz val="9"/>
      <color indexed="81"/>
      <name val="Tahoma"/>
      <family val="2"/>
    </font>
    <font>
      <b/>
      <sz val="28"/>
      <name val="Aptos"/>
      <family val="2"/>
    </font>
    <font>
      <i/>
      <sz val="20"/>
      <color theme="1"/>
      <name val="Aptos"/>
      <family val="2"/>
    </font>
    <font>
      <b/>
      <sz val="8"/>
      <color rgb="FFF4E100"/>
      <name val="Aptos"/>
      <family val="2"/>
    </font>
    <font>
      <b/>
      <sz val="8"/>
      <name val="Aptos"/>
      <family val="2"/>
    </font>
    <font>
      <sz val="8"/>
      <name val="Aptos"/>
      <family val="2"/>
    </font>
    <font>
      <b/>
      <sz val="8"/>
      <color rgb="FF0000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E600E6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rgb="FFFFFB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ashed">
        <color rgb="FF660066"/>
      </left>
      <right style="dashed">
        <color rgb="FF660066"/>
      </right>
      <top style="dashed">
        <color rgb="FF660066"/>
      </top>
      <bottom style="dashed">
        <color rgb="FF660066"/>
      </bottom>
      <diagonal/>
    </border>
    <border>
      <left style="dashed">
        <color rgb="FF660066"/>
      </left>
      <right/>
      <top/>
      <bottom/>
      <diagonal/>
    </border>
    <border>
      <left style="dashed">
        <color rgb="FF660066"/>
      </left>
      <right/>
      <top style="dashed">
        <color rgb="FF660066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ashed">
        <color rgb="FF660066"/>
      </left>
      <right/>
      <top style="dashed">
        <color rgb="FF660066"/>
      </top>
      <bottom style="dashed">
        <color rgb="FF660066"/>
      </bottom>
      <diagonal/>
    </border>
    <border>
      <left/>
      <right style="dashed">
        <color rgb="FF660066"/>
      </right>
      <top style="dashed">
        <color rgb="FF660066"/>
      </top>
      <bottom style="dashed">
        <color rgb="FF660066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rgb="FF660066"/>
      </left>
      <right/>
      <top/>
      <bottom style="dashed">
        <color rgb="FF660066"/>
      </bottom>
      <diagonal/>
    </border>
    <border>
      <left/>
      <right style="dashed">
        <color rgb="FF660066"/>
      </right>
      <top/>
      <bottom style="dashed">
        <color rgb="FF660066"/>
      </bottom>
      <diagonal/>
    </border>
    <border>
      <left/>
      <right style="dashed">
        <color rgb="FF660066"/>
      </right>
      <top style="dashed">
        <color rgb="FF660066"/>
      </top>
      <bottom/>
      <diagonal/>
    </border>
    <border>
      <left/>
      <right/>
      <top style="dashed">
        <color rgb="FF660066"/>
      </top>
      <bottom/>
      <diagonal/>
    </border>
    <border>
      <left/>
      <right/>
      <top/>
      <bottom style="dashed">
        <color rgb="FF660066"/>
      </bottom>
      <diagonal/>
    </border>
    <border>
      <left/>
      <right style="dashed">
        <color rgb="FF66006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8">
    <xf numFmtId="0" fontId="0" fillId="0" borderId="0" xfId="0"/>
    <xf numFmtId="0" fontId="2" fillId="2" borderId="0" xfId="0" applyFont="1" applyFill="1"/>
    <xf numFmtId="0" fontId="4" fillId="0" borderId="0" xfId="0" applyFont="1"/>
    <xf numFmtId="0" fontId="4" fillId="0" borderId="4" xfId="0" applyFont="1" applyBorder="1"/>
    <xf numFmtId="0" fontId="6" fillId="0" borderId="0" xfId="0" applyFont="1"/>
    <xf numFmtId="164" fontId="4" fillId="0" borderId="0" xfId="1" applyFont="1"/>
    <xf numFmtId="41" fontId="4" fillId="0" borderId="0" xfId="0" applyNumberFormat="1" applyFont="1"/>
    <xf numFmtId="0" fontId="8" fillId="0" borderId="0" xfId="0" applyFont="1"/>
    <xf numFmtId="0" fontId="6" fillId="0" borderId="4" xfId="0" applyFont="1" applyBorder="1"/>
    <xf numFmtId="0" fontId="7" fillId="2" borderId="0" xfId="0" applyFont="1" applyFill="1"/>
    <xf numFmtId="0" fontId="4" fillId="0" borderId="7" xfId="0" applyFont="1" applyBorder="1"/>
    <xf numFmtId="0" fontId="6" fillId="0" borderId="7" xfId="0" applyFont="1" applyBorder="1"/>
    <xf numFmtId="17" fontId="4" fillId="0" borderId="7" xfId="0" applyNumberFormat="1" applyFont="1" applyBorder="1"/>
    <xf numFmtId="0" fontId="4" fillId="0" borderId="8" xfId="0" applyFont="1" applyBorder="1"/>
    <xf numFmtId="0" fontId="4" fillId="0" borderId="9" xfId="0" applyFont="1" applyBorder="1"/>
    <xf numFmtId="41" fontId="4" fillId="0" borderId="4" xfId="0" applyNumberFormat="1" applyFont="1" applyBorder="1"/>
    <xf numFmtId="41" fontId="6" fillId="0" borderId="4" xfId="0" applyNumberFormat="1" applyFont="1" applyBorder="1"/>
    <xf numFmtId="0" fontId="6" fillId="0" borderId="10" xfId="0" applyFont="1" applyBorder="1"/>
    <xf numFmtId="41" fontId="6" fillId="0" borderId="10" xfId="0" applyNumberFormat="1" applyFont="1" applyBorder="1"/>
    <xf numFmtId="0" fontId="4" fillId="3" borderId="0" xfId="0" applyFont="1" applyFill="1"/>
    <xf numFmtId="41" fontId="4" fillId="3" borderId="0" xfId="0" applyNumberFormat="1" applyFont="1" applyFill="1"/>
    <xf numFmtId="0" fontId="3" fillId="3" borderId="0" xfId="0" applyFont="1" applyFill="1"/>
    <xf numFmtId="0" fontId="4" fillId="0" borderId="12" xfId="0" applyFont="1" applyBorder="1"/>
    <xf numFmtId="0" fontId="4" fillId="0" borderId="11" xfId="0" applyFont="1" applyBorder="1"/>
    <xf numFmtId="0" fontId="6" fillId="0" borderId="12" xfId="0" applyFont="1" applyBorder="1"/>
    <xf numFmtId="0" fontId="6" fillId="0" borderId="11" xfId="0" applyFont="1" applyBorder="1"/>
    <xf numFmtId="166" fontId="4" fillId="0" borderId="0" xfId="0" applyNumberFormat="1" applyFont="1"/>
    <xf numFmtId="0" fontId="3" fillId="3" borderId="13" xfId="0" applyFont="1" applyFill="1" applyBorder="1"/>
    <xf numFmtId="0" fontId="3" fillId="3" borderId="14" xfId="0" applyFont="1" applyFill="1" applyBorder="1" applyAlignment="1">
      <alignment horizontal="right" vertical="center"/>
    </xf>
    <xf numFmtId="0" fontId="3" fillId="3" borderId="15" xfId="0" applyFont="1" applyFill="1" applyBorder="1" applyAlignment="1">
      <alignment horizontal="right" vertical="center"/>
    </xf>
    <xf numFmtId="168" fontId="4" fillId="0" borderId="0" xfId="2" applyNumberFormat="1" applyFont="1"/>
    <xf numFmtId="0" fontId="3" fillId="3" borderId="0" xfId="0" applyFont="1" applyFill="1" applyAlignment="1">
      <alignment horizontal="right" vertical="center"/>
    </xf>
    <xf numFmtId="0" fontId="3" fillId="3" borderId="16" xfId="0" applyFont="1" applyFill="1" applyBorder="1"/>
    <xf numFmtId="0" fontId="3" fillId="3" borderId="17" xfId="0" applyFont="1" applyFill="1" applyBorder="1"/>
    <xf numFmtId="0" fontId="3" fillId="3" borderId="4" xfId="0" applyFont="1" applyFill="1" applyBorder="1" applyAlignment="1">
      <alignment horizontal="centerContinuous" vertical="center"/>
    </xf>
    <xf numFmtId="0" fontId="3" fillId="3" borderId="18" xfId="0" applyFont="1" applyFill="1" applyBorder="1" applyAlignment="1">
      <alignment horizontal="centerContinuous" vertical="center"/>
    </xf>
    <xf numFmtId="0" fontId="3" fillId="3" borderId="19" xfId="0" applyFont="1" applyFill="1" applyBorder="1" applyAlignment="1">
      <alignment horizontal="centerContinuous" vertical="center"/>
    </xf>
    <xf numFmtId="0" fontId="3" fillId="3" borderId="5" xfId="0" applyFont="1" applyFill="1" applyBorder="1" applyAlignment="1">
      <alignment horizontal="centerContinuous" vertical="center"/>
    </xf>
    <xf numFmtId="0" fontId="3" fillId="3" borderId="6" xfId="0" applyFont="1" applyFill="1" applyBorder="1"/>
    <xf numFmtId="0" fontId="3" fillId="3" borderId="2" xfId="0" applyFont="1" applyFill="1" applyBorder="1" applyAlignment="1">
      <alignment horizontal="right" vertical="center"/>
    </xf>
    <xf numFmtId="0" fontId="4" fillId="0" borderId="6" xfId="0" applyFont="1" applyBorder="1"/>
    <xf numFmtId="2" fontId="4" fillId="0" borderId="0" xfId="0" applyNumberFormat="1" applyFont="1"/>
    <xf numFmtId="167" fontId="4" fillId="0" borderId="0" xfId="0" applyNumberFormat="1" applyFont="1"/>
    <xf numFmtId="164" fontId="4" fillId="0" borderId="0" xfId="1" applyFont="1" applyBorder="1"/>
    <xf numFmtId="168" fontId="4" fillId="0" borderId="0" xfId="2" applyNumberFormat="1" applyFont="1" applyBorder="1"/>
    <xf numFmtId="167" fontId="4" fillId="0" borderId="2" xfId="0" applyNumberFormat="1" applyFont="1" applyBorder="1"/>
    <xf numFmtId="0" fontId="5" fillId="0" borderId="20" xfId="0" applyFont="1" applyBorder="1"/>
    <xf numFmtId="0" fontId="5" fillId="0" borderId="21" xfId="0" applyFont="1" applyBorder="1"/>
    <xf numFmtId="2" fontId="5" fillId="0" borderId="21" xfId="0" applyNumberFormat="1" applyFont="1" applyBorder="1"/>
    <xf numFmtId="41" fontId="5" fillId="0" borderId="21" xfId="0" applyNumberFormat="1" applyFont="1" applyBorder="1"/>
    <xf numFmtId="167" fontId="5" fillId="0" borderId="21" xfId="0" applyNumberFormat="1" applyFont="1" applyBorder="1"/>
    <xf numFmtId="164" fontId="5" fillId="0" borderId="21" xfId="1" applyFont="1" applyBorder="1"/>
    <xf numFmtId="168" fontId="5" fillId="0" borderId="21" xfId="2" applyNumberFormat="1" applyFont="1" applyBorder="1"/>
    <xf numFmtId="167" fontId="5" fillId="0" borderId="22" xfId="0" applyNumberFormat="1" applyFont="1" applyBorder="1"/>
    <xf numFmtId="0" fontId="4" fillId="0" borderId="16" xfId="0" applyFont="1" applyBorder="1"/>
    <xf numFmtId="2" fontId="4" fillId="0" borderId="4" xfId="0" applyNumberFormat="1" applyFont="1" applyBorder="1"/>
    <xf numFmtId="167" fontId="4" fillId="0" borderId="4" xfId="0" applyNumberFormat="1" applyFont="1" applyBorder="1"/>
    <xf numFmtId="164" fontId="4" fillId="0" borderId="4" xfId="1" applyFont="1" applyBorder="1"/>
    <xf numFmtId="168" fontId="4" fillId="0" borderId="4" xfId="2" applyNumberFormat="1" applyFont="1" applyBorder="1"/>
    <xf numFmtId="167" fontId="4" fillId="0" borderId="5" xfId="0" applyNumberFormat="1" applyFont="1" applyBorder="1"/>
    <xf numFmtId="0" fontId="4" fillId="0" borderId="20" xfId="0" applyFont="1" applyBorder="1"/>
    <xf numFmtId="0" fontId="4" fillId="0" borderId="21" xfId="0" applyFont="1" applyBorder="1"/>
    <xf numFmtId="2" fontId="4" fillId="0" borderId="21" xfId="0" applyNumberFormat="1" applyFont="1" applyBorder="1"/>
    <xf numFmtId="41" fontId="4" fillId="0" borderId="21" xfId="0" applyNumberFormat="1" applyFont="1" applyBorder="1"/>
    <xf numFmtId="167" fontId="4" fillId="0" borderId="21" xfId="0" applyNumberFormat="1" applyFont="1" applyBorder="1"/>
    <xf numFmtId="164" fontId="4" fillId="0" borderId="21" xfId="1" applyFont="1" applyBorder="1"/>
    <xf numFmtId="168" fontId="4" fillId="0" borderId="21" xfId="2" applyNumberFormat="1" applyFont="1" applyBorder="1"/>
    <xf numFmtId="167" fontId="4" fillId="0" borderId="22" xfId="0" applyNumberFormat="1" applyFont="1" applyBorder="1"/>
    <xf numFmtId="164" fontId="4" fillId="0" borderId="0" xfId="0" applyNumberFormat="1" applyFont="1"/>
    <xf numFmtId="168" fontId="8" fillId="0" borderId="0" xfId="2" applyNumberFormat="1" applyFont="1"/>
    <xf numFmtId="164" fontId="6" fillId="0" borderId="4" xfId="0" applyNumberFormat="1" applyFont="1" applyBorder="1"/>
    <xf numFmtId="0" fontId="3" fillId="3" borderId="21" xfId="0" applyFont="1" applyFill="1" applyBorder="1"/>
    <xf numFmtId="0" fontId="4" fillId="0" borderId="0" xfId="0" applyFont="1" applyAlignment="1">
      <alignment horizontal="right"/>
    </xf>
    <xf numFmtId="0" fontId="6" fillId="4" borderId="0" xfId="0" applyFont="1" applyFill="1"/>
    <xf numFmtId="0" fontId="4" fillId="4" borderId="0" xfId="0" applyFont="1" applyFill="1"/>
    <xf numFmtId="41" fontId="4" fillId="4" borderId="0" xfId="0" applyNumberFormat="1" applyFont="1" applyFill="1"/>
    <xf numFmtId="0" fontId="4" fillId="5" borderId="16" xfId="0" applyFont="1" applyFill="1" applyBorder="1"/>
    <xf numFmtId="0" fontId="4" fillId="5" borderId="4" xfId="0" applyFont="1" applyFill="1" applyBorder="1"/>
    <xf numFmtId="168" fontId="4" fillId="5" borderId="5" xfId="2" applyNumberFormat="1" applyFont="1" applyFill="1" applyBorder="1"/>
    <xf numFmtId="0" fontId="4" fillId="5" borderId="6" xfId="0" applyFont="1" applyFill="1" applyBorder="1"/>
    <xf numFmtId="0" fontId="4" fillId="5" borderId="0" xfId="0" applyFont="1" applyFill="1"/>
    <xf numFmtId="168" fontId="4" fillId="5" borderId="2" xfId="2" applyNumberFormat="1" applyFont="1" applyFill="1" applyBorder="1"/>
    <xf numFmtId="0" fontId="4" fillId="5" borderId="20" xfId="0" applyFont="1" applyFill="1" applyBorder="1"/>
    <xf numFmtId="0" fontId="4" fillId="5" borderId="21" xfId="0" applyFont="1" applyFill="1" applyBorder="1"/>
    <xf numFmtId="168" fontId="4" fillId="5" borderId="22" xfId="2" applyNumberFormat="1" applyFont="1" applyFill="1" applyBorder="1"/>
    <xf numFmtId="0" fontId="9" fillId="4" borderId="0" xfId="0" applyFont="1" applyFill="1"/>
    <xf numFmtId="0" fontId="10" fillId="4" borderId="0" xfId="0" applyFont="1" applyFill="1"/>
    <xf numFmtId="41" fontId="10" fillId="4" borderId="0" xfId="0" applyNumberFormat="1" applyFont="1" applyFill="1"/>
    <xf numFmtId="168" fontId="10" fillId="0" borderId="0" xfId="2" applyNumberFormat="1" applyFont="1"/>
    <xf numFmtId="41" fontId="10" fillId="0" borderId="0" xfId="0" applyNumberFormat="1" applyFont="1"/>
    <xf numFmtId="41" fontId="6" fillId="0" borderId="0" xfId="0" applyNumberFormat="1" applyFont="1"/>
    <xf numFmtId="167" fontId="4" fillId="5" borderId="5" xfId="2" applyNumberFormat="1" applyFont="1" applyFill="1" applyBorder="1"/>
    <xf numFmtId="167" fontId="4" fillId="5" borderId="2" xfId="2" applyNumberFormat="1" applyFont="1" applyFill="1" applyBorder="1"/>
    <xf numFmtId="167" fontId="4" fillId="5" borderId="22" xfId="2" applyNumberFormat="1" applyFont="1" applyFill="1" applyBorder="1"/>
    <xf numFmtId="168" fontId="4" fillId="0" borderId="5" xfId="2" applyNumberFormat="1" applyFont="1" applyFill="1" applyBorder="1"/>
    <xf numFmtId="0" fontId="3" fillId="3" borderId="0" xfId="0" applyFont="1" applyFill="1" applyAlignment="1">
      <alignment horizontal="center" vertical="center"/>
    </xf>
    <xf numFmtId="0" fontId="6" fillId="0" borderId="21" xfId="0" applyFont="1" applyBorder="1"/>
    <xf numFmtId="41" fontId="6" fillId="0" borderId="21" xfId="0" applyNumberFormat="1" applyFont="1" applyBorder="1"/>
    <xf numFmtId="0" fontId="6" fillId="0" borderId="21" xfId="0" applyFont="1" applyBorder="1" applyAlignment="1">
      <alignment horizontal="right"/>
    </xf>
    <xf numFmtId="0" fontId="6" fillId="0" borderId="9" xfId="0" applyFont="1" applyBorder="1"/>
    <xf numFmtId="168" fontId="4" fillId="6" borderId="7" xfId="2" applyNumberFormat="1" applyFont="1" applyFill="1" applyBorder="1"/>
    <xf numFmtId="17" fontId="4" fillId="6" borderId="7" xfId="0" applyNumberFormat="1" applyFont="1" applyFill="1" applyBorder="1"/>
    <xf numFmtId="0" fontId="4" fillId="0" borderId="24" xfId="0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11" fillId="0" borderId="21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41" fontId="13" fillId="0" borderId="0" xfId="0" applyNumberFormat="1" applyFont="1"/>
    <xf numFmtId="167" fontId="4" fillId="6" borderId="7" xfId="2" applyNumberFormat="1" applyFont="1" applyFill="1" applyBorder="1"/>
    <xf numFmtId="167" fontId="4" fillId="0" borderId="0" xfId="2" applyNumberFormat="1" applyFont="1"/>
    <xf numFmtId="41" fontId="14" fillId="0" borderId="0" xfId="0" applyNumberFormat="1" applyFont="1"/>
    <xf numFmtId="41" fontId="13" fillId="0" borderId="4" xfId="0" applyNumberFormat="1" applyFont="1" applyBorder="1"/>
    <xf numFmtId="41" fontId="15" fillId="0" borderId="0" xfId="0" applyNumberFormat="1" applyFont="1"/>
    <xf numFmtId="0" fontId="6" fillId="0" borderId="0" xfId="0" applyFont="1" applyAlignment="1">
      <alignment horizontal="center" vertical="center"/>
    </xf>
    <xf numFmtId="168" fontId="15" fillId="6" borderId="7" xfId="2" applyNumberFormat="1" applyFont="1" applyFill="1" applyBorder="1"/>
    <xf numFmtId="168" fontId="4" fillId="5" borderId="0" xfId="2" applyNumberFormat="1" applyFont="1" applyFill="1" applyBorder="1"/>
    <xf numFmtId="41" fontId="16" fillId="0" borderId="4" xfId="0" applyNumberFormat="1" applyFont="1" applyBorder="1"/>
    <xf numFmtId="41" fontId="6" fillId="0" borderId="21" xfId="0" applyNumberFormat="1" applyFont="1" applyBorder="1" applyAlignment="1">
      <alignment horizontal="right"/>
    </xf>
    <xf numFmtId="168" fontId="4" fillId="0" borderId="0" xfId="0" applyNumberFormat="1" applyFont="1"/>
    <xf numFmtId="3" fontId="8" fillId="0" borderId="0" xfId="0" applyNumberFormat="1" applyFont="1"/>
    <xf numFmtId="0" fontId="8" fillId="0" borderId="23" xfId="0" applyFont="1" applyBorder="1"/>
    <xf numFmtId="0" fontId="8" fillId="0" borderId="26" xfId="0" applyFont="1" applyBorder="1"/>
    <xf numFmtId="10" fontId="15" fillId="0" borderId="0" xfId="0" applyNumberFormat="1" applyFont="1"/>
    <xf numFmtId="0" fontId="15" fillId="0" borderId="0" xfId="0" applyFont="1"/>
    <xf numFmtId="167" fontId="4" fillId="0" borderId="0" xfId="1" applyNumberFormat="1" applyFont="1"/>
    <xf numFmtId="10" fontId="4" fillId="0" borderId="0" xfId="2" applyNumberFormat="1" applyFont="1"/>
    <xf numFmtId="10" fontId="15" fillId="0" borderId="0" xfId="2" applyNumberFormat="1" applyFont="1"/>
    <xf numFmtId="10" fontId="6" fillId="0" borderId="4" xfId="2" applyNumberFormat="1" applyFont="1" applyBorder="1"/>
    <xf numFmtId="169" fontId="4" fillId="0" borderId="0" xfId="0" applyNumberFormat="1" applyFont="1"/>
    <xf numFmtId="166" fontId="4" fillId="7" borderId="0" xfId="0" applyNumberFormat="1" applyFont="1" applyFill="1"/>
    <xf numFmtId="169" fontId="4" fillId="7" borderId="0" xfId="0" applyNumberFormat="1" applyFont="1" applyFill="1"/>
    <xf numFmtId="166" fontId="4" fillId="0" borderId="4" xfId="0" applyNumberFormat="1" applyFont="1" applyBorder="1"/>
    <xf numFmtId="166" fontId="4" fillId="0" borderId="5" xfId="0" applyNumberFormat="1" applyFont="1" applyBorder="1"/>
    <xf numFmtId="166" fontId="4" fillId="0" borderId="2" xfId="0" applyNumberFormat="1" applyFont="1" applyBorder="1"/>
    <xf numFmtId="166" fontId="4" fillId="0" borderId="21" xfId="0" applyNumberFormat="1" applyFont="1" applyBorder="1"/>
    <xf numFmtId="166" fontId="4" fillId="0" borderId="22" xfId="0" applyNumberFormat="1" applyFont="1" applyBorder="1"/>
    <xf numFmtId="168" fontId="6" fillId="6" borderId="7" xfId="2" applyNumberFormat="1" applyFont="1" applyFill="1" applyBorder="1" applyAlignment="1">
      <alignment horizontal="center" vertical="center"/>
    </xf>
    <xf numFmtId="166" fontId="4" fillId="0" borderId="16" xfId="0" applyNumberFormat="1" applyFont="1" applyBorder="1"/>
    <xf numFmtId="166" fontId="4" fillId="0" borderId="6" xfId="0" applyNumberFormat="1" applyFont="1" applyBorder="1"/>
    <xf numFmtId="166" fontId="4" fillId="0" borderId="20" xfId="0" applyNumberFormat="1" applyFont="1" applyBorder="1"/>
    <xf numFmtId="166" fontId="6" fillId="0" borderId="4" xfId="0" applyNumberFormat="1" applyFont="1" applyBorder="1"/>
    <xf numFmtId="168" fontId="15" fillId="6" borderId="7" xfId="2" applyNumberFormat="1" applyFont="1" applyFill="1" applyBorder="1" applyAlignment="1">
      <alignment horizontal="center" vertical="center"/>
    </xf>
    <xf numFmtId="17" fontId="4" fillId="6" borderId="7" xfId="2" applyNumberFormat="1" applyFont="1" applyFill="1" applyBorder="1" applyAlignment="1">
      <alignment horizontal="center" vertical="center"/>
    </xf>
    <xf numFmtId="41" fontId="4" fillId="6" borderId="7" xfId="2" applyNumberFormat="1" applyFont="1" applyFill="1" applyBorder="1" applyAlignment="1">
      <alignment horizontal="center" vertical="center"/>
    </xf>
    <xf numFmtId="41" fontId="4" fillId="4" borderId="0" xfId="0" applyNumberFormat="1" applyFont="1" applyFill="1" applyAlignment="1">
      <alignment horizontal="centerContinuous" vertical="center"/>
    </xf>
    <xf numFmtId="10" fontId="15" fillId="0" borderId="1" xfId="2" applyNumberFormat="1" applyFont="1" applyBorder="1"/>
    <xf numFmtId="10" fontId="15" fillId="0" borderId="3" xfId="2" applyNumberFormat="1" applyFont="1" applyBorder="1"/>
    <xf numFmtId="166" fontId="4" fillId="0" borderId="29" xfId="0" applyNumberFormat="1" applyFont="1" applyBorder="1"/>
    <xf numFmtId="10" fontId="15" fillId="0" borderId="30" xfId="2" applyNumberFormat="1" applyFont="1" applyBorder="1"/>
    <xf numFmtId="10" fontId="15" fillId="0" borderId="31" xfId="2" applyNumberFormat="1" applyFont="1" applyBorder="1"/>
    <xf numFmtId="164" fontId="4" fillId="0" borderId="2" xfId="1" applyFont="1" applyBorder="1"/>
    <xf numFmtId="164" fontId="4" fillId="0" borderId="22" xfId="1" applyFont="1" applyBorder="1"/>
    <xf numFmtId="41" fontId="6" fillId="4" borderId="0" xfId="0" applyNumberFormat="1" applyFont="1" applyFill="1" applyAlignment="1">
      <alignment horizontal="centerContinuous" vertical="center"/>
    </xf>
    <xf numFmtId="0" fontId="6" fillId="0" borderId="21" xfId="0" applyFont="1" applyBorder="1" applyAlignment="1">
      <alignment horizontal="right" vertical="center"/>
    </xf>
    <xf numFmtId="41" fontId="6" fillId="0" borderId="21" xfId="0" applyNumberFormat="1" applyFont="1" applyBorder="1" applyAlignment="1">
      <alignment horizontal="right"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Continuous"/>
    </xf>
    <xf numFmtId="0" fontId="4" fillId="0" borderId="32" xfId="0" applyFont="1" applyBorder="1"/>
    <xf numFmtId="0" fontId="4" fillId="0" borderId="33" xfId="0" applyFont="1" applyBorder="1"/>
    <xf numFmtId="0" fontId="4" fillId="0" borderId="35" xfId="0" applyFont="1" applyBorder="1"/>
    <xf numFmtId="0" fontId="4" fillId="0" borderId="37" xfId="0" applyFont="1" applyBorder="1"/>
    <xf numFmtId="0" fontId="4" fillId="0" borderId="38" xfId="0" applyFont="1" applyBorder="1"/>
    <xf numFmtId="0" fontId="4" fillId="3" borderId="21" xfId="0" applyFont="1" applyFill="1" applyBorder="1"/>
    <xf numFmtId="41" fontId="4" fillId="3" borderId="21" xfId="0" applyNumberFormat="1" applyFont="1" applyFill="1" applyBorder="1"/>
    <xf numFmtId="41" fontId="4" fillId="0" borderId="16" xfId="0" applyNumberFormat="1" applyFont="1" applyBorder="1"/>
    <xf numFmtId="10" fontId="4" fillId="0" borderId="4" xfId="2" applyNumberFormat="1" applyFont="1" applyBorder="1"/>
    <xf numFmtId="10" fontId="4" fillId="0" borderId="5" xfId="2" applyNumberFormat="1" applyFont="1" applyBorder="1"/>
    <xf numFmtId="41" fontId="4" fillId="0" borderId="6" xfId="0" applyNumberFormat="1" applyFont="1" applyBorder="1"/>
    <xf numFmtId="41" fontId="4" fillId="0" borderId="20" xfId="0" applyNumberFormat="1" applyFont="1" applyBorder="1"/>
    <xf numFmtId="10" fontId="4" fillId="0" borderId="21" xfId="2" applyNumberFormat="1" applyFont="1" applyBorder="1"/>
    <xf numFmtId="10" fontId="4" fillId="0" borderId="22" xfId="2" applyNumberFormat="1" applyFont="1" applyBorder="1"/>
    <xf numFmtId="41" fontId="6" fillId="6" borderId="1" xfId="0" applyNumberFormat="1" applyFont="1" applyFill="1" applyBorder="1"/>
    <xf numFmtId="0" fontId="6" fillId="6" borderId="21" xfId="0" applyFont="1" applyFill="1" applyBorder="1"/>
    <xf numFmtId="41" fontId="6" fillId="6" borderId="21" xfId="0" applyNumberFormat="1" applyFont="1" applyFill="1" applyBorder="1"/>
    <xf numFmtId="41" fontId="8" fillId="0" borderId="0" xfId="0" applyNumberFormat="1" applyFont="1"/>
    <xf numFmtId="10" fontId="4" fillId="0" borderId="0" xfId="2" applyNumberFormat="1" applyFont="1" applyBorder="1"/>
    <xf numFmtId="10" fontId="4" fillId="0" borderId="2" xfId="2" applyNumberFormat="1" applyFont="1" applyBorder="1"/>
    <xf numFmtId="3" fontId="4" fillId="2" borderId="0" xfId="0" applyNumberFormat="1" applyFont="1" applyFill="1"/>
    <xf numFmtId="3" fontId="3" fillId="2" borderId="0" xfId="0" applyNumberFormat="1" applyFont="1" applyFill="1"/>
    <xf numFmtId="1" fontId="3" fillId="2" borderId="2" xfId="0" applyNumberFormat="1" applyFont="1" applyFill="1" applyBorder="1" applyAlignment="1">
      <alignment horizontal="center"/>
    </xf>
    <xf numFmtId="3" fontId="22" fillId="0" borderId="0" xfId="0" applyNumberFormat="1" applyFont="1"/>
    <xf numFmtId="165" fontId="22" fillId="0" borderId="0" xfId="1" applyNumberFormat="1" applyFont="1"/>
    <xf numFmtId="3" fontId="4" fillId="0" borderId="0" xfId="0" applyNumberFormat="1" applyFont="1"/>
    <xf numFmtId="41" fontId="4" fillId="0" borderId="0" xfId="1" applyNumberFormat="1" applyFont="1"/>
    <xf numFmtId="41" fontId="4" fillId="0" borderId="0" xfId="1" applyNumberFormat="1" applyFont="1" applyBorder="1"/>
    <xf numFmtId="41" fontId="4" fillId="0" borderId="2" xfId="1" applyNumberFormat="1" applyFont="1" applyBorder="1"/>
    <xf numFmtId="165" fontId="4" fillId="0" borderId="0" xfId="1" applyNumberFormat="1" applyFont="1"/>
    <xf numFmtId="3" fontId="6" fillId="0" borderId="4" xfId="0" applyNumberFormat="1" applyFont="1" applyBorder="1"/>
    <xf numFmtId="41" fontId="6" fillId="0" borderId="4" xfId="1" applyNumberFormat="1" applyFont="1" applyBorder="1"/>
    <xf numFmtId="41" fontId="6" fillId="0" borderId="5" xfId="1" applyNumberFormat="1" applyFont="1" applyBorder="1"/>
    <xf numFmtId="165" fontId="4" fillId="0" borderId="4" xfId="1" applyNumberFormat="1" applyFont="1" applyBorder="1"/>
    <xf numFmtId="41" fontId="4" fillId="0" borderId="2" xfId="0" applyNumberFormat="1" applyFont="1" applyBorder="1"/>
    <xf numFmtId="3" fontId="6" fillId="0" borderId="1" xfId="0" applyNumberFormat="1" applyFont="1" applyBorder="1"/>
    <xf numFmtId="41" fontId="6" fillId="0" borderId="1" xfId="1" applyNumberFormat="1" applyFont="1" applyBorder="1"/>
    <xf numFmtId="41" fontId="6" fillId="0" borderId="3" xfId="1" applyNumberFormat="1" applyFont="1" applyBorder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41" fontId="6" fillId="0" borderId="0" xfId="1" applyNumberFormat="1" applyFont="1"/>
    <xf numFmtId="41" fontId="6" fillId="0" borderId="0" xfId="1" applyNumberFormat="1" applyFont="1" applyBorder="1"/>
    <xf numFmtId="41" fontId="6" fillId="0" borderId="2" xfId="1" applyNumberFormat="1" applyFont="1" applyBorder="1"/>
    <xf numFmtId="0" fontId="3" fillId="2" borderId="0" xfId="0" applyFont="1" applyFill="1"/>
    <xf numFmtId="41" fontId="7" fillId="2" borderId="0" xfId="1" applyNumberFormat="1" applyFont="1" applyFill="1"/>
    <xf numFmtId="41" fontId="7" fillId="2" borderId="0" xfId="1" applyNumberFormat="1" applyFont="1" applyFill="1" applyBorder="1"/>
    <xf numFmtId="41" fontId="7" fillId="2" borderId="2" xfId="1" applyNumberFormat="1" applyFont="1" applyFill="1" applyBorder="1"/>
    <xf numFmtId="0" fontId="6" fillId="0" borderId="1" xfId="0" applyFont="1" applyBorder="1"/>
    <xf numFmtId="165" fontId="4" fillId="0" borderId="0" xfId="1" applyNumberFormat="1" applyFont="1" applyBorder="1"/>
    <xf numFmtId="165" fontId="4" fillId="0" borderId="2" xfId="1" applyNumberFormat="1" applyFont="1" applyBorder="1"/>
    <xf numFmtId="0" fontId="4" fillId="0" borderId="2" xfId="0" applyFont="1" applyBorder="1"/>
    <xf numFmtId="41" fontId="15" fillId="0" borderId="0" xfId="1" applyNumberFormat="1" applyFont="1"/>
    <xf numFmtId="41" fontId="15" fillId="0" borderId="0" xfId="1" applyNumberFormat="1" applyFont="1" applyBorder="1"/>
    <xf numFmtId="41" fontId="15" fillId="0" borderId="2" xfId="1" applyNumberFormat="1" applyFont="1" applyBorder="1"/>
    <xf numFmtId="41" fontId="15" fillId="0" borderId="2" xfId="0" applyNumberFormat="1" applyFont="1" applyBorder="1"/>
    <xf numFmtId="41" fontId="15" fillId="0" borderId="2" xfId="1" applyNumberFormat="1" applyFont="1" applyFill="1" applyBorder="1"/>
    <xf numFmtId="41" fontId="23" fillId="0" borderId="0" xfId="1" applyNumberFormat="1" applyFont="1"/>
    <xf numFmtId="41" fontId="23" fillId="0" borderId="0" xfId="1" applyNumberFormat="1" applyFont="1" applyBorder="1"/>
    <xf numFmtId="41" fontId="23" fillId="0" borderId="2" xfId="1" applyNumberFormat="1" applyFont="1" applyBorder="1"/>
    <xf numFmtId="2" fontId="15" fillId="0" borderId="0" xfId="0" applyNumberFormat="1" applyFont="1"/>
    <xf numFmtId="41" fontId="23" fillId="0" borderId="21" xfId="0" applyNumberFormat="1" applyFont="1" applyBorder="1"/>
    <xf numFmtId="1" fontId="3" fillId="2" borderId="0" xfId="0" applyNumberFormat="1" applyFont="1" applyFill="1" applyAlignment="1">
      <alignment horizontal="center"/>
    </xf>
    <xf numFmtId="3" fontId="5" fillId="0" borderId="0" xfId="0" applyNumberFormat="1" applyFont="1" applyAlignment="1">
      <alignment horizontal="right"/>
    </xf>
    <xf numFmtId="3" fontId="5" fillId="0" borderId="2" xfId="0" applyNumberFormat="1" applyFont="1" applyBorder="1" applyAlignment="1">
      <alignment horizontal="right"/>
    </xf>
    <xf numFmtId="3" fontId="6" fillId="0" borderId="0" xfId="0" applyNumberFormat="1" applyFont="1" applyAlignment="1">
      <alignment horizontal="right"/>
    </xf>
    <xf numFmtId="1" fontId="3" fillId="2" borderId="0" xfId="0" applyNumberFormat="1" applyFont="1" applyFill="1" applyAlignment="1">
      <alignment horizontal="centerContinuous" vertical="center"/>
    </xf>
    <xf numFmtId="1" fontId="3" fillId="2" borderId="2" xfId="0" applyNumberFormat="1" applyFont="1" applyFill="1" applyBorder="1" applyAlignment="1">
      <alignment horizontal="centerContinuous" vertical="center"/>
    </xf>
    <xf numFmtId="164" fontId="15" fillId="0" borderId="2" xfId="1" applyFont="1" applyBorder="1"/>
    <xf numFmtId="0" fontId="18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68" fontId="19" fillId="6" borderId="40" xfId="2" applyNumberFormat="1" applyFont="1" applyFill="1" applyBorder="1" applyAlignment="1">
      <alignment horizontal="right" vertical="center"/>
    </xf>
    <xf numFmtId="168" fontId="19" fillId="6" borderId="41" xfId="2" applyNumberFormat="1" applyFont="1" applyFill="1" applyBorder="1" applyAlignment="1">
      <alignment horizontal="right" vertical="center"/>
    </xf>
    <xf numFmtId="168" fontId="19" fillId="6" borderId="42" xfId="2" applyNumberFormat="1" applyFont="1" applyFill="1" applyBorder="1" applyAlignment="1">
      <alignment horizontal="right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168" fontId="19" fillId="6" borderId="34" xfId="2" applyNumberFormat="1" applyFont="1" applyFill="1" applyBorder="1" applyAlignment="1">
      <alignment horizontal="center" vertical="center"/>
    </xf>
    <xf numFmtId="168" fontId="19" fillId="6" borderId="36" xfId="2" applyNumberFormat="1" applyFont="1" applyFill="1" applyBorder="1" applyAlignment="1">
      <alignment horizontal="center" vertical="center"/>
    </xf>
    <xf numFmtId="168" fontId="19" fillId="6" borderId="39" xfId="2" applyNumberFormat="1" applyFont="1" applyFill="1" applyBorder="1" applyAlignment="1">
      <alignment horizontal="center" vertical="center"/>
    </xf>
    <xf numFmtId="168" fontId="19" fillId="6" borderId="34" xfId="2" applyNumberFormat="1" applyFont="1" applyFill="1" applyBorder="1" applyAlignment="1">
      <alignment horizontal="right" vertical="center"/>
    </xf>
    <xf numFmtId="168" fontId="19" fillId="6" borderId="36" xfId="2" applyNumberFormat="1" applyFont="1" applyFill="1" applyBorder="1" applyAlignment="1">
      <alignment horizontal="right" vertical="center"/>
    </xf>
    <xf numFmtId="168" fontId="19" fillId="6" borderId="39" xfId="2" applyNumberFormat="1" applyFont="1" applyFill="1" applyBorder="1" applyAlignment="1">
      <alignment horizontal="right" vertical="center"/>
    </xf>
    <xf numFmtId="41" fontId="6" fillId="4" borderId="2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6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</dxf>
    <dxf>
      <font>
        <color rgb="FFF4E100"/>
      </font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9C0006"/>
      </font>
    </dxf>
    <dxf>
      <font>
        <color rgb="FFF4E100"/>
      </font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9C0006"/>
      </font>
    </dxf>
    <dxf>
      <font>
        <color rgb="FFF4E100"/>
      </font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9C0006"/>
      </font>
    </dxf>
    <dxf>
      <font>
        <color rgb="FFF4E100"/>
      </font>
    </dxf>
    <dxf>
      <font>
        <color rgb="FF9C0006"/>
      </font>
    </dxf>
    <dxf>
      <font>
        <color rgb="FF00B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</dxf>
  </dxfs>
  <tableStyles count="1" defaultTableStyle="TableStyleMedium2" defaultPivotStyle="PivotStyleLight16">
    <tableStyle name="Invisible" pivot="0" table="0" count="0" xr9:uid="{D4B0134D-8FDF-47B0-92AC-A51BC520F19A}"/>
  </tableStyles>
  <colors>
    <mruColors>
      <color rgb="FFFF11FF"/>
      <color rgb="FFAC00AC"/>
      <color rgb="FF660066"/>
      <color rgb="FFFFEBFF"/>
      <color rgb="FFE600E6"/>
      <color rgb="FFFFE1FF"/>
      <color rgb="FF0000FF"/>
      <color rgb="FFFFF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b="1"/>
              <a:t>Operating Income Breakdown (GHS)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Dashboard!$F$26</c:f>
              <c:strCache>
                <c:ptCount val="1"/>
                <c:pt idx="0">
                  <c:v> Net Interest Income </c:v>
                </c:pt>
              </c:strCache>
            </c:strRef>
          </c:tx>
          <c:spPr>
            <a:solidFill>
              <a:srgbClr val="FF11FF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Dashboard!$H$25:$N$25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Dashboard!$H$26:$N$26</c:f>
              <c:numCache>
                <c:formatCode>_(* #,##0_);_(* \(#,##0\);_(* "-"_);_(@_)</c:formatCode>
                <c:ptCount val="7"/>
                <c:pt idx="0">
                  <c:v>576088</c:v>
                </c:pt>
                <c:pt idx="1">
                  <c:v>1542039.0840000003</c:v>
                </c:pt>
                <c:pt idx="2">
                  <c:v>1209362.736041615</c:v>
                </c:pt>
                <c:pt idx="3">
                  <c:v>1470586.5711470367</c:v>
                </c:pt>
                <c:pt idx="4">
                  <c:v>1779440.5219001619</c:v>
                </c:pt>
                <c:pt idx="5">
                  <c:v>2144024.5692737554</c:v>
                </c:pt>
                <c:pt idx="6">
                  <c:v>2573822.2251279675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B-4D33-B0F7-595CC4BFDE75}"/>
            </c:ext>
          </c:extLst>
        </c:ser>
        <c:ser>
          <c:idx val="1"/>
          <c:order val="1"/>
          <c:tx>
            <c:strRef>
              <c:f>Dashboard!$F$27</c:f>
              <c:strCache>
                <c:ptCount val="1"/>
                <c:pt idx="0">
                  <c:v> Net Fees and Commission Income </c:v>
                </c:pt>
              </c:strCache>
            </c:strRef>
          </c:tx>
          <c:spPr>
            <a:solidFill>
              <a:srgbClr val="E600E6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Dashboard!$H$25:$N$25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Dashboard!$H$27:$N$27</c:f>
              <c:numCache>
                <c:formatCode>_(* #,##0_);_(* \(#,##0\);_(* "-"_);_(@_)</c:formatCode>
                <c:ptCount val="7"/>
                <c:pt idx="0">
                  <c:v>180198</c:v>
                </c:pt>
                <c:pt idx="1">
                  <c:v>223370.304</c:v>
                </c:pt>
                <c:pt idx="2">
                  <c:v>215487.7278357732</c:v>
                </c:pt>
                <c:pt idx="3">
                  <c:v>245172.86762580424</c:v>
                </c:pt>
                <c:pt idx="4">
                  <c:v>282278.93629376078</c:v>
                </c:pt>
                <c:pt idx="5">
                  <c:v>325000.88058989868</c:v>
                </c:pt>
                <c:pt idx="6">
                  <c:v>374188.6439386594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B-4D33-B0F7-595CC4BFDE75}"/>
            </c:ext>
          </c:extLst>
        </c:ser>
        <c:ser>
          <c:idx val="2"/>
          <c:order val="2"/>
          <c:tx>
            <c:strRef>
              <c:f>Dashboard!$F$28</c:f>
              <c:strCache>
                <c:ptCount val="1"/>
                <c:pt idx="0">
                  <c:v> Net trading income </c:v>
                </c:pt>
              </c:strCache>
            </c:strRef>
          </c:tx>
          <c:spPr>
            <a:solidFill>
              <a:srgbClr val="AC00AC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Dashboard!$H$25:$N$25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Dashboard!$H$28:$N$28</c:f>
              <c:numCache>
                <c:formatCode>_(* #,##0_);_(* \(#,##0\);_(* "-"_);_(@_)</c:formatCode>
                <c:ptCount val="7"/>
                <c:pt idx="0">
                  <c:v>335653</c:v>
                </c:pt>
                <c:pt idx="1">
                  <c:v>207164.60800000001</c:v>
                </c:pt>
                <c:pt idx="2">
                  <c:v>94249.439397682145</c:v>
                </c:pt>
                <c:pt idx="3">
                  <c:v>108513.76727406221</c:v>
                </c:pt>
                <c:pt idx="4">
                  <c:v>124936.95202073443</c:v>
                </c:pt>
                <c:pt idx="5">
                  <c:v>143845.72918575964</c:v>
                </c:pt>
                <c:pt idx="6">
                  <c:v>165616.28461649155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1B-4D33-B0F7-595CC4BFDE75}"/>
            </c:ext>
          </c:extLst>
        </c:ser>
        <c:ser>
          <c:idx val="3"/>
          <c:order val="3"/>
          <c:tx>
            <c:strRef>
              <c:f>Dashboard!$F$29</c:f>
              <c:strCache>
                <c:ptCount val="1"/>
                <c:pt idx="0">
                  <c:v> Other income </c:v>
                </c:pt>
              </c:strCache>
            </c:strRef>
          </c:tx>
          <c:spPr>
            <a:solidFill>
              <a:srgbClr val="660066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Dashboard!$H$25:$N$25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Dashboard!$H$29:$N$29</c:f>
              <c:numCache>
                <c:formatCode>_(* #,##0_);_(* \(#,##0\);_(* "-"_);_(@_)</c:formatCode>
                <c:ptCount val="7"/>
                <c:pt idx="0">
                  <c:v>1240</c:v>
                </c:pt>
                <c:pt idx="1">
                  <c:v>4476.0079999999998</c:v>
                </c:pt>
                <c:pt idx="2">
                  <c:v>1758.4746349858754</c:v>
                </c:pt>
                <c:pt idx="3">
                  <c:v>2088.6630067618198</c:v>
                </c:pt>
                <c:pt idx="4">
                  <c:v>2479.2579406267569</c:v>
                </c:pt>
                <c:pt idx="5">
                  <c:v>2936.7250047116604</c:v>
                </c:pt>
                <c:pt idx="6">
                  <c:v>3472.0905361733048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1B-4D33-B0F7-595CC4BF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overlap val="100"/>
        <c:axId val="59637391"/>
        <c:axId val="59609551"/>
      </c:barChart>
      <c:catAx>
        <c:axId val="5963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59609551"/>
        <c:crosses val="autoZero"/>
        <c:auto val="1"/>
        <c:lblAlgn val="ctr"/>
        <c:lblOffset val="100"/>
        <c:noMultiLvlLbl val="0"/>
      </c:catAx>
      <c:valAx>
        <c:axId val="59609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963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/>
      </a:solidFill>
      <a:prstDash val="dashDot"/>
      <a:round/>
    </a:ln>
    <a:effectLst/>
  </c:spPr>
  <c:txPr>
    <a:bodyPr/>
    <a:lstStyle/>
    <a:p>
      <a:pPr>
        <a:defRPr sz="800">
          <a:solidFill>
            <a:schemeClr val="tx1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b="1"/>
              <a:t>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Dashboard!$F$38</c:f>
              <c:strCache>
                <c:ptCount val="1"/>
                <c:pt idx="0">
                  <c:v> Operating Income Growth Rate 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60066"/>
              </a:solidFill>
              <a:ln w="9525">
                <a:solidFill>
                  <a:srgbClr val="66006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4812078083225622E-2"/>
                  <c:y val="6.00133875882964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AB-4BB0-B248-85C32D2F46CD}"/>
                </c:ext>
              </c:extLst>
            </c:dLbl>
            <c:dLbl>
              <c:idx val="1"/>
              <c:layout>
                <c:manualLayout>
                  <c:x val="-2.5626716195685861E-2"/>
                  <c:y val="4.92170022371364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AB-4BB0-B248-85C32D2F46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660066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Dashboard!$H$25:$N$25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Dashboard!$H$38:$N$38</c:f>
              <c:numCache>
                <c:formatCode>0.00%</c:formatCode>
                <c:ptCount val="7"/>
                <c:pt idx="0">
                  <c:v>4.6079280399990541E-2</c:v>
                </c:pt>
                <c:pt idx="1">
                  <c:v>0.8085327325168159</c:v>
                </c:pt>
                <c:pt idx="2">
                  <c:v>-0.23074359534001132</c:v>
                </c:pt>
                <c:pt idx="3">
                  <c:v>0.20087569992113763</c:v>
                </c:pt>
                <c:pt idx="4">
                  <c:v>0.19863193885535457</c:v>
                </c:pt>
                <c:pt idx="5">
                  <c:v>0.19490442831182997</c:v>
                </c:pt>
                <c:pt idx="6">
                  <c:v>0.19163920232377807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B-4BB0-B248-85C32D2F46CD}"/>
            </c:ext>
          </c:extLst>
        </c:ser>
        <c:ser>
          <c:idx val="1"/>
          <c:order val="1"/>
          <c:tx>
            <c:strRef>
              <c:f>Dashboard!$F$39</c:f>
              <c:strCache>
                <c:ptCount val="1"/>
                <c:pt idx="0">
                  <c:v> Cost-to-Income Ratio </c:v>
                </c:pt>
              </c:strCache>
            </c:strRef>
          </c:tx>
          <c:spPr>
            <a:ln w="22225" cap="rnd">
              <a:solidFill>
                <a:srgbClr val="FF11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11FF"/>
              </a:solidFill>
              <a:ln w="9525">
                <a:solidFill>
                  <a:srgbClr val="FF11FF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9032340291169188E-2"/>
                  <c:y val="5.36912751677852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AB-4BB0-B248-85C32D2F46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11FF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Dashboard!$H$25:$N$25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Dashboard!$H$39:$N$39</c:f>
              <c:numCache>
                <c:formatCode>0.00\x</c:formatCode>
                <c:ptCount val="7"/>
                <c:pt idx="0">
                  <c:v>0.50666633735188837</c:v>
                </c:pt>
                <c:pt idx="1">
                  <c:v>0.47685495768573377</c:v>
                </c:pt>
                <c:pt idx="2">
                  <c:v>0.41723767923149147</c:v>
                </c:pt>
                <c:pt idx="3">
                  <c:v>0.41876364167659563</c:v>
                </c:pt>
                <c:pt idx="4">
                  <c:v>0.41366308370770016</c:v>
                </c:pt>
                <c:pt idx="5">
                  <c:v>0.40981458283814631</c:v>
                </c:pt>
                <c:pt idx="6">
                  <c:v>0.40713459161108051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AB-4BB0-B248-85C32D2F46CD}"/>
            </c:ext>
          </c:extLst>
        </c:ser>
        <c:ser>
          <c:idx val="2"/>
          <c:order val="2"/>
          <c:tx>
            <c:strRef>
              <c:f>Dashboard!$F$40</c:f>
              <c:strCache>
                <c:ptCount val="1"/>
                <c:pt idx="0">
                  <c:v> Profit Margin </c:v>
                </c:pt>
              </c:strCache>
            </c:strRef>
          </c:tx>
          <c:spPr>
            <a:ln w="22225" cap="rnd">
              <a:solidFill>
                <a:srgbClr val="AC00A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C00AC"/>
              </a:solidFill>
              <a:ln w="9525">
                <a:solidFill>
                  <a:srgbClr val="AC00AC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AC00AC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Dashboard!$H$25:$N$25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Dashboard!$H$40:$N$40</c:f>
              <c:numCache>
                <c:formatCode>0.00%</c:formatCode>
                <c:ptCount val="7"/>
                <c:pt idx="0">
                  <c:v>0.30798158398578823</c:v>
                </c:pt>
                <c:pt idx="1">
                  <c:v>0.36062928431627073</c:v>
                </c:pt>
                <c:pt idx="2">
                  <c:v>0.4624099192902173</c:v>
                </c:pt>
                <c:pt idx="3">
                  <c:v>0.46119909946550719</c:v>
                </c:pt>
                <c:pt idx="4">
                  <c:v>0.46524628734069745</c:v>
                </c:pt>
                <c:pt idx="5">
                  <c:v>0.46829999365124259</c:v>
                </c:pt>
                <c:pt idx="6">
                  <c:v>0.47042651158632764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AB-4BB0-B248-85C32D2F4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339776"/>
        <c:axId val="1628336896"/>
      </c:lineChart>
      <c:catAx>
        <c:axId val="162833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628336896"/>
        <c:crosses val="autoZero"/>
        <c:auto val="1"/>
        <c:lblAlgn val="ctr"/>
        <c:lblOffset val="100"/>
        <c:noMultiLvlLbl val="0"/>
      </c:catAx>
      <c:valAx>
        <c:axId val="16283368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2833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prstDash val="dashDot"/>
      <a:round/>
    </a:ln>
    <a:effectLst/>
  </c:spPr>
  <c:txPr>
    <a:bodyPr/>
    <a:lstStyle/>
    <a:p>
      <a:pPr>
        <a:defRPr sz="800">
          <a:solidFill>
            <a:schemeClr val="tx1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960" b="1"/>
              <a:t>Statement of Financial Position Breakdown</a:t>
            </a:r>
            <a:r>
              <a:rPr lang="en-US" sz="960" b="1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</a:rPr>
              <a:t> (GHS)</a:t>
            </a:r>
            <a:endParaRPr lang="en-US" sz="96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Dashboard!$F$69</c:f>
              <c:strCache>
                <c:ptCount val="1"/>
                <c:pt idx="0">
                  <c:v> Total Assets </c:v>
                </c:pt>
              </c:strCache>
            </c:strRef>
          </c:tx>
          <c:spPr>
            <a:solidFill>
              <a:srgbClr val="FF11FF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Dashboard!$H$64:$N$64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Dashboard!$H$69:$N$69</c:f>
              <c:numCache>
                <c:formatCode>_(* #,##0_);_(* \(#,##0\);_(* "-"_);_(@_)</c:formatCode>
                <c:ptCount val="7"/>
                <c:pt idx="0">
                  <c:v>13323325</c:v>
                </c:pt>
                <c:pt idx="1">
                  <c:v>19192991.557999998</c:v>
                </c:pt>
                <c:pt idx="2">
                  <c:v>22262346.399908613</c:v>
                </c:pt>
                <c:pt idx="3">
                  <c:v>25838127.177295607</c:v>
                </c:pt>
                <c:pt idx="4">
                  <c:v>29999794.204135507</c:v>
                </c:pt>
                <c:pt idx="5">
                  <c:v>34842140.537196115</c:v>
                </c:pt>
                <c:pt idx="6">
                  <c:v>40475685.0424124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A-4CB2-8D8A-FEEC682EF8DB}"/>
            </c:ext>
          </c:extLst>
        </c:ser>
        <c:ser>
          <c:idx val="1"/>
          <c:order val="1"/>
          <c:tx>
            <c:strRef>
              <c:f>Dashboard!$F$74</c:f>
              <c:strCache>
                <c:ptCount val="1"/>
                <c:pt idx="0">
                  <c:v> Total Liabilities </c:v>
                </c:pt>
              </c:strCache>
            </c:strRef>
          </c:tx>
          <c:spPr>
            <a:solidFill>
              <a:srgbClr val="AC00AC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Dashboard!$H$64:$N$64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Dashboard!$H$74:$N$74</c:f>
              <c:numCache>
                <c:formatCode>_(* #,##0_);_(* \(#,##0\);_(* "-"_);_(@_)</c:formatCode>
                <c:ptCount val="7"/>
                <c:pt idx="0">
                  <c:v>11726491</c:v>
                </c:pt>
                <c:pt idx="1">
                  <c:v>16984596.894000001</c:v>
                </c:pt>
                <c:pt idx="2">
                  <c:v>19537803.372186761</c:v>
                </c:pt>
                <c:pt idx="3">
                  <c:v>22493633.881980184</c:v>
                </c:pt>
                <c:pt idx="4">
                  <c:v>25905687.816498909</c:v>
                </c:pt>
                <c:pt idx="5">
                  <c:v>29846438.994085167</c:v>
                </c:pt>
                <c:pt idx="6">
                  <c:v>34400728.699583702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4A-4CB2-8D8A-FEEC682EF8DB}"/>
            </c:ext>
          </c:extLst>
        </c:ser>
        <c:ser>
          <c:idx val="2"/>
          <c:order val="2"/>
          <c:tx>
            <c:strRef>
              <c:f>Dashboard!$F$79</c:f>
              <c:strCache>
                <c:ptCount val="1"/>
                <c:pt idx="0">
                  <c:v> Total Equity </c:v>
                </c:pt>
              </c:strCache>
            </c:strRef>
          </c:tx>
          <c:spPr>
            <a:solidFill>
              <a:srgbClr val="660066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Dashboard!$H$64:$N$64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Dashboard!$H$79:$N$79</c:f>
              <c:numCache>
                <c:formatCode>_(* #,##0_);_(* \(#,##0\);_(* "-"_);_(@_)</c:formatCode>
                <c:ptCount val="7"/>
                <c:pt idx="0">
                  <c:v>1596834</c:v>
                </c:pt>
                <c:pt idx="1">
                  <c:v>2208394.665</c:v>
                </c:pt>
                <c:pt idx="2">
                  <c:v>2724543.0277218521</c:v>
                </c:pt>
                <c:pt idx="3">
                  <c:v>3344493.2953154263</c:v>
                </c:pt>
                <c:pt idx="4">
                  <c:v>4094106.3876365987</c:v>
                </c:pt>
                <c:pt idx="5">
                  <c:v>4995701.5431109499</c:v>
                </c:pt>
                <c:pt idx="6">
                  <c:v>6074956.342828691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4A-4CB2-8D8A-FEEC682EF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overlap val="100"/>
        <c:axId val="59637391"/>
        <c:axId val="59609551"/>
      </c:barChart>
      <c:catAx>
        <c:axId val="5963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59609551"/>
        <c:crosses val="autoZero"/>
        <c:auto val="1"/>
        <c:lblAlgn val="ctr"/>
        <c:lblOffset val="100"/>
        <c:noMultiLvlLbl val="0"/>
      </c:catAx>
      <c:valAx>
        <c:axId val="59609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963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/>
      </a:solidFill>
      <a:prstDash val="dashDot"/>
      <a:round/>
    </a:ln>
    <a:effectLst/>
  </c:spPr>
  <c:txPr>
    <a:bodyPr/>
    <a:lstStyle/>
    <a:p>
      <a:pPr>
        <a:defRPr sz="800">
          <a:solidFill>
            <a:schemeClr val="tx1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960" b="1"/>
              <a:t>Statement of Cashflow Breakdown</a:t>
            </a:r>
            <a:r>
              <a:rPr lang="en-US" sz="960" b="1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</a:rPr>
              <a:t> (GHS)</a:t>
            </a:r>
            <a:endParaRPr lang="en-US" sz="96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911363899520409E-2"/>
          <c:y val="8.6611570247933881E-2"/>
          <c:w val="0.93217727220095914"/>
          <c:h val="0.5965731762868484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Dashboard!$F$91</c:f>
              <c:strCache>
                <c:ptCount val="1"/>
                <c:pt idx="0">
                  <c:v> Cash generated from operating activities </c:v>
                </c:pt>
              </c:strCache>
            </c:strRef>
          </c:tx>
          <c:spPr>
            <a:solidFill>
              <a:srgbClr val="FF11FF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Dashboard!$H$90:$N$90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Dashboard!$H$91:$N$91</c:f>
              <c:numCache>
                <c:formatCode>_(* #,##0_);_(* \(#,##0\);_(* "-"_);_(@_)</c:formatCode>
                <c:ptCount val="7"/>
                <c:pt idx="0">
                  <c:v>-661408.402</c:v>
                </c:pt>
                <c:pt idx="1">
                  <c:v>3755857.7699999996</c:v>
                </c:pt>
                <c:pt idx="2">
                  <c:v>372165.68110166816</c:v>
                </c:pt>
                <c:pt idx="3">
                  <c:v>2409406.2407744732</c:v>
                </c:pt>
                <c:pt idx="4">
                  <c:v>2858163.362083504</c:v>
                </c:pt>
                <c:pt idx="5">
                  <c:v>3384303.6933825221</c:v>
                </c:pt>
                <c:pt idx="6">
                  <c:v>4001098.8941385737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A-4546-A4F6-767BC2FEE4F1}"/>
            </c:ext>
          </c:extLst>
        </c:ser>
        <c:ser>
          <c:idx val="1"/>
          <c:order val="1"/>
          <c:tx>
            <c:strRef>
              <c:f>Dashboard!$F$92</c:f>
              <c:strCache>
                <c:ptCount val="1"/>
                <c:pt idx="0">
                  <c:v> Cash flows from investing activities </c:v>
                </c:pt>
              </c:strCache>
            </c:strRef>
          </c:tx>
          <c:spPr>
            <a:solidFill>
              <a:srgbClr val="660066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Dashboard!$H$90:$N$90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Dashboard!$H$92:$N$92</c:f>
              <c:numCache>
                <c:formatCode>_(* #,##0_);_(* \(#,##0\);_(* "-"_);_(@_)</c:formatCode>
                <c:ptCount val="7"/>
                <c:pt idx="0">
                  <c:v>-44329.016000000003</c:v>
                </c:pt>
                <c:pt idx="1">
                  <c:v>-43928.494999999966</c:v>
                </c:pt>
                <c:pt idx="2">
                  <c:v>-34187.146481824217</c:v>
                </c:pt>
                <c:pt idx="3">
                  <c:v>-34561.873928433983</c:v>
                </c:pt>
                <c:pt idx="4">
                  <c:v>-34947.723711339677</c:v>
                </c:pt>
                <c:pt idx="5">
                  <c:v>-35345.11487574991</c:v>
                </c:pt>
                <c:pt idx="6">
                  <c:v>-35754.482671082369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EA-4546-A4F6-767BC2FEE4F1}"/>
            </c:ext>
          </c:extLst>
        </c:ser>
        <c:ser>
          <c:idx val="2"/>
          <c:order val="2"/>
          <c:tx>
            <c:strRef>
              <c:f>Dashboard!$F$93</c:f>
              <c:strCache>
                <c:ptCount val="1"/>
                <c:pt idx="0">
                  <c:v> Cash generated from financing activities </c:v>
                </c:pt>
              </c:strCache>
            </c:strRef>
          </c:tx>
          <c:spPr>
            <a:solidFill>
              <a:srgbClr val="AC00AC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8259143464230264E-17"/>
                  <c:y val="-3.09650549879612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EA-4546-A4F6-767BC2FEE4F1}"/>
                </c:ext>
              </c:extLst>
            </c:dLbl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Dashboard!$H$90:$N$90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Dashboard!$H$93:$N$93</c:f>
              <c:numCache>
                <c:formatCode>_(* #,##0_);_(* \(#,##0\);_(* "-"_);_(@_)</c:formatCode>
                <c:ptCount val="7"/>
                <c:pt idx="0">
                  <c:v>-9526.9</c:v>
                </c:pt>
                <c:pt idx="1">
                  <c:v>-544052.3620000002</c:v>
                </c:pt>
                <c:pt idx="2">
                  <c:v>-185656.16405938781</c:v>
                </c:pt>
                <c:pt idx="3">
                  <c:v>-222366.18171211681</c:v>
                </c:pt>
                <c:pt idx="4">
                  <c:v>-268874.14977317024</c:v>
                </c:pt>
                <c:pt idx="5">
                  <c:v>-323387.66938706586</c:v>
                </c:pt>
                <c:pt idx="6">
                  <c:v>-387111.32400872046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EA-4546-A4F6-767BC2FEE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overlap val="100"/>
        <c:axId val="59637391"/>
        <c:axId val="59609551"/>
      </c:barChart>
      <c:catAx>
        <c:axId val="5963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59609551"/>
        <c:crosses val="autoZero"/>
        <c:auto val="1"/>
        <c:lblAlgn val="ctr"/>
        <c:lblOffset val="100"/>
        <c:noMultiLvlLbl val="0"/>
      </c:catAx>
      <c:valAx>
        <c:axId val="59609551"/>
        <c:scaling>
          <c:orientation val="minMax"/>
          <c:max val="4500000"/>
          <c:min val="-4000000"/>
        </c:scaling>
        <c:delete val="1"/>
        <c:axPos val="l"/>
        <c:numFmt formatCode="_(* #,##0_);_(* \(#,##0\);_(* &quot;-&quot;_);_(@_)" sourceLinked="1"/>
        <c:majorTickMark val="out"/>
        <c:minorTickMark val="none"/>
        <c:tickLblPos val="nextTo"/>
        <c:crossAx val="5963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7935091658993919E-2"/>
          <c:y val="0.77684865838051231"/>
          <c:w val="0.9333781277285963"/>
          <c:h val="0.20662241599965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/>
      </a:solidFill>
      <a:prstDash val="dashDot"/>
      <a:round/>
    </a:ln>
    <a:effectLst/>
  </c:spPr>
  <c:txPr>
    <a:bodyPr/>
    <a:lstStyle/>
    <a:p>
      <a:pPr>
        <a:defRPr sz="800">
          <a:solidFill>
            <a:schemeClr val="tx1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Assumptions!$G$4" fmlaRange="Assumptions!$D$3:$D$5" noThreeD="1" sel="1" val="0"/>
</file>

<file path=xl/ctrlProps/ctrlProp2.xml><?xml version="1.0" encoding="utf-8"?>
<formControlPr xmlns="http://schemas.microsoft.com/office/spreadsheetml/2009/9/main" objectType="Drop" dropStyle="combo" dx="22" fmlaLink="Assumptions!$G$4" fmlaRange="Assumptions!$D$3:$D$5" noThreeD="1" sel="1" val="0"/>
</file>

<file path=xl/ctrlProps/ctrlProp3.xml><?xml version="1.0" encoding="utf-8"?>
<formControlPr xmlns="http://schemas.microsoft.com/office/spreadsheetml/2009/9/main" objectType="Drop" dropStyle="combo" dx="22" fmlaLink="Assumptions!$G$4" fmlaRange="Assumptions!$D$3:$D$5" noThreeD="1" sel="1" val="0"/>
</file>

<file path=xl/ctrlProps/ctrlProp4.xml><?xml version="1.0" encoding="utf-8"?>
<formControlPr xmlns="http://schemas.microsoft.com/office/spreadsheetml/2009/9/main" objectType="Drop" dropStyle="combo" dx="22" fmlaLink="$G$4" fmlaRange="$D$3:$D$5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</xdr:row>
          <xdr:rowOff>114300</xdr:rowOff>
        </xdr:from>
        <xdr:to>
          <xdr:col>13</xdr:col>
          <xdr:colOff>952500</xdr:colOff>
          <xdr:row>3</xdr:row>
          <xdr:rowOff>7620</xdr:rowOff>
        </xdr:to>
        <xdr:sp macro="" textlink="">
          <xdr:nvSpPr>
            <xdr:cNvPr id="19457" name="Drop Dow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0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11</xdr:col>
      <xdr:colOff>10584</xdr:colOff>
      <xdr:row>15</xdr:row>
      <xdr:rowOff>10584</xdr:rowOff>
    </xdr:from>
    <xdr:to>
      <xdr:col>13</xdr:col>
      <xdr:colOff>66675</xdr:colOff>
      <xdr:row>21</xdr:row>
      <xdr:rowOff>137583</xdr:rowOff>
    </xdr:to>
    <xdr:sp macro="" textlink="Valuation!D83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849909" y="1896534"/>
          <a:ext cx="1332441" cy="1031874"/>
        </a:xfrm>
        <a:prstGeom prst="roundRect">
          <a:avLst>
            <a:gd name="adj" fmla="val 0"/>
          </a:avLst>
        </a:prstGeom>
        <a:solidFill>
          <a:srgbClr val="AC00AC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4725EA6-F79B-4649-944D-F14A03847434}" type="TxLink">
            <a:rPr lang="en-US" sz="3200" b="1" i="0" u="none" strike="noStrike">
              <a:solidFill>
                <a:schemeClr val="bg1"/>
              </a:solidFill>
              <a:latin typeface="Aptos"/>
            </a:rPr>
            <a:pPr algn="ctr"/>
            <a:t> 47.53 </a:t>
          </a:fld>
          <a:endParaRPr lang="en-GB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10585</xdr:colOff>
      <xdr:row>15</xdr:row>
      <xdr:rowOff>10584</xdr:rowOff>
    </xdr:from>
    <xdr:to>
      <xdr:col>9</xdr:col>
      <xdr:colOff>85725</xdr:colOff>
      <xdr:row>21</xdr:row>
      <xdr:rowOff>137583</xdr:rowOff>
    </xdr:to>
    <xdr:sp macro="" textlink="Valuation!D67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754285" y="1896534"/>
          <a:ext cx="1351490" cy="1031874"/>
        </a:xfrm>
        <a:prstGeom prst="roundRect">
          <a:avLst>
            <a:gd name="adj" fmla="val 0"/>
          </a:avLst>
        </a:prstGeom>
        <a:solidFill>
          <a:srgbClr val="AC00AC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9A6FBBC-87FE-4046-BE8D-A0F222CA0977}" type="TxLink">
            <a:rPr lang="en-US" sz="3200" b="1" i="0" u="none" strike="noStrike">
              <a:solidFill>
                <a:schemeClr val="bg1"/>
              </a:solidFill>
              <a:latin typeface="Aptos"/>
            </a:rPr>
            <a:pPr algn="ctr"/>
            <a:t> 15.05 </a:t>
          </a:fld>
          <a:endParaRPr lang="en-GB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10585</xdr:colOff>
      <xdr:row>15</xdr:row>
      <xdr:rowOff>10584</xdr:rowOff>
    </xdr:from>
    <xdr:to>
      <xdr:col>5</xdr:col>
      <xdr:colOff>10583</xdr:colOff>
      <xdr:row>21</xdr:row>
      <xdr:rowOff>142875</xdr:rowOff>
    </xdr:to>
    <xdr:sp macro="" textlink="Valuation!$F$89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563410" y="1896534"/>
          <a:ext cx="1381123" cy="1037166"/>
        </a:xfrm>
        <a:prstGeom prst="roundRect">
          <a:avLst>
            <a:gd name="adj" fmla="val 0"/>
          </a:avLst>
        </a:prstGeom>
        <a:solidFill>
          <a:srgbClr val="AC00AC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B83F82E-A988-4FB3-AD7D-65746B4AC4EB}" type="TxLink">
            <a:rPr lang="en-US" sz="3200" b="1" i="0" u="none" strike="noStrike">
              <a:solidFill>
                <a:schemeClr val="bg1"/>
              </a:solidFill>
              <a:latin typeface="Aptos"/>
            </a:rPr>
            <a:pPr algn="ctr"/>
            <a:t> 14.21 </a:t>
          </a:fld>
          <a:endParaRPr lang="en-GB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11643</xdr:colOff>
      <xdr:row>15</xdr:row>
      <xdr:rowOff>11641</xdr:rowOff>
    </xdr:from>
    <xdr:to>
      <xdr:col>1</xdr:col>
      <xdr:colOff>1695450</xdr:colOff>
      <xdr:row>21</xdr:row>
      <xdr:rowOff>138641</xdr:rowOff>
    </xdr:to>
    <xdr:sp macro="" textlink="Valuation!$G$92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92618" y="1897591"/>
          <a:ext cx="1683807" cy="1031875"/>
        </a:xfrm>
        <a:prstGeom prst="roundRect">
          <a:avLst>
            <a:gd name="adj" fmla="val 0"/>
          </a:avLst>
        </a:prstGeom>
        <a:solidFill>
          <a:srgbClr val="AC00AC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B0ECE18-FF62-4182-BE0A-16EF088F20A3}" type="TxLink">
            <a:rPr lang="en-US" sz="3200" b="1" i="0" u="none" strike="noStrike">
              <a:solidFill>
                <a:schemeClr val="bg1"/>
              </a:solidFill>
              <a:latin typeface="Aptos"/>
            </a:rPr>
            <a:pPr algn="ctr"/>
            <a:t> 26.13 </a:t>
          </a:fld>
          <a:endParaRPr lang="en-GB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176212</xdr:colOff>
      <xdr:row>24</xdr:row>
      <xdr:rowOff>19051</xdr:rowOff>
    </xdr:from>
    <xdr:to>
      <xdr:col>4</xdr:col>
      <xdr:colOff>0</xdr:colOff>
      <xdr:row>40</xdr:row>
      <xdr:rowOff>38101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166687</xdr:colOff>
      <xdr:row>40</xdr:row>
      <xdr:rowOff>114300</xdr:rowOff>
    </xdr:from>
    <xdr:to>
      <xdr:col>14</xdr:col>
      <xdr:colOff>0</xdr:colOff>
      <xdr:row>60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62</xdr:row>
      <xdr:rowOff>114300</xdr:rowOff>
    </xdr:from>
    <xdr:to>
      <xdr:col>4</xdr:col>
      <xdr:colOff>4763</xdr:colOff>
      <xdr:row>78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89</xdr:row>
      <xdr:rowOff>0</xdr:rowOff>
    </xdr:from>
    <xdr:to>
      <xdr:col>4</xdr:col>
      <xdr:colOff>4763</xdr:colOff>
      <xdr:row>105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</xdr:row>
          <xdr:rowOff>106680</xdr:rowOff>
        </xdr:from>
        <xdr:to>
          <xdr:col>1</xdr:col>
          <xdr:colOff>1066800</xdr:colOff>
          <xdr:row>3</xdr:row>
          <xdr:rowOff>0</xdr:rowOff>
        </xdr:to>
        <xdr:sp macro="" textlink="">
          <xdr:nvSpPr>
            <xdr:cNvPr id="13313" name="Drop Dow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1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</xdr:row>
          <xdr:rowOff>106680</xdr:rowOff>
        </xdr:from>
        <xdr:to>
          <xdr:col>1</xdr:col>
          <xdr:colOff>1066800</xdr:colOff>
          <xdr:row>3</xdr:row>
          <xdr:rowOff>0</xdr:rowOff>
        </xdr:to>
        <xdr:sp macro="" textlink="">
          <xdr:nvSpPr>
            <xdr:cNvPr id="8194" name="Drop Dow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2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1</xdr:row>
          <xdr:rowOff>121920</xdr:rowOff>
        </xdr:from>
        <xdr:to>
          <xdr:col>3</xdr:col>
          <xdr:colOff>2461260</xdr:colOff>
          <xdr:row>3</xdr:row>
          <xdr:rowOff>22860</xdr:rowOff>
        </xdr:to>
        <xdr:sp macro="" textlink="">
          <xdr:nvSpPr>
            <xdr:cNvPr id="4104" name="Drop Down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5387F01-1BD3-497A-8417-486664046B83}" autoFormatId="16" applyNumberFormats="0" applyBorderFormats="0" applyFontFormats="0" applyPatternFormats="0" applyAlignmentFormats="0" applyWidthHeightFormats="0">
  <queryTableRefresh nextId="3">
    <queryTableFields count="2">
      <queryTableField id="1" name="Ticker" tableColumnId="1"/>
      <queryTableField id="2" name="Price" tableColumnId="2"/>
    </queryTableFields>
  </queryTableRefresh>
  <extLst>
    <ext xmlns:x15="http://schemas.microsoft.com/office/spreadsheetml/2010/11/main" uri="{883FBD77-0823-4a55-B5E3-86C4891E6966}">
      <x15:queryTable sourceDataName="Query - FAB_Share_Pric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B61CA-997F-4498-9B4A-88AE15884B05}" name="FAB_Share_Price" displayName="FAB_Share_Price" ref="B44:C82" tableType="queryTable" totalsRowShown="0" headerRowDxfId="41" dataDxfId="40">
  <tableColumns count="2">
    <tableColumn id="1" xr3:uid="{4BBFE458-D542-44C6-B542-BE23F61A4FFB}" uniqueName="1" name="Ticker" queryTableFieldId="1" dataDxfId="39"/>
    <tableColumn id="2" xr3:uid="{FE0286A7-BB8E-4CD1-BF0A-C9D55D6A8D6A}" uniqueName="2" name="Price" queryTableFieldId="2" dataDxfId="3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25E278-0B2E-472D-A4C0-C3A9F496449B}">
  <we:reference id="WA200009152" version="1.0.0.3" store="Omex" storeType="OMEX"/>
  <we:alternateReferences>
    <we:reference id="WA200009152" version="1.0.0.3" store="WA20000915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439D-39D8-41D5-8A91-702E754CF03E}">
  <sheetPr>
    <tabColor rgb="FFE600E6"/>
  </sheetPr>
  <dimension ref="A1:AS97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0" defaultRowHeight="10.8" x14ac:dyDescent="0.25"/>
  <cols>
    <col min="1" max="1" width="2.6640625" style="2" customWidth="1"/>
    <col min="2" max="2" width="39.88671875" style="2" customWidth="1"/>
    <col min="3" max="3" width="10.6640625" style="2" customWidth="1"/>
    <col min="4" max="4" width="11.109375" style="2" bestFit="1" customWidth="1"/>
    <col min="5" max="5" width="9.5546875" style="6" bestFit="1" customWidth="1"/>
    <col min="6" max="6" width="15.6640625" style="6" bestFit="1" customWidth="1"/>
    <col min="7" max="7" width="11.44140625" style="6" customWidth="1"/>
    <col min="8" max="9" width="9.5546875" style="6" bestFit="1" customWidth="1"/>
    <col min="10" max="10" width="17.6640625" style="6" bestFit="1" customWidth="1"/>
    <col min="11" max="13" width="9.5546875" style="6" bestFit="1" customWidth="1"/>
    <col min="14" max="14" width="15.6640625" style="6" bestFit="1" customWidth="1"/>
    <col min="15" max="15" width="4.6640625" style="2" customWidth="1"/>
    <col min="16" max="45" width="0" style="2" hidden="1" customWidth="1"/>
    <col min="46" max="16384" width="9.109375" style="2" hidden="1"/>
  </cols>
  <sheetData>
    <row r="1" spans="2:17" ht="13.8" x14ac:dyDescent="0.3">
      <c r="B1" s="1" t="s">
        <v>0</v>
      </c>
      <c r="C1" s="1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2:17" x14ac:dyDescent="0.2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17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2:17" x14ac:dyDescent="0.25">
      <c r="B4" s="9" t="s">
        <v>288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2:17" ht="5.0999999999999996" customHeight="1" x14ac:dyDescent="0.25">
      <c r="E5" s="2"/>
      <c r="F5" s="2"/>
      <c r="G5" s="2"/>
      <c r="H5" s="2"/>
      <c r="I5" s="2"/>
      <c r="J5" s="2"/>
      <c r="K5" s="2"/>
      <c r="L5" s="2"/>
      <c r="M5" s="2"/>
      <c r="N5" s="2"/>
    </row>
    <row r="6" spans="2:17" x14ac:dyDescent="0.25">
      <c r="B6" s="71" t="s">
        <v>335</v>
      </c>
      <c r="C6" s="169"/>
      <c r="D6" s="169"/>
      <c r="E6" s="170"/>
      <c r="F6" s="170"/>
      <c r="G6" s="170"/>
      <c r="H6" s="170"/>
      <c r="I6" s="170"/>
      <c r="J6" s="170"/>
      <c r="K6" s="170"/>
      <c r="L6" s="170"/>
      <c r="M6" s="170"/>
      <c r="N6" s="170"/>
      <c r="P6" s="20"/>
      <c r="Q6" s="20"/>
    </row>
    <row r="7" spans="2:17" ht="5.0999999999999996" customHeight="1" x14ac:dyDescent="0.25">
      <c r="B7" s="4"/>
      <c r="P7" s="6"/>
      <c r="Q7" s="6"/>
    </row>
    <row r="8" spans="2:17" ht="11.4" thickBot="1" x14ac:dyDescent="0.3">
      <c r="B8" s="159" t="s">
        <v>333</v>
      </c>
      <c r="C8" s="158"/>
      <c r="D8" s="159" t="s">
        <v>328</v>
      </c>
      <c r="E8" s="160"/>
      <c r="F8" s="160"/>
      <c r="G8" s="158"/>
      <c r="H8" s="159" t="s">
        <v>329</v>
      </c>
      <c r="I8" s="160"/>
      <c r="J8" s="160"/>
      <c r="K8" s="160"/>
      <c r="L8" s="159" t="s">
        <v>330</v>
      </c>
      <c r="M8" s="160"/>
      <c r="N8" s="160"/>
    </row>
    <row r="9" spans="2:17" x14ac:dyDescent="0.25">
      <c r="B9" s="232" t="str">
        <f ca="1">IF($B$16&lt;=-15%,"SELL",IF($B$16&lt;=15%,"HOLD","BUY"))</f>
        <v>BUY</v>
      </c>
      <c r="C9" s="158"/>
      <c r="D9" s="238" t="str">
        <f ca="1">IF($F$16&lt;=-15%,"SELL",IF($F$16&lt;=15%,"HOLD","BUY"))</f>
        <v>BUY</v>
      </c>
      <c r="E9" s="239"/>
      <c r="F9" s="240"/>
      <c r="G9" s="158"/>
      <c r="H9" s="238" t="str">
        <f ca="1">IF($J$16&lt;=-15%,"SELL",IF($J$16&lt;=15%,"HOLD","BUY"))</f>
        <v>BUY</v>
      </c>
      <c r="I9" s="239"/>
      <c r="J9" s="240"/>
      <c r="K9" s="160"/>
      <c r="L9" s="238" t="str">
        <f ca="1">IF($N$16&lt;=-15%,"SELL",IF($N$16&lt;=15%,"HOLD","BUY"))</f>
        <v>BUY</v>
      </c>
      <c r="M9" s="239"/>
      <c r="N9" s="240"/>
    </row>
    <row r="10" spans="2:17" x14ac:dyDescent="0.25">
      <c r="B10" s="233"/>
      <c r="C10" s="158"/>
      <c r="D10" s="241"/>
      <c r="E10" s="242"/>
      <c r="F10" s="243"/>
      <c r="G10" s="158"/>
      <c r="H10" s="241"/>
      <c r="I10" s="242"/>
      <c r="J10" s="243"/>
      <c r="K10" s="160"/>
      <c r="L10" s="241"/>
      <c r="M10" s="242"/>
      <c r="N10" s="243"/>
    </row>
    <row r="11" spans="2:17" ht="11.4" thickBot="1" x14ac:dyDescent="0.3">
      <c r="B11" s="234"/>
      <c r="C11" s="158"/>
      <c r="D11" s="244"/>
      <c r="E11" s="245"/>
      <c r="F11" s="246"/>
      <c r="G11" s="158"/>
      <c r="H11" s="244"/>
      <c r="I11" s="245"/>
      <c r="J11" s="246"/>
      <c r="K11" s="160"/>
      <c r="L11" s="244"/>
      <c r="M11" s="245"/>
      <c r="N11" s="246"/>
    </row>
    <row r="12" spans="2:17" ht="6.75" customHeight="1" x14ac:dyDescent="0.25">
      <c r="B12" s="158"/>
      <c r="C12" s="158"/>
      <c r="D12" s="158"/>
      <c r="E12" s="158"/>
      <c r="F12" s="158"/>
      <c r="G12" s="158"/>
      <c r="H12" s="160"/>
      <c r="I12" s="160"/>
      <c r="J12" s="158"/>
      <c r="K12" s="160"/>
      <c r="L12" s="160"/>
      <c r="M12" s="160"/>
      <c r="N12" s="158"/>
    </row>
    <row r="13" spans="2:17" x14ac:dyDescent="0.25">
      <c r="B13" s="71" t="s">
        <v>332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</row>
    <row r="14" spans="2:17" ht="5.0999999999999996" customHeight="1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2:17" ht="11.4" thickBot="1" x14ac:dyDescent="0.3">
      <c r="B15" s="161" t="str">
        <f>Valuation!G88&amp;" (GHS)"</f>
        <v>Weighted Price (GHS)</v>
      </c>
      <c r="D15" s="162" t="str">
        <f>Valuation!B29&amp;" (GHS)"</f>
        <v>Comparable Company Analysis (GHS)</v>
      </c>
      <c r="E15" s="163"/>
      <c r="F15" s="163"/>
      <c r="G15" s="2"/>
      <c r="H15" s="162" t="str">
        <f>Valuation!B56&amp;" (GHS)"</f>
        <v>Dividend Discount Model (GHS)</v>
      </c>
      <c r="I15" s="163"/>
      <c r="J15" s="163"/>
      <c r="K15" s="2"/>
      <c r="L15" s="162" t="str">
        <f>Valuation!B71&amp;" (GHS)"</f>
        <v>Residual Income Valuation (GHS)</v>
      </c>
      <c r="M15" s="163"/>
      <c r="N15" s="163"/>
    </row>
    <row r="16" spans="2:17" ht="15" customHeight="1" x14ac:dyDescent="0.25">
      <c r="B16" s="235">
        <f ca="1">Valuation!G93</f>
        <v>2.2779826899358424</v>
      </c>
      <c r="D16" s="164"/>
      <c r="E16" s="165"/>
      <c r="F16" s="247">
        <f ca="1">Valuation!$F$89/Valuation!$D$10-1</f>
        <v>0.7827073073557318</v>
      </c>
      <c r="G16" s="2"/>
      <c r="H16" s="164"/>
      <c r="I16" s="165"/>
      <c r="J16" s="247">
        <f ca="1">Valuation!D68</f>
        <v>0.88857877304029054</v>
      </c>
      <c r="K16" s="2"/>
      <c r="L16" s="164"/>
      <c r="M16" s="165"/>
      <c r="N16" s="250">
        <f ca="1">Valuation!D84</f>
        <v>4.9641757155692821</v>
      </c>
    </row>
    <row r="17" spans="2:14" ht="11.25" customHeight="1" x14ac:dyDescent="0.25">
      <c r="B17" s="236"/>
      <c r="D17" s="166"/>
      <c r="E17" s="2"/>
      <c r="F17" s="248"/>
      <c r="G17" s="2"/>
      <c r="H17" s="166"/>
      <c r="I17" s="2"/>
      <c r="J17" s="248"/>
      <c r="K17" s="2"/>
      <c r="L17" s="166"/>
      <c r="M17" s="2"/>
      <c r="N17" s="251"/>
    </row>
    <row r="18" spans="2:14" ht="11.25" customHeight="1" x14ac:dyDescent="0.25">
      <c r="B18" s="236"/>
      <c r="D18" s="166"/>
      <c r="E18" s="2"/>
      <c r="F18" s="248"/>
      <c r="G18" s="2"/>
      <c r="H18" s="166"/>
      <c r="I18" s="2"/>
      <c r="J18" s="248"/>
      <c r="K18" s="2"/>
      <c r="L18" s="166"/>
      <c r="M18" s="2"/>
      <c r="N18" s="251"/>
    </row>
    <row r="19" spans="2:14" ht="11.25" customHeight="1" x14ac:dyDescent="0.25">
      <c r="B19" s="236"/>
      <c r="D19" s="166"/>
      <c r="E19" s="2"/>
      <c r="F19" s="248"/>
      <c r="G19" s="2"/>
      <c r="H19" s="166"/>
      <c r="I19" s="2"/>
      <c r="J19" s="248"/>
      <c r="K19" s="2"/>
      <c r="L19" s="166"/>
      <c r="M19" s="2"/>
      <c r="N19" s="251"/>
    </row>
    <row r="20" spans="2:14" ht="11.25" customHeight="1" x14ac:dyDescent="0.25">
      <c r="B20" s="236"/>
      <c r="D20" s="166"/>
      <c r="E20" s="2"/>
      <c r="F20" s="248"/>
      <c r="G20" s="2"/>
      <c r="H20" s="166"/>
      <c r="I20" s="2"/>
      <c r="J20" s="248"/>
      <c r="K20" s="2"/>
      <c r="L20" s="166"/>
      <c r="M20" s="2"/>
      <c r="N20" s="251"/>
    </row>
    <row r="21" spans="2:14" ht="11.25" customHeight="1" x14ac:dyDescent="0.25">
      <c r="B21" s="236"/>
      <c r="D21" s="166"/>
      <c r="E21" s="2"/>
      <c r="F21" s="248"/>
      <c r="G21" s="2"/>
      <c r="H21" s="166"/>
      <c r="I21" s="2"/>
      <c r="J21" s="248"/>
      <c r="K21" s="2"/>
      <c r="L21" s="166"/>
      <c r="M21" s="2"/>
      <c r="N21" s="251"/>
    </row>
    <row r="22" spans="2:14" ht="12" customHeight="1" thickBot="1" x14ac:dyDescent="0.3">
      <c r="B22" s="237"/>
      <c r="D22" s="167"/>
      <c r="E22" s="168"/>
      <c r="F22" s="249"/>
      <c r="G22" s="2"/>
      <c r="H22" s="167"/>
      <c r="I22" s="168"/>
      <c r="J22" s="249"/>
      <c r="K22" s="2"/>
      <c r="L22" s="167"/>
      <c r="M22" s="168"/>
      <c r="N22" s="252"/>
    </row>
    <row r="23" spans="2:14" ht="12" customHeight="1" x14ac:dyDescent="0.25"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2:14" x14ac:dyDescent="0.25">
      <c r="B24" s="71" t="s">
        <v>336</v>
      </c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</row>
    <row r="25" spans="2:14" x14ac:dyDescent="0.25">
      <c r="F25" s="178" t="s">
        <v>1</v>
      </c>
      <c r="G25" s="178"/>
      <c r="H25" s="179">
        <f>I25-1</f>
        <v>2024</v>
      </c>
      <c r="I25" s="179">
        <f>YEAR(Valuation!AB4)</f>
        <v>2025</v>
      </c>
      <c r="J25" s="179">
        <f>YEAR(Valuation!AC4)</f>
        <v>2026</v>
      </c>
      <c r="K25" s="179">
        <f>YEAR(Valuation!AD4)</f>
        <v>2027</v>
      </c>
      <c r="L25" s="179">
        <f>YEAR(Valuation!AE4)</f>
        <v>2028</v>
      </c>
      <c r="M25" s="179">
        <f>YEAR(Valuation!AF4)</f>
        <v>2029</v>
      </c>
      <c r="N25" s="179">
        <f>YEAR(Valuation!AG4)</f>
        <v>2030</v>
      </c>
    </row>
    <row r="26" spans="2:14" x14ac:dyDescent="0.25">
      <c r="F26" s="6" t="s">
        <v>4</v>
      </c>
      <c r="H26" s="6">
        <f>'Quarterly Historical Financials'!AI11</f>
        <v>576088</v>
      </c>
      <c r="I26" s="6">
        <f>'Quarterly Historical Financials'!AJ11+'Quarterly Financial Projections'!F10</f>
        <v>1542039.0840000003</v>
      </c>
      <c r="J26" s="6">
        <f ca="1">'Quarterly Financial Projections'!AC10</f>
        <v>1209362.736041615</v>
      </c>
      <c r="K26" s="6">
        <f ca="1">'Quarterly Financial Projections'!AD10</f>
        <v>1470586.5711470367</v>
      </c>
      <c r="L26" s="6">
        <f ca="1">'Quarterly Financial Projections'!AE10</f>
        <v>1779440.5219001619</v>
      </c>
      <c r="M26" s="6">
        <f ca="1">'Quarterly Financial Projections'!AF10</f>
        <v>2144024.5692737554</v>
      </c>
      <c r="N26" s="6">
        <f ca="1">'Quarterly Financial Projections'!AG10</f>
        <v>2573822.2251279675</v>
      </c>
    </row>
    <row r="27" spans="2:14" x14ac:dyDescent="0.25">
      <c r="F27" s="6" t="s">
        <v>101</v>
      </c>
      <c r="H27" s="6">
        <f>'Quarterly Historical Financials'!AI14</f>
        <v>180198</v>
      </c>
      <c r="I27" s="6">
        <f>'Quarterly Historical Financials'!AJ14+'Quarterly Financial Projections'!F13</f>
        <v>223370.304</v>
      </c>
      <c r="J27" s="6">
        <f>'Quarterly Financial Projections'!AC13</f>
        <v>215487.7278357732</v>
      </c>
      <c r="K27" s="6">
        <f>'Quarterly Financial Projections'!AD13</f>
        <v>245172.86762580424</v>
      </c>
      <c r="L27" s="6">
        <f>'Quarterly Financial Projections'!AE13</f>
        <v>282278.93629376078</v>
      </c>
      <c r="M27" s="6">
        <f>'Quarterly Financial Projections'!AF13</f>
        <v>325000.88058989868</v>
      </c>
      <c r="N27" s="6">
        <f>'Quarterly Financial Projections'!AG13</f>
        <v>374188.6439386594</v>
      </c>
    </row>
    <row r="28" spans="2:14" x14ac:dyDescent="0.25">
      <c r="F28" s="6" t="s">
        <v>6</v>
      </c>
      <c r="H28" s="6">
        <f>'Quarterly Historical Financials'!AI15</f>
        <v>335653</v>
      </c>
      <c r="I28" s="6">
        <f>'Quarterly Historical Financials'!AJ15+'Quarterly Financial Projections'!F14</f>
        <v>207164.60800000001</v>
      </c>
      <c r="J28" s="6">
        <f>'Quarterly Financial Projections'!AC14</f>
        <v>94249.439397682145</v>
      </c>
      <c r="K28" s="6">
        <f>'Quarterly Financial Projections'!AD14</f>
        <v>108513.76727406221</v>
      </c>
      <c r="L28" s="6">
        <f>'Quarterly Financial Projections'!AE14</f>
        <v>124936.95202073443</v>
      </c>
      <c r="M28" s="6">
        <f>'Quarterly Financial Projections'!AF14</f>
        <v>143845.72918575964</v>
      </c>
      <c r="N28" s="6">
        <f>'Quarterly Financial Projections'!AG14</f>
        <v>165616.28461649155</v>
      </c>
    </row>
    <row r="29" spans="2:14" x14ac:dyDescent="0.25">
      <c r="F29" s="6" t="s">
        <v>63</v>
      </c>
      <c r="H29" s="6">
        <f>'Quarterly Historical Financials'!AI16+'Quarterly Historical Financials'!AI26</f>
        <v>1240</v>
      </c>
      <c r="I29" s="6">
        <f>'Quarterly Historical Financials'!AJ16+'Quarterly Financial Projections'!F15+'Quarterly Historical Financials'!AJ26+'Quarterly Financial Projections'!F23</f>
        <v>4476.0079999999998</v>
      </c>
      <c r="J29" s="6">
        <f ca="1">'Quarterly Financial Projections'!AC15</f>
        <v>1758.4746349858754</v>
      </c>
      <c r="K29" s="6">
        <f ca="1">'Quarterly Financial Projections'!AD15</f>
        <v>2088.6630067618198</v>
      </c>
      <c r="L29" s="6">
        <f ca="1">'Quarterly Financial Projections'!AE15</f>
        <v>2479.2579406267569</v>
      </c>
      <c r="M29" s="6">
        <f ca="1">'Quarterly Financial Projections'!AF15</f>
        <v>2936.7250047116604</v>
      </c>
      <c r="N29" s="6">
        <f ca="1">'Quarterly Financial Projections'!AG15</f>
        <v>3472.0905361733048</v>
      </c>
    </row>
    <row r="30" spans="2:14" x14ac:dyDescent="0.25">
      <c r="F30" s="16" t="s">
        <v>7</v>
      </c>
      <c r="G30" s="16"/>
      <c r="H30" s="16">
        <f t="shared" ref="H30:I30" si="0">SUM(H26:H29)</f>
        <v>1093179</v>
      </c>
      <c r="I30" s="16">
        <f t="shared" si="0"/>
        <v>1977050.0040000002</v>
      </c>
      <c r="J30" s="16">
        <f ca="1">SUM(J26:J29)</f>
        <v>1520858.3779100564</v>
      </c>
      <c r="K30" s="16">
        <f t="shared" ref="K30:N30" ca="1" si="1">SUM(K26:K29)</f>
        <v>1826361.8690536649</v>
      </c>
      <c r="L30" s="16">
        <f t="shared" ca="1" si="1"/>
        <v>2189135.6681552837</v>
      </c>
      <c r="M30" s="16">
        <f t="shared" ca="1" si="1"/>
        <v>2615807.9040541253</v>
      </c>
      <c r="N30" s="16">
        <f t="shared" ca="1" si="1"/>
        <v>3117099.244219292</v>
      </c>
    </row>
    <row r="31" spans="2:14" x14ac:dyDescent="0.25">
      <c r="F31" s="6" t="s">
        <v>102</v>
      </c>
      <c r="H31" s="6">
        <f>'Quarterly Historical Financials'!AI25</f>
        <v>-553877</v>
      </c>
      <c r="I31" s="6">
        <f>'Quarterly Historical Financials'!AJ25+'Quarterly Financial Projections'!F22</f>
        <v>-942766.0959999999</v>
      </c>
      <c r="J31" s="6">
        <f ca="1">'Quarterly Financial Projections'!AC22</f>
        <v>-634559.4200389625</v>
      </c>
      <c r="K31" s="6">
        <f ca="1">'Quarterly Financial Projections'!AD22</f>
        <v>-764813.94730418641</v>
      </c>
      <c r="L31" s="6">
        <f ca="1">'Quarterly Financial Projections'!AE22</f>
        <v>-905564.61114363128</v>
      </c>
      <c r="M31" s="6">
        <f ca="1">'Quarterly Financial Projections'!AF22</f>
        <v>-1071996.2249846673</v>
      </c>
      <c r="N31" s="6">
        <f ca="1">'Quarterly Financial Projections'!AG22</f>
        <v>-1269078.9278064291</v>
      </c>
    </row>
    <row r="32" spans="2:14" x14ac:dyDescent="0.25">
      <c r="F32" s="16" t="s">
        <v>13</v>
      </c>
      <c r="G32" s="16"/>
      <c r="H32" s="16">
        <f>SUM(H30:H31)</f>
        <v>539302</v>
      </c>
      <c r="I32" s="16">
        <f t="shared" ref="I32" si="2">SUM(I30:I31)</f>
        <v>1034283.9080000003</v>
      </c>
      <c r="J32" s="16">
        <f ca="1">SUM(J30:J31)</f>
        <v>886298.95787109388</v>
      </c>
      <c r="K32" s="16">
        <f t="shared" ref="K32:N32" ca="1" si="3">SUM(K30:K31)</f>
        <v>1061547.9217494784</v>
      </c>
      <c r="L32" s="16">
        <f t="shared" ca="1" si="3"/>
        <v>1283571.0570116523</v>
      </c>
      <c r="M32" s="16">
        <f t="shared" ca="1" si="3"/>
        <v>1543811.679069458</v>
      </c>
      <c r="N32" s="16">
        <f t="shared" ca="1" si="3"/>
        <v>1848020.3164128629</v>
      </c>
    </row>
    <row r="33" spans="6:14" x14ac:dyDescent="0.25">
      <c r="F33" s="6" t="s">
        <v>196</v>
      </c>
      <c r="H33" s="6">
        <f>SUM('Quarterly Historical Financials'!AI28:AI31)</f>
        <v>-202623</v>
      </c>
      <c r="I33" s="6">
        <f>SUM('Quarterly Historical Financials'!AJ28:AJ31)+'Quarterly Financial Projections'!F25</f>
        <v>-321301.77999999997</v>
      </c>
      <c r="J33" s="6">
        <f ca="1">'Quarterly Financial Projections'!AC25</f>
        <v>-183038.95808985387</v>
      </c>
      <c r="K33" s="6">
        <f ca="1">'Quarterly Financial Projections'!AD25</f>
        <v>-219231.47244378758</v>
      </c>
      <c r="L33" s="6">
        <f ca="1">'Quarterly Financial Projections'!AE25</f>
        <v>-265083.81491730944</v>
      </c>
      <c r="M33" s="6">
        <f ca="1">'Quarterly Financial Projections'!AF25</f>
        <v>-318828.85420804087</v>
      </c>
      <c r="N33" s="6">
        <f ca="1">'Quarterly Financial Projections'!AG25</f>
        <v>-381654.19268640294</v>
      </c>
    </row>
    <row r="34" spans="6:14" x14ac:dyDescent="0.25">
      <c r="F34" s="16" t="s">
        <v>268</v>
      </c>
      <c r="G34" s="16"/>
      <c r="H34" s="16">
        <f t="shared" ref="H34:I34" si="4">SUM(H32:H33)</f>
        <v>336679</v>
      </c>
      <c r="I34" s="16">
        <f t="shared" si="4"/>
        <v>712982.12800000026</v>
      </c>
      <c r="J34" s="16">
        <f ca="1">SUM(J32:J33)</f>
        <v>703259.99978124001</v>
      </c>
      <c r="K34" s="16">
        <f t="shared" ref="K34:N34" ca="1" si="5">SUM(K32:K33)</f>
        <v>842316.44930569082</v>
      </c>
      <c r="L34" s="16">
        <f t="shared" ca="1" si="5"/>
        <v>1018487.2420943428</v>
      </c>
      <c r="M34" s="16">
        <f t="shared" ca="1" si="5"/>
        <v>1224982.8248614171</v>
      </c>
      <c r="N34" s="16">
        <f t="shared" ca="1" si="5"/>
        <v>1466366.1237264599</v>
      </c>
    </row>
    <row r="35" spans="6:14" x14ac:dyDescent="0.25">
      <c r="F35" s="6" t="s">
        <v>104</v>
      </c>
      <c r="H35" s="6">
        <f>'Quarterly Historical Financials'!AI34</f>
        <v>334173.89299999998</v>
      </c>
      <c r="I35" s="6">
        <f>'Quarterly Historical Financials'!AJ34</f>
        <v>349617.462</v>
      </c>
      <c r="J35" s="6">
        <f>'Quarterly Financial Projections'!AC28</f>
        <v>349617.462</v>
      </c>
      <c r="K35" s="6">
        <f>'Quarterly Financial Projections'!AD28</f>
        <v>349617.462</v>
      </c>
      <c r="L35" s="6">
        <f>'Quarterly Financial Projections'!AE28</f>
        <v>349617.462</v>
      </c>
      <c r="M35" s="6">
        <f>'Quarterly Financial Projections'!AF28</f>
        <v>349617.462</v>
      </c>
      <c r="N35" s="6">
        <f>'Quarterly Financial Projections'!AG28</f>
        <v>349617.462</v>
      </c>
    </row>
    <row r="36" spans="6:14" x14ac:dyDescent="0.25">
      <c r="F36" s="6" t="s">
        <v>94</v>
      </c>
      <c r="G36" s="5"/>
      <c r="H36" s="5">
        <f t="shared" ref="H36:I36" si="6">H34/H35</f>
        <v>1.0074964174415624</v>
      </c>
      <c r="I36" s="5">
        <f t="shared" si="6"/>
        <v>2.0393207018933177</v>
      </c>
      <c r="J36" s="5">
        <f ca="1">J34/J35</f>
        <v>2.0115127996130813</v>
      </c>
      <c r="K36" s="5">
        <f t="shared" ref="K36:N36" ca="1" si="7">K34/K35</f>
        <v>2.4092516560448312</v>
      </c>
      <c r="L36" s="5">
        <f t="shared" ca="1" si="7"/>
        <v>2.9131475192001219</v>
      </c>
      <c r="M36" s="5">
        <f t="shared" ca="1" si="7"/>
        <v>3.5037804400668553</v>
      </c>
      <c r="N36" s="5">
        <f t="shared" ca="1" si="7"/>
        <v>4.1942016149252295</v>
      </c>
    </row>
    <row r="38" spans="6:14" x14ac:dyDescent="0.25">
      <c r="F38" s="171" t="s">
        <v>337</v>
      </c>
      <c r="G38" s="15"/>
      <c r="H38" s="172">
        <f>H30/'Quarterly Historical Financials'!AH17-1</f>
        <v>4.6079280399990541E-2</v>
      </c>
      <c r="I38" s="172">
        <f>I30/H30-1</f>
        <v>0.8085327325168159</v>
      </c>
      <c r="J38" s="172">
        <f t="shared" ref="J38:N38" ca="1" si="8">J30/I30-1</f>
        <v>-0.23074359534001132</v>
      </c>
      <c r="K38" s="172">
        <f t="shared" ca="1" si="8"/>
        <v>0.20087569992113763</v>
      </c>
      <c r="L38" s="172">
        <f t="shared" ca="1" si="8"/>
        <v>0.19863193885535457</v>
      </c>
      <c r="M38" s="172">
        <f t="shared" ca="1" si="8"/>
        <v>0.19490442831182997</v>
      </c>
      <c r="N38" s="173">
        <f t="shared" ca="1" si="8"/>
        <v>0.19163920232377807</v>
      </c>
    </row>
    <row r="39" spans="6:14" x14ac:dyDescent="0.25">
      <c r="F39" s="174" t="s">
        <v>338</v>
      </c>
      <c r="H39" s="42">
        <f>-H31/H30</f>
        <v>0.50666633735188837</v>
      </c>
      <c r="I39" s="42">
        <f t="shared" ref="I39:N39" si="9">-I31/I30</f>
        <v>0.47685495768573377</v>
      </c>
      <c r="J39" s="42">
        <f t="shared" ca="1" si="9"/>
        <v>0.41723767923149147</v>
      </c>
      <c r="K39" s="42">
        <f t="shared" ca="1" si="9"/>
        <v>0.41876364167659563</v>
      </c>
      <c r="L39" s="42">
        <f t="shared" ca="1" si="9"/>
        <v>0.41366308370770016</v>
      </c>
      <c r="M39" s="42">
        <f t="shared" ca="1" si="9"/>
        <v>0.40981458283814631</v>
      </c>
      <c r="N39" s="45">
        <f t="shared" ca="1" si="9"/>
        <v>0.40713459161108051</v>
      </c>
    </row>
    <row r="40" spans="6:14" x14ac:dyDescent="0.25">
      <c r="F40" s="175" t="s">
        <v>339</v>
      </c>
      <c r="G40" s="63"/>
      <c r="H40" s="176">
        <f>H34/H30</f>
        <v>0.30798158398578823</v>
      </c>
      <c r="I40" s="176">
        <f t="shared" ref="I40:N40" si="10">I34/I30</f>
        <v>0.36062928431627073</v>
      </c>
      <c r="J40" s="176">
        <f t="shared" ca="1" si="10"/>
        <v>0.4624099192902173</v>
      </c>
      <c r="K40" s="176">
        <f t="shared" ca="1" si="10"/>
        <v>0.46119909946550719</v>
      </c>
      <c r="L40" s="176">
        <f t="shared" ca="1" si="10"/>
        <v>0.46524628734069745</v>
      </c>
      <c r="M40" s="176">
        <f t="shared" ca="1" si="10"/>
        <v>0.46829999365124259</v>
      </c>
      <c r="N40" s="177">
        <f t="shared" ca="1" si="10"/>
        <v>0.47042651158632764</v>
      </c>
    </row>
    <row r="64" spans="6:14" x14ac:dyDescent="0.25">
      <c r="F64" s="180" t="s">
        <v>105</v>
      </c>
      <c r="G64" s="180"/>
      <c r="H64" s="179">
        <f>H25</f>
        <v>2024</v>
      </c>
      <c r="I64" s="179">
        <f t="shared" ref="I64:N64" si="11">I25</f>
        <v>2025</v>
      </c>
      <c r="J64" s="179">
        <f t="shared" si="11"/>
        <v>2026</v>
      </c>
      <c r="K64" s="179">
        <f t="shared" si="11"/>
        <v>2027</v>
      </c>
      <c r="L64" s="179">
        <f t="shared" si="11"/>
        <v>2028</v>
      </c>
      <c r="M64" s="179">
        <f t="shared" si="11"/>
        <v>2029</v>
      </c>
      <c r="N64" s="179">
        <f t="shared" si="11"/>
        <v>2030</v>
      </c>
    </row>
    <row r="65" spans="6:14" x14ac:dyDescent="0.25">
      <c r="F65" s="6" t="s">
        <v>21</v>
      </c>
      <c r="H65" s="6">
        <f>'Quarterly Historical Financials'!AI41</f>
        <v>4600045</v>
      </c>
      <c r="I65" s="6">
        <f>'Quarterly Financial Projections'!AB33</f>
        <v>8162460.5479999995</v>
      </c>
      <c r="J65" s="6">
        <f ca="1">'Quarterly Financial Projections'!AC33</f>
        <v>8156889.4078025669</v>
      </c>
      <c r="K65" s="6">
        <f ca="1">'Quarterly Financial Projections'!AD33</f>
        <v>10125375.940629397</v>
      </c>
      <c r="L65" s="6">
        <f ca="1">'Quarterly Financial Projections'!AE33</f>
        <v>12467879.274365973</v>
      </c>
      <c r="M65" s="6">
        <f ca="1">'Quarterly Financial Projections'!AF33</f>
        <v>15249551.053863145</v>
      </c>
      <c r="N65" s="6">
        <f ca="1">'Quarterly Financial Projections'!AG33</f>
        <v>18546971.718889017</v>
      </c>
    </row>
    <row r="66" spans="6:14" x14ac:dyDescent="0.25">
      <c r="F66" s="6" t="s">
        <v>71</v>
      </c>
      <c r="H66" s="6">
        <f>'Quarterly Historical Financials'!AI43</f>
        <v>2647258</v>
      </c>
      <c r="I66" s="6">
        <f>'Quarterly Financial Projections'!AB34</f>
        <v>3178870.372</v>
      </c>
      <c r="J66" s="6">
        <f>'Quarterly Financial Projections'!AC34</f>
        <v>4541640.5875357473</v>
      </c>
      <c r="K66" s="6">
        <f>'Quarterly Financial Projections'!AD34</f>
        <v>5229002.2403083835</v>
      </c>
      <c r="L66" s="6">
        <f>'Quarterly Financial Projections'!AE34</f>
        <v>6020393.7106317496</v>
      </c>
      <c r="M66" s="6">
        <f>'Quarterly Financial Projections'!AF34</f>
        <v>6931559.552913243</v>
      </c>
      <c r="N66" s="6">
        <f>'Quarterly Financial Projections'!AG34</f>
        <v>7980627.2056152737</v>
      </c>
    </row>
    <row r="67" spans="6:14" x14ac:dyDescent="0.25">
      <c r="F67" s="6" t="s">
        <v>22</v>
      </c>
      <c r="H67" s="6">
        <f>'Quarterly Historical Financials'!AI44</f>
        <v>1927368</v>
      </c>
      <c r="I67" s="6">
        <f>'Quarterly Financial Projections'!AB35</f>
        <v>1947024.824</v>
      </c>
      <c r="J67" s="6">
        <f>'Quarterly Financial Projections'!AC35</f>
        <v>3263912.2594777439</v>
      </c>
      <c r="K67" s="6">
        <f>'Quarterly Financial Projections'!AD35</f>
        <v>3757894.1327542439</v>
      </c>
      <c r="L67" s="6">
        <f>'Quarterly Financial Projections'!AE35</f>
        <v>4326638.4603268672</v>
      </c>
      <c r="M67" s="6">
        <f>'Quarterly Financial Projections'!AF35</f>
        <v>4981460.2820275528</v>
      </c>
      <c r="N67" s="6">
        <f>'Quarterly Financial Projections'!AG35</f>
        <v>5735387.1299760304</v>
      </c>
    </row>
    <row r="68" spans="6:14" x14ac:dyDescent="0.25">
      <c r="F68" s="6" t="s">
        <v>91</v>
      </c>
      <c r="H68" s="6">
        <f>SUM('Quarterly Historical Financials'!AI45:AI55)</f>
        <v>4148654</v>
      </c>
      <c r="I68" s="6">
        <f>SUM('Quarterly Financial Projections'!AB36:AB44)</f>
        <v>5904635.8140000002</v>
      </c>
      <c r="J68" s="6">
        <f>SUM('Quarterly Financial Projections'!AC36:AC44)</f>
        <v>6299904.1450925553</v>
      </c>
      <c r="K68" s="6">
        <f>SUM('Quarterly Financial Projections'!AD36:AD44)</f>
        <v>6725854.8636035817</v>
      </c>
      <c r="L68" s="6">
        <f>SUM('Quarterly Financial Projections'!AE36:AE44)</f>
        <v>7184882.7588109141</v>
      </c>
      <c r="M68" s="6">
        <f>SUM('Quarterly Financial Projections'!AF36:AF44)</f>
        <v>7679569.6483921744</v>
      </c>
      <c r="N68" s="6">
        <f>SUM('Quarterly Financial Projections'!AG36:AG44)</f>
        <v>8212698.9879320767</v>
      </c>
    </row>
    <row r="69" spans="6:14" x14ac:dyDescent="0.25">
      <c r="F69" s="16" t="s">
        <v>27</v>
      </c>
      <c r="G69" s="16"/>
      <c r="H69" s="16">
        <f>SUM(H65:H68)</f>
        <v>13323325</v>
      </c>
      <c r="I69" s="16">
        <f>SUM(I65:I68)</f>
        <v>19192991.557999998</v>
      </c>
      <c r="J69" s="16">
        <f t="shared" ref="J69:N69" ca="1" si="12">SUM(J65:J68)</f>
        <v>22262346.399908613</v>
      </c>
      <c r="K69" s="16">
        <f t="shared" ca="1" si="12"/>
        <v>25838127.177295607</v>
      </c>
      <c r="L69" s="16">
        <f t="shared" ca="1" si="12"/>
        <v>29999794.204135507</v>
      </c>
      <c r="M69" s="16">
        <f t="shared" ca="1" si="12"/>
        <v>34842140.537196115</v>
      </c>
      <c r="N69" s="16">
        <f t="shared" ca="1" si="12"/>
        <v>40475685.0424124</v>
      </c>
    </row>
    <row r="71" spans="6:14" x14ac:dyDescent="0.25">
      <c r="F71" s="6" t="s">
        <v>117</v>
      </c>
      <c r="H71" s="6">
        <f>'Quarterly Historical Financials'!AI59+'Quarterly Historical Financials'!AI60</f>
        <v>11611039</v>
      </c>
      <c r="I71" s="6">
        <f>'Quarterly Financial Projections'!AB48</f>
        <v>16642449.622</v>
      </c>
      <c r="J71" s="6">
        <f>'Quarterly Financial Projections'!AC48</f>
        <v>19161227.023663603</v>
      </c>
      <c r="K71" s="6">
        <f>'Quarterly Financial Projections'!AD48</f>
        <v>22061212.705552053</v>
      </c>
      <c r="L71" s="6">
        <f>'Quarterly Financial Projections'!AE48</f>
        <v>25400101.227262404</v>
      </c>
      <c r="M71" s="6">
        <f>'Quarterly Financial Projections'!AF48</f>
        <v>29244319.021175612</v>
      </c>
      <c r="N71" s="6">
        <f>'Quarterly Financial Projections'!AG48</f>
        <v>33670345.931313023</v>
      </c>
    </row>
    <row r="72" spans="6:14" x14ac:dyDescent="0.25">
      <c r="F72" s="6" t="s">
        <v>33</v>
      </c>
      <c r="H72" s="6">
        <f>SUM('Quarterly Historical Financials'!AI61:AI64)</f>
        <v>91644</v>
      </c>
      <c r="I72" s="6">
        <f>SUM('Quarterly Financial Projections'!AB49:AB51)</f>
        <v>303306.12099999998</v>
      </c>
      <c r="J72" s="6">
        <f>SUM('Quarterly Financial Projections'!AC49:AC51)</f>
        <v>320819.02023402345</v>
      </c>
      <c r="K72" s="6">
        <f>SUM('Quarterly Financial Projections'!AD49:AD51)</f>
        <v>352380.30282110174</v>
      </c>
      <c r="L72" s="6">
        <f>SUM('Quarterly Financial Projections'!AE49:AE51)</f>
        <v>390686.15113527072</v>
      </c>
      <c r="M72" s="6">
        <f>SUM('Quarterly Financial Projections'!AF49:AF51)</f>
        <v>437177.86169930454</v>
      </c>
      <c r="N72" s="6">
        <f>SUM('Quarterly Financial Projections'!AG49:AG51)</f>
        <v>493604.7324330454</v>
      </c>
    </row>
    <row r="73" spans="6:14" x14ac:dyDescent="0.25">
      <c r="F73" s="6" t="s">
        <v>65</v>
      </c>
      <c r="H73" s="6">
        <f>'Quarterly Historical Financials'!AI65</f>
        <v>23808</v>
      </c>
      <c r="I73" s="6">
        <f>'Quarterly Financial Projections'!AB52</f>
        <v>38841.150999999998</v>
      </c>
      <c r="J73" s="6">
        <f>'Quarterly Financial Projections'!AC52</f>
        <v>55757.328289135658</v>
      </c>
      <c r="K73" s="6">
        <f>'Quarterly Financial Projections'!AD52</f>
        <v>80040.873607026922</v>
      </c>
      <c r="L73" s="6">
        <f>'Quarterly Financial Projections'!AE52</f>
        <v>114900.43810123479</v>
      </c>
      <c r="M73" s="6">
        <f>'Quarterly Financial Projections'!AF52</f>
        <v>164942.11121024864</v>
      </c>
      <c r="N73" s="6">
        <f>'Quarterly Financial Projections'!AG52</f>
        <v>236778.03583763403</v>
      </c>
    </row>
    <row r="74" spans="6:14" x14ac:dyDescent="0.25">
      <c r="F74" s="16" t="s">
        <v>34</v>
      </c>
      <c r="G74" s="16"/>
      <c r="H74" s="16">
        <f>SUM(H71:H73)</f>
        <v>11726491</v>
      </c>
      <c r="I74" s="16">
        <f>SUM(I71:I73)</f>
        <v>16984596.894000001</v>
      </c>
      <c r="J74" s="16">
        <f t="shared" ref="J74:N74" si="13">SUM(J71:J73)</f>
        <v>19537803.372186761</v>
      </c>
      <c r="K74" s="16">
        <f t="shared" si="13"/>
        <v>22493633.881980184</v>
      </c>
      <c r="L74" s="16">
        <f t="shared" si="13"/>
        <v>25905687.816498909</v>
      </c>
      <c r="M74" s="16">
        <f t="shared" si="13"/>
        <v>29846438.994085167</v>
      </c>
      <c r="N74" s="16">
        <f t="shared" si="13"/>
        <v>34400728.699583702</v>
      </c>
    </row>
    <row r="76" spans="6:14" x14ac:dyDescent="0.25">
      <c r="F76" s="6" t="s">
        <v>36</v>
      </c>
      <c r="H76" s="6">
        <f>'Quarterly Historical Financials'!AI69</f>
        <v>404570</v>
      </c>
      <c r="I76" s="6">
        <f>'Quarterly Financial Projections'!AB56</f>
        <v>727506.625</v>
      </c>
      <c r="J76" s="6">
        <f>'Quarterly Financial Projections'!AC56</f>
        <v>726051.152</v>
      </c>
      <c r="K76" s="6">
        <f>'Quarterly Financial Projections'!AD56</f>
        <v>726051.152</v>
      </c>
      <c r="L76" s="6">
        <f>'Quarterly Financial Projections'!AE56</f>
        <v>726051.152</v>
      </c>
      <c r="M76" s="6">
        <f>'Quarterly Financial Projections'!AF56</f>
        <v>726051.152</v>
      </c>
      <c r="N76" s="6">
        <f>'Quarterly Financial Projections'!AG56</f>
        <v>726051.152</v>
      </c>
    </row>
    <row r="77" spans="6:14" x14ac:dyDescent="0.25">
      <c r="F77" s="6" t="s">
        <v>199</v>
      </c>
      <c r="H77" s="6">
        <f>'Quarterly Historical Financials'!AI70</f>
        <v>291090</v>
      </c>
      <c r="I77" s="6">
        <f>'Quarterly Financial Projections'!AB57</f>
        <v>454973.94699999999</v>
      </c>
      <c r="J77" s="6">
        <f ca="1">'Quarterly Financial Projections'!AC57</f>
        <v>972577.78272185219</v>
      </c>
      <c r="K77" s="6">
        <f ca="1">'Quarterly Financial Projections'!AD57</f>
        <v>1592528.0503154262</v>
      </c>
      <c r="L77" s="6">
        <f ca="1">'Quarterly Financial Projections'!AE57</f>
        <v>2342141.142636599</v>
      </c>
      <c r="M77" s="6">
        <f ca="1">'Quarterly Financial Projections'!AF57</f>
        <v>3243736.2981109507</v>
      </c>
      <c r="N77" s="6">
        <f ca="1">'Quarterly Financial Projections'!AG57</f>
        <v>4322991.0978286909</v>
      </c>
    </row>
    <row r="78" spans="6:14" x14ac:dyDescent="0.25">
      <c r="F78" s="6" t="s">
        <v>340</v>
      </c>
      <c r="H78" s="6">
        <f>SUM('Quarterly Historical Financials'!AI71:AI75)</f>
        <v>901174</v>
      </c>
      <c r="I78" s="6">
        <f>SUM('Quarterly Financial Projections'!AB58:AB61)</f>
        <v>1025914.0929999999</v>
      </c>
      <c r="J78" s="6">
        <f>SUM('Quarterly Financial Projections'!AC58:AC61)</f>
        <v>1025914.0929999999</v>
      </c>
      <c r="K78" s="6">
        <f>SUM('Quarterly Financial Projections'!AD58:AD61)</f>
        <v>1025914.0929999999</v>
      </c>
      <c r="L78" s="6">
        <f>SUM('Quarterly Financial Projections'!AE58:AE61)</f>
        <v>1025914.0929999999</v>
      </c>
      <c r="M78" s="6">
        <f>SUM('Quarterly Financial Projections'!AF58:AF61)</f>
        <v>1025914.0929999999</v>
      </c>
      <c r="N78" s="6">
        <f>SUM('Quarterly Financial Projections'!AG58:AG61)</f>
        <v>1025914.0929999999</v>
      </c>
    </row>
    <row r="79" spans="6:14" x14ac:dyDescent="0.25">
      <c r="F79" s="16" t="s">
        <v>41</v>
      </c>
      <c r="G79" s="16"/>
      <c r="H79" s="16">
        <f>SUM(H76:H78)</f>
        <v>1596834</v>
      </c>
      <c r="I79" s="16">
        <f>SUM(I76:I78)</f>
        <v>2208394.665</v>
      </c>
      <c r="J79" s="16">
        <f t="shared" ref="J79:N79" ca="1" si="14">SUM(J76:J78)</f>
        <v>2724543.0277218521</v>
      </c>
      <c r="K79" s="16">
        <f t="shared" ca="1" si="14"/>
        <v>3344493.2953154263</v>
      </c>
      <c r="L79" s="16">
        <f t="shared" ca="1" si="14"/>
        <v>4094106.3876365987</v>
      </c>
      <c r="M79" s="16">
        <f t="shared" ca="1" si="14"/>
        <v>4995701.5431109499</v>
      </c>
      <c r="N79" s="16">
        <f t="shared" ca="1" si="14"/>
        <v>6074956.342828691</v>
      </c>
    </row>
    <row r="80" spans="6:14" x14ac:dyDescent="0.25">
      <c r="F80" s="90"/>
      <c r="G80" s="90"/>
      <c r="H80" s="90"/>
      <c r="I80" s="90"/>
      <c r="J80" s="90"/>
      <c r="K80" s="90"/>
      <c r="L80" s="90"/>
      <c r="M80" s="90"/>
      <c r="N80" s="90"/>
    </row>
    <row r="81" spans="6:14" ht="11.4" thickBot="1" x14ac:dyDescent="0.3">
      <c r="F81" s="18" t="s">
        <v>42</v>
      </c>
      <c r="G81" s="18"/>
      <c r="H81" s="18">
        <f>H74+H79</f>
        <v>13323325</v>
      </c>
      <c r="I81" s="18">
        <f t="shared" ref="I81:N81" si="15">I74+I79</f>
        <v>19192991.559</v>
      </c>
      <c r="J81" s="18">
        <f t="shared" ca="1" si="15"/>
        <v>22262346.399908613</v>
      </c>
      <c r="K81" s="18">
        <f t="shared" ca="1" si="15"/>
        <v>25838127.17729561</v>
      </c>
      <c r="L81" s="18">
        <f t="shared" ca="1" si="15"/>
        <v>29999794.204135507</v>
      </c>
      <c r="M81" s="18">
        <f t="shared" ca="1" si="15"/>
        <v>34842140.537196115</v>
      </c>
      <c r="N81" s="18">
        <f t="shared" ca="1" si="15"/>
        <v>40475685.042412393</v>
      </c>
    </row>
    <row r="82" spans="6:14" x14ac:dyDescent="0.25">
      <c r="F82" s="181" t="s">
        <v>106</v>
      </c>
      <c r="G82" s="181"/>
      <c r="H82" s="181">
        <f>H69-H81</f>
        <v>0</v>
      </c>
      <c r="I82" s="181">
        <f t="shared" ref="I82:N82" si="16">I69-I81</f>
        <v>-1.0000020265579224E-3</v>
      </c>
      <c r="J82" s="181">
        <f t="shared" ca="1" si="16"/>
        <v>0</v>
      </c>
      <c r="K82" s="181">
        <f t="shared" ca="1" si="16"/>
        <v>0</v>
      </c>
      <c r="L82" s="181">
        <f t="shared" ca="1" si="16"/>
        <v>0</v>
      </c>
      <c r="M82" s="181">
        <f t="shared" ca="1" si="16"/>
        <v>0</v>
      </c>
      <c r="N82" s="181">
        <f t="shared" ca="1" si="16"/>
        <v>0</v>
      </c>
    </row>
    <row r="84" spans="6:14" x14ac:dyDescent="0.25">
      <c r="F84" s="171" t="s">
        <v>202</v>
      </c>
      <c r="G84" s="15"/>
      <c r="H84" s="56">
        <f>H67/H71</f>
        <v>0.16599444718082507</v>
      </c>
      <c r="I84" s="56">
        <f t="shared" ref="I84:N84" si="17">I67/I71</f>
        <v>0.11699148071484546</v>
      </c>
      <c r="J84" s="56">
        <f t="shared" si="17"/>
        <v>0.17033941800527178</v>
      </c>
      <c r="K84" s="56">
        <f t="shared" si="17"/>
        <v>0.17033941800527178</v>
      </c>
      <c r="L84" s="56">
        <f t="shared" si="17"/>
        <v>0.17033941800527178</v>
      </c>
      <c r="M84" s="56">
        <f t="shared" si="17"/>
        <v>0.17033941800527178</v>
      </c>
      <c r="N84" s="59">
        <f t="shared" si="17"/>
        <v>0.17033941800527178</v>
      </c>
    </row>
    <row r="85" spans="6:14" x14ac:dyDescent="0.25">
      <c r="F85" s="174" t="s">
        <v>203</v>
      </c>
      <c r="H85" s="42">
        <f>H66/H71</f>
        <v>0.22799492793022227</v>
      </c>
      <c r="I85" s="42">
        <f t="shared" ref="I85:N85" si="18">I66/I71</f>
        <v>0.19100976383895946</v>
      </c>
      <c r="J85" s="42">
        <f t="shared" si="18"/>
        <v>0.23702242982283664</v>
      </c>
      <c r="K85" s="42">
        <f t="shared" si="18"/>
        <v>0.23702242982283664</v>
      </c>
      <c r="L85" s="42">
        <f t="shared" si="18"/>
        <v>0.23702242982283664</v>
      </c>
      <c r="M85" s="42">
        <f t="shared" si="18"/>
        <v>0.23702242982283664</v>
      </c>
      <c r="N85" s="45">
        <f t="shared" si="18"/>
        <v>0.23702242982283664</v>
      </c>
    </row>
    <row r="86" spans="6:14" x14ac:dyDescent="0.25">
      <c r="F86" s="174" t="s">
        <v>341</v>
      </c>
      <c r="H86" s="182">
        <f>H34/H79</f>
        <v>0.21084157777201637</v>
      </c>
      <c r="I86" s="182">
        <f t="shared" ref="I86:N86" si="19">I34/I79</f>
        <v>0.32285086506491822</v>
      </c>
      <c r="J86" s="182">
        <f t="shared" ca="1" si="19"/>
        <v>0.25812034995434679</v>
      </c>
      <c r="K86" s="182">
        <f t="shared" ca="1" si="19"/>
        <v>0.25185173804519473</v>
      </c>
      <c r="L86" s="182">
        <f t="shared" ca="1" si="19"/>
        <v>0.24876911972047802</v>
      </c>
      <c r="M86" s="182">
        <f t="shared" ca="1" si="19"/>
        <v>0.24520736763201215</v>
      </c>
      <c r="N86" s="183">
        <f t="shared" ca="1" si="19"/>
        <v>0.2413788743449099</v>
      </c>
    </row>
    <row r="87" spans="6:14" x14ac:dyDescent="0.25">
      <c r="F87" s="175" t="s">
        <v>342</v>
      </c>
      <c r="G87" s="63"/>
      <c r="H87" s="65">
        <f>H79/H35</f>
        <v>4.7784522772399818</v>
      </c>
      <c r="I87" s="65">
        <f t="shared" ref="I87:N87" si="20">I79/I35</f>
        <v>6.3166028732283399</v>
      </c>
      <c r="J87" s="65">
        <f t="shared" ca="1" si="20"/>
        <v>7.79292605162225</v>
      </c>
      <c r="K87" s="65">
        <f t="shared" ca="1" si="20"/>
        <v>9.5661506041006223</v>
      </c>
      <c r="L87" s="65">
        <f t="shared" ca="1" si="20"/>
        <v>11.710245718895466</v>
      </c>
      <c r="M87" s="65">
        <f t="shared" ca="1" si="20"/>
        <v>14.289050422518512</v>
      </c>
      <c r="N87" s="154">
        <f t="shared" ca="1" si="20"/>
        <v>17.376009505007765</v>
      </c>
    </row>
    <row r="90" spans="6:14" x14ac:dyDescent="0.25">
      <c r="F90" s="180" t="s">
        <v>270</v>
      </c>
      <c r="G90" s="180"/>
      <c r="H90" s="179">
        <f>H64</f>
        <v>2024</v>
      </c>
      <c r="I90" s="179">
        <f t="shared" ref="I90:N90" si="21">I64</f>
        <v>2025</v>
      </c>
      <c r="J90" s="179">
        <f t="shared" si="21"/>
        <v>2026</v>
      </c>
      <c r="K90" s="179">
        <f t="shared" si="21"/>
        <v>2027</v>
      </c>
      <c r="L90" s="179">
        <f t="shared" si="21"/>
        <v>2028</v>
      </c>
      <c r="M90" s="179">
        <f t="shared" si="21"/>
        <v>2029</v>
      </c>
      <c r="N90" s="179">
        <f t="shared" si="21"/>
        <v>2030</v>
      </c>
    </row>
    <row r="91" spans="6:14" x14ac:dyDescent="0.25">
      <c r="F91" s="6" t="s">
        <v>343</v>
      </c>
      <c r="H91" s="6">
        <f>'Raw Historical Financials'!V109</f>
        <v>-661408.402</v>
      </c>
      <c r="I91" s="6">
        <f>'Raw Historical Financials'!Y109+'Quarterly Financial Projections'!F88</f>
        <v>3755857.7699999996</v>
      </c>
      <c r="J91" s="6">
        <f ca="1">'Quarterly Financial Projections'!AC88</f>
        <v>372165.68110166816</v>
      </c>
      <c r="K91" s="6">
        <f ca="1">'Quarterly Financial Projections'!AD88</f>
        <v>2409406.2407744732</v>
      </c>
      <c r="L91" s="6">
        <f ca="1">'Quarterly Financial Projections'!AE88</f>
        <v>2858163.362083504</v>
      </c>
      <c r="M91" s="6">
        <f ca="1">'Quarterly Financial Projections'!AF88</f>
        <v>3384303.6933825221</v>
      </c>
      <c r="N91" s="6">
        <f ca="1">'Quarterly Financial Projections'!AG88</f>
        <v>4001098.8941385737</v>
      </c>
    </row>
    <row r="92" spans="6:14" x14ac:dyDescent="0.25">
      <c r="F92" s="6" t="s">
        <v>52</v>
      </c>
      <c r="H92" s="6">
        <f>'Raw Historical Financials'!V116</f>
        <v>-44329.016000000003</v>
      </c>
      <c r="I92" s="6">
        <f>'Raw Historical Financials'!Y116+'Quarterly Financial Projections'!F96</f>
        <v>-43928.494999999966</v>
      </c>
      <c r="J92" s="6">
        <f>'Quarterly Financial Projections'!AC96</f>
        <v>-34187.146481824217</v>
      </c>
      <c r="K92" s="6">
        <f>'Quarterly Financial Projections'!AD96</f>
        <v>-34561.873928433983</v>
      </c>
      <c r="L92" s="6">
        <f>'Quarterly Financial Projections'!AE96</f>
        <v>-34947.723711339677</v>
      </c>
      <c r="M92" s="6">
        <f>'Quarterly Financial Projections'!AF96</f>
        <v>-35345.11487574991</v>
      </c>
      <c r="N92" s="6">
        <f>'Quarterly Financial Projections'!AG96</f>
        <v>-35754.482671082369</v>
      </c>
    </row>
    <row r="93" spans="6:14" x14ac:dyDescent="0.25">
      <c r="F93" s="6" t="s">
        <v>344</v>
      </c>
      <c r="H93" s="6">
        <f>'Raw Historical Financials'!V122</f>
        <v>-9526.9</v>
      </c>
      <c r="I93" s="6">
        <f>'Raw Historical Financials'!Y122+'Quarterly Financial Projections'!F106</f>
        <v>-544052.3620000002</v>
      </c>
      <c r="J93" s="6">
        <f ca="1">'Quarterly Financial Projections'!AC106</f>
        <v>-185656.16405938781</v>
      </c>
      <c r="K93" s="6">
        <f ca="1">'Quarterly Financial Projections'!AD106</f>
        <v>-222366.18171211681</v>
      </c>
      <c r="L93" s="6">
        <f ca="1">'Quarterly Financial Projections'!AE106</f>
        <v>-268874.14977317024</v>
      </c>
      <c r="M93" s="6">
        <f ca="1">'Quarterly Financial Projections'!AF106</f>
        <v>-323387.66938706586</v>
      </c>
      <c r="N93" s="6">
        <f ca="1">'Quarterly Financial Projections'!AG106</f>
        <v>-387111.32400872046</v>
      </c>
    </row>
    <row r="94" spans="6:14" x14ac:dyDescent="0.25">
      <c r="F94" s="16" t="s">
        <v>70</v>
      </c>
      <c r="G94" s="16"/>
      <c r="H94" s="16">
        <f t="shared" ref="H94:I94" si="22">SUM(H91:H93)</f>
        <v>-715264.31800000009</v>
      </c>
      <c r="I94" s="16">
        <f t="shared" si="22"/>
        <v>3167876.9129999992</v>
      </c>
      <c r="J94" s="16">
        <f ca="1">SUM(J91:J93)</f>
        <v>152322.37056045613</v>
      </c>
      <c r="K94" s="16">
        <f t="shared" ref="K94:N94" ca="1" si="23">SUM(K91:K93)</f>
        <v>2152478.1851339219</v>
      </c>
      <c r="L94" s="16">
        <f t="shared" ca="1" si="23"/>
        <v>2554341.488598994</v>
      </c>
      <c r="M94" s="16">
        <f t="shared" ca="1" si="23"/>
        <v>3025570.9091197066</v>
      </c>
      <c r="N94" s="16">
        <f t="shared" ca="1" si="23"/>
        <v>3578233.0874587707</v>
      </c>
    </row>
    <row r="95" spans="6:14" x14ac:dyDescent="0.25">
      <c r="F95" s="6" t="s">
        <v>277</v>
      </c>
      <c r="H95" s="6">
        <f>'Raw Historical Financials'!V126</f>
        <v>-14059.403</v>
      </c>
      <c r="I95" s="6">
        <f>'Quarterly Financial Projections'!AB111-(I94+I96)</f>
        <v>3009595.7070000013</v>
      </c>
      <c r="J95" s="6">
        <f ca="1">'Quarterly Financial Projections'!AC109</f>
        <v>-157893.51175788976</v>
      </c>
      <c r="K95" s="6">
        <f ca="1">'Quarterly Financial Projections'!AD109</f>
        <v>-183991.65230709128</v>
      </c>
      <c r="L95" s="6">
        <f ca="1">'Quarterly Financial Projections'!AE109</f>
        <v>-211838.15486241877</v>
      </c>
      <c r="M95" s="6">
        <f ca="1">'Quarterly Financial Projections'!AF109</f>
        <v>-243899.12962253392</v>
      </c>
      <c r="N95" s="6">
        <f ca="1">'Quarterly Financial Projections'!AG109</f>
        <v>-280812.42243289948</v>
      </c>
    </row>
    <row r="96" spans="6:14" x14ac:dyDescent="0.25">
      <c r="F96" s="6" t="s">
        <v>274</v>
      </c>
      <c r="H96" s="6">
        <f>'Raw Historical Financials'!V125</f>
        <v>2714311.65</v>
      </c>
      <c r="I96" s="6">
        <f>H97</f>
        <v>1984987.9289999998</v>
      </c>
      <c r="J96" s="6">
        <f>I97</f>
        <v>8162460.5490000006</v>
      </c>
      <c r="K96" s="6">
        <f t="shared" ref="K96:N96" ca="1" si="24">J97</f>
        <v>8156889.4078025669</v>
      </c>
      <c r="L96" s="6">
        <f t="shared" ca="1" si="24"/>
        <v>10125375.940629397</v>
      </c>
      <c r="M96" s="6">
        <f t="shared" ca="1" si="24"/>
        <v>12467879.274365973</v>
      </c>
      <c r="N96" s="6">
        <f t="shared" ca="1" si="24"/>
        <v>15249551.053863145</v>
      </c>
    </row>
    <row r="97" spans="6:14" ht="11.4" thickBot="1" x14ac:dyDescent="0.3">
      <c r="F97" s="18" t="s">
        <v>275</v>
      </c>
      <c r="G97" s="18"/>
      <c r="H97" s="18">
        <f>SUM(H94:H96)</f>
        <v>1984987.9289999998</v>
      </c>
      <c r="I97" s="18">
        <f>SUM(I94:I96)</f>
        <v>8162460.5490000006</v>
      </c>
      <c r="J97" s="18">
        <f ca="1">SUM(J94:J96)</f>
        <v>8156889.4078025669</v>
      </c>
      <c r="K97" s="18">
        <f t="shared" ref="K97:N97" ca="1" si="25">SUM(K94:K96)</f>
        <v>10125375.940629397</v>
      </c>
      <c r="L97" s="18">
        <f t="shared" ca="1" si="25"/>
        <v>12467879.274365973</v>
      </c>
      <c r="M97" s="18">
        <f t="shared" ca="1" si="25"/>
        <v>15249551.053863145</v>
      </c>
      <c r="N97" s="18">
        <f t="shared" ca="1" si="25"/>
        <v>18546971.718889017</v>
      </c>
    </row>
  </sheetData>
  <mergeCells count="8">
    <mergeCell ref="B9:B11"/>
    <mergeCell ref="B16:B22"/>
    <mergeCell ref="D9:F11"/>
    <mergeCell ref="H9:J11"/>
    <mergeCell ref="L9:N11"/>
    <mergeCell ref="F16:F22"/>
    <mergeCell ref="J16:J22"/>
    <mergeCell ref="N16:N22"/>
  </mergeCells>
  <conditionalFormatting sqref="B9:B11">
    <cfRule type="containsText" dxfId="37" priority="3" operator="containsText" text="Buy">
      <formula>NOT(ISERROR(SEARCH("Buy",B9)))</formula>
    </cfRule>
    <cfRule type="containsText" dxfId="36" priority="4" operator="containsText" text="Sell">
      <formula>NOT(ISERROR(SEARCH("Sell",B9)))</formula>
    </cfRule>
    <cfRule type="containsText" dxfId="35" priority="5" operator="containsText" text="Hold">
      <formula>NOT(ISERROR(SEARCH("Hold",B9)))</formula>
    </cfRule>
  </conditionalFormatting>
  <conditionalFormatting sqref="B16:B22">
    <cfRule type="cellIs" dxfId="34" priority="1" operator="lessThan">
      <formula>0</formula>
    </cfRule>
    <cfRule type="cellIs" dxfId="33" priority="2" operator="greaterThan">
      <formula>0</formula>
    </cfRule>
  </conditionalFormatting>
  <conditionalFormatting sqref="D9:F11">
    <cfRule type="containsText" dxfId="32" priority="6" operator="containsText" text="Buy">
      <formula>NOT(ISERROR(SEARCH("Buy",D9)))</formula>
    </cfRule>
    <cfRule type="containsText" dxfId="31" priority="7" operator="containsText" text="Sell">
      <formula>NOT(ISERROR(SEARCH("Sell",D9)))</formula>
    </cfRule>
    <cfRule type="containsText" dxfId="30" priority="8" operator="containsText" text="Hold">
      <formula>NOT(ISERROR(SEARCH("Hold",D9)))</formula>
    </cfRule>
  </conditionalFormatting>
  <conditionalFormatting sqref="F16:F22">
    <cfRule type="cellIs" dxfId="29" priority="15" operator="lessThan">
      <formula>0</formula>
    </cfRule>
    <cfRule type="cellIs" dxfId="28" priority="16" operator="greaterThan">
      <formula>0</formula>
    </cfRule>
  </conditionalFormatting>
  <conditionalFormatting sqref="H9:J11">
    <cfRule type="containsText" dxfId="27" priority="9" operator="containsText" text="Buy">
      <formula>NOT(ISERROR(SEARCH("Buy",H9)))</formula>
    </cfRule>
    <cfRule type="containsText" dxfId="26" priority="10" operator="containsText" text="Sell">
      <formula>NOT(ISERROR(SEARCH("Sell",H9)))</formula>
    </cfRule>
    <cfRule type="containsText" dxfId="25" priority="11" operator="containsText" text="Hold">
      <formula>NOT(ISERROR(SEARCH("Hold",H9)))</formula>
    </cfRule>
  </conditionalFormatting>
  <conditionalFormatting sqref="J16:J22">
    <cfRule type="cellIs" dxfId="24" priority="17" operator="lessThan">
      <formula>0</formula>
    </cfRule>
    <cfRule type="cellIs" dxfId="23" priority="18" operator="greaterThan">
      <formula>0</formula>
    </cfRule>
  </conditionalFormatting>
  <conditionalFormatting sqref="L9:N11">
    <cfRule type="containsText" dxfId="22" priority="12" operator="containsText" text="Buy">
      <formula>NOT(ISERROR(SEARCH("Buy",L9)))</formula>
    </cfRule>
    <cfRule type="containsText" dxfId="21" priority="13" operator="containsText" text="Sell">
      <formula>NOT(ISERROR(SEARCH("Sell",L9)))</formula>
    </cfRule>
    <cfRule type="containsText" dxfId="20" priority="14" operator="containsText" text="Hold">
      <formula>NOT(ISERROR(SEARCH("Hold",L9)))</formula>
    </cfRule>
  </conditionalFormatting>
  <conditionalFormatting sqref="N16:N22">
    <cfRule type="cellIs" dxfId="19" priority="19" operator="lessThan">
      <formula>0</formula>
    </cfRule>
    <cfRule type="cellIs" dxfId="18" priority="20" operator="greaterThan">
      <formula>0</formula>
    </cfRule>
  </conditionalFormatting>
  <pageMargins left="0.7" right="0.7" top="0.75" bottom="0.75" header="0.3" footer="0.3"/>
  <ignoredErrors>
    <ignoredError sqref="J33 K33:N33 H33:I33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3" name="Drop Down 1">
              <controlPr defaultSize="0" autoLine="0" autoPict="0">
                <anchor moveWithCells="1">
                  <from>
                    <xdr:col>13</xdr:col>
                    <xdr:colOff>0</xdr:colOff>
                    <xdr:row>1</xdr:row>
                    <xdr:rowOff>114300</xdr:rowOff>
                  </from>
                  <to>
                    <xdr:col>13</xdr:col>
                    <xdr:colOff>952500</xdr:colOff>
                    <xdr:row>3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9D1A-4B7B-42C9-BD87-2A1270F51433}">
  <sheetPr>
    <tabColor rgb="FFE600E6"/>
  </sheetPr>
  <dimension ref="A1:AS93"/>
  <sheetViews>
    <sheetView showGridLines="0" zoomScaleNormal="100" workbookViewId="0">
      <pane xSplit="4" ySplit="5" topLeftCell="E6" activePane="bottomRight" state="frozen"/>
      <selection activeCell="K118" sqref="K118"/>
      <selection pane="topRight" activeCell="K118" sqref="K118"/>
      <selection pane="bottomLeft" activeCell="K118" sqref="K118"/>
      <selection pane="bottomRight" activeCell="E91" sqref="E91"/>
    </sheetView>
  </sheetViews>
  <sheetFormatPr defaultColWidth="0" defaultRowHeight="10.8" x14ac:dyDescent="0.25"/>
  <cols>
    <col min="1" max="1" width="2.6640625" style="2" customWidth="1"/>
    <col min="2" max="2" width="39.88671875" style="2" customWidth="1"/>
    <col min="3" max="3" width="10.6640625" style="2" customWidth="1"/>
    <col min="4" max="4" width="11.109375" style="2" bestFit="1" customWidth="1"/>
    <col min="5" max="6" width="9.5546875" style="6" bestFit="1" customWidth="1"/>
    <col min="7" max="7" width="11.44140625" style="6" customWidth="1"/>
    <col min="8" max="21" width="9.5546875" style="6" bestFit="1" customWidth="1"/>
    <col min="22" max="25" width="10.44140625" style="6" bestFit="1" customWidth="1"/>
    <col min="26" max="26" width="10.44140625" style="6" customWidth="1"/>
    <col min="27" max="27" width="2.6640625" style="6" customWidth="1"/>
    <col min="28" max="33" width="10.44140625" style="6" bestFit="1" customWidth="1"/>
    <col min="34" max="34" width="4.6640625" style="2" customWidth="1"/>
    <col min="35" max="45" width="0" style="2" hidden="1" customWidth="1"/>
    <col min="46" max="16384" width="9.109375" style="2" hidden="1"/>
  </cols>
  <sheetData>
    <row r="1" spans="2:36" ht="13.8" x14ac:dyDescent="0.3">
      <c r="B1" s="1" t="s">
        <v>0</v>
      </c>
      <c r="C1" s="1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2:36" x14ac:dyDescent="0.25">
      <c r="B2" s="99"/>
      <c r="C2" s="105"/>
      <c r="D2" s="11" t="s">
        <v>103</v>
      </c>
      <c r="E2" s="11">
        <f>YEAR(E4)</f>
        <v>2025</v>
      </c>
      <c r="F2" s="11">
        <f t="shared" ref="F2:AF2" si="0">YEAR(F4)</f>
        <v>2025</v>
      </c>
      <c r="G2" s="11">
        <f t="shared" si="0"/>
        <v>2026</v>
      </c>
      <c r="H2" s="11">
        <f t="shared" si="0"/>
        <v>2026</v>
      </c>
      <c r="I2" s="11">
        <f t="shared" si="0"/>
        <v>2026</v>
      </c>
      <c r="J2" s="11">
        <f t="shared" si="0"/>
        <v>2026</v>
      </c>
      <c r="K2" s="11">
        <f t="shared" si="0"/>
        <v>2027</v>
      </c>
      <c r="L2" s="11">
        <f t="shared" si="0"/>
        <v>2027</v>
      </c>
      <c r="M2" s="11">
        <f t="shared" si="0"/>
        <v>2027</v>
      </c>
      <c r="N2" s="11">
        <f t="shared" si="0"/>
        <v>2027</v>
      </c>
      <c r="O2" s="11">
        <f t="shared" si="0"/>
        <v>2028</v>
      </c>
      <c r="P2" s="11">
        <f t="shared" si="0"/>
        <v>2028</v>
      </c>
      <c r="Q2" s="11">
        <f t="shared" si="0"/>
        <v>2028</v>
      </c>
      <c r="R2" s="11">
        <f t="shared" si="0"/>
        <v>2028</v>
      </c>
      <c r="S2" s="11">
        <f t="shared" si="0"/>
        <v>2029</v>
      </c>
      <c r="T2" s="11">
        <f t="shared" si="0"/>
        <v>2029</v>
      </c>
      <c r="U2" s="11">
        <f t="shared" si="0"/>
        <v>2029</v>
      </c>
      <c r="V2" s="11">
        <f t="shared" si="0"/>
        <v>2029</v>
      </c>
      <c r="W2" s="11">
        <f t="shared" si="0"/>
        <v>2030</v>
      </c>
      <c r="X2" s="11">
        <f t="shared" si="0"/>
        <v>2030</v>
      </c>
      <c r="Y2" s="11">
        <f t="shared" si="0"/>
        <v>2030</v>
      </c>
      <c r="Z2" s="11">
        <f t="shared" si="0"/>
        <v>2030</v>
      </c>
      <c r="AB2" s="11">
        <f t="shared" si="0"/>
        <v>2025</v>
      </c>
      <c r="AC2" s="11">
        <f t="shared" si="0"/>
        <v>2026</v>
      </c>
      <c r="AD2" s="11">
        <f t="shared" si="0"/>
        <v>2027</v>
      </c>
      <c r="AE2" s="11">
        <f t="shared" si="0"/>
        <v>2028</v>
      </c>
      <c r="AF2" s="11">
        <f t="shared" si="0"/>
        <v>2029</v>
      </c>
      <c r="AG2" s="11">
        <f>YEAR(AG4)</f>
        <v>2030</v>
      </c>
    </row>
    <row r="3" spans="2:36" x14ac:dyDescent="0.25">
      <c r="B3" s="13"/>
      <c r="D3" s="11" t="s">
        <v>98</v>
      </c>
      <c r="E3" s="12">
        <f>'Quarterly Historical Financials'!AB3</f>
        <v>45839</v>
      </c>
      <c r="F3" s="12">
        <f>E4+1</f>
        <v>45931</v>
      </c>
      <c r="G3" s="12">
        <f t="shared" ref="G3:Z3" si="1">F4+1</f>
        <v>46023</v>
      </c>
      <c r="H3" s="12">
        <f t="shared" si="1"/>
        <v>46113</v>
      </c>
      <c r="I3" s="12">
        <f t="shared" si="1"/>
        <v>46204</v>
      </c>
      <c r="J3" s="12">
        <f t="shared" si="1"/>
        <v>46296</v>
      </c>
      <c r="K3" s="12">
        <f t="shared" si="1"/>
        <v>46388</v>
      </c>
      <c r="L3" s="12">
        <f t="shared" si="1"/>
        <v>46478</v>
      </c>
      <c r="M3" s="12">
        <f t="shared" si="1"/>
        <v>46569</v>
      </c>
      <c r="N3" s="12">
        <f t="shared" si="1"/>
        <v>46661</v>
      </c>
      <c r="O3" s="12">
        <f t="shared" si="1"/>
        <v>46753</v>
      </c>
      <c r="P3" s="12">
        <f t="shared" si="1"/>
        <v>46844</v>
      </c>
      <c r="Q3" s="12">
        <f t="shared" si="1"/>
        <v>46935</v>
      </c>
      <c r="R3" s="12">
        <f t="shared" si="1"/>
        <v>47027</v>
      </c>
      <c r="S3" s="12">
        <f t="shared" si="1"/>
        <v>47119</v>
      </c>
      <c r="T3" s="12">
        <f t="shared" si="1"/>
        <v>47209</v>
      </c>
      <c r="U3" s="12">
        <f t="shared" si="1"/>
        <v>47300</v>
      </c>
      <c r="V3" s="12">
        <f t="shared" si="1"/>
        <v>47392</v>
      </c>
      <c r="W3" s="12">
        <f>V4+1</f>
        <v>47484</v>
      </c>
      <c r="X3" s="12">
        <f t="shared" si="1"/>
        <v>47574</v>
      </c>
      <c r="Y3" s="12">
        <f t="shared" si="1"/>
        <v>47665</v>
      </c>
      <c r="Z3" s="12">
        <f t="shared" si="1"/>
        <v>47757</v>
      </c>
      <c r="AB3" s="12">
        <f>F3</f>
        <v>45931</v>
      </c>
      <c r="AC3" s="12">
        <f>AB4+1</f>
        <v>46023</v>
      </c>
      <c r="AD3" s="12">
        <f t="shared" ref="AD3:AF3" si="2">AC4+1</f>
        <v>46388</v>
      </c>
      <c r="AE3" s="12">
        <f t="shared" si="2"/>
        <v>46753</v>
      </c>
      <c r="AF3" s="12">
        <f t="shared" si="2"/>
        <v>47119</v>
      </c>
      <c r="AG3" s="12">
        <f>AF4+1</f>
        <v>47484</v>
      </c>
    </row>
    <row r="4" spans="2:36" x14ac:dyDescent="0.25">
      <c r="B4" s="13"/>
      <c r="D4" s="11" t="s">
        <v>99</v>
      </c>
      <c r="E4" s="12">
        <f>EOMONTH(E3,2)</f>
        <v>45930</v>
      </c>
      <c r="F4" s="12">
        <f>EOMONTH(F3,2)</f>
        <v>46022</v>
      </c>
      <c r="G4" s="12">
        <f t="shared" ref="G4:V4" si="3">EOMONTH(G3,2)</f>
        <v>46112</v>
      </c>
      <c r="H4" s="12">
        <f t="shared" si="3"/>
        <v>46203</v>
      </c>
      <c r="I4" s="12">
        <f t="shared" si="3"/>
        <v>46295</v>
      </c>
      <c r="J4" s="12">
        <f t="shared" si="3"/>
        <v>46387</v>
      </c>
      <c r="K4" s="12">
        <f t="shared" si="3"/>
        <v>46477</v>
      </c>
      <c r="L4" s="12">
        <f t="shared" si="3"/>
        <v>46568</v>
      </c>
      <c r="M4" s="12">
        <f t="shared" si="3"/>
        <v>46660</v>
      </c>
      <c r="N4" s="12">
        <f t="shared" si="3"/>
        <v>46752</v>
      </c>
      <c r="O4" s="12">
        <f t="shared" si="3"/>
        <v>46843</v>
      </c>
      <c r="P4" s="12">
        <f t="shared" si="3"/>
        <v>46934</v>
      </c>
      <c r="Q4" s="12">
        <f t="shared" si="3"/>
        <v>47026</v>
      </c>
      <c r="R4" s="12">
        <f t="shared" si="3"/>
        <v>47118</v>
      </c>
      <c r="S4" s="12">
        <f t="shared" si="3"/>
        <v>47208</v>
      </c>
      <c r="T4" s="12">
        <f t="shared" si="3"/>
        <v>47299</v>
      </c>
      <c r="U4" s="12">
        <f t="shared" si="3"/>
        <v>47391</v>
      </c>
      <c r="V4" s="12">
        <f t="shared" si="3"/>
        <v>47483</v>
      </c>
      <c r="W4" s="12">
        <f>EOMONTH(W3,2)</f>
        <v>47573</v>
      </c>
      <c r="X4" s="12">
        <f t="shared" ref="X4:Z4" si="4">EOMONTH(X3,2)</f>
        <v>47664</v>
      </c>
      <c r="Y4" s="12">
        <f t="shared" si="4"/>
        <v>47756</v>
      </c>
      <c r="Z4" s="12">
        <f t="shared" si="4"/>
        <v>47848</v>
      </c>
      <c r="AB4" s="12">
        <f>EOMONTH(AB3,2)</f>
        <v>46022</v>
      </c>
      <c r="AC4" s="12">
        <f t="shared" ref="AC4:AG4" si="5">EOMONTH(AC3,11)</f>
        <v>46387</v>
      </c>
      <c r="AD4" s="12">
        <f t="shared" si="5"/>
        <v>46752</v>
      </c>
      <c r="AE4" s="12">
        <f t="shared" si="5"/>
        <v>47118</v>
      </c>
      <c r="AF4" s="12">
        <f t="shared" si="5"/>
        <v>47483</v>
      </c>
      <c r="AG4" s="12">
        <f t="shared" si="5"/>
        <v>47848</v>
      </c>
    </row>
    <row r="5" spans="2:36" x14ac:dyDescent="0.25">
      <c r="B5" s="123" t="s">
        <v>288</v>
      </c>
      <c r="C5" s="102"/>
      <c r="D5" s="11" t="s">
        <v>100</v>
      </c>
      <c r="E5" s="10">
        <f>E4-E3+1</f>
        <v>92</v>
      </c>
      <c r="F5" s="10">
        <f t="shared" ref="F5:Z5" si="6">F4-F3+1</f>
        <v>92</v>
      </c>
      <c r="G5" s="10">
        <f t="shared" si="6"/>
        <v>90</v>
      </c>
      <c r="H5" s="10">
        <f t="shared" si="6"/>
        <v>91</v>
      </c>
      <c r="I5" s="10">
        <f t="shared" si="6"/>
        <v>92</v>
      </c>
      <c r="J5" s="10">
        <f t="shared" si="6"/>
        <v>92</v>
      </c>
      <c r="K5" s="10">
        <f t="shared" si="6"/>
        <v>90</v>
      </c>
      <c r="L5" s="10">
        <f t="shared" si="6"/>
        <v>91</v>
      </c>
      <c r="M5" s="10">
        <f t="shared" si="6"/>
        <v>92</v>
      </c>
      <c r="N5" s="10">
        <f t="shared" si="6"/>
        <v>92</v>
      </c>
      <c r="O5" s="10">
        <f t="shared" si="6"/>
        <v>91</v>
      </c>
      <c r="P5" s="10">
        <f t="shared" si="6"/>
        <v>91</v>
      </c>
      <c r="Q5" s="10">
        <f t="shared" si="6"/>
        <v>92</v>
      </c>
      <c r="R5" s="10">
        <f t="shared" si="6"/>
        <v>92</v>
      </c>
      <c r="S5" s="10">
        <f t="shared" si="6"/>
        <v>90</v>
      </c>
      <c r="T5" s="10">
        <f t="shared" si="6"/>
        <v>91</v>
      </c>
      <c r="U5" s="10">
        <f t="shared" si="6"/>
        <v>92</v>
      </c>
      <c r="V5" s="10">
        <f t="shared" si="6"/>
        <v>92</v>
      </c>
      <c r="W5" s="10">
        <f t="shared" si="6"/>
        <v>90</v>
      </c>
      <c r="X5" s="10">
        <f t="shared" si="6"/>
        <v>91</v>
      </c>
      <c r="Y5" s="10">
        <f t="shared" si="6"/>
        <v>92</v>
      </c>
      <c r="Z5" s="10">
        <f t="shared" si="6"/>
        <v>92</v>
      </c>
      <c r="AB5" s="10">
        <f>AB4-AB3+1</f>
        <v>92</v>
      </c>
      <c r="AC5" s="10">
        <f t="shared" ref="AC5:AG5" si="7">AC4-AC3+1</f>
        <v>365</v>
      </c>
      <c r="AD5" s="10">
        <f t="shared" si="7"/>
        <v>365</v>
      </c>
      <c r="AE5" s="10">
        <f t="shared" si="7"/>
        <v>366</v>
      </c>
      <c r="AF5" s="10">
        <f t="shared" si="7"/>
        <v>365</v>
      </c>
      <c r="AG5" s="10">
        <f t="shared" si="7"/>
        <v>365</v>
      </c>
    </row>
    <row r="6" spans="2:36" ht="5.0999999999999996" customHeight="1" x14ac:dyDescent="0.25"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B6" s="2"/>
      <c r="AC6" s="2"/>
      <c r="AD6" s="2"/>
      <c r="AE6" s="2"/>
      <c r="AF6" s="2"/>
      <c r="AG6" s="2"/>
    </row>
    <row r="7" spans="2:36" x14ac:dyDescent="0.25">
      <c r="B7" s="21" t="s">
        <v>278</v>
      </c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B7" s="20"/>
      <c r="AC7" s="20"/>
      <c r="AD7" s="20"/>
      <c r="AE7" s="20"/>
      <c r="AF7" s="20"/>
      <c r="AG7" s="20"/>
      <c r="AI7" s="20"/>
      <c r="AJ7" s="20"/>
    </row>
    <row r="9" spans="2:36" x14ac:dyDescent="0.25">
      <c r="B9" s="2" t="s">
        <v>279</v>
      </c>
    </row>
    <row r="10" spans="2:36" x14ac:dyDescent="0.25">
      <c r="B10" s="2" t="s">
        <v>280</v>
      </c>
      <c r="D10" s="2">
        <f>Comps!C61</f>
        <v>7.97</v>
      </c>
    </row>
    <row r="11" spans="2:36" x14ac:dyDescent="0.25">
      <c r="B11" s="2" t="s">
        <v>104</v>
      </c>
      <c r="D11" s="6">
        <f>'Quarterly Financial Projections'!$F$28</f>
        <v>349617.462</v>
      </c>
    </row>
    <row r="12" spans="2:36" x14ac:dyDescent="0.25">
      <c r="B12" s="8" t="s">
        <v>281</v>
      </c>
      <c r="C12" s="8"/>
      <c r="D12" s="16">
        <f>D10*D11</f>
        <v>2786451.1721399999</v>
      </c>
    </row>
    <row r="14" spans="2:36" x14ac:dyDescent="0.25">
      <c r="B14" s="2" t="s">
        <v>283</v>
      </c>
      <c r="D14" s="125">
        <v>0.152</v>
      </c>
    </row>
    <row r="15" spans="2:36" x14ac:dyDescent="0.25">
      <c r="B15" s="2" t="s">
        <v>289</v>
      </c>
      <c r="D15" s="126">
        <v>0.45</v>
      </c>
    </row>
    <row r="16" spans="2:36" x14ac:dyDescent="0.25">
      <c r="B16" s="2" t="s">
        <v>290</v>
      </c>
      <c r="D16" s="127">
        <v>0</v>
      </c>
    </row>
    <row r="17" spans="2:33" x14ac:dyDescent="0.25">
      <c r="B17" s="2" t="s">
        <v>291</v>
      </c>
      <c r="D17" s="5">
        <f>D15*(1+((1+Assumptions!$I$115)*Valuation!D16))</f>
        <v>0.45</v>
      </c>
    </row>
    <row r="18" spans="2:33" x14ac:dyDescent="0.25">
      <c r="B18" s="2" t="s">
        <v>284</v>
      </c>
      <c r="D18" s="129">
        <v>0.26649999999999996</v>
      </c>
    </row>
    <row r="19" spans="2:33" x14ac:dyDescent="0.25">
      <c r="B19" s="2" t="s">
        <v>285</v>
      </c>
      <c r="D19" s="129">
        <v>8.9200000000000002E-2</v>
      </c>
    </row>
    <row r="20" spans="2:33" x14ac:dyDescent="0.25">
      <c r="B20" s="8" t="s">
        <v>282</v>
      </c>
      <c r="C20" s="8"/>
      <c r="D20" s="130">
        <f>D14+(D17*D18)+D19</f>
        <v>0.36112499999999997</v>
      </c>
    </row>
    <row r="21" spans="2:33" x14ac:dyDescent="0.25">
      <c r="B21" s="2" t="s">
        <v>286</v>
      </c>
      <c r="D21" s="128">
        <f>(1+D20)^(1/4)-1</f>
        <v>8.0126205141063389E-2</v>
      </c>
    </row>
    <row r="24" spans="2:33" x14ac:dyDescent="0.25">
      <c r="B24" s="2" t="s">
        <v>292</v>
      </c>
      <c r="E24" s="132"/>
      <c r="F24" s="132"/>
      <c r="G24" s="26">
        <f t="shared" ref="G24:Z24" si="8">YEARFRAC(F4,G4)</f>
        <v>0.25</v>
      </c>
      <c r="H24" s="26">
        <f t="shared" si="8"/>
        <v>0.25</v>
      </c>
      <c r="I24" s="26">
        <f t="shared" si="8"/>
        <v>0.25</v>
      </c>
      <c r="J24" s="26">
        <f t="shared" si="8"/>
        <v>0.25</v>
      </c>
      <c r="K24" s="26">
        <f t="shared" si="8"/>
        <v>0.25</v>
      </c>
      <c r="L24" s="26">
        <f t="shared" si="8"/>
        <v>0.25</v>
      </c>
      <c r="M24" s="26">
        <f t="shared" si="8"/>
        <v>0.25</v>
      </c>
      <c r="N24" s="26">
        <f t="shared" si="8"/>
        <v>0.25</v>
      </c>
      <c r="O24" s="26">
        <f t="shared" si="8"/>
        <v>0.25</v>
      </c>
      <c r="P24" s="26">
        <f t="shared" si="8"/>
        <v>0.25</v>
      </c>
      <c r="Q24" s="26">
        <f t="shared" si="8"/>
        <v>0.25</v>
      </c>
      <c r="R24" s="26">
        <f t="shared" si="8"/>
        <v>0.25</v>
      </c>
      <c r="S24" s="26">
        <f t="shared" si="8"/>
        <v>0.25</v>
      </c>
      <c r="T24" s="26">
        <f t="shared" si="8"/>
        <v>0.25</v>
      </c>
      <c r="U24" s="26">
        <f t="shared" si="8"/>
        <v>0.25</v>
      </c>
      <c r="V24" s="26">
        <f t="shared" si="8"/>
        <v>0.25</v>
      </c>
      <c r="W24" s="26">
        <f t="shared" si="8"/>
        <v>0.25</v>
      </c>
      <c r="X24" s="26">
        <f t="shared" si="8"/>
        <v>0.25</v>
      </c>
      <c r="Y24" s="26">
        <f t="shared" si="8"/>
        <v>0.25</v>
      </c>
      <c r="Z24" s="26">
        <f t="shared" si="8"/>
        <v>0.25</v>
      </c>
      <c r="AB24" s="26">
        <f>YEARFRAC(AB3,AB4)</f>
        <v>0.25</v>
      </c>
      <c r="AC24" s="26">
        <f>YEARFRAC(AB4,AC4)</f>
        <v>1</v>
      </c>
      <c r="AD24" s="26">
        <f>YEARFRAC(AC4,AD4)</f>
        <v>1</v>
      </c>
      <c r="AE24" s="26">
        <f>YEARFRAC(AD4,AE4)</f>
        <v>1</v>
      </c>
      <c r="AF24" s="26">
        <f>YEARFRAC(AE4,AF4)</f>
        <v>1</v>
      </c>
      <c r="AG24" s="26">
        <f>YEARFRAC(AF4,AG4)</f>
        <v>1</v>
      </c>
    </row>
    <row r="25" spans="2:33" x14ac:dyDescent="0.25">
      <c r="B25" s="2" t="s">
        <v>103</v>
      </c>
      <c r="E25" s="132"/>
      <c r="F25" s="132"/>
      <c r="G25" s="26">
        <f t="shared" ref="G25" si="9">F25+G24</f>
        <v>0.25</v>
      </c>
      <c r="H25" s="26">
        <f t="shared" ref="H25" si="10">G25+H24</f>
        <v>0.5</v>
      </c>
      <c r="I25" s="26">
        <f t="shared" ref="I25" si="11">H25+I24</f>
        <v>0.75</v>
      </c>
      <c r="J25" s="26">
        <f t="shared" ref="J25" si="12">I25+J24</f>
        <v>1</v>
      </c>
      <c r="K25" s="26">
        <f t="shared" ref="K25" si="13">J25+K24</f>
        <v>1.25</v>
      </c>
      <c r="L25" s="26">
        <f t="shared" ref="L25" si="14">K25+L24</f>
        <v>1.5</v>
      </c>
      <c r="M25" s="26">
        <f t="shared" ref="M25" si="15">L25+M24</f>
        <v>1.75</v>
      </c>
      <c r="N25" s="26">
        <f t="shared" ref="N25" si="16">M25+N24</f>
        <v>2</v>
      </c>
      <c r="O25" s="26">
        <f t="shared" ref="O25" si="17">N25+O24</f>
        <v>2.25</v>
      </c>
      <c r="P25" s="26">
        <f t="shared" ref="P25" si="18">O25+P24</f>
        <v>2.5</v>
      </c>
      <c r="Q25" s="26">
        <f t="shared" ref="Q25" si="19">P25+Q24</f>
        <v>2.75</v>
      </c>
      <c r="R25" s="26">
        <f t="shared" ref="R25" si="20">Q25+R24</f>
        <v>3</v>
      </c>
      <c r="S25" s="26">
        <f t="shared" ref="S25" si="21">R25+S24</f>
        <v>3.25</v>
      </c>
      <c r="T25" s="26">
        <f t="shared" ref="T25" si="22">S25+T24</f>
        <v>3.5</v>
      </c>
      <c r="U25" s="26">
        <f t="shared" ref="U25" si="23">T25+U24</f>
        <v>3.75</v>
      </c>
      <c r="V25" s="26">
        <f t="shared" ref="V25" si="24">U25+V24</f>
        <v>4</v>
      </c>
      <c r="W25" s="26">
        <f t="shared" ref="W25" si="25">V25+W24</f>
        <v>4.25</v>
      </c>
      <c r="X25" s="26">
        <f t="shared" ref="X25" si="26">W25+X24</f>
        <v>4.5</v>
      </c>
      <c r="Y25" s="26">
        <f t="shared" ref="Y25" si="27">X25+Y24</f>
        <v>4.75</v>
      </c>
      <c r="Z25" s="26">
        <f t="shared" ref="Z25" si="28">Y25+Z24</f>
        <v>5</v>
      </c>
      <c r="AB25" s="26">
        <f>AB24</f>
        <v>0.25</v>
      </c>
      <c r="AC25" s="26">
        <f>AB25+AC24</f>
        <v>1.25</v>
      </c>
      <c r="AD25" s="26">
        <f t="shared" ref="AD25" si="29">AC25+AD24</f>
        <v>2.25</v>
      </c>
      <c r="AE25" s="26">
        <f t="shared" ref="AE25" si="30">AD25+AE24</f>
        <v>3.25</v>
      </c>
      <c r="AF25" s="26">
        <f t="shared" ref="AF25" si="31">AE25+AF24</f>
        <v>4.25</v>
      </c>
      <c r="AG25" s="26">
        <f t="shared" ref="AG25" si="32">AF25+AG24</f>
        <v>5.25</v>
      </c>
    </row>
    <row r="26" spans="2:33" x14ac:dyDescent="0.25">
      <c r="B26" s="2" t="s">
        <v>293</v>
      </c>
      <c r="E26" s="133"/>
      <c r="F26" s="133"/>
      <c r="G26" s="131">
        <f t="shared" ref="G26:Z26" si="33">1/((1+$D$21)^(G25))</f>
        <v>0.98091499678243299</v>
      </c>
      <c r="H26" s="131">
        <f t="shared" si="33"/>
        <v>0.96219423091268064</v>
      </c>
      <c r="I26" s="131">
        <f t="shared" si="33"/>
        <v>0.94383075091978763</v>
      </c>
      <c r="J26" s="131">
        <f t="shared" si="33"/>
        <v>0.92581773800164491</v>
      </c>
      <c r="K26" s="131">
        <f t="shared" si="33"/>
        <v>0.90814850349300291</v>
      </c>
      <c r="L26" s="131">
        <f t="shared" si="33"/>
        <v>0.89081648638181032</v>
      </c>
      <c r="M26" s="131">
        <f t="shared" si="33"/>
        <v>0.87381525087295187</v>
      </c>
      <c r="N26" s="131">
        <f t="shared" si="33"/>
        <v>0.85713848399848247</v>
      </c>
      <c r="O26" s="131">
        <f t="shared" si="33"/>
        <v>0.84077999327347097</v>
      </c>
      <c r="P26" s="131">
        <f t="shared" si="33"/>
        <v>0.82473370439658078</v>
      </c>
      <c r="Q26" s="131">
        <f t="shared" si="33"/>
        <v>0.80899365899453612</v>
      </c>
      <c r="R26" s="131">
        <f t="shared" si="33"/>
        <v>0.79355401240963408</v>
      </c>
      <c r="S26" s="131">
        <f t="shared" si="33"/>
        <v>0.77840903152948304</v>
      </c>
      <c r="T26" s="131">
        <f t="shared" si="33"/>
        <v>0.76355309265815974</v>
      </c>
      <c r="U26" s="131">
        <f t="shared" si="33"/>
        <v>0.74898067942799551</v>
      </c>
      <c r="V26" s="131">
        <f t="shared" si="33"/>
        <v>0.73468638075121673</v>
      </c>
      <c r="W26" s="131">
        <f t="shared" si="33"/>
        <v>0.72066488881067714</v>
      </c>
      <c r="X26" s="131">
        <f t="shared" si="33"/>
        <v>0.70691099708893779</v>
      </c>
      <c r="Y26" s="131">
        <f t="shared" si="33"/>
        <v>0.69341959843496204</v>
      </c>
      <c r="Z26" s="131">
        <f t="shared" si="33"/>
        <v>0.68018568316770667</v>
      </c>
      <c r="AB26" s="131">
        <f>1/((1+$D$21)^(AB25))</f>
        <v>0.98091499678243299</v>
      </c>
      <c r="AC26" s="131">
        <f t="shared" ref="AC26:AG26" si="34">1/((1+$D$21)^(AC25))</f>
        <v>0.90814850349300291</v>
      </c>
      <c r="AD26" s="131">
        <f t="shared" si="34"/>
        <v>0.84077999327347097</v>
      </c>
      <c r="AE26" s="131">
        <f t="shared" si="34"/>
        <v>0.77840903152948304</v>
      </c>
      <c r="AF26" s="131">
        <f t="shared" si="34"/>
        <v>0.72066488881067714</v>
      </c>
      <c r="AG26" s="131">
        <f t="shared" si="34"/>
        <v>0.66720433721590811</v>
      </c>
    </row>
    <row r="29" spans="2:33" x14ac:dyDescent="0.25">
      <c r="B29" s="21" t="s">
        <v>294</v>
      </c>
      <c r="C29" s="19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B29" s="20"/>
      <c r="AC29" s="20"/>
      <c r="AD29" s="20"/>
      <c r="AE29" s="20"/>
      <c r="AF29" s="20"/>
      <c r="AG29" s="20"/>
    </row>
    <row r="30" spans="2:33" x14ac:dyDescent="0.25">
      <c r="B30" s="2" t="s">
        <v>301</v>
      </c>
      <c r="D30" s="139" t="s">
        <v>151</v>
      </c>
    </row>
    <row r="31" spans="2:33" x14ac:dyDescent="0.25">
      <c r="B31" s="2" t="s">
        <v>302</v>
      </c>
      <c r="D31" s="42">
        <f>SUMIF(Comps!$C$15:$C$18,Valuation!$D$30,Comps!$AG$15:$AG$18)</f>
        <v>8.8546998733780526</v>
      </c>
    </row>
    <row r="32" spans="2:33" x14ac:dyDescent="0.25">
      <c r="B32" s="2" t="s">
        <v>303</v>
      </c>
      <c r="D32" s="42">
        <f>SUMIF(Comps!$C$15:$C$18,Valuation!$D$30,Comps!$AK$15:$AK$18)</f>
        <v>0.28106015418380731</v>
      </c>
    </row>
    <row r="33" spans="2:33" x14ac:dyDescent="0.25">
      <c r="B33" s="2" t="s">
        <v>304</v>
      </c>
      <c r="D33" s="42">
        <f>SUMIF(Comps!$C$15:$C$18,Valuation!$D$30,Comps!$AM$15:$AM$18)</f>
        <v>1.7127480455586142</v>
      </c>
    </row>
    <row r="35" spans="2:33" x14ac:dyDescent="0.25">
      <c r="B35" s="2" t="s">
        <v>112</v>
      </c>
      <c r="F35" s="6">
        <f>'Quarterly Financial Projections'!F26</f>
        <v>230111.06400000022</v>
      </c>
      <c r="G35" s="6">
        <f ca="1">'Quarterly Financial Projections'!G26</f>
        <v>171189.53477782797</v>
      </c>
      <c r="H35" s="6">
        <f ca="1">'Quarterly Financial Projections'!H26</f>
        <v>168620.21684453165</v>
      </c>
      <c r="I35" s="6">
        <f ca="1">'Quarterly Financial Projections'!I26</f>
        <v>177236.63502336797</v>
      </c>
      <c r="J35" s="6">
        <f ca="1">'Quarterly Financial Projections'!J26</f>
        <v>186213.61313551222</v>
      </c>
      <c r="K35" s="6">
        <f ca="1">'Quarterly Financial Projections'!K26</f>
        <v>195564.62632834009</v>
      </c>
      <c r="L35" s="6">
        <f ca="1">'Quarterly Financial Projections'!L26</f>
        <v>205303.5933410757</v>
      </c>
      <c r="M35" s="6">
        <f ca="1">'Quarterly Financial Projections'!M26</f>
        <v>215444.8867338117</v>
      </c>
      <c r="N35" s="6">
        <f ca="1">'Quarterly Financial Projections'!N26</f>
        <v>226003.34290246366</v>
      </c>
      <c r="O35" s="6">
        <f ca="1">'Quarterly Financial Projections'!O26</f>
        <v>236994.27181588026</v>
      </c>
      <c r="P35" s="6">
        <f ca="1">'Quarterly Financial Projections'!P26</f>
        <v>248433.46640370166</v>
      </c>
      <c r="Q35" s="6">
        <f ca="1">'Quarterly Financial Projections'!Q26</f>
        <v>260337.21151514357</v>
      </c>
      <c r="R35" s="6">
        <f ca="1">'Quarterly Financial Projections'!R26</f>
        <v>272722.29235961742</v>
      </c>
      <c r="S35" s="6">
        <f ca="1">'Quarterly Financial Projections'!S26</f>
        <v>285606.00232988584</v>
      </c>
      <c r="T35" s="6">
        <f ca="1">'Quarterly Financial Projections'!T26</f>
        <v>299006.15009721799</v>
      </c>
      <c r="U35" s="6">
        <f ca="1">'Quarterly Financial Projections'!U26</f>
        <v>312941.06585562887</v>
      </c>
      <c r="V35" s="6">
        <f ca="1">'Quarterly Financial Projections'!V26</f>
        <v>327429.60657868447</v>
      </c>
      <c r="W35" s="6">
        <f ca="1">'Quarterly Financial Projections'!W26</f>
        <v>342491.1601373732</v>
      </c>
      <c r="X35" s="6">
        <f ca="1">'Quarterly Financial Projections'!X26</f>
        <v>358145.64811108471</v>
      </c>
      <c r="Y35" s="6">
        <f ca="1">'Quarterly Financial Projections'!Y26</f>
        <v>374413.52710563375</v>
      </c>
      <c r="Z35" s="6">
        <f ca="1">'Quarterly Financial Projections'!Z26</f>
        <v>391315.78837236826</v>
      </c>
      <c r="AB35" s="6">
        <f>SUMIF($F$2:$Z$2,AB$2,$F35:$Z35)</f>
        <v>230111.06400000022</v>
      </c>
      <c r="AC35" s="6">
        <f t="shared" ref="AC35:AG35" ca="1" si="35">SUMIF($F$2:$Z$2,AC$2,$F35:$Z35)</f>
        <v>703259.99978123978</v>
      </c>
      <c r="AD35" s="6">
        <f t="shared" ca="1" si="35"/>
        <v>842316.44930569106</v>
      </c>
      <c r="AE35" s="6">
        <f t="shared" ca="1" si="35"/>
        <v>1018487.2420943429</v>
      </c>
      <c r="AF35" s="6">
        <f t="shared" ca="1" si="35"/>
        <v>1224982.8248614171</v>
      </c>
      <c r="AG35" s="6">
        <f t="shared" ca="1" si="35"/>
        <v>1466366.1237264599</v>
      </c>
    </row>
    <row r="36" spans="2:33" x14ac:dyDescent="0.25">
      <c r="B36" s="2" t="s">
        <v>117</v>
      </c>
      <c r="F36" s="6">
        <f>'Quarterly Financial Projections'!F48</f>
        <v>16642449.622</v>
      </c>
      <c r="G36" s="6">
        <f>'Quarterly Financial Projections'!G48</f>
        <v>17239265.86190163</v>
      </c>
      <c r="H36" s="6">
        <f>'Quarterly Financial Projections'!H48</f>
        <v>17857484.577538531</v>
      </c>
      <c r="I36" s="6">
        <f>'Quarterly Financial Projections'!I48</f>
        <v>18497873.284834322</v>
      </c>
      <c r="J36" s="6">
        <f>'Quarterly Financial Projections'!J48</f>
        <v>19161227.023663603</v>
      </c>
      <c r="K36" s="6">
        <f>'Quarterly Financial Projections'!K48</f>
        <v>19848369.344890598</v>
      </c>
      <c r="L36" s="6">
        <f>'Quarterly Financial Projections'!L48</f>
        <v>20560153.33280408</v>
      </c>
      <c r="M36" s="6">
        <f>'Quarterly Financial Projections'!M48</f>
        <v>21297462.664217908</v>
      </c>
      <c r="N36" s="6">
        <f>'Quarterly Financial Projections'!N48</f>
        <v>22061212.705552053</v>
      </c>
      <c r="O36" s="6">
        <f>'Quarterly Financial Projections'!O48</f>
        <v>22852351.649256147</v>
      </c>
      <c r="P36" s="6">
        <f>'Quarterly Financial Projections'!P48</f>
        <v>23671861.690986402</v>
      </c>
      <c r="Q36" s="6">
        <f>'Quarterly Financial Projections'!Q48</f>
        <v>24520760.248997372</v>
      </c>
      <c r="R36" s="6">
        <f>'Quarterly Financial Projections'!R48</f>
        <v>25400101.227262404</v>
      </c>
      <c r="S36" s="6">
        <f>'Quarterly Financial Projections'!S48</f>
        <v>26310976.323890984</v>
      </c>
      <c r="T36" s="6">
        <f>'Quarterly Financial Projections'!T48</f>
        <v>27254516.386467323</v>
      </c>
      <c r="U36" s="6">
        <f>'Quarterly Financial Projections'!U48</f>
        <v>28231892.815992851</v>
      </c>
      <c r="V36" s="6">
        <f>'Quarterly Financial Projections'!V48</f>
        <v>29244319.021175612</v>
      </c>
      <c r="W36" s="6">
        <f>'Quarterly Financial Projections'!W48</f>
        <v>30293051.924872052</v>
      </c>
      <c r="X36" s="6">
        <f>'Quarterly Financial Projections'!X48</f>
        <v>31379393.524551433</v>
      </c>
      <c r="Y36" s="6">
        <f>'Quarterly Financial Projections'!Y48</f>
        <v>32504692.508720193</v>
      </c>
      <c r="Z36" s="6">
        <f>'Quarterly Financial Projections'!Z48</f>
        <v>33670345.931313023</v>
      </c>
      <c r="AB36" s="6">
        <f t="shared" ref="AB36:AG38" si="36">SUMIF($F$4:$Z$4,AB$4,$F36:$Z36)</f>
        <v>16642449.622</v>
      </c>
      <c r="AC36" s="6">
        <f t="shared" si="36"/>
        <v>19161227.023663603</v>
      </c>
      <c r="AD36" s="6">
        <f t="shared" si="36"/>
        <v>22061212.705552053</v>
      </c>
      <c r="AE36" s="6">
        <f t="shared" si="36"/>
        <v>25400101.227262404</v>
      </c>
      <c r="AF36" s="6">
        <f t="shared" si="36"/>
        <v>29244319.021175612</v>
      </c>
      <c r="AG36" s="6">
        <f t="shared" si="36"/>
        <v>33670345.931313023</v>
      </c>
    </row>
    <row r="37" spans="2:33" x14ac:dyDescent="0.25">
      <c r="B37" s="2" t="s">
        <v>41</v>
      </c>
      <c r="F37" s="6">
        <f>'Quarterly Financial Projections'!F62</f>
        <v>2208394.665</v>
      </c>
      <c r="G37" s="6">
        <f ca="1">'Quarterly Financial Projections'!G62</f>
        <v>2332935.7791285245</v>
      </c>
      <c r="H37" s="6">
        <f ca="1">'Quarterly Financial Projections'!H62</f>
        <v>2457041.3319057752</v>
      </c>
      <c r="I37" s="6">
        <f ca="1">'Quarterly Financial Projections'!I62</f>
        <v>2587488.6233016546</v>
      </c>
      <c r="J37" s="6">
        <f ca="1">'Quarterly Financial Projections'!J62</f>
        <v>2724543.0277218521</v>
      </c>
      <c r="K37" s="6">
        <f ca="1">'Quarterly Financial Projections'!K62</f>
        <v>2868479.8373662895</v>
      </c>
      <c r="L37" s="6">
        <f ca="1">'Quarterly Financial Projections'!L62</f>
        <v>3019584.5887155426</v>
      </c>
      <c r="M37" s="6">
        <f ca="1">'Quarterly Financial Projections'!M62</f>
        <v>3178153.3965458889</v>
      </c>
      <c r="N37" s="6">
        <f ca="1">'Quarterly Financial Projections'!N62</f>
        <v>3344493.2953154263</v>
      </c>
      <c r="O37" s="6">
        <f ca="1">'Quarterly Financial Projections'!O62</f>
        <v>3518922.5877167643</v>
      </c>
      <c r="P37" s="6">
        <f ca="1">'Quarterly Financial Projections'!P62</f>
        <v>3701771.2001392418</v>
      </c>
      <c r="Q37" s="6">
        <f ca="1">'Quarterly Financial Projections'!Q62</f>
        <v>3893381.0447248663</v>
      </c>
      <c r="R37" s="6">
        <f ca="1">'Quarterly Financial Projections'!R62</f>
        <v>4094106.3876365987</v>
      </c>
      <c r="S37" s="6">
        <f ca="1">'Quarterly Financial Projections'!S62</f>
        <v>4304314.2230845382</v>
      </c>
      <c r="T37" s="6">
        <f ca="1">'Quarterly Financial Projections'!T62</f>
        <v>4524384.6525741816</v>
      </c>
      <c r="U37" s="6">
        <f ca="1">'Quarterly Financial Projections'!U62</f>
        <v>4754711.2687504813</v>
      </c>
      <c r="V37" s="6">
        <f ca="1">'Quarterly Financial Projections'!V62</f>
        <v>4995701.5431109499</v>
      </c>
      <c r="W37" s="6">
        <f ca="1">'Quarterly Financial Projections'!W62</f>
        <v>5247777.2167495415</v>
      </c>
      <c r="X37" s="6">
        <f ca="1">'Quarterly Financial Projections'!X62</f>
        <v>5511374.6931694299</v>
      </c>
      <c r="Y37" s="6">
        <f ca="1">'Quarterly Financial Projections'!Y62</f>
        <v>5786945.432065866</v>
      </c>
      <c r="Z37" s="6">
        <f ca="1">'Quarterly Financial Projections'!Z62</f>
        <v>6074956.3428286901</v>
      </c>
      <c r="AB37" s="6">
        <f t="shared" si="36"/>
        <v>2208394.665</v>
      </c>
      <c r="AC37" s="6">
        <f t="shared" ca="1" si="36"/>
        <v>2724543.0277218521</v>
      </c>
      <c r="AD37" s="6">
        <f t="shared" ca="1" si="36"/>
        <v>3344493.2953154263</v>
      </c>
      <c r="AE37" s="6">
        <f t="shared" ca="1" si="36"/>
        <v>4094106.3876365987</v>
      </c>
      <c r="AF37" s="6">
        <f t="shared" ca="1" si="36"/>
        <v>4995701.5431109499</v>
      </c>
      <c r="AG37" s="6">
        <f t="shared" ca="1" si="36"/>
        <v>6074956.3428286901</v>
      </c>
    </row>
    <row r="38" spans="2:33" x14ac:dyDescent="0.25">
      <c r="B38" s="2" t="s">
        <v>104</v>
      </c>
      <c r="F38" s="6">
        <f>'Quarterly Financial Projections'!F28</f>
        <v>349617.462</v>
      </c>
      <c r="G38" s="6">
        <f>'Quarterly Financial Projections'!G28</f>
        <v>349617.462</v>
      </c>
      <c r="H38" s="6">
        <f>'Quarterly Financial Projections'!H28</f>
        <v>349617.462</v>
      </c>
      <c r="I38" s="6">
        <f>'Quarterly Financial Projections'!I28</f>
        <v>349617.462</v>
      </c>
      <c r="J38" s="6">
        <f>'Quarterly Financial Projections'!J28</f>
        <v>349617.462</v>
      </c>
      <c r="K38" s="6">
        <f>'Quarterly Financial Projections'!K28</f>
        <v>349617.462</v>
      </c>
      <c r="L38" s="6">
        <f>'Quarterly Financial Projections'!L28</f>
        <v>349617.462</v>
      </c>
      <c r="M38" s="6">
        <f>'Quarterly Financial Projections'!M28</f>
        <v>349617.462</v>
      </c>
      <c r="N38" s="6">
        <f>'Quarterly Financial Projections'!N28</f>
        <v>349617.462</v>
      </c>
      <c r="O38" s="6">
        <f>'Quarterly Financial Projections'!O28</f>
        <v>349617.462</v>
      </c>
      <c r="P38" s="6">
        <f>'Quarterly Financial Projections'!P28</f>
        <v>349617.462</v>
      </c>
      <c r="Q38" s="6">
        <f>'Quarterly Financial Projections'!Q28</f>
        <v>349617.462</v>
      </c>
      <c r="R38" s="6">
        <f>'Quarterly Financial Projections'!R28</f>
        <v>349617.462</v>
      </c>
      <c r="S38" s="6">
        <f>'Quarterly Financial Projections'!S28</f>
        <v>349617.462</v>
      </c>
      <c r="T38" s="6">
        <f>'Quarterly Financial Projections'!T28</f>
        <v>349617.462</v>
      </c>
      <c r="U38" s="6">
        <f>'Quarterly Financial Projections'!U28</f>
        <v>349617.462</v>
      </c>
      <c r="V38" s="6">
        <f>'Quarterly Financial Projections'!V28</f>
        <v>349617.462</v>
      </c>
      <c r="W38" s="6">
        <f>'Quarterly Financial Projections'!W28</f>
        <v>349617.462</v>
      </c>
      <c r="X38" s="6">
        <f>'Quarterly Financial Projections'!X28</f>
        <v>349617.462</v>
      </c>
      <c r="Y38" s="6">
        <f>'Quarterly Financial Projections'!Y28</f>
        <v>349617.462</v>
      </c>
      <c r="Z38" s="6">
        <f>'Quarterly Financial Projections'!Z28</f>
        <v>349617.462</v>
      </c>
      <c r="AB38" s="6">
        <f t="shared" si="36"/>
        <v>349617.462</v>
      </c>
      <c r="AC38" s="6">
        <f t="shared" si="36"/>
        <v>349617.462</v>
      </c>
      <c r="AD38" s="6">
        <f t="shared" si="36"/>
        <v>349617.462</v>
      </c>
      <c r="AE38" s="6">
        <f t="shared" si="36"/>
        <v>349617.462</v>
      </c>
      <c r="AF38" s="6">
        <f t="shared" si="36"/>
        <v>349617.462</v>
      </c>
      <c r="AG38" s="6">
        <f t="shared" si="36"/>
        <v>349617.462</v>
      </c>
    </row>
    <row r="40" spans="2:33" x14ac:dyDescent="0.25">
      <c r="B40" s="54" t="s">
        <v>295</v>
      </c>
      <c r="C40" s="3"/>
      <c r="D40" s="3"/>
      <c r="E40" s="134"/>
      <c r="F40" s="134">
        <f>(F35/F$38)</f>
        <v>0.65817955053972743</v>
      </c>
      <c r="G40" s="134">
        <f ca="1">(G35/G$38)*G26</f>
        <v>0.48030318907749325</v>
      </c>
      <c r="H40" s="134">
        <f ca="1">(H35/H$38)*H26</f>
        <v>0.46406549299603794</v>
      </c>
      <c r="I40" s="134">
        <f t="shared" ref="I40:Z40" ca="1" si="37">(I35/I$38)*I26</f>
        <v>0.47846976912326455</v>
      </c>
      <c r="J40" s="134">
        <f t="shared" ca="1" si="37"/>
        <v>0.49310999831648372</v>
      </c>
      <c r="K40" s="134">
        <f t="shared" ca="1" si="37"/>
        <v>0.5079887077729841</v>
      </c>
      <c r="L40" s="134">
        <f t="shared" ca="1" si="37"/>
        <v>0.52310838427646122</v>
      </c>
      <c r="M40" s="134">
        <f t="shared" ca="1" si="37"/>
        <v>0.53847146728214734</v>
      </c>
      <c r="N40" s="134">
        <f t="shared" ca="1" si="37"/>
        <v>0.55408034142758833</v>
      </c>
      <c r="O40" s="134">
        <f t="shared" ca="1" si="37"/>
        <v>0.56993732842556633</v>
      </c>
      <c r="P40" s="134">
        <f t="shared" ca="1" si="37"/>
        <v>0.58604467829243712</v>
      </c>
      <c r="Q40" s="134">
        <f t="shared" ca="1" si="37"/>
        <v>0.60240455986168817</v>
      </c>
      <c r="R40" s="134">
        <f t="shared" ca="1" si="37"/>
        <v>0.6190190505287968</v>
      </c>
      <c r="S40" s="134">
        <f t="shared" ca="1" si="37"/>
        <v>0.63589012516947363</v>
      </c>
      <c r="T40" s="134">
        <f t="shared" ca="1" si="37"/>
        <v>0.65301964416909108</v>
      </c>
      <c r="U40" s="134">
        <f t="shared" ca="1" si="37"/>
        <v>0.67040934049647094</v>
      </c>
      <c r="V40" s="134">
        <f t="shared" ca="1" si="37"/>
        <v>0.68806080575028172</v>
      </c>
      <c r="W40" s="134">
        <f t="shared" ca="1" si="37"/>
        <v>0.70597547510095437</v>
      </c>
      <c r="X40" s="134">
        <f t="shared" ca="1" si="37"/>
        <v>0.72415461104534506</v>
      </c>
      <c r="Y40" s="134">
        <f t="shared" ca="1" si="37"/>
        <v>0.74259928588522939</v>
      </c>
      <c r="Z40" s="135">
        <f t="shared" ca="1" si="37"/>
        <v>0.76131036283413389</v>
      </c>
      <c r="AB40" s="140">
        <f t="shared" ref="AB40:AG40" si="38">SUMIF($F$2:$Z$2,AB$2,$F40:$Z40)</f>
        <v>0.65817955053972743</v>
      </c>
      <c r="AC40" s="134">
        <f t="shared" ca="1" si="38"/>
        <v>1.9159484495132795</v>
      </c>
      <c r="AD40" s="134">
        <f t="shared" ca="1" si="38"/>
        <v>2.1236489007591812</v>
      </c>
      <c r="AE40" s="134">
        <f t="shared" ca="1" si="38"/>
        <v>2.3774056171084883</v>
      </c>
      <c r="AF40" s="134">
        <f t="shared" ca="1" si="38"/>
        <v>2.6473799155853173</v>
      </c>
      <c r="AG40" s="135">
        <f t="shared" ca="1" si="38"/>
        <v>2.9340397348656628</v>
      </c>
    </row>
    <row r="41" spans="2:33" x14ac:dyDescent="0.25">
      <c r="B41" s="40" t="s">
        <v>296</v>
      </c>
      <c r="E41" s="26"/>
      <c r="F41" s="26">
        <f>(F36/F$38)</f>
        <v>47.6018832892277</v>
      </c>
      <c r="G41" s="26">
        <f>(G36/G$38)*G26</f>
        <v>48.367877052601976</v>
      </c>
      <c r="H41" s="26">
        <f>(H36/H$38)*H26</f>
        <v>49.146196934293123</v>
      </c>
      <c r="I41" s="26">
        <f t="shared" ref="I41:Z41" si="39">(I36/I$38)*I26</f>
        <v>49.937041282120674</v>
      </c>
      <c r="J41" s="26">
        <f t="shared" si="39"/>
        <v>50.740611635651739</v>
      </c>
      <c r="K41" s="26">
        <f t="shared" si="39"/>
        <v>51.557112777561414</v>
      </c>
      <c r="L41" s="26">
        <f t="shared" si="39"/>
        <v>52.386752785819944</v>
      </c>
      <c r="M41" s="26">
        <f t="shared" si="39"/>
        <v>53.229743086719438</v>
      </c>
      <c r="N41" s="26">
        <f t="shared" si="39"/>
        <v>54.08629850875397</v>
      </c>
      <c r="O41" s="26">
        <f t="shared" si="39"/>
        <v>54.956637337366679</v>
      </c>
      <c r="P41" s="26">
        <f t="shared" si="39"/>
        <v>55.840981370577893</v>
      </c>
      <c r="Q41" s="26">
        <f t="shared" si="39"/>
        <v>56.739555975508331</v>
      </c>
      <c r="R41" s="26">
        <f t="shared" si="39"/>
        <v>57.652590145811857</v>
      </c>
      <c r="S41" s="26">
        <f t="shared" si="39"/>
        <v>58.580316560032522</v>
      </c>
      <c r="T41" s="26">
        <f t="shared" si="39"/>
        <v>59.522971640900529</v>
      </c>
      <c r="U41" s="26">
        <f t="shared" si="39"/>
        <v>60.480795615582466</v>
      </c>
      <c r="V41" s="26">
        <f t="shared" si="39"/>
        <v>61.454032576901085</v>
      </c>
      <c r="W41" s="26">
        <f t="shared" si="39"/>
        <v>62.442930545540044</v>
      </c>
      <c r="X41" s="26">
        <f t="shared" si="39"/>
        <v>63.447741533249875</v>
      </c>
      <c r="Y41" s="26">
        <f t="shared" si="39"/>
        <v>64.468721607070862</v>
      </c>
      <c r="Z41" s="136">
        <f t="shared" si="39"/>
        <v>65.506130954589338</v>
      </c>
      <c r="AB41" s="141">
        <f>SUMIF($F$4:$Z$4,AB$4,$F41:$Z41)</f>
        <v>47.6018832892277</v>
      </c>
      <c r="AC41" s="26">
        <f>SUMIF($F$4:$Z$4,AC$4,$F41:$Z41)</f>
        <v>50.740611635651739</v>
      </c>
      <c r="AD41" s="26">
        <f t="shared" ref="AD41:AG42" si="40">SUMIF($F$4:$Z$4,AD$4,$F41:$Z41)</f>
        <v>54.08629850875397</v>
      </c>
      <c r="AE41" s="26">
        <f t="shared" si="40"/>
        <v>57.652590145811857</v>
      </c>
      <c r="AF41" s="26">
        <f t="shared" si="40"/>
        <v>61.454032576901085</v>
      </c>
      <c r="AG41" s="136">
        <f t="shared" si="40"/>
        <v>65.506130954589338</v>
      </c>
    </row>
    <row r="42" spans="2:33" x14ac:dyDescent="0.25">
      <c r="B42" s="60" t="s">
        <v>297</v>
      </c>
      <c r="C42" s="61"/>
      <c r="D42" s="61"/>
      <c r="E42" s="137"/>
      <c r="F42" s="137">
        <f>(F37/F$38)</f>
        <v>6.3166028732283399</v>
      </c>
      <c r="G42" s="137">
        <f ca="1">(G37/G$38)*G26</f>
        <v>6.5454730984732095</v>
      </c>
      <c r="H42" s="137">
        <f ca="1">(H37/H$38)*H26</f>
        <v>6.762107879708096</v>
      </c>
      <c r="I42" s="137">
        <f t="shared" ref="I42:Z42" ca="1" si="41">(I37/I$38)*I26</f>
        <v>6.9852098243514167</v>
      </c>
      <c r="J42" s="137">
        <f t="shared" ca="1" si="41"/>
        <v>7.2148291695270013</v>
      </c>
      <c r="K42" s="137">
        <f t="shared" ca="1" si="41"/>
        <v>7.4510170536162983</v>
      </c>
      <c r="L42" s="137">
        <f t="shared" ca="1" si="41"/>
        <v>7.6938254693132109</v>
      </c>
      <c r="M42" s="137">
        <f t="shared" ca="1" si="41"/>
        <v>7.9433072124854851</v>
      </c>
      <c r="N42" s="137">
        <f t="shared" ca="1" si="41"/>
        <v>8.1995158264999741</v>
      </c>
      <c r="O42" s="137">
        <f t="shared" ca="1" si="41"/>
        <v>8.462505541643587</v>
      </c>
      <c r="P42" s="137">
        <f t="shared" ca="1" si="41"/>
        <v>8.7323312092443857</v>
      </c>
      <c r="Q42" s="137">
        <f t="shared" ca="1" si="41"/>
        <v>9.009048230067922</v>
      </c>
      <c r="R42" s="137">
        <f t="shared" ca="1" si="41"/>
        <v>9.2927124765322375</v>
      </c>
      <c r="S42" s="137">
        <f t="shared" ca="1" si="41"/>
        <v>9.5833802082511959</v>
      </c>
      <c r="T42" s="137">
        <f t="shared" ca="1" si="41"/>
        <v>9.8811079803792232</v>
      </c>
      <c r="U42" s="137">
        <f t="shared" ca="1" si="41"/>
        <v>10.185952544191521</v>
      </c>
      <c r="V42" s="137">
        <f t="shared" ca="1" si="41"/>
        <v>10.49797073929177</v>
      </c>
      <c r="W42" s="137">
        <f t="shared" ca="1" si="41"/>
        <v>10.817219376794208</v>
      </c>
      <c r="X42" s="137">
        <f t="shared" ca="1" si="41"/>
        <v>11.143755112778491</v>
      </c>
      <c r="Y42" s="137">
        <f t="shared" ca="1" si="41"/>
        <v>11.477634311263753</v>
      </c>
      <c r="Z42" s="138">
        <f t="shared" ca="1" si="41"/>
        <v>11.81891289589227</v>
      </c>
      <c r="AB42" s="142">
        <f>SUMIF($F$4:$Z$4,AB$4,$F42:$Z42)</f>
        <v>6.3166028732283399</v>
      </c>
      <c r="AC42" s="137">
        <f ca="1">SUMIF($F$4:$Z$4,AC$4,$F42:$Z42)</f>
        <v>7.2148291695270013</v>
      </c>
      <c r="AD42" s="137">
        <f t="shared" ca="1" si="40"/>
        <v>8.1995158264999741</v>
      </c>
      <c r="AE42" s="137">
        <f t="shared" ca="1" si="40"/>
        <v>9.2927124765322375</v>
      </c>
      <c r="AF42" s="137">
        <f t="shared" ca="1" si="40"/>
        <v>10.49797073929177</v>
      </c>
      <c r="AG42" s="138">
        <f t="shared" ca="1" si="40"/>
        <v>11.81891289589227</v>
      </c>
    </row>
    <row r="44" spans="2:33" x14ac:dyDescent="0.25">
      <c r="B44" s="54" t="s">
        <v>298</v>
      </c>
      <c r="C44" s="3"/>
      <c r="D44" s="3"/>
      <c r="E44" s="15"/>
      <c r="F44" s="134">
        <f ca="1">SUM(F40:I40)</f>
        <v>2.0810180017365232</v>
      </c>
      <c r="G44" s="134">
        <f ca="1">SUM(G40:J40)</f>
        <v>1.9159484495132795</v>
      </c>
      <c r="H44" s="134">
        <f t="shared" ref="H44:V44" ca="1" si="42">SUM(H40:K40)</f>
        <v>1.9436339682087704</v>
      </c>
      <c r="I44" s="134">
        <f t="shared" ca="1" si="42"/>
        <v>2.0026768594891937</v>
      </c>
      <c r="J44" s="134">
        <f t="shared" ca="1" si="42"/>
        <v>2.0626785576480762</v>
      </c>
      <c r="K44" s="134">
        <f t="shared" ca="1" si="42"/>
        <v>2.1236489007591812</v>
      </c>
      <c r="L44" s="134">
        <f t="shared" ca="1" si="42"/>
        <v>2.1855975214117631</v>
      </c>
      <c r="M44" s="134">
        <f t="shared" ca="1" si="42"/>
        <v>2.2485338154277392</v>
      </c>
      <c r="N44" s="134">
        <f t="shared" ca="1" si="42"/>
        <v>2.3124669080072797</v>
      </c>
      <c r="O44" s="134">
        <f t="shared" ca="1" si="42"/>
        <v>2.3774056171084883</v>
      </c>
      <c r="P44" s="134">
        <f t="shared" ca="1" si="42"/>
        <v>2.4433584138523958</v>
      </c>
      <c r="Q44" s="134">
        <f t="shared" ca="1" si="42"/>
        <v>2.5103333797290497</v>
      </c>
      <c r="R44" s="134">
        <f t="shared" ca="1" si="42"/>
        <v>2.5783381603638325</v>
      </c>
      <c r="S44" s="134">
        <f t="shared" ca="1" si="42"/>
        <v>2.6473799155853173</v>
      </c>
      <c r="T44" s="134">
        <f t="shared" ca="1" si="42"/>
        <v>2.7174652655167986</v>
      </c>
      <c r="U44" s="134">
        <f t="shared" ca="1" si="42"/>
        <v>2.7886002323930517</v>
      </c>
      <c r="V44" s="134">
        <f t="shared" ca="1" si="42"/>
        <v>2.8607901777818108</v>
      </c>
      <c r="W44" s="134">
        <f ca="1">SUM(W40:Z40)</f>
        <v>2.9340397348656628</v>
      </c>
      <c r="X44" s="134">
        <f ca="1">SUM(W40:Z40)</f>
        <v>2.9340397348656628</v>
      </c>
      <c r="Y44" s="134">
        <f ca="1">SUM(W40:Z40)</f>
        <v>2.9340397348656628</v>
      </c>
      <c r="Z44" s="135">
        <f ca="1">SUM(W40:Z40)</f>
        <v>2.9340397348656628</v>
      </c>
      <c r="AB44" s="140">
        <f ca="1">F44</f>
        <v>2.0810180017365232</v>
      </c>
      <c r="AC44" s="134">
        <f ca="1">AC40</f>
        <v>1.9159484495132795</v>
      </c>
      <c r="AD44" s="134">
        <f t="shared" ref="AD44:AG44" ca="1" si="43">AD40</f>
        <v>2.1236489007591812</v>
      </c>
      <c r="AE44" s="134">
        <f t="shared" ca="1" si="43"/>
        <v>2.3774056171084883</v>
      </c>
      <c r="AF44" s="134">
        <f t="shared" ca="1" si="43"/>
        <v>2.6473799155853173</v>
      </c>
      <c r="AG44" s="135">
        <f t="shared" ca="1" si="43"/>
        <v>2.9340397348656628</v>
      </c>
    </row>
    <row r="45" spans="2:33" x14ac:dyDescent="0.25">
      <c r="B45" s="40" t="s">
        <v>299</v>
      </c>
      <c r="F45" s="26">
        <f>F41</f>
        <v>47.6018832892277</v>
      </c>
      <c r="G45" s="26">
        <f>G41</f>
        <v>48.367877052601976</v>
      </c>
      <c r="H45" s="26">
        <f t="shared" ref="H45:AG45" si="44">H41</f>
        <v>49.146196934293123</v>
      </c>
      <c r="I45" s="26">
        <f t="shared" si="44"/>
        <v>49.937041282120674</v>
      </c>
      <c r="J45" s="26">
        <f t="shared" si="44"/>
        <v>50.740611635651739</v>
      </c>
      <c r="K45" s="26">
        <f t="shared" si="44"/>
        <v>51.557112777561414</v>
      </c>
      <c r="L45" s="26">
        <f t="shared" si="44"/>
        <v>52.386752785819944</v>
      </c>
      <c r="M45" s="26">
        <f t="shared" si="44"/>
        <v>53.229743086719438</v>
      </c>
      <c r="N45" s="26">
        <f t="shared" si="44"/>
        <v>54.08629850875397</v>
      </c>
      <c r="O45" s="26">
        <f t="shared" si="44"/>
        <v>54.956637337366679</v>
      </c>
      <c r="P45" s="26">
        <f t="shared" si="44"/>
        <v>55.840981370577893</v>
      </c>
      <c r="Q45" s="26">
        <f t="shared" si="44"/>
        <v>56.739555975508331</v>
      </c>
      <c r="R45" s="26">
        <f t="shared" si="44"/>
        <v>57.652590145811857</v>
      </c>
      <c r="S45" s="26">
        <f t="shared" si="44"/>
        <v>58.580316560032522</v>
      </c>
      <c r="T45" s="26">
        <f t="shared" si="44"/>
        <v>59.522971640900529</v>
      </c>
      <c r="U45" s="26">
        <f t="shared" si="44"/>
        <v>60.480795615582466</v>
      </c>
      <c r="V45" s="26">
        <f t="shared" si="44"/>
        <v>61.454032576901085</v>
      </c>
      <c r="W45" s="26">
        <f t="shared" si="44"/>
        <v>62.442930545540044</v>
      </c>
      <c r="X45" s="26">
        <f t="shared" si="44"/>
        <v>63.447741533249875</v>
      </c>
      <c r="Y45" s="26">
        <f t="shared" si="44"/>
        <v>64.468721607070862</v>
      </c>
      <c r="Z45" s="136">
        <f t="shared" si="44"/>
        <v>65.506130954589338</v>
      </c>
      <c r="AB45" s="141">
        <f>AB41</f>
        <v>47.6018832892277</v>
      </c>
      <c r="AC45" s="26">
        <f t="shared" si="44"/>
        <v>50.740611635651739</v>
      </c>
      <c r="AD45" s="26">
        <f t="shared" si="44"/>
        <v>54.08629850875397</v>
      </c>
      <c r="AE45" s="26">
        <f t="shared" si="44"/>
        <v>57.652590145811857</v>
      </c>
      <c r="AF45" s="26">
        <f t="shared" si="44"/>
        <v>61.454032576901085</v>
      </c>
      <c r="AG45" s="136">
        <f t="shared" si="44"/>
        <v>65.506130954589338</v>
      </c>
    </row>
    <row r="46" spans="2:33" x14ac:dyDescent="0.25">
      <c r="B46" s="60" t="s">
        <v>300</v>
      </c>
      <c r="C46" s="61"/>
      <c r="D46" s="61"/>
      <c r="E46" s="63"/>
      <c r="F46" s="137">
        <f>F42</f>
        <v>6.3166028732283399</v>
      </c>
      <c r="G46" s="137">
        <f ca="1">G42</f>
        <v>6.5454730984732095</v>
      </c>
      <c r="H46" s="137">
        <f t="shared" ref="H46:AG46" ca="1" si="45">H42</f>
        <v>6.762107879708096</v>
      </c>
      <c r="I46" s="137">
        <f t="shared" ca="1" si="45"/>
        <v>6.9852098243514167</v>
      </c>
      <c r="J46" s="137">
        <f t="shared" ca="1" si="45"/>
        <v>7.2148291695270013</v>
      </c>
      <c r="K46" s="137">
        <f t="shared" ca="1" si="45"/>
        <v>7.4510170536162983</v>
      </c>
      <c r="L46" s="137">
        <f t="shared" ca="1" si="45"/>
        <v>7.6938254693132109</v>
      </c>
      <c r="M46" s="137">
        <f t="shared" ca="1" si="45"/>
        <v>7.9433072124854851</v>
      </c>
      <c r="N46" s="137">
        <f t="shared" ca="1" si="45"/>
        <v>8.1995158264999741</v>
      </c>
      <c r="O46" s="137">
        <f t="shared" ca="1" si="45"/>
        <v>8.462505541643587</v>
      </c>
      <c r="P46" s="137">
        <f t="shared" ca="1" si="45"/>
        <v>8.7323312092443857</v>
      </c>
      <c r="Q46" s="137">
        <f t="shared" ca="1" si="45"/>
        <v>9.009048230067922</v>
      </c>
      <c r="R46" s="137">
        <f t="shared" ca="1" si="45"/>
        <v>9.2927124765322375</v>
      </c>
      <c r="S46" s="137">
        <f t="shared" ca="1" si="45"/>
        <v>9.5833802082511959</v>
      </c>
      <c r="T46" s="137">
        <f t="shared" ca="1" si="45"/>
        <v>9.8811079803792232</v>
      </c>
      <c r="U46" s="137">
        <f t="shared" ca="1" si="45"/>
        <v>10.185952544191521</v>
      </c>
      <c r="V46" s="137">
        <f t="shared" ca="1" si="45"/>
        <v>10.49797073929177</v>
      </c>
      <c r="W46" s="137">
        <f t="shared" ca="1" si="45"/>
        <v>10.817219376794208</v>
      </c>
      <c r="X46" s="137">
        <f t="shared" ca="1" si="45"/>
        <v>11.143755112778491</v>
      </c>
      <c r="Y46" s="137">
        <f t="shared" ca="1" si="45"/>
        <v>11.477634311263753</v>
      </c>
      <c r="Z46" s="138">
        <f t="shared" ca="1" si="45"/>
        <v>11.81891289589227</v>
      </c>
      <c r="AB46" s="142">
        <f t="shared" si="45"/>
        <v>6.3166028732283399</v>
      </c>
      <c r="AC46" s="137">
        <f t="shared" ca="1" si="45"/>
        <v>7.2148291695270013</v>
      </c>
      <c r="AD46" s="137">
        <f t="shared" ca="1" si="45"/>
        <v>8.1995158264999741</v>
      </c>
      <c r="AE46" s="137">
        <f t="shared" ca="1" si="45"/>
        <v>9.2927124765322375</v>
      </c>
      <c r="AF46" s="137">
        <f t="shared" ca="1" si="45"/>
        <v>10.49797073929177</v>
      </c>
      <c r="AG46" s="138">
        <f t="shared" ca="1" si="45"/>
        <v>11.81891289589227</v>
      </c>
    </row>
    <row r="49" spans="2:33" x14ac:dyDescent="0.25">
      <c r="B49" s="4" t="s">
        <v>305</v>
      </c>
    </row>
    <row r="50" spans="2:33" x14ac:dyDescent="0.25">
      <c r="B50" s="2" t="s">
        <v>306</v>
      </c>
      <c r="F50" s="26">
        <f ca="1">F44*$D31</f>
        <v>18.426789836473841</v>
      </c>
      <c r="G50" s="26">
        <f t="shared" ref="F50:G52" ca="1" si="46">G44*$D31</f>
        <v>16.965148493304113</v>
      </c>
      <c r="H50" s="26">
        <f t="shared" ref="H50:AG50" ca="1" si="47">H44*$D31</f>
        <v>17.210295452191481</v>
      </c>
      <c r="I50" s="26">
        <f t="shared" ca="1" si="47"/>
        <v>17.733102534136119</v>
      </c>
      <c r="J50" s="26">
        <f t="shared" ca="1" si="47"/>
        <v>18.264399563226043</v>
      </c>
      <c r="K50" s="26">
        <f t="shared" ca="1" si="47"/>
        <v>18.804273652651762</v>
      </c>
      <c r="L50" s="26">
        <f t="shared" ca="1" si="47"/>
        <v>19.352810096100125</v>
      </c>
      <c r="M50" s="26">
        <f t="shared" ca="1" si="47"/>
        <v>19.910092090754272</v>
      </c>
      <c r="N50" s="26">
        <f t="shared" ca="1" si="47"/>
        <v>20.476200437522998</v>
      </c>
      <c r="O50" s="26">
        <f t="shared" ca="1" si="47"/>
        <v>21.051213216778802</v>
      </c>
      <c r="P50" s="26">
        <f t="shared" ca="1" si="47"/>
        <v>21.63520543775601</v>
      </c>
      <c r="Q50" s="26">
        <f t="shared" ca="1" si="47"/>
        <v>22.228248659623514</v>
      </c>
      <c r="R50" s="26">
        <f t="shared" ca="1" si="47"/>
        <v>22.830410582099429</v>
      </c>
      <c r="S50" s="26">
        <f t="shared" ca="1" si="47"/>
        <v>23.441754603316909</v>
      </c>
      <c r="T50" s="26">
        <f t="shared" ca="1" si="47"/>
        <v>24.062339342480854</v>
      </c>
      <c r="U50" s="26">
        <f t="shared" ca="1" si="47"/>
        <v>24.692218124672763</v>
      </c>
      <c r="V50" s="26">
        <f t="shared" ca="1" si="47"/>
        <v>25.331438424965775</v>
      </c>
      <c r="W50" s="26">
        <f t="shared" ca="1" si="47"/>
        <v>25.980041268801159</v>
      </c>
      <c r="X50" s="26">
        <f t="shared" ca="1" si="47"/>
        <v>25.980041268801159</v>
      </c>
      <c r="Y50" s="26">
        <f t="shared" ca="1" si="47"/>
        <v>25.980041268801159</v>
      </c>
      <c r="Z50" s="26">
        <f t="shared" ca="1" si="47"/>
        <v>25.980041268801159</v>
      </c>
      <c r="AB50" s="26">
        <f ca="1">AB44*$D31</f>
        <v>18.426789836473841</v>
      </c>
      <c r="AC50" s="26">
        <f ca="1">AC44*$D31</f>
        <v>16.965148493304113</v>
      </c>
      <c r="AD50" s="26">
        <f t="shared" ca="1" si="47"/>
        <v>18.804273652651762</v>
      </c>
      <c r="AE50" s="26">
        <f t="shared" ca="1" si="47"/>
        <v>21.051213216778802</v>
      </c>
      <c r="AF50" s="26">
        <f t="shared" ca="1" si="47"/>
        <v>23.441754603316909</v>
      </c>
      <c r="AG50" s="26">
        <f t="shared" ca="1" si="47"/>
        <v>25.980041268801159</v>
      </c>
    </row>
    <row r="51" spans="2:33" x14ac:dyDescent="0.25">
      <c r="B51" s="2" t="s">
        <v>307</v>
      </c>
      <c r="F51" s="26">
        <f t="shared" si="46"/>
        <v>13.378992656709938</v>
      </c>
      <c r="G51" s="26">
        <f t="shared" si="46"/>
        <v>13.594282981947746</v>
      </c>
      <c r="H51" s="26">
        <f t="shared" ref="H51:AG51" si="48">H45*$D32</f>
        <v>13.813037687900183</v>
      </c>
      <c r="I51" s="26">
        <f t="shared" si="48"/>
        <v>14.035312522235987</v>
      </c>
      <c r="J51" s="26">
        <f t="shared" si="48"/>
        <v>14.261164129696965</v>
      </c>
      <c r="K51" s="26">
        <f t="shared" si="48"/>
        <v>14.490650066533354</v>
      </c>
      <c r="L51" s="26">
        <f t="shared" si="48"/>
        <v>14.723828815171551</v>
      </c>
      <c r="M51" s="26">
        <f t="shared" si="48"/>
        <v>14.960759799117817</v>
      </c>
      <c r="N51" s="26">
        <f t="shared" si="48"/>
        <v>15.201503398101819</v>
      </c>
      <c r="O51" s="26">
        <f t="shared" si="48"/>
        <v>15.44612096346386</v>
      </c>
      <c r="P51" s="26">
        <f t="shared" si="48"/>
        <v>15.694674833789735</v>
      </c>
      <c r="Q51" s="26">
        <f t="shared" si="48"/>
        <v>15.947228350797136</v>
      </c>
      <c r="R51" s="26">
        <f t="shared" si="48"/>
        <v>16.203845875477729</v>
      </c>
      <c r="S51" s="26">
        <f t="shared" si="48"/>
        <v>16.464592804498981</v>
      </c>
      <c r="T51" s="26">
        <f t="shared" si="48"/>
        <v>16.729535586869893</v>
      </c>
      <c r="U51" s="26">
        <f t="shared" si="48"/>
        <v>16.998741740874944</v>
      </c>
      <c r="V51" s="26">
        <f t="shared" si="48"/>
        <v>17.272279871280535</v>
      </c>
      <c r="W51" s="26">
        <f t="shared" si="48"/>
        <v>17.550219686818256</v>
      </c>
      <c r="X51" s="26">
        <f t="shared" si="48"/>
        <v>17.832632017949564</v>
      </c>
      <c r="Y51" s="26">
        <f t="shared" si="48"/>
        <v>18.119588834916286</v>
      </c>
      <c r="Z51" s="26">
        <f t="shared" si="48"/>
        <v>18.411163266081552</v>
      </c>
      <c r="AB51" s="26">
        <f t="shared" si="48"/>
        <v>13.378992656709938</v>
      </c>
      <c r="AC51" s="26">
        <f t="shared" si="48"/>
        <v>14.261164129696965</v>
      </c>
      <c r="AD51" s="26">
        <f t="shared" si="48"/>
        <v>15.201503398101819</v>
      </c>
      <c r="AE51" s="26">
        <f t="shared" si="48"/>
        <v>16.203845875477729</v>
      </c>
      <c r="AF51" s="26">
        <f t="shared" si="48"/>
        <v>17.272279871280535</v>
      </c>
      <c r="AG51" s="26">
        <f t="shared" si="48"/>
        <v>18.411163266081552</v>
      </c>
    </row>
    <row r="52" spans="2:33" x14ac:dyDescent="0.25">
      <c r="B52" s="2" t="s">
        <v>308</v>
      </c>
      <c r="F52" s="26">
        <f t="shared" si="46"/>
        <v>10.818749225691766</v>
      </c>
      <c r="G52" s="26">
        <f t="shared" ca="1" si="46"/>
        <v>11.210746256666475</v>
      </c>
      <c r="H52" s="26">
        <f t="shared" ref="H52:AG52" ca="1" si="49">H46*$D33</f>
        <v>11.581787054826545</v>
      </c>
      <c r="I52" s="26">
        <f t="shared" ca="1" si="49"/>
        <v>11.963904474474718</v>
      </c>
      <c r="J52" s="26">
        <f t="shared" ca="1" si="49"/>
        <v>12.357184559146651</v>
      </c>
      <c r="K52" s="26">
        <f t="shared" ca="1" si="49"/>
        <v>12.761714896005218</v>
      </c>
      <c r="L52" s="26">
        <f t="shared" ca="1" si="49"/>
        <v>13.177584535435289</v>
      </c>
      <c r="M52" s="26">
        <f t="shared" ca="1" si="49"/>
        <v>13.604883903456159</v>
      </c>
      <c r="N52" s="26">
        <f t="shared" ca="1" si="49"/>
        <v>14.043704706364755</v>
      </c>
      <c r="O52" s="26">
        <f t="shared" ca="1" si="49"/>
        <v>14.494139826978994</v>
      </c>
      <c r="P52" s="26">
        <f t="shared" ca="1" si="49"/>
        <v>14.956283211803811</v>
      </c>
      <c r="Q52" s="26">
        <f t="shared" ca="1" si="49"/>
        <v>15.430229748392126</v>
      </c>
      <c r="R52" s="26">
        <f t="shared" ca="1" si="49"/>
        <v>15.916075132118738</v>
      </c>
      <c r="S52" s="26">
        <f t="shared" ca="1" si="49"/>
        <v>16.413915721527342</v>
      </c>
      <c r="T52" s="26">
        <f t="shared" ca="1" si="49"/>
        <v>16.92384838134814</v>
      </c>
      <c r="U52" s="26">
        <f t="shared" ca="1" si="49"/>
        <v>17.445970312216819</v>
      </c>
      <c r="V52" s="26">
        <f t="shared" ca="1" si="49"/>
        <v>17.980378866053499</v>
      </c>
      <c r="W52" s="26">
        <f t="shared" ca="1" si="49"/>
        <v>18.527171345983049</v>
      </c>
      <c r="X52" s="26">
        <f t="shared" ca="1" si="49"/>
        <v>19.086444789595173</v>
      </c>
      <c r="Y52" s="26">
        <f t="shared" ca="1" si="49"/>
        <v>19.658295734253482</v>
      </c>
      <c r="Z52" s="26">
        <f t="shared" ca="1" si="49"/>
        <v>20.242819963066985</v>
      </c>
      <c r="AB52" s="26">
        <f t="shared" si="49"/>
        <v>10.818749225691766</v>
      </c>
      <c r="AC52" s="26">
        <f t="shared" ca="1" si="49"/>
        <v>12.357184559146651</v>
      </c>
      <c r="AD52" s="26">
        <f t="shared" ca="1" si="49"/>
        <v>14.043704706364755</v>
      </c>
      <c r="AE52" s="26">
        <f t="shared" ca="1" si="49"/>
        <v>15.916075132118738</v>
      </c>
      <c r="AF52" s="26">
        <f t="shared" ca="1" si="49"/>
        <v>17.980378866053499</v>
      </c>
      <c r="AG52" s="26">
        <f t="shared" ca="1" si="49"/>
        <v>20.242819963066985</v>
      </c>
    </row>
    <row r="53" spans="2:33" x14ac:dyDescent="0.25">
      <c r="B53" s="8" t="s">
        <v>309</v>
      </c>
      <c r="C53" s="8"/>
      <c r="D53" s="8"/>
      <c r="E53" s="16"/>
      <c r="F53" s="143">
        <f ca="1">AVERAGE(F50:F52)</f>
        <v>14.208177239625181</v>
      </c>
      <c r="G53" s="143">
        <f ca="1">AVERAGE(G50:G52)</f>
        <v>13.923392577306112</v>
      </c>
      <c r="H53" s="143">
        <f t="shared" ref="H53:AG53" ca="1" si="50">AVERAGE(H50:H52)</f>
        <v>14.201706731639405</v>
      </c>
      <c r="I53" s="143">
        <f t="shared" ca="1" si="50"/>
        <v>14.577439843615608</v>
      </c>
      <c r="J53" s="143">
        <f t="shared" ca="1" si="50"/>
        <v>14.96091608402322</v>
      </c>
      <c r="K53" s="143">
        <f t="shared" ca="1" si="50"/>
        <v>15.35221287173011</v>
      </c>
      <c r="L53" s="143">
        <f t="shared" ca="1" si="50"/>
        <v>15.751407815568987</v>
      </c>
      <c r="M53" s="143">
        <f t="shared" ca="1" si="50"/>
        <v>16.158578597776081</v>
      </c>
      <c r="N53" s="143">
        <f t="shared" ca="1" si="50"/>
        <v>16.573802847329858</v>
      </c>
      <c r="O53" s="143">
        <f t="shared" ca="1" si="50"/>
        <v>16.997158002407218</v>
      </c>
      <c r="P53" s="143">
        <f t="shared" ca="1" si="50"/>
        <v>17.428721161116517</v>
      </c>
      <c r="Q53" s="143">
        <f t="shared" ca="1" si="50"/>
        <v>17.868568919604257</v>
      </c>
      <c r="R53" s="143">
        <f t="shared" ca="1" si="50"/>
        <v>18.316777196565297</v>
      </c>
      <c r="S53" s="143">
        <f t="shared" ca="1" si="50"/>
        <v>18.773421043114411</v>
      </c>
      <c r="T53" s="143">
        <f t="shared" ca="1" si="50"/>
        <v>19.238574436899629</v>
      </c>
      <c r="U53" s="143">
        <f t="shared" ca="1" si="50"/>
        <v>19.712310059254843</v>
      </c>
      <c r="V53" s="143">
        <f t="shared" ca="1" si="50"/>
        <v>20.194699054099939</v>
      </c>
      <c r="W53" s="143">
        <f t="shared" ca="1" si="50"/>
        <v>20.68581076720082</v>
      </c>
      <c r="X53" s="143">
        <f t="shared" ca="1" si="50"/>
        <v>20.9663726921153</v>
      </c>
      <c r="Y53" s="143">
        <f t="shared" ca="1" si="50"/>
        <v>21.252641945990309</v>
      </c>
      <c r="Z53" s="143">
        <f t="shared" ca="1" si="50"/>
        <v>21.5446748326499</v>
      </c>
      <c r="AB53" s="143">
        <f t="shared" ca="1" si="50"/>
        <v>14.208177239625181</v>
      </c>
      <c r="AC53" s="143">
        <f t="shared" ca="1" si="50"/>
        <v>14.527832394049243</v>
      </c>
      <c r="AD53" s="143">
        <f t="shared" ca="1" si="50"/>
        <v>16.016493919039444</v>
      </c>
      <c r="AE53" s="143">
        <f t="shared" ca="1" si="50"/>
        <v>17.723711408125087</v>
      </c>
      <c r="AF53" s="143">
        <f t="shared" ca="1" si="50"/>
        <v>19.564804446883645</v>
      </c>
      <c r="AG53" s="143">
        <f t="shared" ca="1" si="50"/>
        <v>21.5446748326499</v>
      </c>
    </row>
    <row r="56" spans="2:33" x14ac:dyDescent="0.25">
      <c r="B56" s="21" t="s">
        <v>310</v>
      </c>
      <c r="C56" s="19"/>
      <c r="D56" s="19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B56" s="20"/>
      <c r="AC56" s="20"/>
      <c r="AD56" s="20"/>
      <c r="AE56" s="20"/>
      <c r="AF56" s="20"/>
      <c r="AG56" s="20"/>
    </row>
    <row r="57" spans="2:33" x14ac:dyDescent="0.25">
      <c r="B57" s="2" t="s">
        <v>311</v>
      </c>
      <c r="D57" s="144">
        <v>1.4999999999999999E-2</v>
      </c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B57" s="128"/>
      <c r="AC57" s="128"/>
      <c r="AD57" s="128"/>
      <c r="AE57" s="128"/>
      <c r="AF57" s="128"/>
      <c r="AG57" s="128"/>
    </row>
    <row r="58" spans="2:33" x14ac:dyDescent="0.25">
      <c r="B58" s="2" t="s">
        <v>279</v>
      </c>
      <c r="D58" s="145">
        <v>47848</v>
      </c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</row>
    <row r="59" spans="2:33" x14ac:dyDescent="0.25">
      <c r="B59" s="2" t="s">
        <v>312</v>
      </c>
      <c r="F59" s="6">
        <f>-'Quarterly Financial Projections'!F105</f>
        <v>129654.11700000026</v>
      </c>
      <c r="G59" s="6">
        <f ca="1">-'Quarterly Financial Projections'!G105</f>
        <v>45192.947649303416</v>
      </c>
      <c r="H59" s="6">
        <f ca="1">-'Quarterly Financial Projections'!H105</f>
        <v>44514.664067280879</v>
      </c>
      <c r="I59" s="6">
        <f ca="1">-'Quarterly Financial Projections'!I105</f>
        <v>46789.343627488961</v>
      </c>
      <c r="J59" s="6">
        <f ca="1">-'Quarterly Financial Projections'!J105</f>
        <v>49159.208715314548</v>
      </c>
      <c r="K59" s="6">
        <f ca="1">-'Quarterly Financial Projections'!K105</f>
        <v>51627.816683902529</v>
      </c>
      <c r="L59" s="6">
        <f ca="1">-'Quarterly Financial Projections'!L105</f>
        <v>54198.841991822563</v>
      </c>
      <c r="M59" s="6">
        <f ca="1">-'Quarterly Financial Projections'!M105</f>
        <v>56876.078903465277</v>
      </c>
      <c r="N59" s="6">
        <f ca="1">-'Quarterly Financial Projections'!N105</f>
        <v>59663.444132926452</v>
      </c>
      <c r="O59" s="6">
        <f ca="1">-'Quarterly Financial Projections'!O105</f>
        <v>62564.979414542191</v>
      </c>
      <c r="P59" s="6">
        <f ca="1">-'Quarterly Financial Projections'!P105</f>
        <v>65584.853981223729</v>
      </c>
      <c r="Q59" s="6">
        <f ca="1">-'Quarterly Financial Projections'!Q105</f>
        <v>68727.366929519456</v>
      </c>
      <c r="R59" s="6">
        <f ca="1">-'Quarterly Financial Projections'!R105</f>
        <v>71996.949447884879</v>
      </c>
      <c r="S59" s="6">
        <f ca="1">-'Quarterly Financial Projections'!S105</f>
        <v>75398.16688194593</v>
      </c>
      <c r="T59" s="6">
        <f ca="1">-'Quarterly Financial Projections'!T105</f>
        <v>78935.720607574767</v>
      </c>
      <c r="U59" s="6">
        <f ca="1">-'Quarterly Financial Projections'!U105</f>
        <v>82614.44967932922</v>
      </c>
      <c r="V59" s="6">
        <f ca="1">-'Quarterly Financial Projections'!V105</f>
        <v>86439.332218215932</v>
      </c>
      <c r="W59" s="6">
        <f ca="1">-'Quarterly Financial Projections'!W105</f>
        <v>90415.486498782135</v>
      </c>
      <c r="X59" s="6">
        <f ca="1">-'Quarterly Financial Projections'!X105</f>
        <v>94548.171691196272</v>
      </c>
      <c r="Y59" s="6">
        <f ca="1">-'Quarterly Financial Projections'!Y105</f>
        <v>98842.78820919781</v>
      </c>
      <c r="Z59" s="6">
        <f ca="1">-'Quarterly Financial Projections'!Z105</f>
        <v>103304.87760954423</v>
      </c>
      <c r="AA59" s="128"/>
      <c r="AB59" s="6">
        <f>SUMIF($F$2:$Z$2,AB$2,$F59:$Z59)</f>
        <v>129654.11700000026</v>
      </c>
      <c r="AC59" s="6">
        <f t="shared" ref="AC59:AG60" ca="1" si="51">SUMIF($F$2:$Z$2,AC$2,$F59:$Z59)</f>
        <v>185656.16405938781</v>
      </c>
      <c r="AD59" s="6">
        <f t="shared" ca="1" si="51"/>
        <v>222366.18171211681</v>
      </c>
      <c r="AE59" s="6">
        <f t="shared" ca="1" si="51"/>
        <v>268874.14977317024</v>
      </c>
      <c r="AF59" s="6">
        <f t="shared" ca="1" si="51"/>
        <v>323387.66938706586</v>
      </c>
      <c r="AG59" s="6">
        <f t="shared" ca="1" si="51"/>
        <v>387111.32400872046</v>
      </c>
    </row>
    <row r="60" spans="2:33" x14ac:dyDescent="0.25">
      <c r="B60" s="2" t="s">
        <v>313</v>
      </c>
      <c r="F60" s="6">
        <f>F59</f>
        <v>129654.11700000026</v>
      </c>
      <c r="G60" s="6">
        <f t="shared" ref="G60:Z60" ca="1" si="52">G59*G26</f>
        <v>44330.440098005121</v>
      </c>
      <c r="H60" s="6">
        <f t="shared" ca="1" si="52"/>
        <v>42831.752956553668</v>
      </c>
      <c r="I60" s="6">
        <f t="shared" ca="1" si="52"/>
        <v>44161.221330976885</v>
      </c>
      <c r="J60" s="6">
        <f t="shared" ca="1" si="52"/>
        <v>45512.467414763261</v>
      </c>
      <c r="K60" s="6">
        <f t="shared" ca="1" si="52"/>
        <v>46885.724460097168</v>
      </c>
      <c r="L60" s="6">
        <f t="shared" ca="1" si="52"/>
        <v>48281.22198911829</v>
      </c>
      <c r="M60" s="6">
        <f t="shared" ca="1" si="52"/>
        <v>49699.185155701314</v>
      </c>
      <c r="N60" s="6">
        <f t="shared" ca="1" si="52"/>
        <v>51139.834054224732</v>
      </c>
      <c r="O60" s="6">
        <f t="shared" ca="1" si="52"/>
        <v>52603.382971313637</v>
      </c>
      <c r="P60" s="6">
        <f t="shared" ca="1" si="52"/>
        <v>54090.039576243485</v>
      </c>
      <c r="Q60" s="6">
        <f t="shared" ca="1" si="52"/>
        <v>55600.004045372021</v>
      </c>
      <c r="R60" s="6">
        <f t="shared" ca="1" si="52"/>
        <v>57133.468115622636</v>
      </c>
      <c r="S60" s="6">
        <f t="shared" ca="1" si="52"/>
        <v>58690.61406167387</v>
      </c>
      <c r="T60" s="6">
        <f t="shared" ca="1" si="52"/>
        <v>60271.613591114146</v>
      </c>
      <c r="U60" s="6">
        <f t="shared" ca="1" si="52"/>
        <v>61876.626651393948</v>
      </c>
      <c r="V60" s="6">
        <f t="shared" ca="1" si="52"/>
        <v>63505.800141953107</v>
      </c>
      <c r="W60" s="6">
        <f t="shared" ca="1" si="52"/>
        <v>65159.266524408107</v>
      </c>
      <c r="X60" s="6">
        <f t="shared" ca="1" si="52"/>
        <v>66837.142323159642</v>
      </c>
      <c r="Y60" s="6">
        <f t="shared" ca="1" si="52"/>
        <v>68539.526508213952</v>
      </c>
      <c r="Z60" s="6">
        <f t="shared" ca="1" si="52"/>
        <v>70266.498751404171</v>
      </c>
      <c r="AA60" s="128"/>
      <c r="AB60" s="6">
        <f>SUMIF($F$2:$Z$2,AB$2,$F60:$Z60)</f>
        <v>129654.11700000026</v>
      </c>
      <c r="AC60" s="6">
        <f t="shared" ca="1" si="51"/>
        <v>176835.88180029896</v>
      </c>
      <c r="AD60" s="6">
        <f t="shared" ca="1" si="51"/>
        <v>196005.96565914148</v>
      </c>
      <c r="AE60" s="6">
        <f t="shared" ca="1" si="51"/>
        <v>219426.89470855179</v>
      </c>
      <c r="AF60" s="6">
        <f t="shared" ca="1" si="51"/>
        <v>244344.65444613507</v>
      </c>
      <c r="AG60" s="6">
        <f t="shared" ca="1" si="51"/>
        <v>270802.43410718587</v>
      </c>
    </row>
    <row r="61" spans="2:33" x14ac:dyDescent="0.25">
      <c r="B61" s="2" t="s">
        <v>314</v>
      </c>
      <c r="D61" s="146">
        <f ca="1">((SUMIF($AB$4:$AG$4,$D$58,$AB$59:$AG$59))*(1+$D$57))/($D$21-$D$57)</f>
        <v>6033178.0888782125</v>
      </c>
    </row>
    <row r="62" spans="2:33" x14ac:dyDescent="0.25">
      <c r="D62" s="6"/>
      <c r="F62" s="97" t="s">
        <v>320</v>
      </c>
      <c r="G62" s="63"/>
      <c r="H62" s="63"/>
      <c r="I62" s="63"/>
      <c r="J62" s="63"/>
      <c r="K62" s="63"/>
      <c r="L62" s="63"/>
    </row>
    <row r="63" spans="2:33" x14ac:dyDescent="0.25">
      <c r="B63" s="2" t="s">
        <v>315</v>
      </c>
      <c r="D63" s="6">
        <f ca="1">SUM($F$60:$Z$60)</f>
        <v>1237069.9477213135</v>
      </c>
      <c r="F63" s="75"/>
      <c r="G63" s="155" t="s">
        <v>282</v>
      </c>
      <c r="H63" s="147"/>
      <c r="I63" s="147"/>
      <c r="J63" s="147"/>
      <c r="K63" s="147"/>
      <c r="L63" s="147"/>
    </row>
    <row r="64" spans="2:33" x14ac:dyDescent="0.25">
      <c r="B64" s="2" t="s">
        <v>316</v>
      </c>
      <c r="D64" s="6">
        <f ca="1">D61*SUMIF($AB$4:$AG$4,$D$58,$AB$26:$AG$26)</f>
        <v>4025362.5880955267</v>
      </c>
      <c r="F64" s="253" t="s">
        <v>321</v>
      </c>
      <c r="G64" s="150">
        <f ca="1">D67</f>
        <v>15.051972821131114</v>
      </c>
      <c r="H64" s="148">
        <v>2.0126205141063391E-2</v>
      </c>
      <c r="I64" s="148">
        <v>5.012620514106339E-2</v>
      </c>
      <c r="J64" s="148">
        <v>8.0126205141063389E-2</v>
      </c>
      <c r="K64" s="148">
        <v>0.11012620514106339</v>
      </c>
      <c r="L64" s="149">
        <v>0.14012620514106339</v>
      </c>
    </row>
    <row r="65" spans="2:33" x14ac:dyDescent="0.25">
      <c r="B65" s="8" t="s">
        <v>317</v>
      </c>
      <c r="C65" s="8"/>
      <c r="D65" s="16">
        <f ca="1">SUM(D63:D64)</f>
        <v>5262432.5358168399</v>
      </c>
      <c r="F65" s="253"/>
      <c r="G65" s="151">
        <v>4.9999999999999984E-3</v>
      </c>
      <c r="H65" s="43">
        <f t="dataTable" ref="H65:L69" dt2D="1" dtr="1" r1="D21" r2="D57" ca="1"/>
        <v>70.369385476292337</v>
      </c>
      <c r="I65" s="43">
        <v>22.880404607968217</v>
      </c>
      <c r="J65" s="43">
        <v>13.421066940176052</v>
      </c>
      <c r="K65" s="43">
        <v>9.4193931013466372</v>
      </c>
      <c r="L65" s="153">
        <v>7.2316557254251546</v>
      </c>
    </row>
    <row r="66" spans="2:33" x14ac:dyDescent="0.25">
      <c r="B66" s="2" t="s">
        <v>104</v>
      </c>
      <c r="D66" s="6">
        <f>$F$38</f>
        <v>349617.462</v>
      </c>
      <c r="F66" s="253"/>
      <c r="G66" s="151">
        <v>9.9999999999999985E-3</v>
      </c>
      <c r="H66" s="43">
        <v>103.57847472679119</v>
      </c>
      <c r="I66" s="43">
        <v>25.363992325144956</v>
      </c>
      <c r="J66" s="43">
        <v>14.178378067700979</v>
      </c>
      <c r="K66" s="43">
        <v>9.7567747946893189</v>
      </c>
      <c r="L66" s="153">
        <v>7.411981778133141</v>
      </c>
    </row>
    <row r="67" spans="2:33" x14ac:dyDescent="0.25">
      <c r="B67" s="2" t="s">
        <v>318</v>
      </c>
      <c r="D67" s="5">
        <f ca="1">D65/D66</f>
        <v>15.051972821131114</v>
      </c>
      <c r="F67" s="253"/>
      <c r="G67" s="151">
        <v>1.4999999999999999E-2</v>
      </c>
      <c r="H67" s="43">
        <v>201.57055321913276</v>
      </c>
      <c r="I67" s="43">
        <v>28.554627019700227</v>
      </c>
      <c r="J67" s="43">
        <v>15.051972821131114</v>
      </c>
      <c r="K67" s="43">
        <v>10.129623233798046</v>
      </c>
      <c r="L67" s="153">
        <v>7.6067193645805782</v>
      </c>
    </row>
    <row r="68" spans="2:33" x14ac:dyDescent="0.25">
      <c r="B68" s="2" t="s">
        <v>156</v>
      </c>
      <c r="D68" s="128">
        <f ca="1">D67/$D$10-1</f>
        <v>0.88857877304029054</v>
      </c>
      <c r="F68" s="253"/>
      <c r="G68" s="151">
        <v>0.02</v>
      </c>
      <c r="H68" s="43">
        <v>8064.0702949232045</v>
      </c>
      <c r="I68" s="43">
        <v>32.804351194532039</v>
      </c>
      <c r="J68" s="43">
        <v>16.070861086995734</v>
      </c>
      <c r="K68" s="43">
        <v>10.54384126552694</v>
      </c>
      <c r="L68" s="153">
        <v>7.8176680338819819</v>
      </c>
    </row>
    <row r="69" spans="2:33" x14ac:dyDescent="0.25">
      <c r="F69" s="253"/>
      <c r="G69" s="152">
        <v>2.5000000000000001E-2</v>
      </c>
      <c r="H69" s="65">
        <v>-205.62257563945013</v>
      </c>
      <c r="I69" s="65">
        <v>38.745426749714767</v>
      </c>
      <c r="J69" s="65">
        <v>17.274577650628604</v>
      </c>
      <c r="K69" s="65">
        <v>11.006718582729969</v>
      </c>
      <c r="L69" s="154">
        <v>8.0469399571326452</v>
      </c>
    </row>
    <row r="71" spans="2:33" x14ac:dyDescent="0.25">
      <c r="B71" s="21" t="s">
        <v>319</v>
      </c>
      <c r="C71" s="19"/>
      <c r="D71" s="19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B71" s="20"/>
      <c r="AC71" s="20"/>
      <c r="AD71" s="20"/>
      <c r="AE71" s="20"/>
      <c r="AF71" s="20"/>
      <c r="AG71" s="20"/>
    </row>
    <row r="72" spans="2:33" x14ac:dyDescent="0.25">
      <c r="B72" s="2" t="s">
        <v>279</v>
      </c>
      <c r="D72" s="145">
        <v>46022</v>
      </c>
    </row>
    <row r="73" spans="2:33" x14ac:dyDescent="0.25">
      <c r="B73" s="2" t="s">
        <v>322</v>
      </c>
      <c r="D73" s="146">
        <f>SUMIF('Quarterly Financial Projections'!$E$4:$Z$4,Valuation!$D$72,'Quarterly Financial Projections'!$E$62:$Z$62)</f>
        <v>2208394.665</v>
      </c>
    </row>
    <row r="74" spans="2:33" x14ac:dyDescent="0.25">
      <c r="B74" s="2" t="s">
        <v>323</v>
      </c>
      <c r="F74" s="6">
        <f>'Quarterly Financial Projections'!F26+'Quarterly Financial Projections'!F105</f>
        <v>100456.94699999996</v>
      </c>
      <c r="G74" s="6">
        <f ca="1">'Quarterly Financial Projections'!G26+'Quarterly Financial Projections'!G105</f>
        <v>125996.58712852455</v>
      </c>
      <c r="H74" s="6">
        <f ca="1">'Quarterly Financial Projections'!H26+'Quarterly Financial Projections'!H105</f>
        <v>124105.55277725076</v>
      </c>
      <c r="I74" s="6">
        <f ca="1">'Quarterly Financial Projections'!I26+'Quarterly Financial Projections'!I105</f>
        <v>130447.291395879</v>
      </c>
      <c r="J74" s="6">
        <f ca="1">'Quarterly Financial Projections'!J26+'Quarterly Financial Projections'!J105</f>
        <v>137054.40442019768</v>
      </c>
      <c r="K74" s="6">
        <f ca="1">'Quarterly Financial Projections'!K26+'Quarterly Financial Projections'!K105</f>
        <v>143936.80964443757</v>
      </c>
      <c r="L74" s="6">
        <f ca="1">'Quarterly Financial Projections'!L26+'Quarterly Financial Projections'!L105</f>
        <v>151104.75134925314</v>
      </c>
      <c r="M74" s="6">
        <f ca="1">'Quarterly Financial Projections'!M26+'Quarterly Financial Projections'!M105</f>
        <v>158568.80783034643</v>
      </c>
      <c r="N74" s="6">
        <f ca="1">'Quarterly Financial Projections'!N26+'Quarterly Financial Projections'!N105</f>
        <v>166339.89876953722</v>
      </c>
      <c r="O74" s="6">
        <f ca="1">'Quarterly Financial Projections'!O26+'Quarterly Financial Projections'!O105</f>
        <v>174429.29240133805</v>
      </c>
      <c r="P74" s="6">
        <f ca="1">'Quarterly Financial Projections'!P26+'Quarterly Financial Projections'!P105</f>
        <v>182848.61242247792</v>
      </c>
      <c r="Q74" s="6">
        <f ca="1">'Quarterly Financial Projections'!Q26+'Quarterly Financial Projections'!Q105</f>
        <v>191609.84458562412</v>
      </c>
      <c r="R74" s="6">
        <f ca="1">'Quarterly Financial Projections'!R26+'Quarterly Financial Projections'!R105</f>
        <v>200725.34291173256</v>
      </c>
      <c r="S74" s="6">
        <f ca="1">'Quarterly Financial Projections'!S26+'Quarterly Financial Projections'!S105</f>
        <v>210207.83544793993</v>
      </c>
      <c r="T74" s="6">
        <f ca="1">'Quarterly Financial Projections'!T26+'Quarterly Financial Projections'!T105</f>
        <v>220070.42948964323</v>
      </c>
      <c r="U74" s="6">
        <f ca="1">'Quarterly Financial Projections'!U26+'Quarterly Financial Projections'!U105</f>
        <v>230326.61617629963</v>
      </c>
      <c r="V74" s="6">
        <f ca="1">'Quarterly Financial Projections'!V26+'Quarterly Financial Projections'!V105</f>
        <v>240990.27436046855</v>
      </c>
      <c r="W74" s="6">
        <f ca="1">'Quarterly Financial Projections'!W26+'Quarterly Financial Projections'!W105</f>
        <v>252075.67363859108</v>
      </c>
      <c r="X74" s="6">
        <f ca="1">'Quarterly Financial Projections'!X26+'Quarterly Financial Projections'!X105</f>
        <v>263597.47641988844</v>
      </c>
      <c r="Y74" s="6">
        <f ca="1">'Quarterly Financial Projections'!Y26+'Quarterly Financial Projections'!Y105</f>
        <v>275570.73889643594</v>
      </c>
      <c r="Z74" s="6">
        <f ca="1">'Quarterly Financial Projections'!Z26+'Quarterly Financial Projections'!Z105</f>
        <v>288010.910762824</v>
      </c>
      <c r="AB74" s="6">
        <f>SUMIF($F$2:$Z$2,AB$2,$F74:$Z74)</f>
        <v>100456.94699999996</v>
      </c>
      <c r="AC74" s="6">
        <f ca="1">SUMIF($F$2:$Z$2,AC$2,$F74:$Z74)</f>
        <v>517603.83572185203</v>
      </c>
      <c r="AD74" s="6">
        <f t="shared" ref="AD74:AG75" ca="1" si="53">SUMIF($F$2:$Z$2,AD$2,$F74:$Z74)</f>
        <v>619950.26759357436</v>
      </c>
      <c r="AE74" s="6">
        <f t="shared" ca="1" si="53"/>
        <v>749613.09232117259</v>
      </c>
      <c r="AF74" s="6">
        <f t="shared" ca="1" si="53"/>
        <v>901595.15547435125</v>
      </c>
      <c r="AG74" s="6">
        <f t="shared" ca="1" si="53"/>
        <v>1079254.7997177395</v>
      </c>
    </row>
    <row r="75" spans="2:33" x14ac:dyDescent="0.25">
      <c r="B75" s="2" t="s">
        <v>324</v>
      </c>
      <c r="F75" s="6">
        <f>F74</f>
        <v>100456.94699999996</v>
      </c>
      <c r="G75" s="6">
        <f t="shared" ref="G75:Z75" ca="1" si="54">G74*G26</f>
        <v>123591.9418577742</v>
      </c>
      <c r="H75" s="6">
        <f t="shared" ca="1" si="54"/>
        <v>119413.6469064999</v>
      </c>
      <c r="I75" s="6">
        <f t="shared" ca="1" si="54"/>
        <v>123120.16499362483</v>
      </c>
      <c r="J75" s="6">
        <f t="shared" ca="1" si="54"/>
        <v>126887.39868347006</v>
      </c>
      <c r="K75" s="6">
        <f t="shared" ca="1" si="54"/>
        <v>130715.9982761532</v>
      </c>
      <c r="L75" s="6">
        <f t="shared" ca="1" si="54"/>
        <v>134606.6036725388</v>
      </c>
      <c r="M75" s="6">
        <f t="shared" ca="1" si="54"/>
        <v>138559.84259489906</v>
      </c>
      <c r="N75" s="6">
        <f t="shared" ca="1" si="54"/>
        <v>142576.32865978219</v>
      </c>
      <c r="O75" s="6">
        <f t="shared" ca="1" si="54"/>
        <v>146656.6592918933</v>
      </c>
      <c r="P75" s="6">
        <f t="shared" ca="1" si="54"/>
        <v>150801.41346696488</v>
      </c>
      <c r="Q75" s="6">
        <f t="shared" ca="1" si="54"/>
        <v>155011.14927069846</v>
      </c>
      <c r="R75" s="6">
        <f t="shared" ca="1" si="54"/>
        <v>159286.40125990508</v>
      </c>
      <c r="S75" s="6">
        <f t="shared" ca="1" si="54"/>
        <v>163627.67761093986</v>
      </c>
      <c r="T75" s="6">
        <f t="shared" ca="1" si="54"/>
        <v>168035.45703942658</v>
      </c>
      <c r="U75" s="6">
        <f t="shared" ca="1" si="54"/>
        <v>172510.18547407605</v>
      </c>
      <c r="V75" s="6">
        <f t="shared" ca="1" si="54"/>
        <v>177052.27246613539</v>
      </c>
      <c r="W75" s="6">
        <f t="shared" ca="1" si="54"/>
        <v>181662.08731463179</v>
      </c>
      <c r="X75" s="6">
        <f t="shared" ca="1" si="54"/>
        <v>186339.95488611111</v>
      </c>
      <c r="Y75" s="6">
        <f t="shared" ca="1" si="54"/>
        <v>191086.15110599238</v>
      </c>
      <c r="Z75" s="6">
        <f t="shared" ca="1" si="54"/>
        <v>195900.89809696484</v>
      </c>
      <c r="AB75" s="6">
        <f>SUMIF($F$2:$Z$2,AB$2,$F75:$Z75)</f>
        <v>100456.94699999996</v>
      </c>
      <c r="AC75" s="6">
        <f ca="1">SUMIF($F$2:$Z$2,AC$2,$F75:$Z75)</f>
        <v>493013.15244136902</v>
      </c>
      <c r="AD75" s="6">
        <f t="shared" ca="1" si="53"/>
        <v>546458.77320337319</v>
      </c>
      <c r="AE75" s="6">
        <f t="shared" ca="1" si="53"/>
        <v>611755.62328946171</v>
      </c>
      <c r="AF75" s="6">
        <f t="shared" ca="1" si="53"/>
        <v>681225.5925905779</v>
      </c>
      <c r="AG75" s="6">
        <f ca="1">SUMIF($F$2:$Z$2,AG$2,$F75:$Z75)</f>
        <v>754989.09140370006</v>
      </c>
    </row>
    <row r="76" spans="2:33" x14ac:dyDescent="0.25">
      <c r="B76" s="2" t="s">
        <v>325</v>
      </c>
      <c r="D76" s="146">
        <f ca="1">((SUMIF($AB$4:$AG$4,$D$58,$AB$74:$AG$74))*(1+$D$57))/($D$21-$D$57)</f>
        <v>16820320.166679051</v>
      </c>
    </row>
    <row r="77" spans="2:33" x14ac:dyDescent="0.25">
      <c r="F77" s="97" t="s">
        <v>320</v>
      </c>
      <c r="G77" s="63"/>
      <c r="H77" s="63"/>
      <c r="I77" s="63"/>
      <c r="J77" s="63"/>
      <c r="K77" s="63"/>
      <c r="L77" s="63"/>
    </row>
    <row r="78" spans="2:33" x14ac:dyDescent="0.25">
      <c r="B78" s="2" t="s">
        <v>322</v>
      </c>
      <c r="D78" s="6">
        <f>D73</f>
        <v>2208394.665</v>
      </c>
      <c r="F78" s="75"/>
      <c r="G78" s="155" t="s">
        <v>282</v>
      </c>
      <c r="H78" s="147"/>
      <c r="I78" s="147"/>
      <c r="J78" s="147"/>
      <c r="K78" s="147"/>
      <c r="L78" s="147"/>
    </row>
    <row r="79" spans="2:33" x14ac:dyDescent="0.25">
      <c r="B79" s="2" t="s">
        <v>326</v>
      </c>
      <c r="D79" s="6">
        <f ca="1">SUM($F$75:$Z$75)</f>
        <v>3187899.1799284811</v>
      </c>
      <c r="F79" s="253" t="s">
        <v>321</v>
      </c>
      <c r="G79" s="150">
        <f ca="1">D83</f>
        <v>47.534480453087177</v>
      </c>
      <c r="H79" s="148">
        <v>2.0126205141063391E-2</v>
      </c>
      <c r="I79" s="148">
        <v>5.012620514106339E-2</v>
      </c>
      <c r="J79" s="148">
        <v>8.0126205141063389E-2</v>
      </c>
      <c r="K79" s="148">
        <v>0.11012620514106339</v>
      </c>
      <c r="L79" s="149">
        <v>0.14012620514106339</v>
      </c>
    </row>
    <row r="80" spans="2:33" x14ac:dyDescent="0.25">
      <c r="B80" s="2" t="s">
        <v>316</v>
      </c>
      <c r="D80" s="6">
        <f ca="1">D76*SUMIF($AB$4:$AG$4,$D$58,$AB$26:$AG$26)</f>
        <v>11222590.568568468</v>
      </c>
      <c r="F80" s="253"/>
      <c r="G80" s="151">
        <v>4.9999999999999984E-3</v>
      </c>
      <c r="H80" s="43">
        <f t="dataTable" ref="H80:L84" dt2D="1" dtr="1" r1="D21" r2="D57" ca="1"/>
        <v>201.75777337516317</v>
      </c>
      <c r="I80" s="43">
        <v>69.359914265549179</v>
      </c>
      <c r="J80" s="43">
        <v>42.987563608389067</v>
      </c>
      <c r="K80" s="43">
        <v>31.831016564665109</v>
      </c>
      <c r="L80" s="153">
        <v>25.731670156932633</v>
      </c>
    </row>
    <row r="81" spans="2:33" x14ac:dyDescent="0.25">
      <c r="B81" s="8" t="s">
        <v>317</v>
      </c>
      <c r="C81" s="8"/>
      <c r="D81" s="16">
        <f ca="1">SUM(D78:D80)</f>
        <v>16618884.413496949</v>
      </c>
      <c r="F81" s="253"/>
      <c r="G81" s="151">
        <v>9.9999999999999985E-3</v>
      </c>
      <c r="H81" s="43">
        <v>294.34372151200523</v>
      </c>
      <c r="I81" s="43">
        <v>76.284082581076518</v>
      </c>
      <c r="J81" s="43">
        <v>45.098924394214386</v>
      </c>
      <c r="K81" s="43">
        <v>32.771626640615217</v>
      </c>
      <c r="L81" s="153">
        <v>26.234413801535666</v>
      </c>
    </row>
    <row r="82" spans="2:33" x14ac:dyDescent="0.25">
      <c r="B82" s="2" t="s">
        <v>104</v>
      </c>
      <c r="D82" s="6">
        <f>$F$38</f>
        <v>349617.462</v>
      </c>
      <c r="F82" s="253"/>
      <c r="G82" s="151">
        <v>1.4999999999999999E-2</v>
      </c>
      <c r="H82" s="43">
        <v>567.54270714745189</v>
      </c>
      <c r="I82" s="43">
        <v>85.17947673432829</v>
      </c>
      <c r="J82" s="43">
        <v>47.534480453087177</v>
      </c>
      <c r="K82" s="43">
        <v>33.811116943581133</v>
      </c>
      <c r="L82" s="153">
        <v>26.777336371411483</v>
      </c>
    </row>
    <row r="83" spans="2:33" x14ac:dyDescent="0.25">
      <c r="B83" s="2" t="s">
        <v>318</v>
      </c>
      <c r="D83" s="5">
        <f ca="1">D81/D82</f>
        <v>47.534480453087177</v>
      </c>
      <c r="F83" s="253"/>
      <c r="G83" s="151">
        <v>0.02</v>
      </c>
      <c r="H83" s="43">
        <v>22487.956959411622</v>
      </c>
      <c r="I83" s="43">
        <v>97.027580700050635</v>
      </c>
      <c r="J83" s="43">
        <v>50.375110481481045</v>
      </c>
      <c r="K83" s="43">
        <v>34.965944434142926</v>
      </c>
      <c r="L83" s="153">
        <v>27.365454955698841</v>
      </c>
    </row>
    <row r="84" spans="2:33" x14ac:dyDescent="0.25">
      <c r="B84" s="2" t="s">
        <v>156</v>
      </c>
      <c r="D84" s="128">
        <f ca="1">D83/$D$10-1</f>
        <v>4.9641757155692821</v>
      </c>
      <c r="F84" s="253"/>
      <c r="G84" s="152">
        <v>2.5000000000000001E-2</v>
      </c>
      <c r="H84" s="65">
        <v>-567.69956420188657</v>
      </c>
      <c r="I84" s="65">
        <v>113.59112175593627</v>
      </c>
      <c r="J84" s="65">
        <v>53.731036279123813</v>
      </c>
      <c r="K84" s="65">
        <v>36.256432558072326</v>
      </c>
      <c r="L84" s="154">
        <v>28.004658224273896</v>
      </c>
    </row>
    <row r="87" spans="2:33" x14ac:dyDescent="0.25">
      <c r="B87" s="21" t="s">
        <v>327</v>
      </c>
      <c r="C87" s="19"/>
      <c r="D87" s="19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B87" s="20"/>
      <c r="AC87" s="20"/>
      <c r="AD87" s="20"/>
      <c r="AE87" s="20"/>
      <c r="AF87" s="20"/>
      <c r="AG87" s="20"/>
    </row>
    <row r="88" spans="2:33" x14ac:dyDescent="0.25">
      <c r="B88" s="96"/>
      <c r="C88" s="61"/>
      <c r="D88" s="61"/>
      <c r="E88" s="156" t="s">
        <v>331</v>
      </c>
      <c r="F88" s="157" t="s">
        <v>109</v>
      </c>
      <c r="G88" s="157" t="s">
        <v>334</v>
      </c>
    </row>
    <row r="89" spans="2:33" x14ac:dyDescent="0.25">
      <c r="B89" s="2" t="s">
        <v>328</v>
      </c>
      <c r="E89" s="129">
        <v>0.35</v>
      </c>
      <c r="F89" s="26">
        <f ca="1">F53</f>
        <v>14.208177239625181</v>
      </c>
      <c r="G89" s="26">
        <f ca="1">E89*F89</f>
        <v>4.9728620338688128</v>
      </c>
    </row>
    <row r="90" spans="2:33" x14ac:dyDescent="0.25">
      <c r="B90" s="2" t="s">
        <v>329</v>
      </c>
      <c r="E90" s="129">
        <v>0.3</v>
      </c>
      <c r="F90" s="26">
        <f ca="1">D67</f>
        <v>15.051972821131114</v>
      </c>
      <c r="G90" s="26">
        <f ca="1">E90*F90</f>
        <v>4.5155918463393343</v>
      </c>
    </row>
    <row r="91" spans="2:33" x14ac:dyDescent="0.25">
      <c r="B91" s="2" t="s">
        <v>330</v>
      </c>
      <c r="E91" s="128">
        <f>1-SUM(E89:E90)</f>
        <v>0.35000000000000009</v>
      </c>
      <c r="F91" s="26">
        <f ca="1">D83</f>
        <v>47.534480453087177</v>
      </c>
      <c r="G91" s="26">
        <f ca="1">E91*F91</f>
        <v>16.637068158580515</v>
      </c>
    </row>
    <row r="92" spans="2:33" x14ac:dyDescent="0.25">
      <c r="B92" s="8" t="s">
        <v>309</v>
      </c>
      <c r="C92" s="8"/>
      <c r="D92" s="8"/>
      <c r="E92" s="130">
        <f>SUM(E89:E91)</f>
        <v>1</v>
      </c>
      <c r="F92" s="143">
        <f ca="1">AVERAGE(F89:F91)</f>
        <v>25.598210171281156</v>
      </c>
      <c r="G92" s="143">
        <f t="shared" ref="G92" ca="1" si="55">SUM(G89:G91)</f>
        <v>26.125522038788663</v>
      </c>
    </row>
    <row r="93" spans="2:33" x14ac:dyDescent="0.25">
      <c r="B93" s="2" t="s">
        <v>156</v>
      </c>
      <c r="F93" s="128">
        <f ca="1">F92/$D$10-1</f>
        <v>2.2118205986551014</v>
      </c>
      <c r="G93" s="128">
        <f ca="1">G92/$D$10-1</f>
        <v>2.2779826899358424</v>
      </c>
    </row>
  </sheetData>
  <mergeCells count="2">
    <mergeCell ref="F64:F69"/>
    <mergeCell ref="F79:F84"/>
  </mergeCells>
  <conditionalFormatting sqref="D68">
    <cfRule type="cellIs" dxfId="17" priority="7" operator="lessThan">
      <formula>0</formula>
    </cfRule>
    <cfRule type="cellIs" dxfId="16" priority="8" operator="greaterThan">
      <formula>0</formula>
    </cfRule>
  </conditionalFormatting>
  <conditionalFormatting sqref="D84">
    <cfRule type="cellIs" dxfId="15" priority="4" operator="lessThan">
      <formula>0</formula>
    </cfRule>
    <cfRule type="cellIs" dxfId="14" priority="5" operator="greaterThan">
      <formula>0</formula>
    </cfRule>
  </conditionalFormatting>
  <conditionalFormatting sqref="F93:G93">
    <cfRule type="cellIs" dxfId="13" priority="1" operator="lessThan">
      <formula>0</formula>
    </cfRule>
    <cfRule type="cellIs" dxfId="12" priority="2" operator="greaterThan">
      <formula>0</formula>
    </cfRule>
  </conditionalFormatting>
  <conditionalFormatting sqref="H65:L69">
    <cfRule type="colorScale" priority="6">
      <colorScale>
        <cfvo type="min"/>
        <cfvo type="max"/>
        <color rgb="FFFCFCFF"/>
        <color rgb="FF63BE7B"/>
      </colorScale>
    </cfRule>
  </conditionalFormatting>
  <conditionalFormatting sqref="H80:L84">
    <cfRule type="colorScale" priority="3">
      <colorScale>
        <cfvo type="min"/>
        <cfvo type="max"/>
        <color rgb="FFFCFCFF"/>
        <color rgb="FF63BE7B"/>
      </colorScale>
    </cfRule>
  </conditionalFormatting>
  <dataValidations count="2">
    <dataValidation type="list" allowBlank="1" showInputMessage="1" showErrorMessage="1" sqref="D58" xr:uid="{F2E2AC3E-3C9E-4D51-BA13-285F6540AB59}">
      <formula1>$AB$4:$AG$4</formula1>
    </dataValidation>
    <dataValidation type="list" allowBlank="1" showInputMessage="1" showErrorMessage="1" sqref="D72" xr:uid="{694D3599-30D6-4716-8B21-53B542C1067D}">
      <formula1>$E$4:$J$4</formula1>
    </dataValidation>
  </dataValidations>
  <pageMargins left="0.7" right="0.7" top="0.75" bottom="0.75" header="0.3" footer="0.3"/>
  <ignoredErrors>
    <ignoredError sqref="F92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3" name="Drop Down 1">
              <controlPr defaultSize="0" autoLine="0" autoPict="0">
                <anchor moveWithCells="1">
                  <from>
                    <xdr:col>1</xdr:col>
                    <xdr:colOff>114300</xdr:colOff>
                    <xdr:row>1</xdr:row>
                    <xdr:rowOff>106680</xdr:rowOff>
                  </from>
                  <to>
                    <xdr:col>1</xdr:col>
                    <xdr:colOff>1066800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A9EB72-0639-490D-A21F-969F1D0E31DF}">
          <x14:formula1>
            <xm:f>Comps!$C$15:$C$18</xm:f>
          </x14:formula1>
          <xm:sqref>D30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E99B-5F22-4420-8EEA-7C3A5C13EF6F}">
  <sheetPr>
    <tabColor rgb="FFE600E6"/>
  </sheetPr>
  <dimension ref="A1:AS118"/>
  <sheetViews>
    <sheetView showGridLines="0" zoomScaleNormal="100" workbookViewId="0">
      <pane xSplit="4" ySplit="5" topLeftCell="E6" activePane="bottomRight" state="frozen"/>
      <selection activeCell="K118" sqref="K118"/>
      <selection pane="topRight" activeCell="K118" sqref="K118"/>
      <selection pane="bottomLeft" activeCell="K118" sqref="K118"/>
      <selection pane="bottomRight" activeCell="G94" sqref="G94"/>
    </sheetView>
  </sheetViews>
  <sheetFormatPr defaultColWidth="0" defaultRowHeight="10.8" x14ac:dyDescent="0.25"/>
  <cols>
    <col min="1" max="1" width="2.6640625" style="2" customWidth="1"/>
    <col min="2" max="2" width="39.88671875" style="2" customWidth="1"/>
    <col min="3" max="4" width="10.6640625" style="2" customWidth="1"/>
    <col min="5" max="21" width="9.5546875" style="6" bestFit="1" customWidth="1"/>
    <col min="22" max="25" width="10.44140625" style="6" bestFit="1" customWidth="1"/>
    <col min="26" max="26" width="10.44140625" style="6" customWidth="1"/>
    <col min="27" max="27" width="2.6640625" style="6" customWidth="1"/>
    <col min="28" max="33" width="10.44140625" style="6" bestFit="1" customWidth="1"/>
    <col min="34" max="34" width="4.6640625" style="2" customWidth="1"/>
    <col min="35" max="45" width="0" style="2" hidden="1" customWidth="1"/>
    <col min="46" max="16384" width="9.109375" style="2" hidden="1"/>
  </cols>
  <sheetData>
    <row r="1" spans="2:36" ht="13.8" x14ac:dyDescent="0.3">
      <c r="B1" s="1" t="s">
        <v>0</v>
      </c>
      <c r="C1" s="1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2:36" x14ac:dyDescent="0.25">
      <c r="B2" s="99"/>
      <c r="C2" s="105"/>
      <c r="D2" s="11" t="s">
        <v>103</v>
      </c>
      <c r="E2" s="11">
        <f>YEAR(E4)</f>
        <v>2025</v>
      </c>
      <c r="F2" s="11">
        <f t="shared" ref="F2:AG2" si="0">YEAR(F4)</f>
        <v>2025</v>
      </c>
      <c r="G2" s="11">
        <f t="shared" si="0"/>
        <v>2026</v>
      </c>
      <c r="H2" s="11">
        <f t="shared" si="0"/>
        <v>2026</v>
      </c>
      <c r="I2" s="11">
        <f t="shared" si="0"/>
        <v>2026</v>
      </c>
      <c r="J2" s="11">
        <f t="shared" si="0"/>
        <v>2026</v>
      </c>
      <c r="K2" s="11">
        <f t="shared" si="0"/>
        <v>2027</v>
      </c>
      <c r="L2" s="11">
        <f t="shared" si="0"/>
        <v>2027</v>
      </c>
      <c r="M2" s="11">
        <f t="shared" si="0"/>
        <v>2027</v>
      </c>
      <c r="N2" s="11">
        <f t="shared" si="0"/>
        <v>2027</v>
      </c>
      <c r="O2" s="11">
        <f t="shared" si="0"/>
        <v>2028</v>
      </c>
      <c r="P2" s="11">
        <f t="shared" si="0"/>
        <v>2028</v>
      </c>
      <c r="Q2" s="11">
        <f t="shared" si="0"/>
        <v>2028</v>
      </c>
      <c r="R2" s="11">
        <f t="shared" si="0"/>
        <v>2028</v>
      </c>
      <c r="S2" s="11">
        <f t="shared" si="0"/>
        <v>2029</v>
      </c>
      <c r="T2" s="11">
        <f t="shared" si="0"/>
        <v>2029</v>
      </c>
      <c r="U2" s="11">
        <f t="shared" si="0"/>
        <v>2029</v>
      </c>
      <c r="V2" s="11">
        <f t="shared" si="0"/>
        <v>2029</v>
      </c>
      <c r="W2" s="11">
        <f t="shared" si="0"/>
        <v>2030</v>
      </c>
      <c r="X2" s="11">
        <f t="shared" si="0"/>
        <v>2030</v>
      </c>
      <c r="Y2" s="11">
        <f t="shared" si="0"/>
        <v>2030</v>
      </c>
      <c r="Z2" s="11">
        <f t="shared" ref="Z2" si="1">YEAR(Z4)</f>
        <v>2030</v>
      </c>
      <c r="AB2" s="11">
        <f t="shared" si="0"/>
        <v>2025</v>
      </c>
      <c r="AC2" s="11">
        <f t="shared" si="0"/>
        <v>2026</v>
      </c>
      <c r="AD2" s="11">
        <f t="shared" si="0"/>
        <v>2027</v>
      </c>
      <c r="AE2" s="11">
        <f t="shared" si="0"/>
        <v>2028</v>
      </c>
      <c r="AF2" s="11">
        <f t="shared" si="0"/>
        <v>2029</v>
      </c>
      <c r="AG2" s="11">
        <f t="shared" si="0"/>
        <v>2030</v>
      </c>
    </row>
    <row r="3" spans="2:36" x14ac:dyDescent="0.25">
      <c r="B3" s="13"/>
      <c r="D3" s="11" t="s">
        <v>98</v>
      </c>
      <c r="E3" s="12">
        <f>'Quarterly Historical Financials'!AB3</f>
        <v>45839</v>
      </c>
      <c r="F3" s="12">
        <f>E4+1</f>
        <v>45931</v>
      </c>
      <c r="G3" s="12">
        <f t="shared" ref="G3:Z3" si="2">F4+1</f>
        <v>46023</v>
      </c>
      <c r="H3" s="12">
        <f t="shared" si="2"/>
        <v>46113</v>
      </c>
      <c r="I3" s="12">
        <f t="shared" si="2"/>
        <v>46204</v>
      </c>
      <c r="J3" s="12">
        <f t="shared" si="2"/>
        <v>46296</v>
      </c>
      <c r="K3" s="12">
        <f t="shared" si="2"/>
        <v>46388</v>
      </c>
      <c r="L3" s="12">
        <f t="shared" si="2"/>
        <v>46478</v>
      </c>
      <c r="M3" s="12">
        <f t="shared" si="2"/>
        <v>46569</v>
      </c>
      <c r="N3" s="12">
        <f t="shared" si="2"/>
        <v>46661</v>
      </c>
      <c r="O3" s="12">
        <f t="shared" si="2"/>
        <v>46753</v>
      </c>
      <c r="P3" s="12">
        <f t="shared" si="2"/>
        <v>46844</v>
      </c>
      <c r="Q3" s="12">
        <f t="shared" si="2"/>
        <v>46935</v>
      </c>
      <c r="R3" s="12">
        <f t="shared" si="2"/>
        <v>47027</v>
      </c>
      <c r="S3" s="12">
        <f t="shared" si="2"/>
        <v>47119</v>
      </c>
      <c r="T3" s="12">
        <f t="shared" si="2"/>
        <v>47209</v>
      </c>
      <c r="U3" s="12">
        <f t="shared" si="2"/>
        <v>47300</v>
      </c>
      <c r="V3" s="12">
        <f t="shared" si="2"/>
        <v>47392</v>
      </c>
      <c r="W3" s="12">
        <f>V4+1</f>
        <v>47484</v>
      </c>
      <c r="X3" s="12">
        <f t="shared" si="2"/>
        <v>47574</v>
      </c>
      <c r="Y3" s="12">
        <f t="shared" si="2"/>
        <v>47665</v>
      </c>
      <c r="Z3" s="12">
        <f t="shared" si="2"/>
        <v>47757</v>
      </c>
      <c r="AB3" s="12">
        <f>E3</f>
        <v>45839</v>
      </c>
      <c r="AC3" s="12">
        <f>AB4+1</f>
        <v>46023</v>
      </c>
      <c r="AD3" s="12">
        <f t="shared" ref="AD3:AF3" si="3">AC4+1</f>
        <v>46388</v>
      </c>
      <c r="AE3" s="12">
        <f t="shared" si="3"/>
        <v>46753</v>
      </c>
      <c r="AF3" s="12">
        <f t="shared" si="3"/>
        <v>47119</v>
      </c>
      <c r="AG3" s="12">
        <f>AF4+1</f>
        <v>47484</v>
      </c>
    </row>
    <row r="4" spans="2:36" x14ac:dyDescent="0.25">
      <c r="B4" s="13"/>
      <c r="D4" s="11" t="s">
        <v>99</v>
      </c>
      <c r="E4" s="12">
        <f>EOMONTH(E3,2)</f>
        <v>45930</v>
      </c>
      <c r="F4" s="12">
        <f>EOMONTH(F3,2)</f>
        <v>46022</v>
      </c>
      <c r="G4" s="12">
        <f t="shared" ref="G4:V4" si="4">EOMONTH(G3,2)</f>
        <v>46112</v>
      </c>
      <c r="H4" s="12">
        <f t="shared" si="4"/>
        <v>46203</v>
      </c>
      <c r="I4" s="12">
        <f t="shared" si="4"/>
        <v>46295</v>
      </c>
      <c r="J4" s="12">
        <f t="shared" si="4"/>
        <v>46387</v>
      </c>
      <c r="K4" s="12">
        <f t="shared" si="4"/>
        <v>46477</v>
      </c>
      <c r="L4" s="12">
        <f t="shared" si="4"/>
        <v>46568</v>
      </c>
      <c r="M4" s="12">
        <f t="shared" si="4"/>
        <v>46660</v>
      </c>
      <c r="N4" s="12">
        <f t="shared" si="4"/>
        <v>46752</v>
      </c>
      <c r="O4" s="12">
        <f t="shared" si="4"/>
        <v>46843</v>
      </c>
      <c r="P4" s="12">
        <f t="shared" si="4"/>
        <v>46934</v>
      </c>
      <c r="Q4" s="12">
        <f t="shared" si="4"/>
        <v>47026</v>
      </c>
      <c r="R4" s="12">
        <f t="shared" si="4"/>
        <v>47118</v>
      </c>
      <c r="S4" s="12">
        <f t="shared" si="4"/>
        <v>47208</v>
      </c>
      <c r="T4" s="12">
        <f t="shared" si="4"/>
        <v>47299</v>
      </c>
      <c r="U4" s="12">
        <f t="shared" si="4"/>
        <v>47391</v>
      </c>
      <c r="V4" s="12">
        <f t="shared" si="4"/>
        <v>47483</v>
      </c>
      <c r="W4" s="12">
        <f>EOMONTH(W3,2)</f>
        <v>47573</v>
      </c>
      <c r="X4" s="12">
        <f t="shared" ref="X4:Y4" si="5">EOMONTH(X3,2)</f>
        <v>47664</v>
      </c>
      <c r="Y4" s="12">
        <f t="shared" si="5"/>
        <v>47756</v>
      </c>
      <c r="Z4" s="12">
        <f t="shared" ref="Z4" si="6">EOMONTH(Z3,2)</f>
        <v>47848</v>
      </c>
      <c r="AB4" s="12">
        <f>EOMONTH(AB3,5)</f>
        <v>46022</v>
      </c>
      <c r="AC4" s="12">
        <f t="shared" ref="AC4:AG4" si="7">EOMONTH(AC3,11)</f>
        <v>46387</v>
      </c>
      <c r="AD4" s="12">
        <f t="shared" si="7"/>
        <v>46752</v>
      </c>
      <c r="AE4" s="12">
        <f t="shared" si="7"/>
        <v>47118</v>
      </c>
      <c r="AF4" s="12">
        <f t="shared" si="7"/>
        <v>47483</v>
      </c>
      <c r="AG4" s="12">
        <f t="shared" si="7"/>
        <v>47848</v>
      </c>
    </row>
    <row r="5" spans="2:36" x14ac:dyDescent="0.25">
      <c r="B5" s="123" t="s">
        <v>288</v>
      </c>
      <c r="C5" s="102"/>
      <c r="D5" s="11" t="s">
        <v>100</v>
      </c>
      <c r="E5" s="10">
        <f>E4-E3+1</f>
        <v>92</v>
      </c>
      <c r="F5" s="10">
        <f t="shared" ref="F5:Y5" si="8">F4-F3+1</f>
        <v>92</v>
      </c>
      <c r="G5" s="10">
        <f t="shared" si="8"/>
        <v>90</v>
      </c>
      <c r="H5" s="10">
        <f t="shared" si="8"/>
        <v>91</v>
      </c>
      <c r="I5" s="10">
        <f t="shared" si="8"/>
        <v>92</v>
      </c>
      <c r="J5" s="10">
        <f t="shared" si="8"/>
        <v>92</v>
      </c>
      <c r="K5" s="10">
        <f t="shared" si="8"/>
        <v>90</v>
      </c>
      <c r="L5" s="10">
        <f t="shared" si="8"/>
        <v>91</v>
      </c>
      <c r="M5" s="10">
        <f t="shared" si="8"/>
        <v>92</v>
      </c>
      <c r="N5" s="10">
        <f t="shared" si="8"/>
        <v>92</v>
      </c>
      <c r="O5" s="10">
        <f t="shared" si="8"/>
        <v>91</v>
      </c>
      <c r="P5" s="10">
        <f t="shared" si="8"/>
        <v>91</v>
      </c>
      <c r="Q5" s="10">
        <f t="shared" si="8"/>
        <v>92</v>
      </c>
      <c r="R5" s="10">
        <f t="shared" si="8"/>
        <v>92</v>
      </c>
      <c r="S5" s="10">
        <f t="shared" si="8"/>
        <v>90</v>
      </c>
      <c r="T5" s="10">
        <f t="shared" si="8"/>
        <v>91</v>
      </c>
      <c r="U5" s="10">
        <f t="shared" si="8"/>
        <v>92</v>
      </c>
      <c r="V5" s="10">
        <f t="shared" si="8"/>
        <v>92</v>
      </c>
      <c r="W5" s="10">
        <f t="shared" si="8"/>
        <v>90</v>
      </c>
      <c r="X5" s="10">
        <f t="shared" si="8"/>
        <v>91</v>
      </c>
      <c r="Y5" s="10">
        <f t="shared" si="8"/>
        <v>92</v>
      </c>
      <c r="Z5" s="10">
        <f t="shared" ref="Z5" si="9">Z4-Z3+1</f>
        <v>92</v>
      </c>
      <c r="AB5" s="10">
        <f>AB4-AB3+1</f>
        <v>184</v>
      </c>
      <c r="AC5" s="10">
        <f t="shared" ref="AC5:AG5" si="10">AC4-AC3+1</f>
        <v>365</v>
      </c>
      <c r="AD5" s="10">
        <f t="shared" si="10"/>
        <v>365</v>
      </c>
      <c r="AE5" s="10">
        <f t="shared" si="10"/>
        <v>366</v>
      </c>
      <c r="AF5" s="10">
        <f t="shared" si="10"/>
        <v>365</v>
      </c>
      <c r="AG5" s="10">
        <f t="shared" si="10"/>
        <v>365</v>
      </c>
    </row>
    <row r="6" spans="2:36" ht="5.0999999999999996" customHeight="1" x14ac:dyDescent="0.25"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B6" s="2"/>
      <c r="AC6" s="2"/>
      <c r="AD6" s="2"/>
      <c r="AE6" s="2"/>
      <c r="AF6" s="2"/>
      <c r="AG6" s="2"/>
    </row>
    <row r="7" spans="2:36" x14ac:dyDescent="0.25">
      <c r="B7" s="21" t="s">
        <v>1</v>
      </c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B7" s="20"/>
      <c r="AC7" s="20"/>
      <c r="AD7" s="20"/>
      <c r="AE7" s="20"/>
      <c r="AF7" s="20"/>
      <c r="AG7" s="20"/>
      <c r="AI7" s="20"/>
      <c r="AJ7" s="20"/>
    </row>
    <row r="8" spans="2:36" x14ac:dyDescent="0.25">
      <c r="B8" s="2" t="s">
        <v>2</v>
      </c>
      <c r="E8" s="6">
        <f>'Quarterly Historical Financials'!AB9</f>
        <v>276147</v>
      </c>
      <c r="F8" s="6">
        <f>'Quarterly Historical Financials'!AC9</f>
        <v>681759.56600000011</v>
      </c>
      <c r="G8" s="6">
        <f ca="1">Assumptions!N21</f>
        <v>384375.90714896529</v>
      </c>
      <c r="H8" s="6">
        <f ca="1">Assumptions!O21</f>
        <v>402463.85869869107</v>
      </c>
      <c r="I8" s="6">
        <f ca="1">Assumptions!P21</f>
        <v>421307.59658926009</v>
      </c>
      <c r="J8" s="6">
        <f ca="1">Assumptions!Q21</f>
        <v>440936.87067058677</v>
      </c>
      <c r="K8" s="6">
        <f ca="1">Assumptions!R21</f>
        <v>461382.58936784399</v>
      </c>
      <c r="L8" s="6">
        <f ca="1">Assumptions!S21</f>
        <v>482676.86654916592</v>
      </c>
      <c r="M8" s="6">
        <f ca="1">Assumptions!T21</f>
        <v>504853.07050144835</v>
      </c>
      <c r="N8" s="6">
        <f ca="1">Assumptions!U21</f>
        <v>527945.87512827734</v>
      </c>
      <c r="O8" s="6">
        <f ca="1">Assumptions!V21</f>
        <v>551991.31349168555</v>
      </c>
      <c r="P8" s="6">
        <f ca="1">Assumptions!W21</f>
        <v>577026.83382770012</v>
      </c>
      <c r="Q8" s="6">
        <f ca="1">Assumptions!X21</f>
        <v>603091.35817458655</v>
      </c>
      <c r="R8" s="6">
        <f ca="1">Assumptions!Y21</f>
        <v>630225.34376234177</v>
      </c>
      <c r="S8" s="6">
        <f ca="1">Assumptions!Z21</f>
        <v>658470.84732243919</v>
      </c>
      <c r="T8" s="6">
        <f ca="1">Assumptions!AA21</f>
        <v>687871.59248812089</v>
      </c>
      <c r="U8" s="6">
        <f ca="1">Assumptions!AB21</f>
        <v>718473.04046775878</v>
      </c>
      <c r="V8" s="6">
        <f ca="1">Assumptions!AC21</f>
        <v>750322.46418705711</v>
      </c>
      <c r="W8" s="6">
        <f ca="1">Assumptions!AD21</f>
        <v>783469.0261102037</v>
      </c>
      <c r="X8" s="6">
        <f ca="1">Assumptions!AE21</f>
        <v>817963.85996564233</v>
      </c>
      <c r="Y8" s="6">
        <f ca="1">Assumptions!AF21</f>
        <v>853860.15661899152</v>
      </c>
      <c r="Z8" s="6">
        <f ca="1">Assumptions!AG21</f>
        <v>891213.25435393199</v>
      </c>
      <c r="AB8" s="6">
        <f>SUMIF($E$2:$Z$2,AB$2,$E8:$Z8)</f>
        <v>957906.56600000011</v>
      </c>
      <c r="AC8" s="6">
        <f t="shared" ref="AC8:AG25" ca="1" si="11">SUMIF($E$2:$Z$2,AC$2,$E8:$Z8)</f>
        <v>1649084.2331075033</v>
      </c>
      <c r="AD8" s="6">
        <f t="shared" ca="1" si="11"/>
        <v>1976858.4015467355</v>
      </c>
      <c r="AE8" s="6">
        <f t="shared" ca="1" si="11"/>
        <v>2362334.8492563143</v>
      </c>
      <c r="AF8" s="6">
        <f t="shared" ca="1" si="11"/>
        <v>2815137.944465376</v>
      </c>
      <c r="AG8" s="6">
        <f t="shared" ca="1" si="11"/>
        <v>3346506.2970487694</v>
      </c>
    </row>
    <row r="9" spans="2:36" x14ac:dyDescent="0.25">
      <c r="B9" s="2" t="s">
        <v>3</v>
      </c>
      <c r="E9" s="6">
        <f>'Quarterly Historical Financials'!AB10</f>
        <v>-138688</v>
      </c>
      <c r="F9" s="6">
        <f>'Quarterly Historical Financials'!AC10</f>
        <v>-102371.52399999998</v>
      </c>
      <c r="G9" s="6">
        <f>Assumptions!N29</f>
        <v>-104190.60068962326</v>
      </c>
      <c r="H9" s="6">
        <f>Assumptions!O29</f>
        <v>-107926.98829775954</v>
      </c>
      <c r="I9" s="6">
        <f>Assumptions!P29</f>
        <v>-111797.36680589861</v>
      </c>
      <c r="J9" s="6">
        <f>Assumptions!Q29</f>
        <v>-115806.54127260682</v>
      </c>
      <c r="K9" s="6">
        <f>Assumptions!R29</f>
        <v>-119959.48907104661</v>
      </c>
      <c r="L9" s="6">
        <f>Assumptions!S29</f>
        <v>-124261.36606836444</v>
      </c>
      <c r="M9" s="6">
        <f>Assumptions!T29</f>
        <v>-128717.51302667797</v>
      </c>
      <c r="N9" s="6">
        <f>Assumptions!U29</f>
        <v>-133333.46223360964</v>
      </c>
      <c r="O9" s="6">
        <f>Assumptions!V29</f>
        <v>-138114.94437059844</v>
      </c>
      <c r="P9" s="6">
        <f>Assumptions!W29</f>
        <v>-143067.8956275167</v>
      </c>
      <c r="Q9" s="6">
        <f>Assumptions!X29</f>
        <v>-148198.4650724247</v>
      </c>
      <c r="R9" s="6">
        <f>Assumptions!Y29</f>
        <v>-153513.02228561268</v>
      </c>
      <c r="S9" s="6">
        <f>Assumptions!Z29</f>
        <v>-159018.16526740792</v>
      </c>
      <c r="T9" s="6">
        <f>Assumptions!AA29</f>
        <v>-164720.72862956431</v>
      </c>
      <c r="U9" s="6">
        <f>Assumptions!AB29</f>
        <v>-170627.7920804038</v>
      </c>
      <c r="V9" s="6">
        <f>Assumptions!AC29</f>
        <v>-176746.68921424448</v>
      </c>
      <c r="W9" s="6">
        <f>Assumptions!AD29</f>
        <v>-183085.01661602702</v>
      </c>
      <c r="X9" s="6">
        <f>Assumptions!AE29</f>
        <v>-189650.64329244255</v>
      </c>
      <c r="Y9" s="6">
        <f>Assumptions!AF29</f>
        <v>-196451.72044127149</v>
      </c>
      <c r="Z9" s="6">
        <f>Assumptions!AG29</f>
        <v>-203496.69157106095</v>
      </c>
      <c r="AB9" s="6">
        <f>SUMIF($E$2:$Z$2,AB$2,$E9:$Z9)</f>
        <v>-241059.52399999998</v>
      </c>
      <c r="AC9" s="6">
        <f>SUMIF($E$2:$Z$2,AC$2,$E9:$Z9)</f>
        <v>-439721.49706588825</v>
      </c>
      <c r="AD9" s="6">
        <f t="shared" si="11"/>
        <v>-506271.83039969869</v>
      </c>
      <c r="AE9" s="6">
        <f t="shared" si="11"/>
        <v>-582894.32735615247</v>
      </c>
      <c r="AF9" s="6">
        <f t="shared" si="11"/>
        <v>-671113.37519162055</v>
      </c>
      <c r="AG9" s="6">
        <f t="shared" si="11"/>
        <v>-772684.071920802</v>
      </c>
    </row>
    <row r="10" spans="2:36" x14ac:dyDescent="0.25">
      <c r="B10" s="8" t="s">
        <v>4</v>
      </c>
      <c r="C10" s="8"/>
      <c r="D10" s="8"/>
      <c r="E10" s="16">
        <f>SUM(E8:E9)</f>
        <v>137459</v>
      </c>
      <c r="F10" s="16">
        <f t="shared" ref="F10:AG10" si="12">SUM(F8:F9)</f>
        <v>579388.04200000013</v>
      </c>
      <c r="G10" s="16">
        <f t="shared" ref="G10" ca="1" si="13">SUM(G8:G9)</f>
        <v>280185.30645934201</v>
      </c>
      <c r="H10" s="16">
        <f t="shared" ref="H10" ca="1" si="14">SUM(H8:H9)</f>
        <v>294536.87040093151</v>
      </c>
      <c r="I10" s="16">
        <f t="shared" ref="I10" ca="1" si="15">SUM(I8:I9)</f>
        <v>309510.22978336149</v>
      </c>
      <c r="J10" s="16">
        <f t="shared" ref="J10" ca="1" si="16">SUM(J8:J9)</f>
        <v>325130.32939797995</v>
      </c>
      <c r="K10" s="16">
        <f t="shared" ref="K10" ca="1" si="17">SUM(K8:K9)</f>
        <v>341423.10029679735</v>
      </c>
      <c r="L10" s="16">
        <f t="shared" ref="L10" ca="1" si="18">SUM(L8:L9)</f>
        <v>358415.50048080145</v>
      </c>
      <c r="M10" s="16">
        <f t="shared" ref="M10" ca="1" si="19">SUM(M8:M9)</f>
        <v>376135.55747477035</v>
      </c>
      <c r="N10" s="16">
        <f t="shared" ref="N10" ca="1" si="20">SUM(N8:N9)</f>
        <v>394612.41289466771</v>
      </c>
      <c r="O10" s="16">
        <f t="shared" ref="O10" ca="1" si="21">SUM(O8:O9)</f>
        <v>413876.36912108713</v>
      </c>
      <c r="P10" s="16">
        <f t="shared" ref="P10" ca="1" si="22">SUM(P8:P9)</f>
        <v>433958.93820018345</v>
      </c>
      <c r="Q10" s="16">
        <f t="shared" ref="Q10" ca="1" si="23">SUM(Q8:Q9)</f>
        <v>454892.89310216182</v>
      </c>
      <c r="R10" s="16">
        <f t="shared" ref="R10" ca="1" si="24">SUM(R8:R9)</f>
        <v>476712.32147672912</v>
      </c>
      <c r="S10" s="16">
        <f t="shared" ref="S10" ca="1" si="25">SUM(S8:S9)</f>
        <v>499452.6820550313</v>
      </c>
      <c r="T10" s="16">
        <f t="shared" ref="T10" ca="1" si="26">SUM(T8:T9)</f>
        <v>523150.86385855661</v>
      </c>
      <c r="U10" s="16">
        <f t="shared" ref="U10" ca="1" si="27">SUM(U8:U9)</f>
        <v>547845.24838735501</v>
      </c>
      <c r="V10" s="16">
        <f t="shared" ref="V10" ca="1" si="28">SUM(V8:V9)</f>
        <v>573575.77497281262</v>
      </c>
      <c r="W10" s="16">
        <f t="shared" ref="W10" ca="1" si="29">SUM(W8:W9)</f>
        <v>600384.00949417672</v>
      </c>
      <c r="X10" s="16">
        <f t="shared" ref="X10" ca="1" si="30">SUM(X8:X9)</f>
        <v>628313.21667319979</v>
      </c>
      <c r="Y10" s="16">
        <f t="shared" ref="Y10" ca="1" si="31">SUM(Y8:Y9)</f>
        <v>657408.43617772008</v>
      </c>
      <c r="Z10" s="16">
        <f t="shared" ref="Z10" ca="1" si="32">SUM(Z8:Z9)</f>
        <v>687716.56278287107</v>
      </c>
      <c r="AB10" s="16">
        <f t="shared" si="12"/>
        <v>716847.04200000013</v>
      </c>
      <c r="AC10" s="16">
        <f t="shared" ca="1" si="12"/>
        <v>1209362.736041615</v>
      </c>
      <c r="AD10" s="16">
        <f t="shared" ca="1" si="12"/>
        <v>1470586.5711470367</v>
      </c>
      <c r="AE10" s="16">
        <f t="shared" ca="1" si="12"/>
        <v>1779440.5219001619</v>
      </c>
      <c r="AF10" s="16">
        <f t="shared" ca="1" si="12"/>
        <v>2144024.5692737554</v>
      </c>
      <c r="AG10" s="16">
        <f t="shared" ca="1" si="12"/>
        <v>2573822.2251279675</v>
      </c>
    </row>
    <row r="11" spans="2:36" x14ac:dyDescent="0.25">
      <c r="B11" s="2" t="s">
        <v>5</v>
      </c>
      <c r="E11" s="6">
        <f>'Quarterly Historical Financials'!AB12</f>
        <v>80299</v>
      </c>
      <c r="F11" s="6">
        <f>'Quarterly Historical Financials'!AC12</f>
        <v>76446.237000000023</v>
      </c>
      <c r="G11" s="6">
        <f>Assumptions!N39</f>
        <v>72259.202009971617</v>
      </c>
      <c r="H11" s="6">
        <f>Assumptions!O39</f>
        <v>71258.687107228587</v>
      </c>
      <c r="I11" s="6">
        <f>Assumptions!P39</f>
        <v>73814.100683090874</v>
      </c>
      <c r="J11" s="6">
        <f>Assumptions!Q39</f>
        <v>76461.154153102136</v>
      </c>
      <c r="K11" s="6">
        <f>Assumptions!R39</f>
        <v>79203.133822962147</v>
      </c>
      <c r="L11" s="6">
        <f>Assumptions!S39</f>
        <v>82043.443848846728</v>
      </c>
      <c r="M11" s="6">
        <f>Assumptions!T39</f>
        <v>84985.610463653356</v>
      </c>
      <c r="N11" s="6">
        <f>Assumptions!U39</f>
        <v>88033.286354804222</v>
      </c>
      <c r="O11" s="6">
        <f>Assumptions!V39</f>
        <v>91190.25519904244</v>
      </c>
      <c r="P11" s="6">
        <f>Assumptions!W39</f>
        <v>94460.436359850544</v>
      </c>
      <c r="Q11" s="6">
        <f>Assumptions!X39</f>
        <v>97847.889753323921</v>
      </c>
      <c r="R11" s="6">
        <f>Assumptions!Y39</f>
        <v>101356.82088853924</v>
      </c>
      <c r="S11" s="6">
        <f>Assumptions!Z39</f>
        <v>104991.58608867637</v>
      </c>
      <c r="T11" s="6">
        <f>Assumptions!AA39</f>
        <v>108756.69789937518</v>
      </c>
      <c r="U11" s="6">
        <f>Assumptions!AB39</f>
        <v>112656.83069104185</v>
      </c>
      <c r="V11" s="6">
        <f>Assumptions!AC39</f>
        <v>116696.82646205998</v>
      </c>
      <c r="W11" s="6">
        <f>Assumptions!AD39</f>
        <v>120881.70085011116</v>
      </c>
      <c r="X11" s="6">
        <f>Assumptions!AE39</f>
        <v>125216.64935906793</v>
      </c>
      <c r="Y11" s="6">
        <f>Assumptions!AF39</f>
        <v>129707.05380918992</v>
      </c>
      <c r="Z11" s="6">
        <f>Assumptions!AG39</f>
        <v>134358.48901863093</v>
      </c>
      <c r="AB11" s="6">
        <f>SUMIF($E$2:$Z$2,AB$2,$E11:$Z11)</f>
        <v>156745.23700000002</v>
      </c>
      <c r="AC11" s="6">
        <f>SUMIF($E$2:$Z$2,AC$2,$E11:$Z11)</f>
        <v>293793.14395339321</v>
      </c>
      <c r="AD11" s="6">
        <f t="shared" si="11"/>
        <v>334265.47449026647</v>
      </c>
      <c r="AE11" s="6">
        <f t="shared" si="11"/>
        <v>384855.40220075619</v>
      </c>
      <c r="AF11" s="6">
        <f t="shared" si="11"/>
        <v>443101.94114115339</v>
      </c>
      <c r="AG11" s="6">
        <f t="shared" si="11"/>
        <v>510163.89303699997</v>
      </c>
    </row>
    <row r="12" spans="2:36" x14ac:dyDescent="0.25">
      <c r="B12" s="2" t="s">
        <v>77</v>
      </c>
      <c r="E12" s="6">
        <f>'Quarterly Historical Financials'!AB13</f>
        <v>-22529</v>
      </c>
      <c r="F12" s="6">
        <f>'Quarterly Historical Financials'!AC13</f>
        <v>-29426.085000000006</v>
      </c>
      <c r="G12" s="6">
        <f>Assumptions!N44</f>
        <v>-19259.424524268725</v>
      </c>
      <c r="H12" s="6">
        <f>Assumptions!O44</f>
        <v>-18992.754803059706</v>
      </c>
      <c r="I12" s="6">
        <f>Assumptions!P44</f>
        <v>-19673.855528276952</v>
      </c>
      <c r="J12" s="6">
        <f>Assumptions!Q44</f>
        <v>-20379.381262014649</v>
      </c>
      <c r="K12" s="6">
        <f>Assumptions!R44</f>
        <v>-21110.207911490525</v>
      </c>
      <c r="L12" s="6">
        <f>Assumptions!S44</f>
        <v>-21867.242794902315</v>
      </c>
      <c r="M12" s="6">
        <f>Assumptions!T44</f>
        <v>-22651.425767859477</v>
      </c>
      <c r="N12" s="6">
        <f>Assumptions!U44</f>
        <v>-23463.730390209908</v>
      </c>
      <c r="O12" s="6">
        <f>Assumptions!V44</f>
        <v>-24305.165134710453</v>
      </c>
      <c r="P12" s="6">
        <f>Assumptions!W44</f>
        <v>-25176.774639041512</v>
      </c>
      <c r="Q12" s="6">
        <f>Assumptions!X44</f>
        <v>-26079.64100272036</v>
      </c>
      <c r="R12" s="6">
        <f>Assumptions!Y44</f>
        <v>-27014.885130523075</v>
      </c>
      <c r="S12" s="6">
        <f>Assumptions!Z44</f>
        <v>-27983.668124083109</v>
      </c>
      <c r="T12" s="6">
        <f>Assumptions!AA44</f>
        <v>-28987.19272339407</v>
      </c>
      <c r="U12" s="6">
        <f>Assumptions!AB44</f>
        <v>-30026.704800006319</v>
      </c>
      <c r="V12" s="6">
        <f>Assumptions!AC44</f>
        <v>-31103.49490377125</v>
      </c>
      <c r="W12" s="6">
        <f>Assumptions!AD44</f>
        <v>-32218.899865053478</v>
      </c>
      <c r="X12" s="6">
        <f>Assumptions!AE44</f>
        <v>-33374.304454400073</v>
      </c>
      <c r="Y12" s="6">
        <f>Assumptions!AF44</f>
        <v>-34571.143101727379</v>
      </c>
      <c r="Z12" s="6">
        <f>Assumptions!AG44</f>
        <v>-35810.901677159658</v>
      </c>
      <c r="AB12" s="6">
        <f>SUMIF($E$2:$Z$2,AB$2,$E12:$Z12)</f>
        <v>-51955.085000000006</v>
      </c>
      <c r="AC12" s="6">
        <f>SUMIF($E$2:$Z$2,AC$2,$E12:$Z12)</f>
        <v>-78305.416117620029</v>
      </c>
      <c r="AD12" s="6">
        <f t="shared" si="11"/>
        <v>-89092.606864462228</v>
      </c>
      <c r="AE12" s="6">
        <f>SUMIF($E$2:$Z$2,AE$2,$E12:$Z12)</f>
        <v>-102576.46590699539</v>
      </c>
      <c r="AF12" s="6">
        <f t="shared" si="11"/>
        <v>-118101.06055125475</v>
      </c>
      <c r="AG12" s="6">
        <f t="shared" si="11"/>
        <v>-135975.24909834057</v>
      </c>
    </row>
    <row r="13" spans="2:36" x14ac:dyDescent="0.25">
      <c r="B13" s="8" t="s">
        <v>101</v>
      </c>
      <c r="C13" s="8"/>
      <c r="D13" s="8"/>
      <c r="E13" s="16">
        <f>SUM(E11:E12)</f>
        <v>57770</v>
      </c>
      <c r="F13" s="16">
        <f t="shared" ref="F13:AG13" si="33">SUM(F11:F12)</f>
        <v>47020.152000000016</v>
      </c>
      <c r="G13" s="16">
        <f t="shared" ref="G13" si="34">SUM(G11:G12)</f>
        <v>52999.777485702893</v>
      </c>
      <c r="H13" s="16">
        <f t="shared" ref="H13" si="35">SUM(H11:H12)</f>
        <v>52265.932304168877</v>
      </c>
      <c r="I13" s="16">
        <f t="shared" ref="I13" si="36">SUM(I11:I12)</f>
        <v>54140.245154813922</v>
      </c>
      <c r="J13" s="16">
        <f t="shared" ref="J13" si="37">SUM(J11:J12)</f>
        <v>56081.772891087487</v>
      </c>
      <c r="K13" s="16">
        <f t="shared" ref="K13" si="38">SUM(K11:K12)</f>
        <v>58092.925911471626</v>
      </c>
      <c r="L13" s="16">
        <f t="shared" ref="L13" si="39">SUM(L11:L12)</f>
        <v>60176.201053944416</v>
      </c>
      <c r="M13" s="16">
        <f t="shared" ref="M13" si="40">SUM(M11:M12)</f>
        <v>62334.184695793883</v>
      </c>
      <c r="N13" s="16">
        <f t="shared" ref="N13" si="41">SUM(N11:N12)</f>
        <v>64569.555964594314</v>
      </c>
      <c r="O13" s="16">
        <f t="shared" ref="O13" si="42">SUM(O11:O12)</f>
        <v>66885.090064331991</v>
      </c>
      <c r="P13" s="16">
        <f t="shared" ref="P13" si="43">SUM(P11:P12)</f>
        <v>69283.661720809032</v>
      </c>
      <c r="Q13" s="16">
        <f t="shared" ref="Q13" si="44">SUM(Q11:Q12)</f>
        <v>71768.248750603554</v>
      </c>
      <c r="R13" s="16">
        <f t="shared" ref="R13" si="45">SUM(R11:R12)</f>
        <v>74341.93575801616</v>
      </c>
      <c r="S13" s="16">
        <f t="shared" ref="S13" si="46">SUM(S11:S12)</f>
        <v>77007.91796459326</v>
      </c>
      <c r="T13" s="16">
        <f t="shared" ref="T13" si="47">SUM(T11:T12)</f>
        <v>79769.505175981118</v>
      </c>
      <c r="U13" s="16">
        <f t="shared" ref="U13" si="48">SUM(U11:U12)</f>
        <v>82630.125891035525</v>
      </c>
      <c r="V13" s="16">
        <f t="shared" ref="V13" si="49">SUM(V11:V12)</f>
        <v>85593.33155828873</v>
      </c>
      <c r="W13" s="16">
        <f t="shared" ref="W13" si="50">SUM(W11:W12)</f>
        <v>88662.800985057678</v>
      </c>
      <c r="X13" s="16">
        <f t="shared" ref="X13" si="51">SUM(X11:X12)</f>
        <v>91842.344904667858</v>
      </c>
      <c r="Y13" s="16">
        <f t="shared" ref="Y13" si="52">SUM(Y11:Y12)</f>
        <v>95135.91070746255</v>
      </c>
      <c r="Z13" s="16">
        <f t="shared" ref="Z13" si="53">SUM(Z11:Z12)</f>
        <v>98547.587341471284</v>
      </c>
      <c r="AB13" s="16">
        <f t="shared" si="33"/>
        <v>104790.15200000002</v>
      </c>
      <c r="AC13" s="16">
        <f t="shared" si="33"/>
        <v>215487.7278357732</v>
      </c>
      <c r="AD13" s="16">
        <f t="shared" si="33"/>
        <v>245172.86762580424</v>
      </c>
      <c r="AE13" s="16">
        <f t="shared" si="33"/>
        <v>282278.93629376078</v>
      </c>
      <c r="AF13" s="16">
        <f t="shared" si="33"/>
        <v>325000.88058989868</v>
      </c>
      <c r="AG13" s="16">
        <f t="shared" si="33"/>
        <v>374188.6439386594</v>
      </c>
    </row>
    <row r="14" spans="2:36" x14ac:dyDescent="0.25">
      <c r="B14" s="2" t="s">
        <v>6</v>
      </c>
      <c r="E14" s="6">
        <f>'Quarterly Historical Financials'!AB15</f>
        <v>27893</v>
      </c>
      <c r="F14" s="6">
        <f>'Quarterly Historical Financials'!AC15</f>
        <v>46887.804000000004</v>
      </c>
      <c r="G14" s="6">
        <f>Assumptions!N55</f>
        <v>22332.102867450496</v>
      </c>
      <c r="H14" s="6">
        <f>Assumptions!O55</f>
        <v>23132.956225289687</v>
      </c>
      <c r="I14" s="6">
        <f>Assumptions!P55</f>
        <v>23962.529050550682</v>
      </c>
      <c r="J14" s="6">
        <f>Assumptions!Q55</f>
        <v>24821.851254391288</v>
      </c>
      <c r="K14" s="6">
        <f>Assumptions!R55</f>
        <v>25711.989681697105</v>
      </c>
      <c r="L14" s="6">
        <f>Assumptions!S55</f>
        <v>26634.04943556499</v>
      </c>
      <c r="M14" s="6">
        <f>Assumptions!T55</f>
        <v>27589.17524928386</v>
      </c>
      <c r="N14" s="6">
        <f>Assumptions!U55</f>
        <v>28578.552907516241</v>
      </c>
      <c r="O14" s="6">
        <f>Assumptions!V55</f>
        <v>29603.410718444917</v>
      </c>
      <c r="P14" s="6">
        <f>Assumptions!W55</f>
        <v>30665.021038712341</v>
      </c>
      <c r="Q14" s="6">
        <f>Assumptions!X55</f>
        <v>31764.701853046055</v>
      </c>
      <c r="R14" s="6">
        <f>Assumptions!Y55</f>
        <v>32903.818410531123</v>
      </c>
      <c r="S14" s="6">
        <f>Assumptions!Z55</f>
        <v>34083.784919561142</v>
      </c>
      <c r="T14" s="6">
        <f>Assumptions!AA55</f>
        <v>35306.066303571955</v>
      </c>
      <c r="U14" s="6">
        <f>Assumptions!AB55</f>
        <v>36572.180019737927</v>
      </c>
      <c r="V14" s="6">
        <f>Assumptions!AC55</f>
        <v>37883.697942888626</v>
      </c>
      <c r="W14" s="6">
        <f>Assumptions!AD55</f>
        <v>39242.248316984747</v>
      </c>
      <c r="X14" s="6">
        <f>Assumptions!AE55</f>
        <v>40649.517776576147</v>
      </c>
      <c r="Y14" s="6">
        <f>Assumptions!AF55</f>
        <v>42107.253440751476</v>
      </c>
      <c r="Z14" s="6">
        <f>Assumptions!AG55</f>
        <v>43617.265082179183</v>
      </c>
      <c r="AB14" s="6">
        <f t="shared" ref="AB14:AC15" si="54">SUMIF($E$2:$Z$2,AB$2,$E14:$Z14)</f>
        <v>74780.804000000004</v>
      </c>
      <c r="AC14" s="6">
        <f t="shared" si="54"/>
        <v>94249.439397682145</v>
      </c>
      <c r="AD14" s="6">
        <f t="shared" si="11"/>
        <v>108513.76727406221</v>
      </c>
      <c r="AE14" s="6">
        <f t="shared" si="11"/>
        <v>124936.95202073443</v>
      </c>
      <c r="AF14" s="6">
        <f t="shared" si="11"/>
        <v>143845.72918575964</v>
      </c>
      <c r="AG14" s="6">
        <f t="shared" si="11"/>
        <v>165616.28461649155</v>
      </c>
    </row>
    <row r="15" spans="2:36" x14ac:dyDescent="0.25">
      <c r="B15" s="2" t="s">
        <v>63</v>
      </c>
      <c r="E15" s="6">
        <f>'Quarterly Historical Financials'!AB16</f>
        <v>673</v>
      </c>
      <c r="F15" s="6">
        <f>'Quarterly Historical Financials'!AC16</f>
        <v>326.38799999999992</v>
      </c>
      <c r="G15" s="6">
        <f ca="1">Assumptions!N64</f>
        <v>413.45079085577379</v>
      </c>
      <c r="H15" s="6">
        <f ca="1">Assumptions!O64</f>
        <v>428.89219783280004</v>
      </c>
      <c r="I15" s="6">
        <f ca="1">Assumptions!P64</f>
        <v>448.08032471779609</v>
      </c>
      <c r="J15" s="6">
        <f ca="1">Assumptions!Q64</f>
        <v>468.05132157950561</v>
      </c>
      <c r="K15" s="6">
        <f ca="1">Assumptions!R64</f>
        <v>488.83562667344603</v>
      </c>
      <c r="L15" s="6">
        <f ca="1">Assumptions!S64</f>
        <v>510.4648535644078</v>
      </c>
      <c r="M15" s="6">
        <f ca="1">Assumptions!T64</f>
        <v>532.97183823547186</v>
      </c>
      <c r="N15" s="6">
        <f ca="1">Assumptions!U64</f>
        <v>556.39068828849383</v>
      </c>
      <c r="O15" s="6">
        <f ca="1">Assumptions!V64</f>
        <v>580.75683434732343</v>
      </c>
      <c r="P15" s="6">
        <f ca="1">Assumptions!W64</f>
        <v>606.10708378238314</v>
      </c>
      <c r="Q15" s="6">
        <f ca="1">Assumptions!X64</f>
        <v>632.47967688317704</v>
      </c>
      <c r="R15" s="6">
        <f ca="1">Assumptions!Y64</f>
        <v>659.91434561387291</v>
      </c>
      <c r="S15" s="6">
        <f ca="1">Assumptions!Z64</f>
        <v>688.45237509636343</v>
      </c>
      <c r="T15" s="6">
        <f ca="1">Assumptions!AA64</f>
        <v>718.13666797522194</v>
      </c>
      <c r="U15" s="6">
        <f ca="1">Assumptions!AB64</f>
        <v>749.01181182978223</v>
      </c>
      <c r="V15" s="6">
        <f ca="1">Assumptions!AC64</f>
        <v>781.12414981029258</v>
      </c>
      <c r="W15" s="6">
        <f ca="1">Assumptions!AD64</f>
        <v>814.52185468774644</v>
      </c>
      <c r="X15" s="6">
        <f ca="1">Assumptions!AE64</f>
        <v>849.25500652072731</v>
      </c>
      <c r="Y15" s="6">
        <f ca="1">Assumptions!AF64</f>
        <v>885.37567415746059</v>
      </c>
      <c r="Z15" s="6">
        <f ca="1">Assumptions!AG64</f>
        <v>922.93800080737014</v>
      </c>
      <c r="AB15" s="6">
        <f t="shared" si="54"/>
        <v>999.38799999999992</v>
      </c>
      <c r="AC15" s="6">
        <f t="shared" ca="1" si="54"/>
        <v>1758.4746349858754</v>
      </c>
      <c r="AD15" s="6">
        <f t="shared" ca="1" si="11"/>
        <v>2088.6630067618198</v>
      </c>
      <c r="AE15" s="6">
        <f t="shared" ca="1" si="11"/>
        <v>2479.2579406267569</v>
      </c>
      <c r="AF15" s="6">
        <f t="shared" ca="1" si="11"/>
        <v>2936.7250047116604</v>
      </c>
      <c r="AG15" s="6">
        <f t="shared" ca="1" si="11"/>
        <v>3472.0905361733048</v>
      </c>
    </row>
    <row r="16" spans="2:36" x14ac:dyDescent="0.25">
      <c r="B16" s="8" t="s">
        <v>7</v>
      </c>
      <c r="C16" s="8"/>
      <c r="D16" s="8"/>
      <c r="E16" s="16">
        <f>SUM(E10,E13:E15)</f>
        <v>223795</v>
      </c>
      <c r="F16" s="16">
        <f t="shared" ref="F16:AG16" si="55">SUM(F10,F13:F15)</f>
        <v>673622.38600000017</v>
      </c>
      <c r="G16" s="16">
        <f t="shared" ref="G16" ca="1" si="56">SUM(G10,G13:G15)</f>
        <v>355930.63760335121</v>
      </c>
      <c r="H16" s="16">
        <f t="shared" ref="H16" ca="1" si="57">SUM(H10,H13:H15)</f>
        <v>370364.65112822287</v>
      </c>
      <c r="I16" s="16">
        <f t="shared" ref="I16" ca="1" si="58">SUM(I10,I13:I15)</f>
        <v>388061.08431344386</v>
      </c>
      <c r="J16" s="16">
        <f t="shared" ref="J16" ca="1" si="59">SUM(J10,J13:J15)</f>
        <v>406502.00486503827</v>
      </c>
      <c r="K16" s="16">
        <f t="shared" ref="K16" ca="1" si="60">SUM(K10,K13:K15)</f>
        <v>425716.85151663946</v>
      </c>
      <c r="L16" s="16">
        <f t="shared" ref="L16" ca="1" si="61">SUM(L10,L13:L15)</f>
        <v>445736.21582387527</v>
      </c>
      <c r="M16" s="16">
        <f t="shared" ref="M16" ca="1" si="62">SUM(M10,M13:M15)</f>
        <v>466591.88925808354</v>
      </c>
      <c r="N16" s="16">
        <f t="shared" ref="N16" ca="1" si="63">SUM(N10,N13:N15)</f>
        <v>488316.91245506675</v>
      </c>
      <c r="O16" s="16">
        <f t="shared" ref="O16" ca="1" si="64">SUM(O10,O13:O15)</f>
        <v>510945.62673821137</v>
      </c>
      <c r="P16" s="16">
        <f t="shared" ref="P16" ca="1" si="65">SUM(P10,P13:P15)</f>
        <v>534513.7280434873</v>
      </c>
      <c r="Q16" s="16">
        <f t="shared" ref="Q16" ca="1" si="66">SUM(Q10,Q13:Q15)</f>
        <v>559058.32338269462</v>
      </c>
      <c r="R16" s="16">
        <f t="shared" ref="R16" ca="1" si="67">SUM(R10,R13:R15)</f>
        <v>584617.98999089038</v>
      </c>
      <c r="S16" s="16">
        <f t="shared" ref="S16" ca="1" si="68">SUM(S10,S13:S15)</f>
        <v>611232.83731428208</v>
      </c>
      <c r="T16" s="16">
        <f t="shared" ref="T16" ca="1" si="69">SUM(T10,T13:T15)</f>
        <v>638944.57200608484</v>
      </c>
      <c r="U16" s="16">
        <f t="shared" ref="U16" ca="1" si="70">SUM(U10,U13:U15)</f>
        <v>667796.56610995822</v>
      </c>
      <c r="V16" s="16">
        <f t="shared" ref="V16" ca="1" si="71">SUM(V10,V13:V15)</f>
        <v>697833.92862380028</v>
      </c>
      <c r="W16" s="16">
        <f t="shared" ref="W16" ca="1" si="72">SUM(W10,W13:W15)</f>
        <v>729103.58065090689</v>
      </c>
      <c r="X16" s="16">
        <f t="shared" ref="X16" ca="1" si="73">SUM(X10,X13:X15)</f>
        <v>761654.33436096448</v>
      </c>
      <c r="Y16" s="16">
        <f t="shared" ref="Y16" ca="1" si="74">SUM(Y10,Y13:Y15)</f>
        <v>795536.97600009153</v>
      </c>
      <c r="Z16" s="16">
        <f t="shared" ref="Z16" ca="1" si="75">SUM(Z10,Z13:Z15)</f>
        <v>830804.35320732906</v>
      </c>
      <c r="AB16" s="16">
        <f t="shared" si="55"/>
        <v>897417.38600000017</v>
      </c>
      <c r="AC16" s="16">
        <f t="shared" ca="1" si="55"/>
        <v>1520858.3779100564</v>
      </c>
      <c r="AD16" s="16">
        <f t="shared" ca="1" si="55"/>
        <v>1826361.8690536649</v>
      </c>
      <c r="AE16" s="16">
        <f t="shared" ca="1" si="55"/>
        <v>2189135.6681552837</v>
      </c>
      <c r="AF16" s="16">
        <f t="shared" ca="1" si="55"/>
        <v>2615807.9040541253</v>
      </c>
      <c r="AG16" s="16">
        <f t="shared" ca="1" si="55"/>
        <v>3117099.244219292</v>
      </c>
    </row>
    <row r="17" spans="2:33" x14ac:dyDescent="0.25">
      <c r="B17" s="2" t="s">
        <v>8</v>
      </c>
      <c r="E17" s="6">
        <f>'Quarterly Historical Financials'!AB18</f>
        <v>46660</v>
      </c>
      <c r="F17" s="6">
        <f>'Quarterly Historical Financials'!AC18</f>
        <v>-178305.39600000001</v>
      </c>
      <c r="G17" s="6">
        <f>Assumptions!N91</f>
        <v>-26006.50411102239</v>
      </c>
      <c r="H17" s="6">
        <f>Assumptions!O91</f>
        <v>-39223.325717639622</v>
      </c>
      <c r="I17" s="6">
        <f>Assumptions!P91</f>
        <v>-40629.916592356385</v>
      </c>
      <c r="J17" s="6">
        <f>Assumptions!Q91</f>
        <v>-42086.949336869686</v>
      </c>
      <c r="K17" s="6">
        <f>Assumptions!R91</f>
        <v>-43596.232851176181</v>
      </c>
      <c r="L17" s="6">
        <f>Assumptions!S91</f>
        <v>-45159.640904382482</v>
      </c>
      <c r="M17" s="6">
        <f>Assumptions!T91</f>
        <v>-46779.114460981567</v>
      </c>
      <c r="N17" s="6">
        <f>Assumptions!U91</f>
        <v>-48456.664090552018</v>
      </c>
      <c r="O17" s="6">
        <f>Assumptions!V91</f>
        <v>-50194.372463871659</v>
      </c>
      <c r="P17" s="6">
        <f>Assumptions!W91</f>
        <v>-51994.396938544509</v>
      </c>
      <c r="Q17" s="6">
        <f>Assumptions!X91</f>
        <v>-53858.972237351147</v>
      </c>
      <c r="R17" s="6">
        <f>Assumptions!Y91</f>
        <v>-55790.413222647599</v>
      </c>
      <c r="S17" s="6">
        <f>Assumptions!Z91</f>
        <v>-57791.11777025718</v>
      </c>
      <c r="T17" s="6">
        <f>Assumptions!AA91</f>
        <v>-59863.569746423193</v>
      </c>
      <c r="U17" s="6">
        <f>Assumptions!AB91</f>
        <v>-62010.342091518367</v>
      </c>
      <c r="V17" s="6">
        <f>Assumptions!AC91</f>
        <v>-64234.100014339485</v>
      </c>
      <c r="W17" s="6">
        <f>Assumptions!AD91</f>
        <v>-66537.604300952822</v>
      </c>
      <c r="X17" s="6">
        <f>Assumptions!AE91</f>
        <v>-68923.714742198368</v>
      </c>
      <c r="Y17" s="6">
        <f>Assumptions!AF91</f>
        <v>-71395.39368410813</v>
      </c>
      <c r="Z17" s="6">
        <f>Assumptions!AG91</f>
        <v>-73955.709705646164</v>
      </c>
      <c r="AB17" s="6">
        <f t="shared" ref="AB17:AC21" si="76">SUMIF($E$2:$Z$2,AB$2,$E17:$Z17)</f>
        <v>-131645.39600000001</v>
      </c>
      <c r="AC17" s="6">
        <f t="shared" si="76"/>
        <v>-147946.69575788808</v>
      </c>
      <c r="AD17" s="6">
        <f t="shared" si="11"/>
        <v>-183991.65230709224</v>
      </c>
      <c r="AE17" s="6">
        <f t="shared" si="11"/>
        <v>-211838.1548624149</v>
      </c>
      <c r="AF17" s="6">
        <f t="shared" si="11"/>
        <v>-243899.12962253822</v>
      </c>
      <c r="AG17" s="6">
        <f t="shared" si="11"/>
        <v>-280812.42243290547</v>
      </c>
    </row>
    <row r="18" spans="2:33" x14ac:dyDescent="0.25">
      <c r="B18" s="2" t="s">
        <v>9</v>
      </c>
      <c r="E18" s="6">
        <f>'Quarterly Historical Financials'!AB20</f>
        <v>-46163</v>
      </c>
      <c r="F18" s="6">
        <f>'Quarterly Historical Financials'!AC20</f>
        <v>-119879.86300000001</v>
      </c>
      <c r="G18" s="6">
        <f ca="1">Assumptions!N76</f>
        <v>-57328.042884286886</v>
      </c>
      <c r="H18" s="6">
        <f ca="1">Assumptions!O76</f>
        <v>-59652.860303540227</v>
      </c>
      <c r="I18" s="6">
        <f ca="1">Assumptions!P76</f>
        <v>-62503.140030434166</v>
      </c>
      <c r="J18" s="6">
        <f ca="1">Assumptions!Q76</f>
        <v>-65473.330771321314</v>
      </c>
      <c r="K18" s="6">
        <f ca="1">Assumptions!R76</f>
        <v>-68568.174082015888</v>
      </c>
      <c r="L18" s="6">
        <f ca="1">Assumptions!S76</f>
        <v>-71792.597197848765</v>
      </c>
      <c r="M18" s="6">
        <f ca="1">Assumptions!T76</f>
        <v>-75151.720618826555</v>
      </c>
      <c r="N18" s="6">
        <f ca="1">Assumptions!U76</f>
        <v>-78650.866041892688</v>
      </c>
      <c r="O18" s="6">
        <f ca="1">Assumptions!V76</f>
        <v>-82295.564659509459</v>
      </c>
      <c r="P18" s="6">
        <f ca="1">Assumptions!W76</f>
        <v>-86091.565845099321</v>
      </c>
      <c r="Q18" s="6">
        <f ca="1">Assumptions!X76</f>
        <v>-90044.84624730963</v>
      </c>
      <c r="R18" s="6">
        <f ca="1">Assumptions!Y76</f>
        <v>-94161.619316605327</v>
      </c>
      <c r="S18" s="6">
        <f ca="1">Assumptions!Z76</f>
        <v>-98448.345289362042</v>
      </c>
      <c r="T18" s="6">
        <f ca="1">Assumptions!AA76</f>
        <v>-102911.7416564375</v>
      </c>
      <c r="U18" s="6">
        <f ca="1">Assumptions!AB76</f>
        <v>-107558.79414515103</v>
      </c>
      <c r="V18" s="6">
        <f ca="1">Assumptions!AC76</f>
        <v>-112396.76824572112</v>
      </c>
      <c r="W18" s="6">
        <f ca="1">Assumptions!AD76</f>
        <v>-117433.22131550264</v>
      </c>
      <c r="X18" s="6">
        <f ca="1">Assumptions!AE76</f>
        <v>-122676.0152968558</v>
      </c>
      <c r="Y18" s="6">
        <f ca="1">Assumptions!AF76</f>
        <v>-128133.33008717581</v>
      </c>
      <c r="Z18" s="6">
        <f ca="1">Assumptions!AG76</f>
        <v>-133813.67760254181</v>
      </c>
      <c r="AB18" s="6">
        <f t="shared" si="76"/>
        <v>-166042.86300000001</v>
      </c>
      <c r="AC18" s="6">
        <f t="shared" ca="1" si="76"/>
        <v>-244957.37398958259</v>
      </c>
      <c r="AD18" s="6">
        <f t="shared" ca="1" si="11"/>
        <v>-294163.3579405839</v>
      </c>
      <c r="AE18" s="6">
        <f t="shared" ca="1" si="11"/>
        <v>-352593.59606852377</v>
      </c>
      <c r="AF18" s="6">
        <f t="shared" ca="1" si="11"/>
        <v>-421315.64933667169</v>
      </c>
      <c r="AG18" s="6">
        <f t="shared" ca="1" si="11"/>
        <v>-502056.24430207605</v>
      </c>
    </row>
    <row r="19" spans="2:33" x14ac:dyDescent="0.25">
      <c r="B19" s="2" t="s">
        <v>10</v>
      </c>
      <c r="E19" s="6">
        <f>'Quarterly Historical Financials'!AB21</f>
        <v>-15613</v>
      </c>
      <c r="F19" s="6">
        <f>'Quarterly Historical Financials'!AC21</f>
        <v>-18327.089</v>
      </c>
      <c r="G19" s="6">
        <f>Assumptions!N144+Assumptions!N153+Assumptions!N162</f>
        <v>-7706.1291850371954</v>
      </c>
      <c r="H19" s="6">
        <f>Assumptions!O144+Assumptions!O153+Assumptions!O162</f>
        <v>-7725.747152935156</v>
      </c>
      <c r="I19" s="6">
        <f>Assumptions!P144+Assumptions!P153+Assumptions!P162</f>
        <v>-7745.5042541336934</v>
      </c>
      <c r="J19" s="6">
        <f>Assumptions!Q144+Assumptions!Q153+Assumptions!Q162</f>
        <v>-7765.4017748982442</v>
      </c>
      <c r="K19" s="6">
        <f>Assumptions!R144+Assumptions!R153+Assumptions!R162</f>
        <v>-7785.4410137466175</v>
      </c>
      <c r="L19" s="6">
        <f>Assumptions!S144+Assumptions!S153+Assumptions!S162</f>
        <v>-7805.6232815660151</v>
      </c>
      <c r="M19" s="6">
        <f>Assumptions!T144+Assumptions!T153+Assumptions!T162</f>
        <v>-7825.94990173121</v>
      </c>
      <c r="N19" s="6">
        <f>Assumptions!U144+Assumptions!U153+Assumptions!U162</f>
        <v>-7846.4222102238327</v>
      </c>
      <c r="O19" s="6">
        <f>Assumptions!V144+Assumptions!V153+Assumptions!V162</f>
        <v>-7867.0415557528013</v>
      </c>
      <c r="P19" s="6">
        <f>Assumptions!W144+Assumptions!W153+Assumptions!W162</f>
        <v>-7887.8092998759057</v>
      </c>
      <c r="Q19" s="6">
        <f>Assumptions!X144+Assumptions!X153+Assumptions!X162</f>
        <v>-7908.7268171225514</v>
      </c>
      <c r="R19" s="6">
        <f>Assumptions!Y144+Assumptions!Y153+Assumptions!Y162</f>
        <v>-7929.7954951176753</v>
      </c>
      <c r="S19" s="6">
        <f>Assumptions!Z144+Assumptions!Z153+Assumptions!Z162</f>
        <v>-7951.0167347068491</v>
      </c>
      <c r="T19" s="6">
        <f>Assumptions!AA144+Assumptions!AA153+Assumptions!AA162</f>
        <v>-7972.3919500825723</v>
      </c>
      <c r="U19" s="6">
        <f>Assumptions!AB144+Assumptions!AB153+Assumptions!AB162</f>
        <v>-7993.9225689117748</v>
      </c>
      <c r="V19" s="6">
        <f>Assumptions!AC144+Assumptions!AC153+Assumptions!AC162</f>
        <v>-8015.6100324645449</v>
      </c>
      <c r="W19" s="6">
        <f>Assumptions!AD144+Assumptions!AD153+Assumptions!AD162</f>
        <v>-8037.4557957440684</v>
      </c>
      <c r="X19" s="6">
        <f>Assumptions!AE144+Assumptions!AE153+Assumptions!AE162</f>
        <v>-8059.461327617837</v>
      </c>
      <c r="Y19" s="6">
        <f>Assumptions!AF144+Assumptions!AF153+Assumptions!AF162</f>
        <v>-8081.6281109500851</v>
      </c>
      <c r="Z19" s="6">
        <f>Assumptions!AG144+Assumptions!AG153+Assumptions!AG162</f>
        <v>-8103.9576427355005</v>
      </c>
      <c r="AB19" s="6">
        <f t="shared" si="76"/>
        <v>-33940.089</v>
      </c>
      <c r="AC19" s="6">
        <f t="shared" si="76"/>
        <v>-30942.782367004289</v>
      </c>
      <c r="AD19" s="6">
        <f t="shared" si="11"/>
        <v>-31263.436407267676</v>
      </c>
      <c r="AE19" s="6">
        <f t="shared" si="11"/>
        <v>-31593.373167868933</v>
      </c>
      <c r="AF19" s="6">
        <f t="shared" si="11"/>
        <v>-31932.94128616574</v>
      </c>
      <c r="AG19" s="6">
        <f t="shared" si="11"/>
        <v>-32282.502877047489</v>
      </c>
    </row>
    <row r="20" spans="2:33" x14ac:dyDescent="0.25">
      <c r="B20" s="2" t="s">
        <v>11</v>
      </c>
      <c r="E20" s="6">
        <f>'Quarterly Historical Financials'!AB22</f>
        <v>-51147</v>
      </c>
      <c r="F20" s="6">
        <f>'Quarterly Historical Financials'!AC22</f>
        <v>-25698.954999999987</v>
      </c>
      <c r="G20" s="6">
        <f ca="1">Assumptions!N79</f>
        <v>-46963.900052281504</v>
      </c>
      <c r="H20" s="6">
        <f ca="1">Assumptions!O79</f>
        <v>-48868.421599231835</v>
      </c>
      <c r="I20" s="6">
        <f ca="1">Assumptions!P79</f>
        <v>-51203.408901782524</v>
      </c>
      <c r="J20" s="6">
        <f ca="1">Assumptions!Q79</f>
        <v>-53636.628911975291</v>
      </c>
      <c r="K20" s="6">
        <f ca="1">Assumptions!R79</f>
        <v>-56171.965975797684</v>
      </c>
      <c r="L20" s="6">
        <f ca="1">Assumptions!S79</f>
        <v>-58813.456550382558</v>
      </c>
      <c r="M20" s="6">
        <f ca="1">Assumptions!T79</f>
        <v>-61565.295417871937</v>
      </c>
      <c r="N20" s="6">
        <f ca="1">Assumptions!U79</f>
        <v>-64431.842183631474</v>
      </c>
      <c r="O20" s="6">
        <f ca="1">Assumptions!V79</f>
        <v>-67417.628074559878</v>
      </c>
      <c r="P20" s="6">
        <f ca="1">Assumptions!W79</f>
        <v>-70527.363054318761</v>
      </c>
      <c r="Q20" s="6">
        <f ca="1">Assumptions!X79</f>
        <v>-73765.943273475976</v>
      </c>
      <c r="R20" s="6">
        <f ca="1">Assumptions!Y79</f>
        <v>-77138.458873817886</v>
      </c>
      <c r="S20" s="6">
        <f ca="1">Assumptions!Z79</f>
        <v>-80650.202167452051</v>
      </c>
      <c r="T20" s="6">
        <f ca="1">Assumptions!AA79</f>
        <v>-84306.676212801016</v>
      </c>
      <c r="U20" s="6">
        <f ca="1">Assumptions!AB79</f>
        <v>-88113.603811187029</v>
      </c>
      <c r="V20" s="6">
        <f ca="1">Assumptions!AC79</f>
        <v>-92076.9369494438</v>
      </c>
      <c r="W20" s="6">
        <f ca="1">Assumptions!AD79</f>
        <v>-96202.866715869823</v>
      </c>
      <c r="X20" s="6">
        <f ca="1">Assumptions!AE79</f>
        <v>-100497.83371887665</v>
      </c>
      <c r="Y20" s="6">
        <f ca="1">Assumptions!AF79</f>
        <v>-104968.53903989634</v>
      </c>
      <c r="Z20" s="6">
        <f ca="1">Assumptions!AG79</f>
        <v>-109621.9557545108</v>
      </c>
      <c r="AB20" s="6">
        <f t="shared" si="76"/>
        <v>-76845.954999999987</v>
      </c>
      <c r="AC20" s="6">
        <f t="shared" ca="1" si="76"/>
        <v>-200672.35946527118</v>
      </c>
      <c r="AD20" s="6">
        <f t="shared" ca="1" si="11"/>
        <v>-240982.56012768365</v>
      </c>
      <c r="AE20" s="6">
        <f t="shared" ca="1" si="11"/>
        <v>-288849.39327617252</v>
      </c>
      <c r="AF20" s="6">
        <f t="shared" ca="1" si="11"/>
        <v>-345147.4191408839</v>
      </c>
      <c r="AG20" s="6">
        <f t="shared" ca="1" si="11"/>
        <v>-411291.19522915361</v>
      </c>
    </row>
    <row r="21" spans="2:33" x14ac:dyDescent="0.25">
      <c r="B21" s="2" t="s">
        <v>78</v>
      </c>
      <c r="E21" s="6">
        <f>'Quarterly Historical Financials'!AB23</f>
        <v>-3166</v>
      </c>
      <c r="F21" s="6">
        <f>'Quarterly Historical Financials'!AC23</f>
        <v>-416.74499999999989</v>
      </c>
      <c r="G21" s="6">
        <f>Assumptions!N203</f>
        <v>-2180.6666102892768</v>
      </c>
      <c r="H21" s="6">
        <f>Assumptions!O203</f>
        <v>-2386.9413058267501</v>
      </c>
      <c r="I21" s="6">
        <f>Assumptions!P203</f>
        <v>-2612.7280394806012</v>
      </c>
      <c r="J21" s="6">
        <f>Assumptions!Q203</f>
        <v>-2859.8725036197516</v>
      </c>
      <c r="K21" s="6">
        <f>Assumptions!R203</f>
        <v>-3130.3949792593912</v>
      </c>
      <c r="L21" s="6">
        <f>Assumptions!S203</f>
        <v>-3426.5068508366362</v>
      </c>
      <c r="M21" s="6">
        <f>Assumptions!T203</f>
        <v>-3750.628683160025</v>
      </c>
      <c r="N21" s="6">
        <f>Assumptions!U203</f>
        <v>-4105.4100083027606</v>
      </c>
      <c r="O21" s="6">
        <f>Assumptions!V203</f>
        <v>-4493.7509841875662</v>
      </c>
      <c r="P21" s="6">
        <f>Assumptions!W203</f>
        <v>-4918.8261019111069</v>
      </c>
      <c r="Q21" s="6">
        <f>Assumptions!X203</f>
        <v>-5384.1101356033987</v>
      </c>
      <c r="R21" s="6">
        <f>Assumptions!Y203</f>
        <v>-5893.4065469491406</v>
      </c>
      <c r="S21" s="6">
        <f>Assumptions!Z203</f>
        <v>-6450.8785765636185</v>
      </c>
      <c r="T21" s="6">
        <f>Assumptions!AA203</f>
        <v>-7061.0832763794015</v>
      </c>
      <c r="U21" s="6">
        <f>Assumptions!AB203</f>
        <v>-7729.0087612414318</v>
      </c>
      <c r="V21" s="6">
        <f>Assumptions!AC203</f>
        <v>-8460.1149842234263</v>
      </c>
      <c r="W21" s="6">
        <f>Assumptions!AD203</f>
        <v>-9260.3783689831907</v>
      </c>
      <c r="X21" s="6">
        <f>Assumptions!AE203</f>
        <v>-10136.340664003801</v>
      </c>
      <c r="Y21" s="6">
        <f>Assumptions!AF203</f>
        <v>-11095.162418079326</v>
      </c>
      <c r="Z21" s="6">
        <f>Assumptions!AG203</f>
        <v>-12144.681514180185</v>
      </c>
      <c r="AB21" s="6">
        <f t="shared" si="76"/>
        <v>-3582.7449999999999</v>
      </c>
      <c r="AC21" s="6">
        <f t="shared" si="76"/>
        <v>-10040.208459216379</v>
      </c>
      <c r="AD21" s="6">
        <f t="shared" si="11"/>
        <v>-14412.940521558812</v>
      </c>
      <c r="AE21" s="6">
        <f t="shared" si="11"/>
        <v>-20690.093768651212</v>
      </c>
      <c r="AF21" s="6">
        <f t="shared" si="11"/>
        <v>-29701.085598407877</v>
      </c>
      <c r="AG21" s="6">
        <f t="shared" si="11"/>
        <v>-42636.5629652465</v>
      </c>
    </row>
    <row r="22" spans="2:33" x14ac:dyDescent="0.25">
      <c r="B22" s="8" t="s">
        <v>102</v>
      </c>
      <c r="C22" s="8"/>
      <c r="D22" s="8"/>
      <c r="E22" s="16">
        <f>SUM(E17:E21)</f>
        <v>-69429</v>
      </c>
      <c r="F22" s="16">
        <f>SUM(F17:F21)</f>
        <v>-342628.04799999995</v>
      </c>
      <c r="G22" s="16">
        <f t="shared" ref="G22:Z22" ca="1" si="77">SUM(G17:G21)</f>
        <v>-140185.24284291724</v>
      </c>
      <c r="H22" s="16">
        <f t="shared" ca="1" si="77"/>
        <v>-157857.2960791736</v>
      </c>
      <c r="I22" s="16">
        <f t="shared" ca="1" si="77"/>
        <v>-164694.69781818736</v>
      </c>
      <c r="J22" s="16">
        <f t="shared" ca="1" si="77"/>
        <v>-171822.18329868431</v>
      </c>
      <c r="K22" s="16">
        <f t="shared" ca="1" si="77"/>
        <v>-179252.20890199576</v>
      </c>
      <c r="L22" s="16">
        <f t="shared" ca="1" si="77"/>
        <v>-186997.82478501645</v>
      </c>
      <c r="M22" s="16">
        <f t="shared" ca="1" si="77"/>
        <v>-195072.70908257129</v>
      </c>
      <c r="N22" s="16">
        <f t="shared" ca="1" si="77"/>
        <v>-203491.20453460279</v>
      </c>
      <c r="O22" s="16">
        <f t="shared" ca="1" si="77"/>
        <v>-212268.35773788136</v>
      </c>
      <c r="P22" s="16">
        <f t="shared" ca="1" si="77"/>
        <v>-221419.96123974959</v>
      </c>
      <c r="Q22" s="16">
        <f t="shared" ca="1" si="77"/>
        <v>-230962.59871086269</v>
      </c>
      <c r="R22" s="16">
        <f t="shared" ca="1" si="77"/>
        <v>-240913.69345513763</v>
      </c>
      <c r="S22" s="16">
        <f t="shared" ca="1" si="77"/>
        <v>-251291.56053834173</v>
      </c>
      <c r="T22" s="16">
        <f t="shared" ca="1" si="77"/>
        <v>-262115.46284212364</v>
      </c>
      <c r="U22" s="16">
        <f t="shared" ca="1" si="77"/>
        <v>-273405.6713780096</v>
      </c>
      <c r="V22" s="16">
        <f t="shared" ca="1" si="77"/>
        <v>-285183.53022619238</v>
      </c>
      <c r="W22" s="16">
        <f t="shared" ca="1" si="77"/>
        <v>-297471.52649705252</v>
      </c>
      <c r="X22" s="16">
        <f t="shared" ca="1" si="77"/>
        <v>-310293.36574955244</v>
      </c>
      <c r="Y22" s="16">
        <f t="shared" ca="1" si="77"/>
        <v>-323674.05334020965</v>
      </c>
      <c r="Z22" s="16">
        <f t="shared" ca="1" si="77"/>
        <v>-337639.9822196145</v>
      </c>
      <c r="AB22" s="16">
        <f t="shared" ref="AB22:AG22" si="78">SUM(AB17:AB21)</f>
        <v>-412057.04799999995</v>
      </c>
      <c r="AC22" s="16">
        <f t="shared" ca="1" si="78"/>
        <v>-634559.4200389625</v>
      </c>
      <c r="AD22" s="16">
        <f t="shared" ca="1" si="78"/>
        <v>-764813.94730418641</v>
      </c>
      <c r="AE22" s="16">
        <f t="shared" ca="1" si="78"/>
        <v>-905564.61114363128</v>
      </c>
      <c r="AF22" s="16">
        <f t="shared" ca="1" si="78"/>
        <v>-1071996.2249846673</v>
      </c>
      <c r="AG22" s="16">
        <f t="shared" ca="1" si="78"/>
        <v>-1269078.9278064291</v>
      </c>
    </row>
    <row r="23" spans="2:33" x14ac:dyDescent="0.25">
      <c r="B23" s="2" t="s">
        <v>84</v>
      </c>
      <c r="E23" s="6">
        <f>'Quarterly Historical Financials'!AB26</f>
        <v>422</v>
      </c>
      <c r="F23" s="6">
        <f>'Quarterly Historical Financials'!AC26</f>
        <v>295.11599999999999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0</v>
      </c>
      <c r="Q23" s="115">
        <v>0</v>
      </c>
      <c r="R23" s="115">
        <v>0</v>
      </c>
      <c r="S23" s="115">
        <v>0</v>
      </c>
      <c r="T23" s="115">
        <v>0</v>
      </c>
      <c r="U23" s="115">
        <v>0</v>
      </c>
      <c r="V23" s="115">
        <v>0</v>
      </c>
      <c r="W23" s="115">
        <v>0</v>
      </c>
      <c r="X23" s="115">
        <v>0</v>
      </c>
      <c r="Y23" s="115">
        <v>0</v>
      </c>
      <c r="Z23" s="115">
        <v>0</v>
      </c>
      <c r="AB23" s="6">
        <f>SUMIF($E$2:$Z$2,AB$2,$E23:$Z23)</f>
        <v>717.11599999999999</v>
      </c>
      <c r="AC23" s="6">
        <f>SUMIF($E$2:$Z$2,AC$2,$E23:$Z23)</f>
        <v>0</v>
      </c>
      <c r="AD23" s="6">
        <f t="shared" si="11"/>
        <v>0</v>
      </c>
      <c r="AE23" s="6">
        <f>SUMIF($E$2:$Z$2,AE$2,$E23:$Z23)</f>
        <v>0</v>
      </c>
      <c r="AF23" s="6">
        <f t="shared" si="11"/>
        <v>0</v>
      </c>
      <c r="AG23" s="6">
        <f t="shared" si="11"/>
        <v>0</v>
      </c>
    </row>
    <row r="24" spans="2:33" x14ac:dyDescent="0.25">
      <c r="B24" s="8" t="s">
        <v>13</v>
      </c>
      <c r="C24" s="8"/>
      <c r="D24" s="8"/>
      <c r="E24" s="16">
        <f>SUM(E16,E22:E23)</f>
        <v>154788</v>
      </c>
      <c r="F24" s="16">
        <f>SUM(F16,F22:F23)</f>
        <v>331289.4540000002</v>
      </c>
      <c r="G24" s="16">
        <f t="shared" ref="G24:Z24" ca="1" si="79">SUM(G16,G22:G23)</f>
        <v>215745.39476043396</v>
      </c>
      <c r="H24" s="16">
        <f t="shared" ca="1" si="79"/>
        <v>212507.35504904928</v>
      </c>
      <c r="I24" s="16">
        <f t="shared" ca="1" si="79"/>
        <v>223366.38649525651</v>
      </c>
      <c r="J24" s="16">
        <f t="shared" ca="1" si="79"/>
        <v>234679.82156635396</v>
      </c>
      <c r="K24" s="16">
        <f t="shared" ca="1" si="79"/>
        <v>246464.6426146437</v>
      </c>
      <c r="L24" s="16">
        <f t="shared" ca="1" si="79"/>
        <v>258738.39103885883</v>
      </c>
      <c r="M24" s="16">
        <f t="shared" ca="1" si="79"/>
        <v>271519.18017551221</v>
      </c>
      <c r="N24" s="16">
        <f t="shared" ca="1" si="79"/>
        <v>284825.70792046399</v>
      </c>
      <c r="O24" s="16">
        <f t="shared" ca="1" si="79"/>
        <v>298677.26900033001</v>
      </c>
      <c r="P24" s="16">
        <f t="shared" ca="1" si="79"/>
        <v>313093.76680373773</v>
      </c>
      <c r="Q24" s="16">
        <f t="shared" ca="1" si="79"/>
        <v>328095.72467183194</v>
      </c>
      <c r="R24" s="16">
        <f t="shared" ca="1" si="79"/>
        <v>343704.29653575271</v>
      </c>
      <c r="S24" s="16">
        <f t="shared" ca="1" si="79"/>
        <v>359941.27677594032</v>
      </c>
      <c r="T24" s="16">
        <f t="shared" ca="1" si="79"/>
        <v>376829.1091639612</v>
      </c>
      <c r="U24" s="16">
        <f t="shared" ca="1" si="79"/>
        <v>394390.89473194862</v>
      </c>
      <c r="V24" s="16">
        <f t="shared" ca="1" si="79"/>
        <v>412650.3983976079</v>
      </c>
      <c r="W24" s="16">
        <f t="shared" ca="1" si="79"/>
        <v>431632.05415385438</v>
      </c>
      <c r="X24" s="16">
        <f t="shared" ca="1" si="79"/>
        <v>451360.96861141204</v>
      </c>
      <c r="Y24" s="16">
        <f t="shared" ca="1" si="79"/>
        <v>471862.92265988188</v>
      </c>
      <c r="Z24" s="16">
        <f t="shared" ca="1" si="79"/>
        <v>493164.37098771456</v>
      </c>
      <c r="AB24" s="16">
        <f t="shared" ref="AB24:AG24" si="80">SUM(AB16,AB22:AB23)</f>
        <v>486077.4540000002</v>
      </c>
      <c r="AC24" s="16">
        <f t="shared" ca="1" si="80"/>
        <v>886298.95787109388</v>
      </c>
      <c r="AD24" s="16">
        <f t="shared" ca="1" si="80"/>
        <v>1061547.9217494784</v>
      </c>
      <c r="AE24" s="16">
        <f t="shared" ca="1" si="80"/>
        <v>1283571.0570116523</v>
      </c>
      <c r="AF24" s="16">
        <f t="shared" ca="1" si="80"/>
        <v>1543811.679069458</v>
      </c>
      <c r="AG24" s="16">
        <f t="shared" ca="1" si="80"/>
        <v>1848020.3164128629</v>
      </c>
    </row>
    <row r="25" spans="2:33" x14ac:dyDescent="0.25">
      <c r="B25" s="2" t="s">
        <v>196</v>
      </c>
      <c r="E25" s="6">
        <f>SUM('Quarterly Historical Financials'!AB28:AB31)</f>
        <v>-43024</v>
      </c>
      <c r="F25" s="6">
        <f>SUM('Quarterly Historical Financials'!AC28:AC31)</f>
        <v>-101178.38999999998</v>
      </c>
      <c r="G25" s="6">
        <f ca="1">Assumptions!N117</f>
        <v>-44555.859982605987</v>
      </c>
      <c r="H25" s="6">
        <f ca="1">Assumptions!O117</f>
        <v>-43887.138204517621</v>
      </c>
      <c r="I25" s="6">
        <f ca="1">Assumptions!P117</f>
        <v>-46129.751471888536</v>
      </c>
      <c r="J25" s="6">
        <f ca="1">Assumptions!Q117</f>
        <v>-48466.20843084174</v>
      </c>
      <c r="K25" s="6">
        <f ca="1">Assumptions!R117</f>
        <v>-50900.016286303602</v>
      </c>
      <c r="L25" s="6">
        <f ca="1">Assumptions!S117</f>
        <v>-53434.797697783128</v>
      </c>
      <c r="M25" s="6">
        <f ca="1">Assumptions!T117</f>
        <v>-56074.293441700509</v>
      </c>
      <c r="N25" s="6">
        <f ca="1">Assumptions!U117</f>
        <v>-58822.365018000324</v>
      </c>
      <c r="O25" s="6">
        <f ca="1">Assumptions!V117</f>
        <v>-61682.997184449741</v>
      </c>
      <c r="P25" s="6">
        <f ca="1">Assumptions!W117</f>
        <v>-64660.300400036067</v>
      </c>
      <c r="Q25" s="6">
        <f ca="1">Assumptions!X117</f>
        <v>-67758.51315668835</v>
      </c>
      <c r="R25" s="6">
        <f ca="1">Assumptions!Y117</f>
        <v>-70982.004176135306</v>
      </c>
      <c r="S25" s="6">
        <f ca="1">Assumptions!Z117</f>
        <v>-74335.274446054493</v>
      </c>
      <c r="T25" s="6">
        <f ca="1">Assumptions!AA117</f>
        <v>-77822.959066743177</v>
      </c>
      <c r="U25" s="6">
        <f ca="1">Assumptions!AB117</f>
        <v>-81449.828876319749</v>
      </c>
      <c r="V25" s="6">
        <f ca="1">Assumptions!AC117</f>
        <v>-85220.791818923419</v>
      </c>
      <c r="W25" s="6">
        <f ca="1">Assumptions!AD117</f>
        <v>-89140.894016481194</v>
      </c>
      <c r="X25" s="6">
        <f ca="1">Assumptions!AE117</f>
        <v>-93215.320500327318</v>
      </c>
      <c r="Y25" s="6">
        <f ca="1">Assumptions!AF117</f>
        <v>-97449.395554248098</v>
      </c>
      <c r="Z25" s="6">
        <f ca="1">Assumptions!AG117</f>
        <v>-101848.58261534631</v>
      </c>
      <c r="AB25" s="6">
        <f>SUMIF($E$2:$Z$2,AB$2,$E25:$Z25)</f>
        <v>-144202.38999999998</v>
      </c>
      <c r="AC25" s="6">
        <f ca="1">SUMIF($E$2:$Z$2,AC$2,$E25:$Z25)</f>
        <v>-183038.95808985387</v>
      </c>
      <c r="AD25" s="6">
        <f t="shared" ca="1" si="11"/>
        <v>-219231.47244378758</v>
      </c>
      <c r="AE25" s="6">
        <f ca="1">SUMIF($E$2:$Z$2,AE$2,$E25:$Z25)</f>
        <v>-265083.81491730944</v>
      </c>
      <c r="AF25" s="6">
        <f t="shared" ca="1" si="11"/>
        <v>-318828.85420804087</v>
      </c>
      <c r="AG25" s="6">
        <f t="shared" ca="1" si="11"/>
        <v>-381654.19268640294</v>
      </c>
    </row>
    <row r="26" spans="2:33" ht="11.4" thickBot="1" x14ac:dyDescent="0.3">
      <c r="B26" s="17" t="s">
        <v>268</v>
      </c>
      <c r="C26" s="17"/>
      <c r="D26" s="17"/>
      <c r="E26" s="18">
        <f>SUM(E24:E25)</f>
        <v>111764</v>
      </c>
      <c r="F26" s="18">
        <f>SUM(F24:F25)</f>
        <v>230111.06400000022</v>
      </c>
      <c r="G26" s="18">
        <f t="shared" ref="G26:Z26" ca="1" si="81">SUM(G24:G25)</f>
        <v>171189.53477782797</v>
      </c>
      <c r="H26" s="18">
        <f t="shared" ca="1" si="81"/>
        <v>168620.21684453165</v>
      </c>
      <c r="I26" s="18">
        <f t="shared" ca="1" si="81"/>
        <v>177236.63502336797</v>
      </c>
      <c r="J26" s="18">
        <f t="shared" ca="1" si="81"/>
        <v>186213.61313551222</v>
      </c>
      <c r="K26" s="18">
        <f t="shared" ca="1" si="81"/>
        <v>195564.62632834009</v>
      </c>
      <c r="L26" s="18">
        <f t="shared" ca="1" si="81"/>
        <v>205303.5933410757</v>
      </c>
      <c r="M26" s="18">
        <f t="shared" ca="1" si="81"/>
        <v>215444.8867338117</v>
      </c>
      <c r="N26" s="18">
        <f t="shared" ca="1" si="81"/>
        <v>226003.34290246366</v>
      </c>
      <c r="O26" s="18">
        <f t="shared" ca="1" si="81"/>
        <v>236994.27181588026</v>
      </c>
      <c r="P26" s="18">
        <f t="shared" ca="1" si="81"/>
        <v>248433.46640370166</v>
      </c>
      <c r="Q26" s="18">
        <f t="shared" ca="1" si="81"/>
        <v>260337.21151514357</v>
      </c>
      <c r="R26" s="18">
        <f t="shared" ca="1" si="81"/>
        <v>272722.29235961742</v>
      </c>
      <c r="S26" s="18">
        <f t="shared" ca="1" si="81"/>
        <v>285606.00232988584</v>
      </c>
      <c r="T26" s="18">
        <f t="shared" ca="1" si="81"/>
        <v>299006.15009721799</v>
      </c>
      <c r="U26" s="18">
        <f t="shared" ca="1" si="81"/>
        <v>312941.06585562887</v>
      </c>
      <c r="V26" s="18">
        <f t="shared" ca="1" si="81"/>
        <v>327429.60657868447</v>
      </c>
      <c r="W26" s="18">
        <f t="shared" ca="1" si="81"/>
        <v>342491.1601373732</v>
      </c>
      <c r="X26" s="18">
        <f t="shared" ca="1" si="81"/>
        <v>358145.64811108471</v>
      </c>
      <c r="Y26" s="18">
        <f t="shared" ca="1" si="81"/>
        <v>374413.52710563375</v>
      </c>
      <c r="Z26" s="18">
        <f t="shared" ca="1" si="81"/>
        <v>391315.78837236826</v>
      </c>
      <c r="AB26" s="18">
        <f t="shared" ref="AB26:AG26" si="82">SUM(AB24:AB25)</f>
        <v>341875.06400000025</v>
      </c>
      <c r="AC26" s="18">
        <f t="shared" ca="1" si="82"/>
        <v>703259.99978124001</v>
      </c>
      <c r="AD26" s="18">
        <f t="shared" ca="1" si="82"/>
        <v>842316.44930569082</v>
      </c>
      <c r="AE26" s="18">
        <f t="shared" ca="1" si="82"/>
        <v>1018487.2420943428</v>
      </c>
      <c r="AF26" s="18">
        <f t="shared" ca="1" si="82"/>
        <v>1224982.8248614171</v>
      </c>
      <c r="AG26" s="18">
        <f t="shared" ca="1" si="82"/>
        <v>1466366.1237264599</v>
      </c>
    </row>
    <row r="28" spans="2:33" x14ac:dyDescent="0.25">
      <c r="B28" s="2" t="s">
        <v>104</v>
      </c>
      <c r="E28" s="6">
        <f>'Quarterly Historical Financials'!AB34</f>
        <v>349617.462</v>
      </c>
      <c r="F28" s="6">
        <f>E28</f>
        <v>349617.462</v>
      </c>
      <c r="G28" s="6">
        <f t="shared" ref="G28:Z28" si="83">F28</f>
        <v>349617.462</v>
      </c>
      <c r="H28" s="6">
        <f t="shared" si="83"/>
        <v>349617.462</v>
      </c>
      <c r="I28" s="6">
        <f t="shared" si="83"/>
        <v>349617.462</v>
      </c>
      <c r="J28" s="6">
        <f t="shared" si="83"/>
        <v>349617.462</v>
      </c>
      <c r="K28" s="6">
        <f t="shared" si="83"/>
        <v>349617.462</v>
      </c>
      <c r="L28" s="6">
        <f t="shared" si="83"/>
        <v>349617.462</v>
      </c>
      <c r="M28" s="6">
        <f t="shared" si="83"/>
        <v>349617.462</v>
      </c>
      <c r="N28" s="6">
        <f t="shared" si="83"/>
        <v>349617.462</v>
      </c>
      <c r="O28" s="6">
        <f t="shared" si="83"/>
        <v>349617.462</v>
      </c>
      <c r="P28" s="6">
        <f t="shared" si="83"/>
        <v>349617.462</v>
      </c>
      <c r="Q28" s="6">
        <f t="shared" si="83"/>
        <v>349617.462</v>
      </c>
      <c r="R28" s="6">
        <f t="shared" si="83"/>
        <v>349617.462</v>
      </c>
      <c r="S28" s="6">
        <f t="shared" si="83"/>
        <v>349617.462</v>
      </c>
      <c r="T28" s="6">
        <f t="shared" si="83"/>
        <v>349617.462</v>
      </c>
      <c r="U28" s="6">
        <f t="shared" si="83"/>
        <v>349617.462</v>
      </c>
      <c r="V28" s="6">
        <f t="shared" si="83"/>
        <v>349617.462</v>
      </c>
      <c r="W28" s="6">
        <f t="shared" si="83"/>
        <v>349617.462</v>
      </c>
      <c r="X28" s="6">
        <f t="shared" si="83"/>
        <v>349617.462</v>
      </c>
      <c r="Y28" s="6">
        <f t="shared" si="83"/>
        <v>349617.462</v>
      </c>
      <c r="Z28" s="6">
        <f t="shared" si="83"/>
        <v>349617.462</v>
      </c>
      <c r="AB28" s="6">
        <f>SUMIF($E$4:$Z$4,AB$4,$E28:$Z28)</f>
        <v>349617.462</v>
      </c>
      <c r="AC28" s="6">
        <f t="shared" ref="AC28:AG28" si="84">SUMIF($E$4:$Z$4,AC$4,$E28:$Z28)</f>
        <v>349617.462</v>
      </c>
      <c r="AD28" s="6">
        <f t="shared" si="84"/>
        <v>349617.462</v>
      </c>
      <c r="AE28" s="6">
        <f t="shared" si="84"/>
        <v>349617.462</v>
      </c>
      <c r="AF28" s="6">
        <f t="shared" si="84"/>
        <v>349617.462</v>
      </c>
      <c r="AG28" s="6">
        <f t="shared" si="84"/>
        <v>349617.462</v>
      </c>
    </row>
    <row r="29" spans="2:33" x14ac:dyDescent="0.25">
      <c r="B29" s="2" t="s">
        <v>94</v>
      </c>
      <c r="E29" s="26">
        <f>E26/E28</f>
        <v>0.31967510821870793</v>
      </c>
      <c r="F29" s="26">
        <f t="shared" ref="F29:AG29" si="85">F26/F28</f>
        <v>0.65817955053972743</v>
      </c>
      <c r="G29" s="26">
        <f t="shared" ca="1" si="85"/>
        <v>0.48964812512090133</v>
      </c>
      <c r="H29" s="26">
        <f t="shared" ca="1" si="85"/>
        <v>0.48229918460002907</v>
      </c>
      <c r="I29" s="26">
        <f t="shared" ca="1" si="85"/>
        <v>0.50694445869345039</v>
      </c>
      <c r="J29" s="26">
        <f t="shared" ca="1" si="85"/>
        <v>0.53262103119869975</v>
      </c>
      <c r="K29" s="26">
        <f t="shared" ca="1" si="85"/>
        <v>0.55936744466253263</v>
      </c>
      <c r="L29" s="26">
        <f t="shared" ca="1" si="85"/>
        <v>0.58722351042373189</v>
      </c>
      <c r="M29" s="26">
        <f t="shared" ca="1" si="85"/>
        <v>0.61623033787085757</v>
      </c>
      <c r="N29" s="26">
        <f t="shared" ca="1" si="85"/>
        <v>0.64643036308770996</v>
      </c>
      <c r="O29" s="26">
        <f t="shared" ca="1" si="85"/>
        <v>0.67786737670408537</v>
      </c>
      <c r="P29" s="26">
        <f t="shared" ca="1" si="85"/>
        <v>0.71058655074757582</v>
      </c>
      <c r="Q29" s="26">
        <f t="shared" ca="1" si="85"/>
        <v>0.7446344642681022</v>
      </c>
      <c r="R29" s="26">
        <f t="shared" ca="1" si="85"/>
        <v>0.78005912748035855</v>
      </c>
      <c r="S29" s="26">
        <f t="shared" ca="1" si="85"/>
        <v>0.8169100041401417</v>
      </c>
      <c r="T29" s="26">
        <f t="shared" ca="1" si="85"/>
        <v>0.85523803183840397</v>
      </c>
      <c r="U29" s="26">
        <f t="shared" ca="1" si="85"/>
        <v>0.89509563986145768</v>
      </c>
      <c r="V29" s="26">
        <f t="shared" ca="1" si="85"/>
        <v>0.93653676422685228</v>
      </c>
      <c r="W29" s="26">
        <f t="shared" ca="1" si="85"/>
        <v>0.97961685946159405</v>
      </c>
      <c r="X29" s="26">
        <f t="shared" ca="1" si="85"/>
        <v>1.0243929066423023</v>
      </c>
      <c r="Y29" s="26">
        <f t="shared" ca="1" si="85"/>
        <v>1.0709234171651121</v>
      </c>
      <c r="Z29" s="26">
        <f t="shared" ca="1" si="85"/>
        <v>1.1192684316562205</v>
      </c>
      <c r="AB29" s="26">
        <f t="shared" si="85"/>
        <v>0.97785465875843536</v>
      </c>
      <c r="AC29" s="26">
        <f t="shared" ca="1" si="85"/>
        <v>2.0115127996130813</v>
      </c>
      <c r="AD29" s="26">
        <f t="shared" ca="1" si="85"/>
        <v>2.4092516560448312</v>
      </c>
      <c r="AE29" s="26">
        <f t="shared" ca="1" si="85"/>
        <v>2.9131475192001219</v>
      </c>
      <c r="AF29" s="26">
        <f t="shared" ca="1" si="85"/>
        <v>3.5037804400668553</v>
      </c>
      <c r="AG29" s="26">
        <f t="shared" ca="1" si="85"/>
        <v>4.1942016149252295</v>
      </c>
    </row>
    <row r="30" spans="2:33" x14ac:dyDescent="0.25">
      <c r="AB30" s="26"/>
      <c r="AC30" s="26"/>
      <c r="AD30" s="26"/>
      <c r="AE30" s="26"/>
      <c r="AF30" s="26"/>
      <c r="AG30" s="26"/>
    </row>
    <row r="31" spans="2:33" x14ac:dyDescent="0.25">
      <c r="B31" s="21" t="s">
        <v>105</v>
      </c>
      <c r="C31" s="19"/>
      <c r="D31" s="1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B31" s="20"/>
      <c r="AC31" s="20"/>
      <c r="AD31" s="20"/>
      <c r="AE31" s="20"/>
      <c r="AF31" s="20"/>
      <c r="AG31" s="20"/>
    </row>
    <row r="32" spans="2:33" x14ac:dyDescent="0.25">
      <c r="B32" s="4" t="s">
        <v>20</v>
      </c>
    </row>
    <row r="33" spans="2:33" x14ac:dyDescent="0.25">
      <c r="B33" s="2" t="s">
        <v>21</v>
      </c>
      <c r="E33" s="6">
        <f>'Quarterly Historical Financials'!AB41+'Quarterly Historical Financials'!AB42</f>
        <v>3312929</v>
      </c>
      <c r="F33" s="6">
        <f>'Quarterly Historical Financials'!AC41+'Quarterly Historical Financials'!AC42</f>
        <v>8162460.5479999995</v>
      </c>
      <c r="G33" s="6">
        <f t="shared" ref="G33:Z33" ca="1" si="86">G111</f>
        <v>6892248.5091348179</v>
      </c>
      <c r="H33" s="6">
        <f t="shared" ca="1" si="86"/>
        <v>7295215.277282767</v>
      </c>
      <c r="I33" s="6">
        <f t="shared" ca="1" si="86"/>
        <v>7716511.2064229567</v>
      </c>
      <c r="J33" s="6">
        <f t="shared" ca="1" si="86"/>
        <v>8156889.4078025669</v>
      </c>
      <c r="K33" s="6">
        <f t="shared" ca="1" si="86"/>
        <v>8617133.320189843</v>
      </c>
      <c r="L33" s="6">
        <f t="shared" ca="1" si="86"/>
        <v>9098057.9900400229</v>
      </c>
      <c r="M33" s="6">
        <f t="shared" ca="1" si="86"/>
        <v>9600511.4130407535</v>
      </c>
      <c r="N33" s="6">
        <f t="shared" ca="1" si="86"/>
        <v>10125375.940629397</v>
      </c>
      <c r="O33" s="6">
        <f t="shared" ca="1" si="86"/>
        <v>10673569.755333088</v>
      </c>
      <c r="P33" s="6">
        <f t="shared" ca="1" si="86"/>
        <v>11246048.419061612</v>
      </c>
      <c r="Q33" s="6">
        <f t="shared" ca="1" si="86"/>
        <v>11843806.498786286</v>
      </c>
      <c r="R33" s="6">
        <f t="shared" ca="1" si="86"/>
        <v>12467879.274365973</v>
      </c>
      <c r="S33" s="6">
        <f t="shared" ca="1" si="86"/>
        <v>13119344.53363752</v>
      </c>
      <c r="T33" s="6">
        <f t="shared" ca="1" si="86"/>
        <v>13799324.460273676</v>
      </c>
      <c r="U33" s="6">
        <f t="shared" ca="1" si="86"/>
        <v>14508987.620330788</v>
      </c>
      <c r="V33" s="6">
        <f t="shared" ca="1" si="86"/>
        <v>15249551.053863145</v>
      </c>
      <c r="W33" s="6">
        <f t="shared" ca="1" si="86"/>
        <v>16022282.478474915</v>
      </c>
      <c r="X33" s="6">
        <f t="shared" ca="1" si="86"/>
        <v>16828502.612217169</v>
      </c>
      <c r="Y33" s="6">
        <f t="shared" ca="1" si="86"/>
        <v>17669587.623820674</v>
      </c>
      <c r="Z33" s="6">
        <f t="shared" ca="1" si="86"/>
        <v>18546971.718889017</v>
      </c>
      <c r="AB33" s="6">
        <f>SUMIF($E$4:$Z$4,AB$4,$E33:$Z33)</f>
        <v>8162460.5479999995</v>
      </c>
      <c r="AC33" s="6">
        <f t="shared" ref="AB33:AG44" ca="1" si="87">SUMIF($E$4:$Z$4,AC$4,$E33:$Z33)</f>
        <v>8156889.4078025669</v>
      </c>
      <c r="AD33" s="6">
        <f t="shared" ca="1" si="87"/>
        <v>10125375.940629397</v>
      </c>
      <c r="AE33" s="6">
        <f t="shared" ca="1" si="87"/>
        <v>12467879.274365973</v>
      </c>
      <c r="AF33" s="6">
        <f t="shared" ca="1" si="87"/>
        <v>15249551.053863145</v>
      </c>
      <c r="AG33" s="6">
        <f t="shared" ca="1" si="87"/>
        <v>18546971.718889017</v>
      </c>
    </row>
    <row r="34" spans="2:33" x14ac:dyDescent="0.25">
      <c r="B34" s="2" t="s">
        <v>71</v>
      </c>
      <c r="E34" s="6">
        <f>'Quarterly Historical Financials'!AB43</f>
        <v>3580300</v>
      </c>
      <c r="F34" s="6">
        <f>'Quarterly Historical Financials'!AC43</f>
        <v>3178870.372</v>
      </c>
      <c r="G34" s="6">
        <f>Assumptions!N99</f>
        <v>4086092.6829498024</v>
      </c>
      <c r="H34" s="6">
        <f>Assumptions!O99</f>
        <v>4232624.3850920144</v>
      </c>
      <c r="I34" s="6">
        <f>Assumptions!P99</f>
        <v>4384410.8725263672</v>
      </c>
      <c r="J34" s="6">
        <f>Assumptions!Q99</f>
        <v>4541640.5875357473</v>
      </c>
      <c r="K34" s="6">
        <f>Assumptions!R99</f>
        <v>4704508.730147074</v>
      </c>
      <c r="L34" s="6">
        <f>Assumptions!S99</f>
        <v>4873217.5004713163</v>
      </c>
      <c r="M34" s="6">
        <f>Assumptions!T99</f>
        <v>5047976.3497340726</v>
      </c>
      <c r="N34" s="6">
        <f>Assumptions!U99</f>
        <v>5229002.2403083835</v>
      </c>
      <c r="O34" s="6">
        <f>Assumptions!V99</f>
        <v>5416519.9150726004</v>
      </c>
      <c r="P34" s="6">
        <f>Assumptions!W99</f>
        <v>5610762.1764277192</v>
      </c>
      <c r="Q34" s="6">
        <f>Assumptions!X99</f>
        <v>5811970.1753205815</v>
      </c>
      <c r="R34" s="6">
        <f>Assumptions!Y99</f>
        <v>6020393.7106317496</v>
      </c>
      <c r="S34" s="6">
        <f>Assumptions!Z99</f>
        <v>6236291.5392997675</v>
      </c>
      <c r="T34" s="6">
        <f>Assumptions!AA99</f>
        <v>6459931.6975668026</v>
      </c>
      <c r="U34" s="6">
        <f>Assumptions!AB99</f>
        <v>6691591.833744511</v>
      </c>
      <c r="V34" s="6">
        <f>Assumptions!AC99</f>
        <v>6931559.552913243</v>
      </c>
      <c r="W34" s="6">
        <f>Assumptions!AD99</f>
        <v>7180132.7739825323</v>
      </c>
      <c r="X34" s="6">
        <f>Assumptions!AE99</f>
        <v>7437620.0995561667</v>
      </c>
      <c r="Y34" s="6">
        <f>Assumptions!AF99</f>
        <v>7704341.1990610156</v>
      </c>
      <c r="Z34" s="6">
        <f>Assumptions!AG99</f>
        <v>7980627.2056152737</v>
      </c>
      <c r="AB34" s="6">
        <f t="shared" si="87"/>
        <v>3178870.372</v>
      </c>
      <c r="AC34" s="6">
        <f t="shared" si="87"/>
        <v>4541640.5875357473</v>
      </c>
      <c r="AD34" s="6">
        <f t="shared" si="87"/>
        <v>5229002.2403083835</v>
      </c>
      <c r="AE34" s="6">
        <f t="shared" si="87"/>
        <v>6020393.7106317496</v>
      </c>
      <c r="AF34" s="6">
        <f t="shared" si="87"/>
        <v>6931559.552913243</v>
      </c>
      <c r="AG34" s="6">
        <f t="shared" si="87"/>
        <v>7980627.2056152737</v>
      </c>
    </row>
    <row r="35" spans="2:33" x14ac:dyDescent="0.25">
      <c r="B35" s="2" t="s">
        <v>22</v>
      </c>
      <c r="E35" s="6">
        <f>'Quarterly Historical Financials'!AB44</f>
        <v>1516490</v>
      </c>
      <c r="F35" s="6">
        <f>'Quarterly Historical Financials'!AC44</f>
        <v>1947024.824</v>
      </c>
      <c r="G35" s="6">
        <f>Assumptions!N94</f>
        <v>2936526.5137544735</v>
      </c>
      <c r="H35" s="6">
        <f>Assumptions!O94</f>
        <v>3041833.5299760299</v>
      </c>
      <c r="I35" s="6">
        <f>Assumptions!P94</f>
        <v>3150916.9696739432</v>
      </c>
      <c r="J35" s="6">
        <f>Assumptions!Q94</f>
        <v>3263912.2594777439</v>
      </c>
      <c r="K35" s="6">
        <f>Assumptions!R94</f>
        <v>3380959.6825623419</v>
      </c>
      <c r="L35" s="6">
        <f>Assumptions!S94</f>
        <v>3502204.5528089958</v>
      </c>
      <c r="M35" s="6">
        <f>Assumptions!T94</f>
        <v>3627797.3952118834</v>
      </c>
      <c r="N35" s="6">
        <f>Assumptions!U94</f>
        <v>3757894.1327542439</v>
      </c>
      <c r="O35" s="6">
        <f>Assumptions!V94</f>
        <v>3892656.2799861049</v>
      </c>
      <c r="P35" s="6">
        <f>Assumptions!W94</f>
        <v>4032251.1435439126</v>
      </c>
      <c r="Q35" s="6">
        <f>Assumptions!X94</f>
        <v>4176852.0298610153</v>
      </c>
      <c r="R35" s="6">
        <f>Assumptions!Y94</f>
        <v>4326638.4603268672</v>
      </c>
      <c r="S35" s="6">
        <f>Assumptions!Z94</f>
        <v>4481796.3941620756</v>
      </c>
      <c r="T35" s="6">
        <f>Assumptions!AA94</f>
        <v>4642518.4592859866</v>
      </c>
      <c r="U35" s="6">
        <f>Assumptions!AB94</f>
        <v>4809004.1914634351</v>
      </c>
      <c r="V35" s="6">
        <f>Assumptions!AC94</f>
        <v>4981460.2820275528</v>
      </c>
      <c r="W35" s="6">
        <f>Assumptions!AD94</f>
        <v>5160100.8344861828</v>
      </c>
      <c r="X35" s="6">
        <f>Assumptions!AE94</f>
        <v>5345147.6303304853</v>
      </c>
      <c r="Y35" s="6">
        <f>Assumptions!AF94</f>
        <v>5536830.4043757152</v>
      </c>
      <c r="Z35" s="6">
        <f>Assumptions!AG94</f>
        <v>5735387.1299760304</v>
      </c>
      <c r="AB35" s="6">
        <f t="shared" si="87"/>
        <v>1947024.824</v>
      </c>
      <c r="AC35" s="6">
        <f t="shared" si="87"/>
        <v>3263912.2594777439</v>
      </c>
      <c r="AD35" s="6">
        <f t="shared" si="87"/>
        <v>3757894.1327542439</v>
      </c>
      <c r="AE35" s="6">
        <f t="shared" si="87"/>
        <v>4326638.4603268672</v>
      </c>
      <c r="AF35" s="6">
        <f t="shared" si="87"/>
        <v>4981460.2820275528</v>
      </c>
      <c r="AG35" s="6">
        <f t="shared" si="87"/>
        <v>5735387.1299760304</v>
      </c>
    </row>
    <row r="36" spans="2:33" x14ac:dyDescent="0.25">
      <c r="B36" s="2" t="s">
        <v>23</v>
      </c>
      <c r="E36" s="6">
        <f>'Quarterly Historical Financials'!AB47</f>
        <v>2505</v>
      </c>
      <c r="F36" s="6">
        <f>'Quarterly Historical Financials'!AC47</f>
        <v>2799.3820000000001</v>
      </c>
      <c r="G36" s="6">
        <f>Assumptions!N105</f>
        <v>2799.3820000000001</v>
      </c>
      <c r="H36" s="6">
        <f>Assumptions!O105</f>
        <v>2799.3820000000001</v>
      </c>
      <c r="I36" s="6">
        <f>Assumptions!P105</f>
        <v>2799.3820000000001</v>
      </c>
      <c r="J36" s="6">
        <f>Assumptions!Q105</f>
        <v>2799.3820000000001</v>
      </c>
      <c r="K36" s="6">
        <f>Assumptions!R105</f>
        <v>2799.3820000000001</v>
      </c>
      <c r="L36" s="6">
        <f>Assumptions!S105</f>
        <v>2799.3820000000001</v>
      </c>
      <c r="M36" s="6">
        <f>Assumptions!T105</f>
        <v>2799.3820000000001</v>
      </c>
      <c r="N36" s="6">
        <f>Assumptions!U105</f>
        <v>2799.3820000000001</v>
      </c>
      <c r="O36" s="6">
        <f>Assumptions!V105</f>
        <v>2799.3820000000001</v>
      </c>
      <c r="P36" s="6">
        <f>Assumptions!W105</f>
        <v>2799.3820000000001</v>
      </c>
      <c r="Q36" s="6">
        <f>Assumptions!X105</f>
        <v>2799.3820000000001</v>
      </c>
      <c r="R36" s="6">
        <f>Assumptions!Y105</f>
        <v>2799.3820000000001</v>
      </c>
      <c r="S36" s="6">
        <f>Assumptions!Z105</f>
        <v>2799.3820000000001</v>
      </c>
      <c r="T36" s="6">
        <f>Assumptions!AA105</f>
        <v>2799.3820000000001</v>
      </c>
      <c r="U36" s="6">
        <f>Assumptions!AB105</f>
        <v>2799.3820000000001</v>
      </c>
      <c r="V36" s="6">
        <f>Assumptions!AC105</f>
        <v>2799.3820000000001</v>
      </c>
      <c r="W36" s="6">
        <f>Assumptions!AD105</f>
        <v>2799.3820000000001</v>
      </c>
      <c r="X36" s="6">
        <f>Assumptions!AE105</f>
        <v>2799.3820000000001</v>
      </c>
      <c r="Y36" s="6">
        <f>Assumptions!AF105</f>
        <v>2799.3820000000001</v>
      </c>
      <c r="Z36" s="6">
        <f>Assumptions!AG105</f>
        <v>2799.3820000000001</v>
      </c>
      <c r="AB36" s="6">
        <f t="shared" si="87"/>
        <v>2799.3820000000001</v>
      </c>
      <c r="AC36" s="6">
        <f t="shared" si="87"/>
        <v>2799.3820000000001</v>
      </c>
      <c r="AD36" s="6">
        <f t="shared" si="87"/>
        <v>2799.3820000000001</v>
      </c>
      <c r="AE36" s="6">
        <f t="shared" si="87"/>
        <v>2799.3820000000001</v>
      </c>
      <c r="AF36" s="6">
        <f t="shared" si="87"/>
        <v>2799.3820000000001</v>
      </c>
      <c r="AG36" s="6">
        <f t="shared" si="87"/>
        <v>2799.3820000000001</v>
      </c>
    </row>
    <row r="37" spans="2:33" x14ac:dyDescent="0.25">
      <c r="B37" s="2" t="s">
        <v>79</v>
      </c>
      <c r="E37" s="6">
        <f>'Quarterly Historical Financials'!AB48</f>
        <v>3025</v>
      </c>
      <c r="F37" s="6">
        <f>'Quarterly Historical Financials'!AC48</f>
        <v>0</v>
      </c>
      <c r="G37" s="6">
        <f>Assumptions!N111</f>
        <v>0</v>
      </c>
      <c r="H37" s="6">
        <f>Assumptions!O111</f>
        <v>0</v>
      </c>
      <c r="I37" s="6">
        <f>Assumptions!P111</f>
        <v>0</v>
      </c>
      <c r="J37" s="6">
        <f>Assumptions!Q111</f>
        <v>0</v>
      </c>
      <c r="K37" s="6">
        <f>Assumptions!R111</f>
        <v>0</v>
      </c>
      <c r="L37" s="6">
        <f>Assumptions!S111</f>
        <v>0</v>
      </c>
      <c r="M37" s="6">
        <f>Assumptions!T111</f>
        <v>0</v>
      </c>
      <c r="N37" s="6">
        <f>Assumptions!U111</f>
        <v>0</v>
      </c>
      <c r="O37" s="6">
        <f>Assumptions!V111</f>
        <v>0</v>
      </c>
      <c r="P37" s="6">
        <f>Assumptions!W111</f>
        <v>0</v>
      </c>
      <c r="Q37" s="6">
        <f>Assumptions!X111</f>
        <v>0</v>
      </c>
      <c r="R37" s="6">
        <f>Assumptions!Y111</f>
        <v>0</v>
      </c>
      <c r="S37" s="6">
        <f>Assumptions!Z111</f>
        <v>0</v>
      </c>
      <c r="T37" s="6">
        <f>Assumptions!AA111</f>
        <v>0</v>
      </c>
      <c r="U37" s="6">
        <f>Assumptions!AB111</f>
        <v>0</v>
      </c>
      <c r="V37" s="6">
        <f>Assumptions!AC111</f>
        <v>0</v>
      </c>
      <c r="W37" s="6">
        <f>Assumptions!AD111</f>
        <v>0</v>
      </c>
      <c r="X37" s="6">
        <f>Assumptions!AE111</f>
        <v>0</v>
      </c>
      <c r="Y37" s="6">
        <f>Assumptions!AF111</f>
        <v>0</v>
      </c>
      <c r="Z37" s="6">
        <f>Assumptions!AG111</f>
        <v>0</v>
      </c>
      <c r="AB37" s="6">
        <f t="shared" si="87"/>
        <v>0</v>
      </c>
      <c r="AC37" s="6">
        <f t="shared" si="87"/>
        <v>0</v>
      </c>
      <c r="AD37" s="6">
        <f t="shared" si="87"/>
        <v>0</v>
      </c>
      <c r="AE37" s="6">
        <f t="shared" si="87"/>
        <v>0</v>
      </c>
      <c r="AF37" s="6">
        <f t="shared" si="87"/>
        <v>0</v>
      </c>
      <c r="AG37" s="6">
        <f t="shared" si="87"/>
        <v>0</v>
      </c>
    </row>
    <row r="38" spans="2:33" x14ac:dyDescent="0.25">
      <c r="B38" s="2" t="s">
        <v>24</v>
      </c>
      <c r="E38" s="6">
        <f>'Quarterly Historical Financials'!AB49</f>
        <v>191807</v>
      </c>
      <c r="F38" s="6">
        <f>'Quarterly Historical Financials'!AC49</f>
        <v>244879.81</v>
      </c>
      <c r="G38" s="6">
        <f>Assumptions!N124</f>
        <v>244879.81</v>
      </c>
      <c r="H38" s="6">
        <f>Assumptions!O124</f>
        <v>244879.81</v>
      </c>
      <c r="I38" s="6">
        <f>Assumptions!P124</f>
        <v>244879.81</v>
      </c>
      <c r="J38" s="6">
        <f>Assumptions!Q124</f>
        <v>244879.81</v>
      </c>
      <c r="K38" s="6">
        <f>Assumptions!R124</f>
        <v>244879.81</v>
      </c>
      <c r="L38" s="6">
        <f>Assumptions!S124</f>
        <v>244879.81</v>
      </c>
      <c r="M38" s="6">
        <f>Assumptions!T124</f>
        <v>244879.81</v>
      </c>
      <c r="N38" s="6">
        <f>Assumptions!U124</f>
        <v>244879.81</v>
      </c>
      <c r="O38" s="6">
        <f>Assumptions!V124</f>
        <v>244879.81</v>
      </c>
      <c r="P38" s="6">
        <f>Assumptions!W124</f>
        <v>244879.81</v>
      </c>
      <c r="Q38" s="6">
        <f>Assumptions!X124</f>
        <v>244879.81</v>
      </c>
      <c r="R38" s="6">
        <f>Assumptions!Y124</f>
        <v>244879.81</v>
      </c>
      <c r="S38" s="6">
        <f>Assumptions!Z124</f>
        <v>244879.81</v>
      </c>
      <c r="T38" s="6">
        <f>Assumptions!AA124</f>
        <v>244879.81</v>
      </c>
      <c r="U38" s="6">
        <f>Assumptions!AB124</f>
        <v>244879.81</v>
      </c>
      <c r="V38" s="6">
        <f>Assumptions!AC124</f>
        <v>244879.81</v>
      </c>
      <c r="W38" s="6">
        <f>Assumptions!AD124</f>
        <v>244879.81</v>
      </c>
      <c r="X38" s="6">
        <f>Assumptions!AE124</f>
        <v>244879.81</v>
      </c>
      <c r="Y38" s="6">
        <f>Assumptions!AF124</f>
        <v>244879.81</v>
      </c>
      <c r="Z38" s="6">
        <f>Assumptions!AG124</f>
        <v>244879.81</v>
      </c>
      <c r="AB38" s="6">
        <f t="shared" si="87"/>
        <v>244879.81</v>
      </c>
      <c r="AC38" s="6">
        <f t="shared" si="87"/>
        <v>244879.81</v>
      </c>
      <c r="AD38" s="6">
        <f t="shared" si="87"/>
        <v>244879.81</v>
      </c>
      <c r="AE38" s="6">
        <f t="shared" si="87"/>
        <v>244879.81</v>
      </c>
      <c r="AF38" s="6">
        <f t="shared" si="87"/>
        <v>244879.81</v>
      </c>
      <c r="AG38" s="6">
        <f t="shared" si="87"/>
        <v>244879.81</v>
      </c>
    </row>
    <row r="39" spans="2:33" x14ac:dyDescent="0.25">
      <c r="B39" s="2" t="s">
        <v>73</v>
      </c>
      <c r="E39" s="6">
        <f>'Quarterly Historical Financials'!AB50</f>
        <v>8827</v>
      </c>
      <c r="F39" s="6">
        <f>'Quarterly Historical Financials'!AC50</f>
        <v>0</v>
      </c>
      <c r="G39" s="6">
        <f>Assumptions!N130</f>
        <v>0</v>
      </c>
      <c r="H39" s="6">
        <f>Assumptions!O130</f>
        <v>0</v>
      </c>
      <c r="I39" s="6">
        <f>Assumptions!P130</f>
        <v>0</v>
      </c>
      <c r="J39" s="6">
        <f>Assumptions!Q130</f>
        <v>0</v>
      </c>
      <c r="K39" s="6">
        <f>Assumptions!R130</f>
        <v>0</v>
      </c>
      <c r="L39" s="6">
        <f>Assumptions!S130</f>
        <v>0</v>
      </c>
      <c r="M39" s="6">
        <f>Assumptions!T130</f>
        <v>0</v>
      </c>
      <c r="N39" s="6">
        <f>Assumptions!U130</f>
        <v>0</v>
      </c>
      <c r="O39" s="6">
        <f>Assumptions!V130</f>
        <v>0</v>
      </c>
      <c r="P39" s="6">
        <f>Assumptions!W130</f>
        <v>0</v>
      </c>
      <c r="Q39" s="6">
        <f>Assumptions!X130</f>
        <v>0</v>
      </c>
      <c r="R39" s="6">
        <f>Assumptions!Y130</f>
        <v>0</v>
      </c>
      <c r="S39" s="6">
        <f>Assumptions!Z130</f>
        <v>0</v>
      </c>
      <c r="T39" s="6">
        <f>Assumptions!AA130</f>
        <v>0</v>
      </c>
      <c r="U39" s="6">
        <f>Assumptions!AB130</f>
        <v>0</v>
      </c>
      <c r="V39" s="6">
        <f>Assumptions!AC130</f>
        <v>0</v>
      </c>
      <c r="W39" s="6">
        <f>Assumptions!AD130</f>
        <v>0</v>
      </c>
      <c r="X39" s="6">
        <f>Assumptions!AE130</f>
        <v>0</v>
      </c>
      <c r="Y39" s="6">
        <f>Assumptions!AF130</f>
        <v>0</v>
      </c>
      <c r="Z39" s="6">
        <f>Assumptions!AG130</f>
        <v>0</v>
      </c>
      <c r="AB39" s="6">
        <f t="shared" si="87"/>
        <v>0</v>
      </c>
      <c r="AC39" s="6">
        <f t="shared" si="87"/>
        <v>0</v>
      </c>
      <c r="AD39" s="6">
        <f t="shared" si="87"/>
        <v>0</v>
      </c>
      <c r="AE39" s="6">
        <f t="shared" si="87"/>
        <v>0</v>
      </c>
      <c r="AF39" s="6">
        <f t="shared" si="87"/>
        <v>0</v>
      </c>
      <c r="AG39" s="6">
        <f t="shared" si="87"/>
        <v>0</v>
      </c>
    </row>
    <row r="40" spans="2:33" x14ac:dyDescent="0.25">
      <c r="B40" s="2" t="s">
        <v>80</v>
      </c>
      <c r="E40" s="6">
        <f>'Quarterly Historical Financials'!AB51</f>
        <v>37747</v>
      </c>
      <c r="F40" s="6">
        <f>'Quarterly Historical Financials'!AC51</f>
        <v>0</v>
      </c>
      <c r="G40" s="6">
        <f>Assumptions!N136</f>
        <v>0</v>
      </c>
      <c r="H40" s="6">
        <f>Assumptions!O136</f>
        <v>0</v>
      </c>
      <c r="I40" s="6">
        <f>Assumptions!P136</f>
        <v>0</v>
      </c>
      <c r="J40" s="6">
        <f>Assumptions!Q136</f>
        <v>0</v>
      </c>
      <c r="K40" s="6">
        <f>Assumptions!R136</f>
        <v>0</v>
      </c>
      <c r="L40" s="6">
        <f>Assumptions!S136</f>
        <v>0</v>
      </c>
      <c r="M40" s="6">
        <f>Assumptions!T136</f>
        <v>0</v>
      </c>
      <c r="N40" s="6">
        <f>Assumptions!U136</f>
        <v>0</v>
      </c>
      <c r="O40" s="6">
        <f>Assumptions!V136</f>
        <v>0</v>
      </c>
      <c r="P40" s="6">
        <f>Assumptions!W136</f>
        <v>0</v>
      </c>
      <c r="Q40" s="6">
        <f>Assumptions!X136</f>
        <v>0</v>
      </c>
      <c r="R40" s="6">
        <f>Assumptions!Y136</f>
        <v>0</v>
      </c>
      <c r="S40" s="6">
        <f>Assumptions!Z136</f>
        <v>0</v>
      </c>
      <c r="T40" s="6">
        <f>Assumptions!AA136</f>
        <v>0</v>
      </c>
      <c r="U40" s="6">
        <f>Assumptions!AB136</f>
        <v>0</v>
      </c>
      <c r="V40" s="6">
        <f>Assumptions!AC136</f>
        <v>0</v>
      </c>
      <c r="W40" s="6">
        <f>Assumptions!AD136</f>
        <v>0</v>
      </c>
      <c r="X40" s="6">
        <f>Assumptions!AE136</f>
        <v>0</v>
      </c>
      <c r="Y40" s="6">
        <f>Assumptions!AF136</f>
        <v>0</v>
      </c>
      <c r="Z40" s="6">
        <f>Assumptions!AG136</f>
        <v>0</v>
      </c>
      <c r="AB40" s="6">
        <f t="shared" si="87"/>
        <v>0</v>
      </c>
      <c r="AC40" s="6">
        <f t="shared" si="87"/>
        <v>0</v>
      </c>
      <c r="AD40" s="6">
        <f t="shared" si="87"/>
        <v>0</v>
      </c>
      <c r="AE40" s="6">
        <f t="shared" si="87"/>
        <v>0</v>
      </c>
      <c r="AF40" s="6">
        <f t="shared" si="87"/>
        <v>0</v>
      </c>
      <c r="AG40" s="6">
        <f t="shared" si="87"/>
        <v>0</v>
      </c>
    </row>
    <row r="41" spans="2:33" x14ac:dyDescent="0.25">
      <c r="B41" s="2" t="s">
        <v>25</v>
      </c>
      <c r="E41" s="6">
        <f>'Quarterly Historical Financials'!AB52</f>
        <v>33244</v>
      </c>
      <c r="F41" s="6">
        <f>'Quarterly Historical Financials'!AC52</f>
        <v>31109.296999999999</v>
      </c>
      <c r="G41" s="6">
        <f>Assumptions!N145</f>
        <v>31406.565092043882</v>
      </c>
      <c r="H41" s="6">
        <f>Assumptions!O145</f>
        <v>31706.673759962789</v>
      </c>
      <c r="I41" s="6">
        <f>Assumptions!P145</f>
        <v>32009.650147172113</v>
      </c>
      <c r="J41" s="6">
        <f>Assumptions!Q145</f>
        <v>32315.521656458928</v>
      </c>
      <c r="K41" s="6">
        <f>Assumptions!R145</f>
        <v>32624.315952460482</v>
      </c>
      <c r="L41" s="6">
        <f>Assumptions!S145</f>
        <v>32936.060964166296</v>
      </c>
      <c r="M41" s="6">
        <f>Assumptions!T145</f>
        <v>33250.784887444235</v>
      </c>
      <c r="N41" s="6">
        <f>Assumptions!U145</f>
        <v>33568.516187590685</v>
      </c>
      <c r="O41" s="6">
        <f>Assumptions!V145</f>
        <v>33889.283601905103</v>
      </c>
      <c r="P41" s="6">
        <f>Assumptions!W145</f>
        <v>34213.11614228916</v>
      </c>
      <c r="Q41" s="6">
        <f>Assumptions!X145</f>
        <v>34540.043097870759</v>
      </c>
      <c r="R41" s="6">
        <f>Assumptions!Y145</f>
        <v>34870.094037653078</v>
      </c>
      <c r="S41" s="6">
        <f>Assumptions!Z145</f>
        <v>35203.298813188951</v>
      </c>
      <c r="T41" s="6">
        <f>Assumptions!AA145</f>
        <v>35539.687561280793</v>
      </c>
      <c r="U41" s="6">
        <f>Assumptions!AB145</f>
        <v>35879.290706706342</v>
      </c>
      <c r="V41" s="6">
        <f>Assumptions!AC145</f>
        <v>36222.138964970436</v>
      </c>
      <c r="W41" s="6">
        <f>Assumptions!AD145</f>
        <v>36568.263345083076</v>
      </c>
      <c r="X41" s="6">
        <f>Assumptions!AE145</f>
        <v>36917.69515236406</v>
      </c>
      <c r="Y41" s="6">
        <f>Assumptions!AF145</f>
        <v>37270.465991274395</v>
      </c>
      <c r="Z41" s="6">
        <f>Assumptions!AG145</f>
        <v>37626.607768274771</v>
      </c>
      <c r="AB41" s="6">
        <f t="shared" si="87"/>
        <v>31109.296999999999</v>
      </c>
      <c r="AC41" s="6">
        <f t="shared" si="87"/>
        <v>32315.521656458928</v>
      </c>
      <c r="AD41" s="6">
        <f t="shared" si="87"/>
        <v>33568.516187590685</v>
      </c>
      <c r="AE41" s="6">
        <f t="shared" si="87"/>
        <v>34870.094037653078</v>
      </c>
      <c r="AF41" s="6">
        <f t="shared" si="87"/>
        <v>36222.138964970436</v>
      </c>
      <c r="AG41" s="6">
        <f t="shared" si="87"/>
        <v>37626.607768274771</v>
      </c>
    </row>
    <row r="42" spans="2:33" x14ac:dyDescent="0.25">
      <c r="B42" s="2" t="s">
        <v>91</v>
      </c>
      <c r="E42" s="6">
        <f>'Quarterly Historical Financials'!AB53</f>
        <v>6363787</v>
      </c>
      <c r="F42" s="6">
        <f>'Quarterly Historical Financials'!AC53</f>
        <v>5017670.5980000002</v>
      </c>
      <c r="G42" s="6">
        <f>Assumptions!N171</f>
        <v>5112929.4085017415</v>
      </c>
      <c r="H42" s="6">
        <f>Assumptions!O171</f>
        <v>5209996.6758961743</v>
      </c>
      <c r="I42" s="6">
        <f>Assumptions!P171</f>
        <v>5308906.7331370218</v>
      </c>
      <c r="J42" s="6">
        <f>Assumptions!Q171</f>
        <v>5409694.5649777353</v>
      </c>
      <c r="K42" s="6">
        <f>Assumptions!R171</f>
        <v>5512395.8203456979</v>
      </c>
      <c r="L42" s="6">
        <f>Assumptions!S171</f>
        <v>5617046.8249513414</v>
      </c>
      <c r="M42" s="6">
        <f>Assumptions!T171</f>
        <v>5723684.5941366525</v>
      </c>
      <c r="N42" s="6">
        <f>Assumptions!U171</f>
        <v>5832346.8459675964</v>
      </c>
      <c r="O42" s="6">
        <f>Assumptions!V171</f>
        <v>5943072.0145750986</v>
      </c>
      <c r="P42" s="6">
        <f>Assumptions!W171</f>
        <v>6055899.2637493005</v>
      </c>
      <c r="Q42" s="6">
        <f>Assumptions!X171</f>
        <v>6170868.5007918971</v>
      </c>
      <c r="R42" s="6">
        <f>Assumptions!Y171</f>
        <v>6288020.3906314578</v>
      </c>
      <c r="S42" s="6">
        <f>Assumptions!Z171</f>
        <v>6407396.3702067211</v>
      </c>
      <c r="T42" s="6">
        <f>Assumptions!AA171</f>
        <v>6529038.6631229501</v>
      </c>
      <c r="U42" s="6">
        <f>Assumptions!AB171</f>
        <v>6652990.2945865374</v>
      </c>
      <c r="V42" s="6">
        <f>Assumptions!AC171</f>
        <v>6779295.1066231336</v>
      </c>
      <c r="W42" s="6">
        <f>Assumptions!AD171</f>
        <v>6907997.7735846918</v>
      </c>
      <c r="X42" s="6">
        <f>Assumptions!AE171</f>
        <v>7039143.8179509053</v>
      </c>
      <c r="Y42" s="6">
        <f>Assumptions!AF171</f>
        <v>7172779.6264306335</v>
      </c>
      <c r="Z42" s="6">
        <f>Assumptions!AG171</f>
        <v>7308952.4663690012</v>
      </c>
      <c r="AB42" s="6">
        <f t="shared" si="87"/>
        <v>5017670.5980000002</v>
      </c>
      <c r="AC42" s="6">
        <f t="shared" si="87"/>
        <v>5409694.5649777353</v>
      </c>
      <c r="AD42" s="6">
        <f t="shared" si="87"/>
        <v>5832346.8459675964</v>
      </c>
      <c r="AE42" s="6">
        <f t="shared" si="87"/>
        <v>6288020.3906314578</v>
      </c>
      <c r="AF42" s="6">
        <f t="shared" si="87"/>
        <v>6779295.1066231336</v>
      </c>
      <c r="AG42" s="6">
        <f t="shared" si="87"/>
        <v>7308952.4663690012</v>
      </c>
    </row>
    <row r="43" spans="2:33" x14ac:dyDescent="0.25">
      <c r="B43" s="2" t="s">
        <v>26</v>
      </c>
      <c r="E43" s="6">
        <f>'Quarterly Historical Financials'!AB54</f>
        <v>583596</v>
      </c>
      <c r="F43" s="6">
        <f>'Quarterly Historical Financials'!AC54</f>
        <v>568767.63699999999</v>
      </c>
      <c r="G43" s="6">
        <f>Assumptions!N154</f>
        <v>569276.48858624406</v>
      </c>
      <c r="H43" s="6">
        <f>Assumptions!O154</f>
        <v>569785.79541979823</v>
      </c>
      <c r="I43" s="6">
        <f>Assumptions!P154</f>
        <v>570295.55790795234</v>
      </c>
      <c r="J43" s="6">
        <f>Assumptions!Q154</f>
        <v>570805.77645836084</v>
      </c>
      <c r="K43" s="6">
        <f>Assumptions!R154</f>
        <v>571316.45147904265</v>
      </c>
      <c r="L43" s="6">
        <f>Assumptions!S154</f>
        <v>571827.58337838179</v>
      </c>
      <c r="M43" s="6">
        <f>Assumptions!T154</f>
        <v>572339.17256512772</v>
      </c>
      <c r="N43" s="6">
        <f>Assumptions!U154</f>
        <v>572851.21944839542</v>
      </c>
      <c r="O43" s="6">
        <f>Assumptions!V154</f>
        <v>573363.72443766613</v>
      </c>
      <c r="P43" s="6">
        <f>Assumptions!W154</f>
        <v>573876.68794278707</v>
      </c>
      <c r="Q43" s="6">
        <f>Assumptions!X154</f>
        <v>574390.11037397257</v>
      </c>
      <c r="R43" s="6">
        <f>Assumptions!Y154</f>
        <v>574903.99214180373</v>
      </c>
      <c r="S43" s="6">
        <f>Assumptions!Z154</f>
        <v>575418.33365722897</v>
      </c>
      <c r="T43" s="6">
        <f>Assumptions!AA154</f>
        <v>575933.13533156447</v>
      </c>
      <c r="U43" s="6">
        <f>Assumptions!AB154</f>
        <v>576448.39757649426</v>
      </c>
      <c r="V43" s="6">
        <f>Assumptions!AC154</f>
        <v>576964.12080407073</v>
      </c>
      <c r="W43" s="6">
        <f>Assumptions!AD154</f>
        <v>577480.30542671483</v>
      </c>
      <c r="X43" s="6">
        <f>Assumptions!AE154</f>
        <v>577996.95185721689</v>
      </c>
      <c r="Y43" s="6">
        <f>Assumptions!AF154</f>
        <v>578514.06050873606</v>
      </c>
      <c r="Z43" s="6">
        <f>Assumptions!AG154</f>
        <v>579031.63179480133</v>
      </c>
      <c r="AB43" s="6">
        <f t="shared" si="87"/>
        <v>568767.63699999999</v>
      </c>
      <c r="AC43" s="6">
        <f t="shared" si="87"/>
        <v>570805.77645836084</v>
      </c>
      <c r="AD43" s="6">
        <f t="shared" si="87"/>
        <v>572851.21944839542</v>
      </c>
      <c r="AE43" s="6">
        <f t="shared" si="87"/>
        <v>574903.99214180373</v>
      </c>
      <c r="AF43" s="6">
        <f t="shared" si="87"/>
        <v>576964.12080407073</v>
      </c>
      <c r="AG43" s="6">
        <f t="shared" si="87"/>
        <v>579031.63179480133</v>
      </c>
    </row>
    <row r="44" spans="2:33" x14ac:dyDescent="0.25">
      <c r="B44" s="2" t="s">
        <v>64</v>
      </c>
      <c r="E44" s="6">
        <f>'Quarterly Historical Financials'!AB55</f>
        <v>22696</v>
      </c>
      <c r="F44" s="6">
        <f>'Quarterly Historical Financials'!AC55</f>
        <v>39409.089999999997</v>
      </c>
      <c r="G44" s="6">
        <f>Assumptions!N163</f>
        <v>39409.089999999997</v>
      </c>
      <c r="H44" s="6">
        <f>Assumptions!O163</f>
        <v>39409.089999999997</v>
      </c>
      <c r="I44" s="6">
        <f>Assumptions!P163</f>
        <v>39409.089999999997</v>
      </c>
      <c r="J44" s="6">
        <f>Assumptions!Q163</f>
        <v>39409.089999999997</v>
      </c>
      <c r="K44" s="6">
        <f>Assumptions!R163</f>
        <v>39409.089999999997</v>
      </c>
      <c r="L44" s="6">
        <f>Assumptions!S163</f>
        <v>39409.089999999997</v>
      </c>
      <c r="M44" s="6">
        <f>Assumptions!T163</f>
        <v>39409.089999999997</v>
      </c>
      <c r="N44" s="6">
        <f>Assumptions!U163</f>
        <v>39409.089999999997</v>
      </c>
      <c r="O44" s="6">
        <f>Assumptions!V163</f>
        <v>39409.089999999997</v>
      </c>
      <c r="P44" s="6">
        <f>Assumptions!W163</f>
        <v>39409.089999999997</v>
      </c>
      <c r="Q44" s="6">
        <f>Assumptions!X163</f>
        <v>39409.089999999997</v>
      </c>
      <c r="R44" s="6">
        <f>Assumptions!Y163</f>
        <v>39409.089999999997</v>
      </c>
      <c r="S44" s="6">
        <f>Assumptions!Z163</f>
        <v>39409.089999999997</v>
      </c>
      <c r="T44" s="6">
        <f>Assumptions!AA163</f>
        <v>39409.089999999997</v>
      </c>
      <c r="U44" s="6">
        <f>Assumptions!AB163</f>
        <v>39409.089999999997</v>
      </c>
      <c r="V44" s="6">
        <f>Assumptions!AC163</f>
        <v>39409.089999999997</v>
      </c>
      <c r="W44" s="6">
        <f>Assumptions!AD163</f>
        <v>39409.089999999997</v>
      </c>
      <c r="X44" s="6">
        <f>Assumptions!AE163</f>
        <v>39409.089999999997</v>
      </c>
      <c r="Y44" s="6">
        <f>Assumptions!AF163</f>
        <v>39409.089999999997</v>
      </c>
      <c r="Z44" s="6">
        <f>Assumptions!AG163</f>
        <v>39409.089999999997</v>
      </c>
      <c r="AB44" s="6">
        <f t="shared" si="87"/>
        <v>39409.089999999997</v>
      </c>
      <c r="AC44" s="6">
        <f t="shared" si="87"/>
        <v>39409.089999999997</v>
      </c>
      <c r="AD44" s="6">
        <f t="shared" si="87"/>
        <v>39409.089999999997</v>
      </c>
      <c r="AE44" s="6">
        <f t="shared" si="87"/>
        <v>39409.089999999997</v>
      </c>
      <c r="AF44" s="6">
        <f t="shared" si="87"/>
        <v>39409.089999999997</v>
      </c>
      <c r="AG44" s="6">
        <f t="shared" si="87"/>
        <v>39409.089999999997</v>
      </c>
    </row>
    <row r="45" spans="2:33" ht="11.4" thickBot="1" x14ac:dyDescent="0.3">
      <c r="B45" s="17" t="s">
        <v>27</v>
      </c>
      <c r="C45" s="17"/>
      <c r="D45" s="17"/>
      <c r="E45" s="18">
        <f t="shared" ref="E45:Z45" si="88">SUM(E33:E44)</f>
        <v>15656953</v>
      </c>
      <c r="F45" s="18">
        <f t="shared" si="88"/>
        <v>19192991.557999998</v>
      </c>
      <c r="G45" s="18">
        <f ca="1">SUM(G33:G44)</f>
        <v>19915568.450019121</v>
      </c>
      <c r="H45" s="18">
        <f t="shared" ca="1" si="88"/>
        <v>20668250.619426746</v>
      </c>
      <c r="I45" s="18">
        <f t="shared" ca="1" si="88"/>
        <v>21450139.271815415</v>
      </c>
      <c r="J45" s="18">
        <f t="shared" ca="1" si="88"/>
        <v>22262346.399908613</v>
      </c>
      <c r="K45" s="18">
        <f t="shared" ca="1" si="88"/>
        <v>23106026.602676459</v>
      </c>
      <c r="L45" s="18">
        <f t="shared" ca="1" si="88"/>
        <v>23982378.794614222</v>
      </c>
      <c r="M45" s="18">
        <f t="shared" ca="1" si="88"/>
        <v>24892647.99157593</v>
      </c>
      <c r="N45" s="18">
        <f t="shared" ca="1" si="88"/>
        <v>25838127.177295607</v>
      </c>
      <c r="O45" s="18">
        <f t="shared" ca="1" si="88"/>
        <v>26820159.255006462</v>
      </c>
      <c r="P45" s="18">
        <f t="shared" ca="1" si="88"/>
        <v>27840139.08886762</v>
      </c>
      <c r="Q45" s="18">
        <f t="shared" ca="1" si="88"/>
        <v>28899515.640231621</v>
      </c>
      <c r="R45" s="18">
        <f t="shared" ca="1" si="88"/>
        <v>29999794.204135504</v>
      </c>
      <c r="S45" s="18">
        <f t="shared" ca="1" si="88"/>
        <v>31142538.751776498</v>
      </c>
      <c r="T45" s="18">
        <f t="shared" ca="1" si="88"/>
        <v>32329374.385142256</v>
      </c>
      <c r="U45" s="18">
        <f t="shared" ca="1" si="88"/>
        <v>33561989.910408475</v>
      </c>
      <c r="V45" s="18">
        <f t="shared" ca="1" si="88"/>
        <v>34842140.537196115</v>
      </c>
      <c r="W45" s="18">
        <f t="shared" ca="1" si="88"/>
        <v>36171650.71130012</v>
      </c>
      <c r="X45" s="18">
        <f t="shared" ca="1" si="88"/>
        <v>37552417.089064308</v>
      </c>
      <c r="Y45" s="18">
        <f t="shared" ca="1" si="88"/>
        <v>38986411.662188053</v>
      </c>
      <c r="Z45" s="18">
        <f t="shared" ca="1" si="88"/>
        <v>40475685.0424124</v>
      </c>
      <c r="AB45" s="18">
        <f t="shared" ref="AB45:AG45" si="89">SUM(AB33:AB44)</f>
        <v>19192991.557999998</v>
      </c>
      <c r="AC45" s="18">
        <f t="shared" ca="1" si="89"/>
        <v>22262346.399908613</v>
      </c>
      <c r="AD45" s="18">
        <f t="shared" ca="1" si="89"/>
        <v>25838127.177295607</v>
      </c>
      <c r="AE45" s="18">
        <f t="shared" ca="1" si="89"/>
        <v>29999794.204135504</v>
      </c>
      <c r="AF45" s="18">
        <f t="shared" ca="1" si="89"/>
        <v>34842140.537196115</v>
      </c>
      <c r="AG45" s="18">
        <f t="shared" ca="1" si="89"/>
        <v>40475685.0424124</v>
      </c>
    </row>
    <row r="47" spans="2:33" x14ac:dyDescent="0.25">
      <c r="B47" s="4" t="s">
        <v>31</v>
      </c>
    </row>
    <row r="48" spans="2:33" x14ac:dyDescent="0.25">
      <c r="B48" s="2" t="s">
        <v>117</v>
      </c>
      <c r="E48" s="6">
        <f>SUM('Quarterly Historical Financials'!AB59:AB60)</f>
        <v>13833495</v>
      </c>
      <c r="F48" s="6">
        <f>SUM('Quarterly Historical Financials'!AC59:AC60)</f>
        <v>16642449.622</v>
      </c>
      <c r="G48" s="6">
        <f>Assumptions!N85</f>
        <v>17239265.86190163</v>
      </c>
      <c r="H48" s="6">
        <f>Assumptions!O85</f>
        <v>17857484.577538531</v>
      </c>
      <c r="I48" s="6">
        <f>Assumptions!P85</f>
        <v>18497873.284834322</v>
      </c>
      <c r="J48" s="6">
        <f>Assumptions!Q85</f>
        <v>19161227.023663603</v>
      </c>
      <c r="K48" s="6">
        <f>Assumptions!R85</f>
        <v>19848369.344890598</v>
      </c>
      <c r="L48" s="6">
        <f>Assumptions!S85</f>
        <v>20560153.33280408</v>
      </c>
      <c r="M48" s="6">
        <f>Assumptions!T85</f>
        <v>21297462.664217908</v>
      </c>
      <c r="N48" s="6">
        <f>Assumptions!U85</f>
        <v>22061212.705552053</v>
      </c>
      <c r="O48" s="6">
        <f>Assumptions!V85</f>
        <v>22852351.649256147</v>
      </c>
      <c r="P48" s="6">
        <f>Assumptions!W85</f>
        <v>23671861.690986402</v>
      </c>
      <c r="Q48" s="6">
        <f>Assumptions!X85</f>
        <v>24520760.248997372</v>
      </c>
      <c r="R48" s="6">
        <f>Assumptions!Y85</f>
        <v>25400101.227262404</v>
      </c>
      <c r="S48" s="6">
        <f>Assumptions!Z85</f>
        <v>26310976.323890984</v>
      </c>
      <c r="T48" s="6">
        <f>Assumptions!AA85</f>
        <v>27254516.386467323</v>
      </c>
      <c r="U48" s="6">
        <f>Assumptions!AB85</f>
        <v>28231892.815992851</v>
      </c>
      <c r="V48" s="6">
        <f>Assumptions!AC85</f>
        <v>29244319.021175612</v>
      </c>
      <c r="W48" s="6">
        <f>Assumptions!AD85</f>
        <v>30293051.924872052</v>
      </c>
      <c r="X48" s="6">
        <f>Assumptions!AE85</f>
        <v>31379393.524551433</v>
      </c>
      <c r="Y48" s="6">
        <f>Assumptions!AF85</f>
        <v>32504692.508720193</v>
      </c>
      <c r="Z48" s="6">
        <f>Assumptions!AG85</f>
        <v>33670345.931313023</v>
      </c>
      <c r="AB48" s="6">
        <f t="shared" ref="AB48:AG52" si="90">SUMIF($E$4:$Z$4,AB$4,$E48:$Z48)</f>
        <v>16642449.622</v>
      </c>
      <c r="AC48" s="6">
        <f t="shared" si="90"/>
        <v>19161227.023663603</v>
      </c>
      <c r="AD48" s="6">
        <f t="shared" si="90"/>
        <v>22061212.705552053</v>
      </c>
      <c r="AE48" s="6">
        <f t="shared" si="90"/>
        <v>25400101.227262404</v>
      </c>
      <c r="AF48" s="6">
        <f t="shared" si="90"/>
        <v>29244319.021175612</v>
      </c>
      <c r="AG48" s="6">
        <f t="shared" si="90"/>
        <v>33670345.931313023</v>
      </c>
    </row>
    <row r="49" spans="2:33" x14ac:dyDescent="0.25">
      <c r="B49" s="2" t="s">
        <v>30</v>
      </c>
      <c r="E49" s="6">
        <f>'Quarterly Historical Financials'!AB61</f>
        <v>0</v>
      </c>
      <c r="F49" s="6">
        <f>'Quarterly Historical Financials'!AC61</f>
        <v>0</v>
      </c>
      <c r="G49" s="6">
        <f>Assumptions!N185</f>
        <v>0</v>
      </c>
      <c r="H49" s="6">
        <f>Assumptions!O185</f>
        <v>0</v>
      </c>
      <c r="I49" s="6">
        <f>Assumptions!P185</f>
        <v>0</v>
      </c>
      <c r="J49" s="6">
        <f>Assumptions!Q185</f>
        <v>0</v>
      </c>
      <c r="K49" s="6">
        <f>Assumptions!R185</f>
        <v>0</v>
      </c>
      <c r="L49" s="6">
        <f>Assumptions!S185</f>
        <v>0</v>
      </c>
      <c r="M49" s="6">
        <f>Assumptions!T185</f>
        <v>0</v>
      </c>
      <c r="N49" s="6">
        <f>Assumptions!U185</f>
        <v>0</v>
      </c>
      <c r="O49" s="6">
        <f>Assumptions!V185</f>
        <v>0</v>
      </c>
      <c r="P49" s="6">
        <f>Assumptions!W185</f>
        <v>0</v>
      </c>
      <c r="Q49" s="6">
        <f>Assumptions!X185</f>
        <v>0</v>
      </c>
      <c r="R49" s="6">
        <f>Assumptions!Y185</f>
        <v>0</v>
      </c>
      <c r="S49" s="6">
        <f>Assumptions!Z185</f>
        <v>0</v>
      </c>
      <c r="T49" s="6">
        <f>Assumptions!AA185</f>
        <v>0</v>
      </c>
      <c r="U49" s="6">
        <f>Assumptions!AB185</f>
        <v>0</v>
      </c>
      <c r="V49" s="6">
        <f>Assumptions!AC185</f>
        <v>0</v>
      </c>
      <c r="W49" s="6">
        <f>Assumptions!AD185</f>
        <v>0</v>
      </c>
      <c r="X49" s="6">
        <f>Assumptions!AE185</f>
        <v>0</v>
      </c>
      <c r="Y49" s="6">
        <f>Assumptions!AF185</f>
        <v>0</v>
      </c>
      <c r="Z49" s="6">
        <f>Assumptions!AG185</f>
        <v>0</v>
      </c>
      <c r="AB49" s="6">
        <f t="shared" si="90"/>
        <v>0</v>
      </c>
      <c r="AC49" s="6">
        <f t="shared" si="90"/>
        <v>0</v>
      </c>
      <c r="AD49" s="6">
        <f t="shared" si="90"/>
        <v>0</v>
      </c>
      <c r="AE49" s="6">
        <f t="shared" si="90"/>
        <v>0</v>
      </c>
      <c r="AF49" s="6">
        <f t="shared" si="90"/>
        <v>0</v>
      </c>
      <c r="AG49" s="6">
        <f t="shared" si="90"/>
        <v>0</v>
      </c>
    </row>
    <row r="50" spans="2:33" x14ac:dyDescent="0.25">
      <c r="B50" s="2" t="s">
        <v>32</v>
      </c>
      <c r="E50" s="6">
        <f>'Quarterly Historical Financials'!AB63</f>
        <v>0</v>
      </c>
      <c r="F50" s="6">
        <f>'Quarterly Historical Financials'!AC63</f>
        <v>173127.59</v>
      </c>
      <c r="G50" s="6">
        <f>Assumptions!N179</f>
        <v>173127.59</v>
      </c>
      <c r="H50" s="6">
        <f>Assumptions!O179</f>
        <v>173127.59</v>
      </c>
      <c r="I50" s="6">
        <f>Assumptions!P179</f>
        <v>173127.59</v>
      </c>
      <c r="J50" s="6">
        <f>Assumptions!Q179</f>
        <v>173127.59</v>
      </c>
      <c r="K50" s="6">
        <f>Assumptions!R179</f>
        <v>173127.59</v>
      </c>
      <c r="L50" s="6">
        <f>Assumptions!S179</f>
        <v>173127.59</v>
      </c>
      <c r="M50" s="6">
        <f>Assumptions!T179</f>
        <v>173127.59</v>
      </c>
      <c r="N50" s="6">
        <f>Assumptions!U179</f>
        <v>173127.59</v>
      </c>
      <c r="O50" s="6">
        <f>Assumptions!V179</f>
        <v>173127.59</v>
      </c>
      <c r="P50" s="6">
        <f>Assumptions!W179</f>
        <v>173127.59</v>
      </c>
      <c r="Q50" s="6">
        <f>Assumptions!X179</f>
        <v>173127.59</v>
      </c>
      <c r="R50" s="6">
        <f>Assumptions!Y179</f>
        <v>173127.59</v>
      </c>
      <c r="S50" s="6">
        <f>Assumptions!Z179</f>
        <v>173127.59</v>
      </c>
      <c r="T50" s="6">
        <f>Assumptions!AA179</f>
        <v>173127.59</v>
      </c>
      <c r="U50" s="6">
        <f>Assumptions!AB179</f>
        <v>173127.59</v>
      </c>
      <c r="V50" s="6">
        <f>Assumptions!AC179</f>
        <v>173127.59</v>
      </c>
      <c r="W50" s="6">
        <f>Assumptions!AD179</f>
        <v>173127.59</v>
      </c>
      <c r="X50" s="6">
        <f>Assumptions!AE179</f>
        <v>173127.59</v>
      </c>
      <c r="Y50" s="6">
        <f>Assumptions!AF179</f>
        <v>173127.59</v>
      </c>
      <c r="Z50" s="6">
        <f>Assumptions!AG179</f>
        <v>173127.59</v>
      </c>
      <c r="AB50" s="6">
        <f t="shared" si="90"/>
        <v>173127.59</v>
      </c>
      <c r="AC50" s="6">
        <f t="shared" si="90"/>
        <v>173127.59</v>
      </c>
      <c r="AD50" s="6">
        <f t="shared" si="90"/>
        <v>173127.59</v>
      </c>
      <c r="AE50" s="6">
        <f t="shared" si="90"/>
        <v>173127.59</v>
      </c>
      <c r="AF50" s="6">
        <f t="shared" si="90"/>
        <v>173127.59</v>
      </c>
      <c r="AG50" s="6">
        <f t="shared" si="90"/>
        <v>173127.59</v>
      </c>
    </row>
    <row r="51" spans="2:33" x14ac:dyDescent="0.25">
      <c r="B51" s="2" t="s">
        <v>33</v>
      </c>
      <c r="E51" s="6">
        <f>'Quarterly Historical Financials'!AB64+'Quarterly Historical Financials'!AB62</f>
        <v>23750</v>
      </c>
      <c r="F51" s="6">
        <f>'Quarterly Historical Financials'!AC64+'Quarterly Historical Financials'!AC62</f>
        <v>130178.53099999999</v>
      </c>
      <c r="G51" s="6">
        <f>Assumptions!N193</f>
        <v>127723.98660529817</v>
      </c>
      <c r="H51" s="6">
        <f>Assumptions!O193</f>
        <v>134060.26569001155</v>
      </c>
      <c r="I51" s="6">
        <f>Assumptions!P193</f>
        <v>140710.88222774735</v>
      </c>
      <c r="J51" s="6">
        <f>Assumptions!Q193</f>
        <v>147691.43023402343</v>
      </c>
      <c r="K51" s="6">
        <f>Assumptions!R193</f>
        <v>155018.27733029495</v>
      </c>
      <c r="L51" s="6">
        <f>Assumptions!S193</f>
        <v>162708.60312189144</v>
      </c>
      <c r="M51" s="6">
        <f>Assumptions!T193</f>
        <v>170780.4394798509</v>
      </c>
      <c r="N51" s="6">
        <f>Assumptions!U193</f>
        <v>179252.71282110171</v>
      </c>
      <c r="O51" s="6">
        <f>Assumptions!V193</f>
        <v>188145.2884861285</v>
      </c>
      <c r="P51" s="6">
        <f>Assumptions!W193</f>
        <v>197479.0173181768</v>
      </c>
      <c r="Q51" s="6">
        <f>Assumptions!X193</f>
        <v>207275.78455321246</v>
      </c>
      <c r="R51" s="6">
        <f>Assumptions!Y193</f>
        <v>217558.56113527069</v>
      </c>
      <c r="S51" s="6">
        <f>Assumptions!Z193</f>
        <v>228351.45757751635</v>
      </c>
      <c r="T51" s="6">
        <f>Assumptions!AA193</f>
        <v>239679.78049530584</v>
      </c>
      <c r="U51" s="6">
        <f>Assumptions!AB193</f>
        <v>251570.09194380636</v>
      </c>
      <c r="V51" s="6">
        <f>Assumptions!AC193</f>
        <v>264050.27169930458</v>
      </c>
      <c r="W51" s="6">
        <f>Assumptions!AD193</f>
        <v>277149.58263023815</v>
      </c>
      <c r="X51" s="6">
        <f>Assumptions!AE193</f>
        <v>290898.73931122903</v>
      </c>
      <c r="Y51" s="6">
        <f>Assumptions!AF193</f>
        <v>305329.98004100105</v>
      </c>
      <c r="Z51" s="6">
        <f>Assumptions!AG193</f>
        <v>320477.14243304543</v>
      </c>
      <c r="AB51" s="6">
        <f t="shared" si="90"/>
        <v>130178.53099999999</v>
      </c>
      <c r="AC51" s="6">
        <f t="shared" si="90"/>
        <v>147691.43023402343</v>
      </c>
      <c r="AD51" s="6">
        <f t="shared" si="90"/>
        <v>179252.71282110171</v>
      </c>
      <c r="AE51" s="6">
        <f t="shared" si="90"/>
        <v>217558.56113527069</v>
      </c>
      <c r="AF51" s="6">
        <f t="shared" si="90"/>
        <v>264050.27169930458</v>
      </c>
      <c r="AG51" s="6">
        <f t="shared" si="90"/>
        <v>320477.14243304543</v>
      </c>
    </row>
    <row r="52" spans="2:33" x14ac:dyDescent="0.25">
      <c r="B52" s="2" t="s">
        <v>65</v>
      </c>
      <c r="E52" s="6">
        <f>'Quarterly Historical Financials'!AB65</f>
        <v>25116</v>
      </c>
      <c r="F52" s="6">
        <f>'Quarterly Historical Financials'!AC65</f>
        <v>38841.150999999998</v>
      </c>
      <c r="G52" s="6">
        <f>Assumptions!N201</f>
        <v>42515.232383667899</v>
      </c>
      <c r="H52" s="6">
        <f>Assumptions!O201</f>
        <v>46536.854292430311</v>
      </c>
      <c r="I52" s="6">
        <f>Assumptions!P201</f>
        <v>50938.891451686584</v>
      </c>
      <c r="J52" s="6">
        <f>Assumptions!Q201</f>
        <v>55757.328289135658</v>
      </c>
      <c r="K52" s="6">
        <f>Assumptions!R201</f>
        <v>61031.553089275418</v>
      </c>
      <c r="L52" s="6">
        <f>Assumptions!S201</f>
        <v>66804.679972710102</v>
      </c>
      <c r="M52" s="6">
        <f>Assumptions!T201</f>
        <v>73123.901332283771</v>
      </c>
      <c r="N52" s="6">
        <f>Assumptions!U201</f>
        <v>80040.873607026922</v>
      </c>
      <c r="O52" s="6">
        <f>Assumptions!V201</f>
        <v>87612.139547423314</v>
      </c>
      <c r="P52" s="6">
        <f>Assumptions!W201</f>
        <v>95899.590423801885</v>
      </c>
      <c r="Q52" s="6">
        <f>Assumptions!X201</f>
        <v>104970.97195617376</v>
      </c>
      <c r="R52" s="6">
        <f>Assumptions!Y201</f>
        <v>114900.43810123479</v>
      </c>
      <c r="S52" s="6">
        <f>Assumptions!Z201</f>
        <v>125769.15722346248</v>
      </c>
      <c r="T52" s="6">
        <f>Assumptions!AA201</f>
        <v>137665.97560544929</v>
      </c>
      <c r="U52" s="6">
        <f>Assumptions!AB201</f>
        <v>150688.14372133394</v>
      </c>
      <c r="V52" s="6">
        <f>Assumptions!AC201</f>
        <v>164942.11121024864</v>
      </c>
      <c r="W52" s="6">
        <f>Assumptions!AD201</f>
        <v>180544.39704828817</v>
      </c>
      <c r="X52" s="6">
        <f>Assumptions!AE201</f>
        <v>197622.54203221673</v>
      </c>
      <c r="Y52" s="6">
        <f>Assumptions!AF201</f>
        <v>216316.15136098495</v>
      </c>
      <c r="Z52" s="6">
        <f>Assumptions!AG201</f>
        <v>236778.03583763403</v>
      </c>
      <c r="AB52" s="6">
        <f t="shared" si="90"/>
        <v>38841.150999999998</v>
      </c>
      <c r="AC52" s="6">
        <f t="shared" si="90"/>
        <v>55757.328289135658</v>
      </c>
      <c r="AD52" s="6">
        <f t="shared" si="90"/>
        <v>80040.873607026922</v>
      </c>
      <c r="AE52" s="6">
        <f t="shared" si="90"/>
        <v>114900.43810123479</v>
      </c>
      <c r="AF52" s="6">
        <f t="shared" si="90"/>
        <v>164942.11121024864</v>
      </c>
      <c r="AG52" s="6">
        <f t="shared" si="90"/>
        <v>236778.03583763403</v>
      </c>
    </row>
    <row r="53" spans="2:33" x14ac:dyDescent="0.25">
      <c r="B53" s="8" t="s">
        <v>34</v>
      </c>
      <c r="C53" s="8"/>
      <c r="D53" s="8"/>
      <c r="E53" s="16">
        <f t="shared" ref="E53:Z53" si="91">SUM(E48:E52)</f>
        <v>13882361</v>
      </c>
      <c r="F53" s="16">
        <f t="shared" si="91"/>
        <v>16984596.894000001</v>
      </c>
      <c r="G53" s="16">
        <f t="shared" si="91"/>
        <v>17582632.670890596</v>
      </c>
      <c r="H53" s="16">
        <f t="shared" si="91"/>
        <v>18211209.287520971</v>
      </c>
      <c r="I53" s="16">
        <f t="shared" si="91"/>
        <v>18862650.648513757</v>
      </c>
      <c r="J53" s="16">
        <f t="shared" si="91"/>
        <v>19537803.372186761</v>
      </c>
      <c r="K53" s="16">
        <f t="shared" si="91"/>
        <v>20237546.765310168</v>
      </c>
      <c r="L53" s="16">
        <f t="shared" si="91"/>
        <v>20962794.205898684</v>
      </c>
      <c r="M53" s="16">
        <f t="shared" si="91"/>
        <v>21714494.595030043</v>
      </c>
      <c r="N53" s="16">
        <f t="shared" si="91"/>
        <v>22493633.881980181</v>
      </c>
      <c r="O53" s="16">
        <f t="shared" si="91"/>
        <v>23301236.667289697</v>
      </c>
      <c r="P53" s="16">
        <f t="shared" si="91"/>
        <v>24138367.88872838</v>
      </c>
      <c r="Q53" s="16">
        <f t="shared" si="91"/>
        <v>25006134.595506757</v>
      </c>
      <c r="R53" s="16">
        <f t="shared" si="91"/>
        <v>25905687.816498909</v>
      </c>
      <c r="S53" s="16">
        <f t="shared" si="91"/>
        <v>26838224.528691962</v>
      </c>
      <c r="T53" s="16">
        <f t="shared" si="91"/>
        <v>27804989.732568078</v>
      </c>
      <c r="U53" s="16">
        <f t="shared" si="91"/>
        <v>28807278.641657993</v>
      </c>
      <c r="V53" s="16">
        <f t="shared" si="91"/>
        <v>29846438.994085167</v>
      </c>
      <c r="W53" s="16">
        <f t="shared" si="91"/>
        <v>30923873.494550578</v>
      </c>
      <c r="X53" s="16">
        <f t="shared" si="91"/>
        <v>32041042.395894878</v>
      </c>
      <c r="Y53" s="16">
        <f t="shared" si="91"/>
        <v>33199466.230122179</v>
      </c>
      <c r="Z53" s="16">
        <f t="shared" si="91"/>
        <v>34400728.699583709</v>
      </c>
      <c r="AB53" s="16">
        <f t="shared" ref="AB53:AG53" si="92">SUM(AB48:AB52)</f>
        <v>16984596.894000001</v>
      </c>
      <c r="AC53" s="16">
        <f t="shared" si="92"/>
        <v>19537803.372186761</v>
      </c>
      <c r="AD53" s="16">
        <f t="shared" si="92"/>
        <v>22493633.881980181</v>
      </c>
      <c r="AE53" s="16">
        <f t="shared" si="92"/>
        <v>25905687.816498909</v>
      </c>
      <c r="AF53" s="16">
        <f t="shared" si="92"/>
        <v>29846438.994085167</v>
      </c>
      <c r="AG53" s="16">
        <f t="shared" si="92"/>
        <v>34400728.699583709</v>
      </c>
    </row>
    <row r="55" spans="2:33" x14ac:dyDescent="0.25">
      <c r="B55" s="4" t="s">
        <v>35</v>
      </c>
    </row>
    <row r="56" spans="2:33" x14ac:dyDescent="0.25">
      <c r="B56" s="2" t="s">
        <v>36</v>
      </c>
      <c r="E56" s="6">
        <f>'Quarterly Historical Financials'!AB69+'Quarterly Historical Financials'!AB72</f>
        <v>521733</v>
      </c>
      <c r="F56" s="6">
        <f>'Quarterly Historical Financials'!AC69+'Quarterly Historical Financials'!AC72</f>
        <v>727506.625</v>
      </c>
      <c r="G56" s="6">
        <f>Assumptions!N211</f>
        <v>726051.152</v>
      </c>
      <c r="H56" s="6">
        <f>Assumptions!O211</f>
        <v>726051.152</v>
      </c>
      <c r="I56" s="6">
        <f>Assumptions!P211</f>
        <v>726051.152</v>
      </c>
      <c r="J56" s="6">
        <f>Assumptions!Q211</f>
        <v>726051.152</v>
      </c>
      <c r="K56" s="6">
        <f>Assumptions!R211</f>
        <v>726051.152</v>
      </c>
      <c r="L56" s="6">
        <f>Assumptions!S211</f>
        <v>726051.152</v>
      </c>
      <c r="M56" s="6">
        <f>Assumptions!T211</f>
        <v>726051.152</v>
      </c>
      <c r="N56" s="6">
        <f>Assumptions!U211</f>
        <v>726051.152</v>
      </c>
      <c r="O56" s="6">
        <f>Assumptions!V211</f>
        <v>726051.152</v>
      </c>
      <c r="P56" s="6">
        <f>Assumptions!W211</f>
        <v>726051.152</v>
      </c>
      <c r="Q56" s="6">
        <f>Assumptions!X211</f>
        <v>726051.152</v>
      </c>
      <c r="R56" s="6">
        <f>Assumptions!Y211</f>
        <v>726051.152</v>
      </c>
      <c r="S56" s="6">
        <f>Assumptions!Z211</f>
        <v>726051.152</v>
      </c>
      <c r="T56" s="6">
        <f>Assumptions!AA211</f>
        <v>726051.152</v>
      </c>
      <c r="U56" s="6">
        <f>Assumptions!AB211</f>
        <v>726051.152</v>
      </c>
      <c r="V56" s="6">
        <f>Assumptions!AC211</f>
        <v>726051.152</v>
      </c>
      <c r="W56" s="6">
        <f>Assumptions!AD211</f>
        <v>726051.152</v>
      </c>
      <c r="X56" s="6">
        <f>Assumptions!AE211</f>
        <v>726051.152</v>
      </c>
      <c r="Y56" s="6">
        <f>Assumptions!AF211</f>
        <v>726051.152</v>
      </c>
      <c r="Z56" s="6">
        <f>Assumptions!AG211</f>
        <v>726051.152</v>
      </c>
      <c r="AB56" s="6">
        <f t="shared" ref="AB56:AG61" si="93">SUMIF($E$4:$Z$4,AB$4,$E56:$Z56)</f>
        <v>727506.625</v>
      </c>
      <c r="AC56" s="6">
        <f t="shared" si="93"/>
        <v>726051.152</v>
      </c>
      <c r="AD56" s="6">
        <f t="shared" si="93"/>
        <v>726051.152</v>
      </c>
      <c r="AE56" s="6">
        <f t="shared" si="93"/>
        <v>726051.152</v>
      </c>
      <c r="AF56" s="6">
        <f t="shared" si="93"/>
        <v>726051.152</v>
      </c>
      <c r="AG56" s="6">
        <f t="shared" si="93"/>
        <v>726051.152</v>
      </c>
    </row>
    <row r="57" spans="2:33" x14ac:dyDescent="0.25">
      <c r="B57" s="2" t="s">
        <v>199</v>
      </c>
      <c r="E57" s="6">
        <f>'Quarterly Historical Financials'!AB70</f>
        <v>354517</v>
      </c>
      <c r="F57" s="6">
        <f>'Quarterly Historical Financials'!AC70</f>
        <v>454973.94699999999</v>
      </c>
      <c r="G57" s="6">
        <f ca="1">Assumptions!N218</f>
        <v>580970.5341285246</v>
      </c>
      <c r="H57" s="6">
        <f ca="1">Assumptions!O218</f>
        <v>705076.08690577548</v>
      </c>
      <c r="I57" s="6">
        <f ca="1">Assumptions!P218</f>
        <v>835523.37830165448</v>
      </c>
      <c r="J57" s="6">
        <f ca="1">Assumptions!Q218</f>
        <v>972577.78272185219</v>
      </c>
      <c r="K57" s="6">
        <f ca="1">Assumptions!R218</f>
        <v>1116514.5923662896</v>
      </c>
      <c r="L57" s="6">
        <f ca="1">Assumptions!S218</f>
        <v>1267619.3437155427</v>
      </c>
      <c r="M57" s="6">
        <f ca="1">Assumptions!T218</f>
        <v>1426188.151545889</v>
      </c>
      <c r="N57" s="6">
        <f ca="1">Assumptions!U218</f>
        <v>1592528.0503154262</v>
      </c>
      <c r="O57" s="6">
        <f ca="1">Assumptions!V218</f>
        <v>1766957.3427167642</v>
      </c>
      <c r="P57" s="6">
        <f ca="1">Assumptions!W218</f>
        <v>1949805.9551392421</v>
      </c>
      <c r="Q57" s="6">
        <f ca="1">Assumptions!X218</f>
        <v>2141415.7997248662</v>
      </c>
      <c r="R57" s="6">
        <f ca="1">Assumptions!Y218</f>
        <v>2342141.142636599</v>
      </c>
      <c r="S57" s="6">
        <f ca="1">Assumptions!Z218</f>
        <v>2552348.9780845391</v>
      </c>
      <c r="T57" s="6">
        <f ca="1">Assumptions!AA218</f>
        <v>2772419.4075741824</v>
      </c>
      <c r="U57" s="6">
        <f ca="1">Assumptions!AB218</f>
        <v>3002746.0237504821</v>
      </c>
      <c r="V57" s="6">
        <f ca="1">Assumptions!AC218</f>
        <v>3243736.2981109507</v>
      </c>
      <c r="W57" s="6">
        <f ca="1">Assumptions!AD218</f>
        <v>3495811.9717495418</v>
      </c>
      <c r="X57" s="6">
        <f ca="1">Assumptions!AE218</f>
        <v>3759409.4481694307</v>
      </c>
      <c r="Y57" s="6">
        <f ca="1">Assumptions!AF218</f>
        <v>4034980.1870658668</v>
      </c>
      <c r="Z57" s="6">
        <f ca="1">Assumptions!AG218</f>
        <v>4322991.0978286909</v>
      </c>
      <c r="AB57" s="6">
        <f t="shared" si="93"/>
        <v>454973.94699999999</v>
      </c>
      <c r="AC57" s="6">
        <f t="shared" ca="1" si="93"/>
        <v>972577.78272185219</v>
      </c>
      <c r="AD57" s="6">
        <f t="shared" ca="1" si="93"/>
        <v>1592528.0503154262</v>
      </c>
      <c r="AE57" s="6">
        <f t="shared" ca="1" si="93"/>
        <v>2342141.142636599</v>
      </c>
      <c r="AF57" s="6">
        <f t="shared" ca="1" si="93"/>
        <v>3243736.2981109507</v>
      </c>
      <c r="AG57" s="6">
        <f t="shared" ca="1" si="93"/>
        <v>4322991.0978286909</v>
      </c>
    </row>
    <row r="58" spans="2:33" x14ac:dyDescent="0.25">
      <c r="B58" s="2" t="s">
        <v>37</v>
      </c>
      <c r="E58" s="6">
        <f>'Quarterly Historical Financials'!AB71</f>
        <v>325693</v>
      </c>
      <c r="F58" s="6">
        <f>'Quarterly Historical Financials'!AC71</f>
        <v>325693.41399999999</v>
      </c>
      <c r="G58" s="6">
        <f>Assumptions!N224</f>
        <v>325693.41399999999</v>
      </c>
      <c r="H58" s="6">
        <f>Assumptions!O224</f>
        <v>325693.41399999999</v>
      </c>
      <c r="I58" s="6">
        <f>Assumptions!P224</f>
        <v>325693.41399999999</v>
      </c>
      <c r="J58" s="6">
        <f>Assumptions!Q224</f>
        <v>325693.41399999999</v>
      </c>
      <c r="K58" s="6">
        <f>Assumptions!R224</f>
        <v>325693.41399999999</v>
      </c>
      <c r="L58" s="6">
        <f>Assumptions!S224</f>
        <v>325693.41399999999</v>
      </c>
      <c r="M58" s="6">
        <f>Assumptions!T224</f>
        <v>325693.41399999999</v>
      </c>
      <c r="N58" s="6">
        <f>Assumptions!U224</f>
        <v>325693.41399999999</v>
      </c>
      <c r="O58" s="6">
        <f>Assumptions!V224</f>
        <v>325693.41399999999</v>
      </c>
      <c r="P58" s="6">
        <f>Assumptions!W224</f>
        <v>325693.41399999999</v>
      </c>
      <c r="Q58" s="6">
        <f>Assumptions!X224</f>
        <v>325693.41399999999</v>
      </c>
      <c r="R58" s="6">
        <f>Assumptions!Y224</f>
        <v>325693.41399999999</v>
      </c>
      <c r="S58" s="6">
        <f>Assumptions!Z224</f>
        <v>325693.41399999999</v>
      </c>
      <c r="T58" s="6">
        <f>Assumptions!AA224</f>
        <v>325693.41399999999</v>
      </c>
      <c r="U58" s="6">
        <f>Assumptions!AB224</f>
        <v>325693.41399999999</v>
      </c>
      <c r="V58" s="6">
        <f>Assumptions!AC224</f>
        <v>325693.41399999999</v>
      </c>
      <c r="W58" s="6">
        <f>Assumptions!AD224</f>
        <v>325693.41399999999</v>
      </c>
      <c r="X58" s="6">
        <f>Assumptions!AE224</f>
        <v>325693.41399999999</v>
      </c>
      <c r="Y58" s="6">
        <f>Assumptions!AF224</f>
        <v>325693.41399999999</v>
      </c>
      <c r="Z58" s="6">
        <f>Assumptions!AG224</f>
        <v>325693.41399999999</v>
      </c>
      <c r="AB58" s="6">
        <f t="shared" si="93"/>
        <v>325693.41399999999</v>
      </c>
      <c r="AC58" s="6">
        <f t="shared" si="93"/>
        <v>325693.41399999999</v>
      </c>
      <c r="AD58" s="6">
        <f t="shared" si="93"/>
        <v>325693.41399999999</v>
      </c>
      <c r="AE58" s="6">
        <f t="shared" si="93"/>
        <v>325693.41399999999</v>
      </c>
      <c r="AF58" s="6">
        <f t="shared" si="93"/>
        <v>325693.41399999999</v>
      </c>
      <c r="AG58" s="6">
        <f t="shared" si="93"/>
        <v>325693.41399999999</v>
      </c>
    </row>
    <row r="59" spans="2:33" x14ac:dyDescent="0.25">
      <c r="B59" s="2" t="s">
        <v>38</v>
      </c>
      <c r="E59" s="6">
        <f>'Quarterly Historical Financials'!AB73</f>
        <v>382743</v>
      </c>
      <c r="F59" s="6">
        <f>'Quarterly Historical Financials'!AC73</f>
        <v>503644.92499999999</v>
      </c>
      <c r="G59" s="6">
        <f>Assumptions!N230</f>
        <v>503644.92499999999</v>
      </c>
      <c r="H59" s="6">
        <f>Assumptions!O230</f>
        <v>503644.92499999999</v>
      </c>
      <c r="I59" s="6">
        <f>Assumptions!P230</f>
        <v>503644.92499999999</v>
      </c>
      <c r="J59" s="6">
        <f>Assumptions!Q230</f>
        <v>503644.92499999999</v>
      </c>
      <c r="K59" s="6">
        <f>Assumptions!R230</f>
        <v>503644.92499999999</v>
      </c>
      <c r="L59" s="6">
        <f>Assumptions!S230</f>
        <v>503644.92499999999</v>
      </c>
      <c r="M59" s="6">
        <f>Assumptions!T230</f>
        <v>503644.92499999999</v>
      </c>
      <c r="N59" s="6">
        <f>Assumptions!U230</f>
        <v>503644.92499999999</v>
      </c>
      <c r="O59" s="6">
        <f>Assumptions!V230</f>
        <v>503644.92499999999</v>
      </c>
      <c r="P59" s="6">
        <f>Assumptions!W230</f>
        <v>503644.92499999999</v>
      </c>
      <c r="Q59" s="6">
        <f>Assumptions!X230</f>
        <v>503644.92499999999</v>
      </c>
      <c r="R59" s="6">
        <f>Assumptions!Y230</f>
        <v>503644.92499999999</v>
      </c>
      <c r="S59" s="6">
        <f>Assumptions!Z230</f>
        <v>503644.92499999999</v>
      </c>
      <c r="T59" s="6">
        <f>Assumptions!AA230</f>
        <v>503644.92499999999</v>
      </c>
      <c r="U59" s="6">
        <f>Assumptions!AB230</f>
        <v>503644.92499999999</v>
      </c>
      <c r="V59" s="6">
        <f>Assumptions!AC230</f>
        <v>503644.92499999999</v>
      </c>
      <c r="W59" s="6">
        <f>Assumptions!AD230</f>
        <v>503644.92499999999</v>
      </c>
      <c r="X59" s="6">
        <f>Assumptions!AE230</f>
        <v>503644.92499999999</v>
      </c>
      <c r="Y59" s="6">
        <f>Assumptions!AF230</f>
        <v>503644.92499999999</v>
      </c>
      <c r="Z59" s="6">
        <f>Assumptions!AG230</f>
        <v>503644.92499999999</v>
      </c>
      <c r="AB59" s="6">
        <f t="shared" si="93"/>
        <v>503644.92499999999</v>
      </c>
      <c r="AC59" s="6">
        <f t="shared" si="93"/>
        <v>503644.92499999999</v>
      </c>
      <c r="AD59" s="6">
        <f t="shared" si="93"/>
        <v>503644.92499999999</v>
      </c>
      <c r="AE59" s="6">
        <f t="shared" si="93"/>
        <v>503644.92499999999</v>
      </c>
      <c r="AF59" s="6">
        <f t="shared" si="93"/>
        <v>503644.92499999999</v>
      </c>
      <c r="AG59" s="6">
        <f t="shared" si="93"/>
        <v>503644.92499999999</v>
      </c>
    </row>
    <row r="60" spans="2:33" x14ac:dyDescent="0.25">
      <c r="B60" s="2" t="s">
        <v>39</v>
      </c>
      <c r="E60" s="6">
        <f>'Quarterly Historical Financials'!AB74</f>
        <v>189906</v>
      </c>
      <c r="F60" s="6">
        <f>'Quarterly Historical Financials'!AC74</f>
        <v>196575.75399999999</v>
      </c>
      <c r="G60" s="6">
        <f>Assumptions!N236</f>
        <v>196575.75399999999</v>
      </c>
      <c r="H60" s="6">
        <f>Assumptions!O236</f>
        <v>196575.75399999999</v>
      </c>
      <c r="I60" s="6">
        <f>Assumptions!P236</f>
        <v>196575.75399999999</v>
      </c>
      <c r="J60" s="6">
        <f>Assumptions!Q236</f>
        <v>196575.75399999999</v>
      </c>
      <c r="K60" s="6">
        <f>Assumptions!R236</f>
        <v>196575.75399999999</v>
      </c>
      <c r="L60" s="6">
        <f>Assumptions!S236</f>
        <v>196575.75399999999</v>
      </c>
      <c r="M60" s="6">
        <f>Assumptions!T236</f>
        <v>196575.75399999999</v>
      </c>
      <c r="N60" s="6">
        <f>Assumptions!U236</f>
        <v>196575.75399999999</v>
      </c>
      <c r="O60" s="6">
        <f>Assumptions!V236</f>
        <v>196575.75399999999</v>
      </c>
      <c r="P60" s="6">
        <f>Assumptions!W236</f>
        <v>196575.75399999999</v>
      </c>
      <c r="Q60" s="6">
        <f>Assumptions!X236</f>
        <v>196575.75399999999</v>
      </c>
      <c r="R60" s="6">
        <f>Assumptions!Y236</f>
        <v>196575.75399999999</v>
      </c>
      <c r="S60" s="6">
        <f>Assumptions!Z236</f>
        <v>196575.75399999999</v>
      </c>
      <c r="T60" s="6">
        <f>Assumptions!AA236</f>
        <v>196575.75399999999</v>
      </c>
      <c r="U60" s="6">
        <f>Assumptions!AB236</f>
        <v>196575.75399999999</v>
      </c>
      <c r="V60" s="6">
        <f>Assumptions!AC236</f>
        <v>196575.75399999999</v>
      </c>
      <c r="W60" s="6">
        <f>Assumptions!AD236</f>
        <v>196575.75399999999</v>
      </c>
      <c r="X60" s="6">
        <f>Assumptions!AE236</f>
        <v>196575.75399999999</v>
      </c>
      <c r="Y60" s="6">
        <f>Assumptions!AF236</f>
        <v>196575.75399999999</v>
      </c>
      <c r="Z60" s="6">
        <f>Assumptions!AG236</f>
        <v>196575.75399999999</v>
      </c>
      <c r="AB60" s="6">
        <f t="shared" si="93"/>
        <v>196575.75399999999</v>
      </c>
      <c r="AC60" s="6">
        <f t="shared" si="93"/>
        <v>196575.75399999999</v>
      </c>
      <c r="AD60" s="6">
        <f t="shared" si="93"/>
        <v>196575.75399999999</v>
      </c>
      <c r="AE60" s="6">
        <f t="shared" si="93"/>
        <v>196575.75399999999</v>
      </c>
      <c r="AF60" s="6">
        <f t="shared" si="93"/>
        <v>196575.75399999999</v>
      </c>
      <c r="AG60" s="6">
        <f t="shared" si="93"/>
        <v>196575.75399999999</v>
      </c>
    </row>
    <row r="61" spans="2:33" x14ac:dyDescent="0.25">
      <c r="B61" s="2" t="s">
        <v>40</v>
      </c>
      <c r="E61" s="6">
        <f>'Quarterly Historical Financials'!AB75</f>
        <v>0</v>
      </c>
      <c r="F61" s="6">
        <f>'Quarterly Historical Financials'!AC75</f>
        <v>0</v>
      </c>
      <c r="G61" s="6">
        <f>Assumptions!N242</f>
        <v>0</v>
      </c>
      <c r="H61" s="6">
        <f>Assumptions!O242</f>
        <v>0</v>
      </c>
      <c r="I61" s="6">
        <f>Assumptions!P242</f>
        <v>0</v>
      </c>
      <c r="J61" s="6">
        <f>Assumptions!Q242</f>
        <v>0</v>
      </c>
      <c r="K61" s="6">
        <f>Assumptions!R242</f>
        <v>0</v>
      </c>
      <c r="L61" s="6">
        <f>Assumptions!S242</f>
        <v>0</v>
      </c>
      <c r="M61" s="6">
        <f>Assumptions!T242</f>
        <v>0</v>
      </c>
      <c r="N61" s="6">
        <f>Assumptions!U242</f>
        <v>0</v>
      </c>
      <c r="O61" s="6">
        <f>Assumptions!V242</f>
        <v>0</v>
      </c>
      <c r="P61" s="6">
        <f>Assumptions!W242</f>
        <v>0</v>
      </c>
      <c r="Q61" s="6">
        <f>Assumptions!X242</f>
        <v>0</v>
      </c>
      <c r="R61" s="6">
        <f>Assumptions!Y242</f>
        <v>0</v>
      </c>
      <c r="S61" s="6">
        <f>Assumptions!Z242</f>
        <v>0</v>
      </c>
      <c r="T61" s="6">
        <f>Assumptions!AA242</f>
        <v>0</v>
      </c>
      <c r="U61" s="6">
        <f>Assumptions!AB242</f>
        <v>0</v>
      </c>
      <c r="V61" s="6">
        <f>Assumptions!AC242</f>
        <v>0</v>
      </c>
      <c r="W61" s="6">
        <f>Assumptions!AD242</f>
        <v>0</v>
      </c>
      <c r="X61" s="6">
        <f>Assumptions!AE242</f>
        <v>0</v>
      </c>
      <c r="Y61" s="6">
        <f>Assumptions!AF242</f>
        <v>0</v>
      </c>
      <c r="Z61" s="6">
        <f>Assumptions!AG242</f>
        <v>0</v>
      </c>
      <c r="AB61" s="6">
        <f t="shared" si="93"/>
        <v>0</v>
      </c>
      <c r="AC61" s="6">
        <f t="shared" si="93"/>
        <v>0</v>
      </c>
      <c r="AD61" s="6">
        <f t="shared" si="93"/>
        <v>0</v>
      </c>
      <c r="AE61" s="6">
        <f t="shared" si="93"/>
        <v>0</v>
      </c>
      <c r="AF61" s="6">
        <f t="shared" si="93"/>
        <v>0</v>
      </c>
      <c r="AG61" s="6">
        <f t="shared" si="93"/>
        <v>0</v>
      </c>
    </row>
    <row r="62" spans="2:33" x14ac:dyDescent="0.25">
      <c r="B62" s="8" t="s">
        <v>41</v>
      </c>
      <c r="C62" s="8"/>
      <c r="D62" s="8"/>
      <c r="E62" s="16">
        <f>SUM(E56:E61)</f>
        <v>1774592</v>
      </c>
      <c r="F62" s="16">
        <f t="shared" ref="F62:AG62" si="94">SUM(F56:F61)</f>
        <v>2208394.665</v>
      </c>
      <c r="G62" s="16">
        <f t="shared" ca="1" si="94"/>
        <v>2332935.7791285245</v>
      </c>
      <c r="H62" s="16">
        <f t="shared" ca="1" si="94"/>
        <v>2457041.3319057752</v>
      </c>
      <c r="I62" s="16">
        <f t="shared" ca="1" si="94"/>
        <v>2587488.6233016546</v>
      </c>
      <c r="J62" s="16">
        <f t="shared" ca="1" si="94"/>
        <v>2724543.0277218521</v>
      </c>
      <c r="K62" s="16">
        <f t="shared" ca="1" si="94"/>
        <v>2868479.8373662895</v>
      </c>
      <c r="L62" s="16">
        <f t="shared" ca="1" si="94"/>
        <v>3019584.5887155426</v>
      </c>
      <c r="M62" s="16">
        <f t="shared" ca="1" si="94"/>
        <v>3178153.3965458889</v>
      </c>
      <c r="N62" s="16">
        <f t="shared" ca="1" si="94"/>
        <v>3344493.2953154263</v>
      </c>
      <c r="O62" s="16">
        <f t="shared" ca="1" si="94"/>
        <v>3518922.5877167643</v>
      </c>
      <c r="P62" s="16">
        <f t="shared" ca="1" si="94"/>
        <v>3701771.2001392418</v>
      </c>
      <c r="Q62" s="16">
        <f t="shared" ca="1" si="94"/>
        <v>3893381.0447248663</v>
      </c>
      <c r="R62" s="16">
        <f t="shared" ca="1" si="94"/>
        <v>4094106.3876365987</v>
      </c>
      <c r="S62" s="16">
        <f t="shared" ca="1" si="94"/>
        <v>4304314.2230845382</v>
      </c>
      <c r="T62" s="16">
        <f t="shared" ca="1" si="94"/>
        <v>4524384.6525741816</v>
      </c>
      <c r="U62" s="16">
        <f t="shared" ca="1" si="94"/>
        <v>4754711.2687504813</v>
      </c>
      <c r="V62" s="16">
        <f t="shared" ca="1" si="94"/>
        <v>4995701.5431109499</v>
      </c>
      <c r="W62" s="16">
        <f t="shared" ca="1" si="94"/>
        <v>5247777.2167495415</v>
      </c>
      <c r="X62" s="16">
        <f t="shared" ca="1" si="94"/>
        <v>5511374.6931694299</v>
      </c>
      <c r="Y62" s="16">
        <f t="shared" ca="1" si="94"/>
        <v>5786945.432065866</v>
      </c>
      <c r="Z62" s="16">
        <f t="shared" ca="1" si="94"/>
        <v>6074956.3428286901</v>
      </c>
      <c r="AB62" s="16">
        <f t="shared" si="94"/>
        <v>2208394.665</v>
      </c>
      <c r="AC62" s="16">
        <f t="shared" ca="1" si="94"/>
        <v>2724543.0277218521</v>
      </c>
      <c r="AD62" s="16">
        <f t="shared" ca="1" si="94"/>
        <v>3344493.2953154263</v>
      </c>
      <c r="AE62" s="16">
        <f t="shared" ca="1" si="94"/>
        <v>4094106.3876365987</v>
      </c>
      <c r="AF62" s="16">
        <f t="shared" ca="1" si="94"/>
        <v>4995701.5431109499</v>
      </c>
      <c r="AG62" s="16">
        <f t="shared" ca="1" si="94"/>
        <v>6074956.3428286901</v>
      </c>
    </row>
    <row r="63" spans="2:33" ht="11.4" thickBot="1" x14ac:dyDescent="0.3">
      <c r="B63" s="17" t="s">
        <v>42</v>
      </c>
      <c r="C63" s="17"/>
      <c r="D63" s="17"/>
      <c r="E63" s="18">
        <f>E53+E62</f>
        <v>15656953</v>
      </c>
      <c r="F63" s="18">
        <f t="shared" ref="F63:AG63" si="95">F53+F62</f>
        <v>19192991.559</v>
      </c>
      <c r="G63" s="18">
        <f t="shared" ca="1" si="95"/>
        <v>19915568.450019121</v>
      </c>
      <c r="H63" s="18">
        <f t="shared" ca="1" si="95"/>
        <v>20668250.619426746</v>
      </c>
      <c r="I63" s="18">
        <f t="shared" ca="1" si="95"/>
        <v>21450139.271815412</v>
      </c>
      <c r="J63" s="18">
        <f t="shared" ca="1" si="95"/>
        <v>22262346.399908613</v>
      </c>
      <c r="K63" s="18">
        <f t="shared" ca="1" si="95"/>
        <v>23106026.602676459</v>
      </c>
      <c r="L63" s="18">
        <f t="shared" ca="1" si="95"/>
        <v>23982378.794614226</v>
      </c>
      <c r="M63" s="18">
        <f t="shared" ca="1" si="95"/>
        <v>24892647.991575934</v>
      </c>
      <c r="N63" s="18">
        <f t="shared" ca="1" si="95"/>
        <v>25838127.177295607</v>
      </c>
      <c r="O63" s="18">
        <f t="shared" ca="1" si="95"/>
        <v>26820159.255006462</v>
      </c>
      <c r="P63" s="18">
        <f t="shared" ca="1" si="95"/>
        <v>27840139.088867623</v>
      </c>
      <c r="Q63" s="18">
        <f t="shared" ca="1" si="95"/>
        <v>28899515.640231624</v>
      </c>
      <c r="R63" s="18">
        <f t="shared" ca="1" si="95"/>
        <v>29999794.204135507</v>
      </c>
      <c r="S63" s="18">
        <f t="shared" ca="1" si="95"/>
        <v>31142538.751776502</v>
      </c>
      <c r="T63" s="18">
        <f t="shared" ca="1" si="95"/>
        <v>32329374.385142259</v>
      </c>
      <c r="U63" s="18">
        <f t="shared" ca="1" si="95"/>
        <v>33561989.910408475</v>
      </c>
      <c r="V63" s="18">
        <f t="shared" ca="1" si="95"/>
        <v>34842140.537196115</v>
      </c>
      <c r="W63" s="18">
        <f t="shared" ca="1" si="95"/>
        <v>36171650.71130012</v>
      </c>
      <c r="X63" s="18">
        <f t="shared" ca="1" si="95"/>
        <v>37552417.089064308</v>
      </c>
      <c r="Y63" s="18">
        <f t="shared" ca="1" si="95"/>
        <v>38986411.662188046</v>
      </c>
      <c r="Z63" s="18">
        <f t="shared" ca="1" si="95"/>
        <v>40475685.0424124</v>
      </c>
      <c r="AB63" s="18">
        <f t="shared" si="95"/>
        <v>19192991.559</v>
      </c>
      <c r="AC63" s="18">
        <f t="shared" ca="1" si="95"/>
        <v>22262346.399908613</v>
      </c>
      <c r="AD63" s="18">
        <f t="shared" ca="1" si="95"/>
        <v>25838127.177295607</v>
      </c>
      <c r="AE63" s="18">
        <f t="shared" ca="1" si="95"/>
        <v>29999794.204135507</v>
      </c>
      <c r="AF63" s="18">
        <f t="shared" ca="1" si="95"/>
        <v>34842140.537196115</v>
      </c>
      <c r="AG63" s="18">
        <f t="shared" ca="1" si="95"/>
        <v>40475685.0424124</v>
      </c>
    </row>
    <row r="64" spans="2:33" x14ac:dyDescent="0.25">
      <c r="B64" s="2" t="s">
        <v>106</v>
      </c>
      <c r="E64" s="6">
        <f t="shared" ref="E64:W64" si="96">E45-E63</f>
        <v>0</v>
      </c>
      <c r="F64" s="6">
        <f t="shared" si="96"/>
        <v>-1.0000020265579224E-3</v>
      </c>
      <c r="G64" s="6">
        <f ca="1">G45-G63</f>
        <v>0</v>
      </c>
      <c r="H64" s="6">
        <f t="shared" ca="1" si="96"/>
        <v>0</v>
      </c>
      <c r="I64" s="6">
        <f t="shared" ca="1" si="96"/>
        <v>0</v>
      </c>
      <c r="J64" s="6">
        <f t="shared" ca="1" si="96"/>
        <v>0</v>
      </c>
      <c r="K64" s="6">
        <f t="shared" ca="1" si="96"/>
        <v>0</v>
      </c>
      <c r="L64" s="6">
        <f t="shared" ca="1" si="96"/>
        <v>0</v>
      </c>
      <c r="M64" s="6">
        <f t="shared" ca="1" si="96"/>
        <v>0</v>
      </c>
      <c r="N64" s="6">
        <f t="shared" ca="1" si="96"/>
        <v>0</v>
      </c>
      <c r="O64" s="6">
        <f t="shared" ca="1" si="96"/>
        <v>0</v>
      </c>
      <c r="P64" s="6">
        <f t="shared" ca="1" si="96"/>
        <v>0</v>
      </c>
      <c r="Q64" s="6">
        <f t="shared" ca="1" si="96"/>
        <v>0</v>
      </c>
      <c r="R64" s="6">
        <f t="shared" ca="1" si="96"/>
        <v>0</v>
      </c>
      <c r="S64" s="6">
        <f t="shared" ca="1" si="96"/>
        <v>0</v>
      </c>
      <c r="T64" s="6">
        <f t="shared" ca="1" si="96"/>
        <v>0</v>
      </c>
      <c r="U64" s="6">
        <f t="shared" ca="1" si="96"/>
        <v>0</v>
      </c>
      <c r="V64" s="6">
        <f t="shared" ca="1" si="96"/>
        <v>0</v>
      </c>
      <c r="W64" s="6">
        <f t="shared" ca="1" si="96"/>
        <v>0</v>
      </c>
      <c r="X64" s="6">
        <f ca="1">X45-X63</f>
        <v>0</v>
      </c>
      <c r="Y64" s="6">
        <f ca="1">Y45-Y63</f>
        <v>0</v>
      </c>
      <c r="Z64" s="6">
        <f ca="1">Z45-Z63</f>
        <v>0</v>
      </c>
      <c r="AB64" s="6">
        <f t="shared" ref="AB64:AF64" si="97">AB45-AB63</f>
        <v>-1.0000020265579224E-3</v>
      </c>
      <c r="AC64" s="6">
        <f t="shared" ca="1" si="97"/>
        <v>0</v>
      </c>
      <c r="AD64" s="6">
        <f t="shared" ca="1" si="97"/>
        <v>0</v>
      </c>
      <c r="AE64" s="6">
        <f t="shared" ca="1" si="97"/>
        <v>0</v>
      </c>
      <c r="AF64" s="6">
        <f t="shared" ca="1" si="97"/>
        <v>0</v>
      </c>
      <c r="AG64" s="6">
        <f ca="1">AG45-AG63</f>
        <v>0</v>
      </c>
    </row>
    <row r="67" spans="2:33" x14ac:dyDescent="0.25">
      <c r="B67" s="21" t="s">
        <v>270</v>
      </c>
      <c r="C67" s="19"/>
      <c r="D67" s="19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B67" s="20"/>
      <c r="AC67" s="20"/>
      <c r="AD67" s="20"/>
      <c r="AE67" s="20"/>
      <c r="AF67" s="20"/>
      <c r="AG67" s="20"/>
    </row>
    <row r="68" spans="2:33" x14ac:dyDescent="0.25">
      <c r="B68" s="4" t="s">
        <v>44</v>
      </c>
    </row>
    <row r="69" spans="2:33" x14ac:dyDescent="0.25">
      <c r="B69" s="2" t="s">
        <v>85</v>
      </c>
      <c r="F69" s="6">
        <f>F24</f>
        <v>331289.4540000002</v>
      </c>
      <c r="G69" s="6">
        <f ca="1">G24</f>
        <v>215745.39476043396</v>
      </c>
      <c r="H69" s="6">
        <f t="shared" ref="H69:N69" ca="1" si="98">H24</f>
        <v>212507.35504904928</v>
      </c>
      <c r="I69" s="6">
        <f t="shared" ca="1" si="98"/>
        <v>223366.38649525651</v>
      </c>
      <c r="J69" s="6">
        <f t="shared" ca="1" si="98"/>
        <v>234679.82156635396</v>
      </c>
      <c r="K69" s="6">
        <f t="shared" ca="1" si="98"/>
        <v>246464.6426146437</v>
      </c>
      <c r="L69" s="6">
        <f t="shared" ca="1" si="98"/>
        <v>258738.39103885883</v>
      </c>
      <c r="M69" s="6">
        <f t="shared" ca="1" si="98"/>
        <v>271519.18017551221</v>
      </c>
      <c r="N69" s="6">
        <f t="shared" ca="1" si="98"/>
        <v>284825.70792046399</v>
      </c>
      <c r="O69" s="6">
        <f t="shared" ref="O69:Z69" ca="1" si="99">O24</f>
        <v>298677.26900033001</v>
      </c>
      <c r="P69" s="6">
        <f t="shared" ca="1" si="99"/>
        <v>313093.76680373773</v>
      </c>
      <c r="Q69" s="6">
        <f t="shared" ca="1" si="99"/>
        <v>328095.72467183194</v>
      </c>
      <c r="R69" s="6">
        <f t="shared" ca="1" si="99"/>
        <v>343704.29653575271</v>
      </c>
      <c r="S69" s="6">
        <f t="shared" ca="1" si="99"/>
        <v>359941.27677594032</v>
      </c>
      <c r="T69" s="6">
        <f t="shared" ca="1" si="99"/>
        <v>376829.1091639612</v>
      </c>
      <c r="U69" s="6">
        <f t="shared" ca="1" si="99"/>
        <v>394390.89473194862</v>
      </c>
      <c r="V69" s="6">
        <f t="shared" ca="1" si="99"/>
        <v>412650.3983976079</v>
      </c>
      <c r="W69" s="6">
        <f t="shared" ca="1" si="99"/>
        <v>431632.05415385438</v>
      </c>
      <c r="X69" s="6">
        <f t="shared" ca="1" si="99"/>
        <v>451360.96861141204</v>
      </c>
      <c r="Y69" s="6">
        <f t="shared" ca="1" si="99"/>
        <v>471862.92265988188</v>
      </c>
      <c r="Z69" s="6">
        <f t="shared" ca="1" si="99"/>
        <v>493164.37098771456</v>
      </c>
      <c r="AB69" s="6">
        <f>SUMIF($E$2:$Z$2,AB$2,$E69:$Z69)</f>
        <v>331289.4540000002</v>
      </c>
      <c r="AC69" s="6">
        <f ca="1">SUMIF($E$2:$Z$2,AC$2,$E69:$Z69)</f>
        <v>886298.95787109365</v>
      </c>
      <c r="AD69" s="6">
        <f t="shared" ref="AD69:AG69" ca="1" si="100">SUMIF($E$2:$Z$2,AD$2,$E69:$Z69)</f>
        <v>1061547.9217494787</v>
      </c>
      <c r="AE69" s="6">
        <f ca="1">SUMIF($E$2:$Z$2,AE$2,$E69:$Z69)</f>
        <v>1283571.0570116523</v>
      </c>
      <c r="AF69" s="6">
        <f t="shared" ca="1" si="100"/>
        <v>1543811.679069458</v>
      </c>
      <c r="AG69" s="6">
        <f t="shared" ca="1" si="100"/>
        <v>1848020.3164128629</v>
      </c>
    </row>
    <row r="70" spans="2:33" x14ac:dyDescent="0.25">
      <c r="B70" s="7" t="s">
        <v>45</v>
      </c>
    </row>
    <row r="71" spans="2:33" x14ac:dyDescent="0.25">
      <c r="B71" s="2" t="s">
        <v>10</v>
      </c>
      <c r="F71" s="6">
        <f t="shared" ref="F71:N71" si="101">-F19</f>
        <v>18327.089</v>
      </c>
      <c r="G71" s="6">
        <f t="shared" si="101"/>
        <v>7706.1291850371954</v>
      </c>
      <c r="H71" s="6">
        <f t="shared" si="101"/>
        <v>7725.747152935156</v>
      </c>
      <c r="I71" s="6">
        <f t="shared" si="101"/>
        <v>7745.5042541336934</v>
      </c>
      <c r="J71" s="6">
        <f t="shared" si="101"/>
        <v>7765.4017748982442</v>
      </c>
      <c r="K71" s="6">
        <f t="shared" si="101"/>
        <v>7785.4410137466175</v>
      </c>
      <c r="L71" s="6">
        <f t="shared" si="101"/>
        <v>7805.6232815660151</v>
      </c>
      <c r="M71" s="6">
        <f t="shared" si="101"/>
        <v>7825.94990173121</v>
      </c>
      <c r="N71" s="6">
        <f t="shared" si="101"/>
        <v>7846.4222102238327</v>
      </c>
      <c r="O71" s="6">
        <f t="shared" ref="O71:Z71" si="102">-O19</f>
        <v>7867.0415557528013</v>
      </c>
      <c r="P71" s="6">
        <f t="shared" si="102"/>
        <v>7887.8092998759057</v>
      </c>
      <c r="Q71" s="6">
        <f t="shared" si="102"/>
        <v>7908.7268171225514</v>
      </c>
      <c r="R71" s="6">
        <f t="shared" si="102"/>
        <v>7929.7954951176753</v>
      </c>
      <c r="S71" s="6">
        <f t="shared" si="102"/>
        <v>7951.0167347068491</v>
      </c>
      <c r="T71" s="6">
        <f t="shared" si="102"/>
        <v>7972.3919500825723</v>
      </c>
      <c r="U71" s="6">
        <f t="shared" si="102"/>
        <v>7993.9225689117748</v>
      </c>
      <c r="V71" s="6">
        <f t="shared" si="102"/>
        <v>8015.6100324645449</v>
      </c>
      <c r="W71" s="6">
        <f t="shared" si="102"/>
        <v>8037.4557957440684</v>
      </c>
      <c r="X71" s="6">
        <f t="shared" si="102"/>
        <v>8059.461327617837</v>
      </c>
      <c r="Y71" s="6">
        <f t="shared" si="102"/>
        <v>8081.6281109500851</v>
      </c>
      <c r="Z71" s="6">
        <f t="shared" si="102"/>
        <v>8103.9576427355005</v>
      </c>
      <c r="AB71" s="6">
        <f t="shared" ref="AB71:AG73" si="103">SUMIF($E$2:$Z$2,AB$2,$E71:$Z71)</f>
        <v>18327.089</v>
      </c>
      <c r="AC71" s="6">
        <f t="shared" si="103"/>
        <v>30942.782367004289</v>
      </c>
      <c r="AD71" s="6">
        <f t="shared" si="103"/>
        <v>31263.436407267676</v>
      </c>
      <c r="AE71" s="6">
        <f t="shared" si="103"/>
        <v>31593.373167868933</v>
      </c>
      <c r="AF71" s="6">
        <f t="shared" si="103"/>
        <v>31932.94128616574</v>
      </c>
      <c r="AG71" s="6">
        <f t="shared" si="103"/>
        <v>32282.502877047489</v>
      </c>
    </row>
    <row r="72" spans="2:33" x14ac:dyDescent="0.25">
      <c r="B72" s="2" t="s">
        <v>276</v>
      </c>
      <c r="F72" s="6">
        <f t="shared" ref="F72:N72" si="104">-F17</f>
        <v>178305.39600000001</v>
      </c>
      <c r="G72" s="6">
        <f t="shared" si="104"/>
        <v>26006.50411102239</v>
      </c>
      <c r="H72" s="6">
        <f t="shared" si="104"/>
        <v>39223.325717639622</v>
      </c>
      <c r="I72" s="6">
        <f t="shared" si="104"/>
        <v>40629.916592356385</v>
      </c>
      <c r="J72" s="6">
        <f t="shared" si="104"/>
        <v>42086.949336869686</v>
      </c>
      <c r="K72" s="6">
        <f t="shared" si="104"/>
        <v>43596.232851176181</v>
      </c>
      <c r="L72" s="6">
        <f t="shared" si="104"/>
        <v>45159.640904382482</v>
      </c>
      <c r="M72" s="6">
        <f t="shared" si="104"/>
        <v>46779.114460981567</v>
      </c>
      <c r="N72" s="6">
        <f t="shared" si="104"/>
        <v>48456.664090552018</v>
      </c>
      <c r="O72" s="6">
        <f t="shared" ref="O72:Z72" si="105">-O17</f>
        <v>50194.372463871659</v>
      </c>
      <c r="P72" s="6">
        <f t="shared" si="105"/>
        <v>51994.396938544509</v>
      </c>
      <c r="Q72" s="6">
        <f t="shared" si="105"/>
        <v>53858.972237351147</v>
      </c>
      <c r="R72" s="6">
        <f t="shared" si="105"/>
        <v>55790.413222647599</v>
      </c>
      <c r="S72" s="6">
        <f t="shared" si="105"/>
        <v>57791.11777025718</v>
      </c>
      <c r="T72" s="6">
        <f t="shared" si="105"/>
        <v>59863.569746423193</v>
      </c>
      <c r="U72" s="6">
        <f t="shared" si="105"/>
        <v>62010.342091518367</v>
      </c>
      <c r="V72" s="6">
        <f t="shared" si="105"/>
        <v>64234.100014339485</v>
      </c>
      <c r="W72" s="6">
        <f t="shared" si="105"/>
        <v>66537.604300952822</v>
      </c>
      <c r="X72" s="6">
        <f t="shared" si="105"/>
        <v>68923.714742198368</v>
      </c>
      <c r="Y72" s="6">
        <f t="shared" si="105"/>
        <v>71395.39368410813</v>
      </c>
      <c r="Z72" s="6">
        <f t="shared" si="105"/>
        <v>73955.709705646164</v>
      </c>
      <c r="AB72" s="6">
        <f t="shared" si="103"/>
        <v>178305.39600000001</v>
      </c>
      <c r="AC72" s="6">
        <f t="shared" si="103"/>
        <v>147946.69575788808</v>
      </c>
      <c r="AD72" s="6">
        <f t="shared" si="103"/>
        <v>183991.65230709224</v>
      </c>
      <c r="AE72" s="6">
        <f t="shared" si="103"/>
        <v>211838.1548624149</v>
      </c>
      <c r="AF72" s="6">
        <f t="shared" si="103"/>
        <v>243899.12962253822</v>
      </c>
      <c r="AG72" s="6">
        <f t="shared" si="103"/>
        <v>280812.42243290547</v>
      </c>
    </row>
    <row r="73" spans="2:33" x14ac:dyDescent="0.25">
      <c r="B73" s="2" t="s">
        <v>92</v>
      </c>
      <c r="F73" s="6">
        <f t="shared" ref="F73:N73" si="106">-F23</f>
        <v>-295.11599999999999</v>
      </c>
      <c r="G73" s="6">
        <f t="shared" si="106"/>
        <v>0</v>
      </c>
      <c r="H73" s="6">
        <f t="shared" si="106"/>
        <v>0</v>
      </c>
      <c r="I73" s="6">
        <f t="shared" si="106"/>
        <v>0</v>
      </c>
      <c r="J73" s="6">
        <f t="shared" si="106"/>
        <v>0</v>
      </c>
      <c r="K73" s="6">
        <f t="shared" si="106"/>
        <v>0</v>
      </c>
      <c r="L73" s="6">
        <f t="shared" si="106"/>
        <v>0</v>
      </c>
      <c r="M73" s="6">
        <f t="shared" si="106"/>
        <v>0</v>
      </c>
      <c r="N73" s="6">
        <f t="shared" si="106"/>
        <v>0</v>
      </c>
      <c r="O73" s="6">
        <f t="shared" ref="O73:Z73" si="107">-O23</f>
        <v>0</v>
      </c>
      <c r="P73" s="6">
        <f t="shared" si="107"/>
        <v>0</v>
      </c>
      <c r="Q73" s="6">
        <f t="shared" si="107"/>
        <v>0</v>
      </c>
      <c r="R73" s="6">
        <f t="shared" si="107"/>
        <v>0</v>
      </c>
      <c r="S73" s="6">
        <f t="shared" si="107"/>
        <v>0</v>
      </c>
      <c r="T73" s="6">
        <f t="shared" si="107"/>
        <v>0</v>
      </c>
      <c r="U73" s="6">
        <f t="shared" si="107"/>
        <v>0</v>
      </c>
      <c r="V73" s="6">
        <f t="shared" si="107"/>
        <v>0</v>
      </c>
      <c r="W73" s="6">
        <f t="shared" si="107"/>
        <v>0</v>
      </c>
      <c r="X73" s="6">
        <f t="shared" si="107"/>
        <v>0</v>
      </c>
      <c r="Y73" s="6">
        <f t="shared" si="107"/>
        <v>0</v>
      </c>
      <c r="Z73" s="6">
        <f t="shared" si="107"/>
        <v>0</v>
      </c>
      <c r="AB73" s="6">
        <f t="shared" si="103"/>
        <v>-295.11599999999999</v>
      </c>
      <c r="AC73" s="6">
        <f t="shared" si="103"/>
        <v>0</v>
      </c>
      <c r="AD73" s="6">
        <f t="shared" si="103"/>
        <v>0</v>
      </c>
      <c r="AE73" s="6">
        <f t="shared" si="103"/>
        <v>0</v>
      </c>
      <c r="AF73" s="6">
        <f t="shared" si="103"/>
        <v>0</v>
      </c>
      <c r="AG73" s="6">
        <f t="shared" si="103"/>
        <v>0</v>
      </c>
    </row>
    <row r="74" spans="2:33" x14ac:dyDescent="0.25">
      <c r="B74" s="7" t="s">
        <v>271</v>
      </c>
    </row>
    <row r="75" spans="2:33" x14ac:dyDescent="0.25">
      <c r="B75" s="2" t="s">
        <v>71</v>
      </c>
      <c r="F75" s="6">
        <f>E34-F34</f>
        <v>401429.62800000003</v>
      </c>
      <c r="G75" s="6">
        <f t="shared" ref="G75:Z75" si="108">F34-G34</f>
        <v>-907222.3109498024</v>
      </c>
      <c r="H75" s="6">
        <f t="shared" si="108"/>
        <v>-146531.70214221207</v>
      </c>
      <c r="I75" s="6">
        <f t="shared" si="108"/>
        <v>-151786.48743435275</v>
      </c>
      <c r="J75" s="6">
        <f t="shared" si="108"/>
        <v>-157229.71500938013</v>
      </c>
      <c r="K75" s="6">
        <f t="shared" si="108"/>
        <v>-162868.14261132665</v>
      </c>
      <c r="L75" s="6">
        <f t="shared" si="108"/>
        <v>-168708.7703242423</v>
      </c>
      <c r="M75" s="6">
        <f t="shared" si="108"/>
        <v>-174758.8492627563</v>
      </c>
      <c r="N75" s="6">
        <f t="shared" si="108"/>
        <v>-181025.89057431091</v>
      </c>
      <c r="O75" s="6">
        <f t="shared" si="108"/>
        <v>-187517.67476421688</v>
      </c>
      <c r="P75" s="6">
        <f t="shared" si="108"/>
        <v>-194242.26135511883</v>
      </c>
      <c r="Q75" s="6">
        <f t="shared" si="108"/>
        <v>-201207.99889286235</v>
      </c>
      <c r="R75" s="6">
        <f t="shared" si="108"/>
        <v>-208423.53531116806</v>
      </c>
      <c r="S75" s="6">
        <f t="shared" si="108"/>
        <v>-215897.82866801787</v>
      </c>
      <c r="T75" s="6">
        <f t="shared" si="108"/>
        <v>-223640.15826703515</v>
      </c>
      <c r="U75" s="6">
        <f t="shared" si="108"/>
        <v>-231660.13617770839</v>
      </c>
      <c r="V75" s="6">
        <f t="shared" si="108"/>
        <v>-239967.71916873194</v>
      </c>
      <c r="W75" s="6">
        <f t="shared" si="108"/>
        <v>-248573.22106928937</v>
      </c>
      <c r="X75" s="6">
        <f t="shared" si="108"/>
        <v>-257487.32557363436</v>
      </c>
      <c r="Y75" s="6">
        <f t="shared" si="108"/>
        <v>-266721.09950484894</v>
      </c>
      <c r="Z75" s="6">
        <f t="shared" si="108"/>
        <v>-276286.00655425806</v>
      </c>
      <c r="AB75" s="6">
        <f t="shared" ref="AB75:AG85" si="109">SUMIF($E$2:$Z$2,AB$2,$E75:$Z75)</f>
        <v>401429.62800000003</v>
      </c>
      <c r="AC75" s="6">
        <f t="shared" si="109"/>
        <v>-1362770.2155357474</v>
      </c>
      <c r="AD75" s="6">
        <f t="shared" si="109"/>
        <v>-687361.65277263615</v>
      </c>
      <c r="AE75" s="6">
        <f t="shared" si="109"/>
        <v>-791391.47032336611</v>
      </c>
      <c r="AF75" s="6">
        <f t="shared" si="109"/>
        <v>-911165.84228149336</v>
      </c>
      <c r="AG75" s="6">
        <f t="shared" si="109"/>
        <v>-1049067.6527020307</v>
      </c>
    </row>
    <row r="76" spans="2:33" x14ac:dyDescent="0.25">
      <c r="B76" s="2" t="s">
        <v>22</v>
      </c>
      <c r="F76" s="6">
        <f>E35-F35</f>
        <v>-430534.82400000002</v>
      </c>
      <c r="G76" s="6">
        <f t="shared" ref="G76:Z76" si="110">F35-G35</f>
        <v>-989501.68975447351</v>
      </c>
      <c r="H76" s="6">
        <f t="shared" si="110"/>
        <v>-105307.01622155635</v>
      </c>
      <c r="I76" s="6">
        <f t="shared" si="110"/>
        <v>-109083.43969791336</v>
      </c>
      <c r="J76" s="6">
        <f t="shared" si="110"/>
        <v>-112995.28980380064</v>
      </c>
      <c r="K76" s="6">
        <f t="shared" si="110"/>
        <v>-117047.42308459803</v>
      </c>
      <c r="L76" s="6">
        <f t="shared" si="110"/>
        <v>-121244.87024665391</v>
      </c>
      <c r="M76" s="6">
        <f t="shared" si="110"/>
        <v>-125592.84240288753</v>
      </c>
      <c r="N76" s="6">
        <f t="shared" si="110"/>
        <v>-130096.73754236056</v>
      </c>
      <c r="O76" s="6">
        <f t="shared" si="110"/>
        <v>-134762.14723186102</v>
      </c>
      <c r="P76" s="6">
        <f t="shared" si="110"/>
        <v>-139594.86355780764</v>
      </c>
      <c r="Q76" s="6">
        <f t="shared" si="110"/>
        <v>-144600.8863171027</v>
      </c>
      <c r="R76" s="6">
        <f t="shared" si="110"/>
        <v>-149786.43046585191</v>
      </c>
      <c r="S76" s="6">
        <f t="shared" si="110"/>
        <v>-155157.93383520842</v>
      </c>
      <c r="T76" s="6">
        <f t="shared" si="110"/>
        <v>-160722.06512391102</v>
      </c>
      <c r="U76" s="6">
        <f t="shared" si="110"/>
        <v>-166485.73217744846</v>
      </c>
      <c r="V76" s="6">
        <f t="shared" si="110"/>
        <v>-172456.09056411777</v>
      </c>
      <c r="W76" s="6">
        <f t="shared" si="110"/>
        <v>-178640.55245862994</v>
      </c>
      <c r="X76" s="6">
        <f t="shared" si="110"/>
        <v>-185046.79584430251</v>
      </c>
      <c r="Y76" s="6">
        <f t="shared" si="110"/>
        <v>-191682.77404522989</v>
      </c>
      <c r="Z76" s="6">
        <f t="shared" si="110"/>
        <v>-198556.72560031526</v>
      </c>
      <c r="AB76" s="6">
        <f t="shared" si="109"/>
        <v>-430534.82400000002</v>
      </c>
      <c r="AC76" s="6">
        <f t="shared" si="109"/>
        <v>-1316887.4354777439</v>
      </c>
      <c r="AD76" s="6">
        <f t="shared" si="109"/>
        <v>-493981.87327650003</v>
      </c>
      <c r="AE76" s="6">
        <f t="shared" si="109"/>
        <v>-568744.32757262327</v>
      </c>
      <c r="AF76" s="6">
        <f t="shared" si="109"/>
        <v>-654821.82170068566</v>
      </c>
      <c r="AG76" s="6">
        <f t="shared" si="109"/>
        <v>-753926.8479484776</v>
      </c>
    </row>
    <row r="77" spans="2:33" x14ac:dyDescent="0.25">
      <c r="B77" s="2" t="s">
        <v>24</v>
      </c>
      <c r="F77" s="6">
        <f>-Assumptions!M123</f>
        <v>-53072.81</v>
      </c>
      <c r="G77" s="6">
        <f>-Assumptions!N123</f>
        <v>0</v>
      </c>
      <c r="H77" s="6">
        <f>-Assumptions!O123</f>
        <v>0</v>
      </c>
      <c r="I77" s="6">
        <f>-Assumptions!P123</f>
        <v>0</v>
      </c>
      <c r="J77" s="6">
        <f>-Assumptions!Q123</f>
        <v>0</v>
      </c>
      <c r="K77" s="6">
        <f>-Assumptions!R123</f>
        <v>0</v>
      </c>
      <c r="L77" s="6">
        <f>-Assumptions!S123</f>
        <v>0</v>
      </c>
      <c r="M77" s="6">
        <f>-Assumptions!T123</f>
        <v>0</v>
      </c>
      <c r="N77" s="6">
        <f>-Assumptions!U123</f>
        <v>0</v>
      </c>
      <c r="O77" s="6">
        <f>-Assumptions!V123</f>
        <v>0</v>
      </c>
      <c r="P77" s="6">
        <f>-Assumptions!W123</f>
        <v>0</v>
      </c>
      <c r="Q77" s="6">
        <f>-Assumptions!X123</f>
        <v>0</v>
      </c>
      <c r="R77" s="6">
        <f>-Assumptions!Y123</f>
        <v>0</v>
      </c>
      <c r="S77" s="6">
        <f>-Assumptions!Z123</f>
        <v>0</v>
      </c>
      <c r="T77" s="6">
        <f>-Assumptions!AA123</f>
        <v>0</v>
      </c>
      <c r="U77" s="6">
        <f>-Assumptions!AB123</f>
        <v>0</v>
      </c>
      <c r="V77" s="6">
        <f>-Assumptions!AC123</f>
        <v>0</v>
      </c>
      <c r="W77" s="6">
        <f>-Assumptions!AD123</f>
        <v>0</v>
      </c>
      <c r="X77" s="6">
        <f>-Assumptions!AE123</f>
        <v>0</v>
      </c>
      <c r="Y77" s="6">
        <f>-Assumptions!AF123</f>
        <v>0</v>
      </c>
      <c r="Z77" s="6">
        <f>-Assumptions!AG123</f>
        <v>0</v>
      </c>
      <c r="AB77" s="6">
        <f t="shared" si="109"/>
        <v>-53072.81</v>
      </c>
      <c r="AC77" s="6">
        <f t="shared" si="109"/>
        <v>0</v>
      </c>
      <c r="AD77" s="6">
        <f t="shared" si="109"/>
        <v>0</v>
      </c>
      <c r="AE77" s="6">
        <f t="shared" si="109"/>
        <v>0</v>
      </c>
      <c r="AF77" s="6">
        <f t="shared" si="109"/>
        <v>0</v>
      </c>
      <c r="AG77" s="6">
        <f t="shared" si="109"/>
        <v>0</v>
      </c>
    </row>
    <row r="78" spans="2:33" x14ac:dyDescent="0.25">
      <c r="B78" s="2" t="s">
        <v>73</v>
      </c>
      <c r="F78" s="6">
        <f>-Assumptions!M129</f>
        <v>8827</v>
      </c>
      <c r="G78" s="6">
        <f>-Assumptions!N129</f>
        <v>0</v>
      </c>
      <c r="H78" s="6">
        <f>-Assumptions!O129</f>
        <v>0</v>
      </c>
      <c r="I78" s="6">
        <f>-Assumptions!P129</f>
        <v>0</v>
      </c>
      <c r="J78" s="6">
        <f>-Assumptions!Q129</f>
        <v>0</v>
      </c>
      <c r="K78" s="6">
        <f>-Assumptions!R129</f>
        <v>0</v>
      </c>
      <c r="L78" s="6">
        <f>-Assumptions!S129</f>
        <v>0</v>
      </c>
      <c r="M78" s="6">
        <f>-Assumptions!T129</f>
        <v>0</v>
      </c>
      <c r="N78" s="6">
        <f>-Assumptions!U129</f>
        <v>0</v>
      </c>
      <c r="O78" s="6">
        <f>-Assumptions!V129</f>
        <v>0</v>
      </c>
      <c r="P78" s="6">
        <f>-Assumptions!W129</f>
        <v>0</v>
      </c>
      <c r="Q78" s="6">
        <f>-Assumptions!X129</f>
        <v>0</v>
      </c>
      <c r="R78" s="6">
        <f>-Assumptions!Y129</f>
        <v>0</v>
      </c>
      <c r="S78" s="6">
        <f>-Assumptions!Z129</f>
        <v>0</v>
      </c>
      <c r="T78" s="6">
        <f>-Assumptions!AA129</f>
        <v>0</v>
      </c>
      <c r="U78" s="6">
        <f>-Assumptions!AB129</f>
        <v>0</v>
      </c>
      <c r="V78" s="6">
        <f>-Assumptions!AC129</f>
        <v>0</v>
      </c>
      <c r="W78" s="6">
        <f>-Assumptions!AD129</f>
        <v>0</v>
      </c>
      <c r="X78" s="6">
        <f>-Assumptions!AE129</f>
        <v>0</v>
      </c>
      <c r="Y78" s="6">
        <f>-Assumptions!AF129</f>
        <v>0</v>
      </c>
      <c r="Z78" s="6">
        <f>-Assumptions!AG129</f>
        <v>0</v>
      </c>
      <c r="AB78" s="6">
        <f t="shared" si="109"/>
        <v>8827</v>
      </c>
      <c r="AC78" s="6">
        <f t="shared" si="109"/>
        <v>0</v>
      </c>
      <c r="AD78" s="6">
        <f t="shared" si="109"/>
        <v>0</v>
      </c>
      <c r="AE78" s="6">
        <f t="shared" si="109"/>
        <v>0</v>
      </c>
      <c r="AF78" s="6">
        <f t="shared" si="109"/>
        <v>0</v>
      </c>
      <c r="AG78" s="6">
        <f t="shared" si="109"/>
        <v>0</v>
      </c>
    </row>
    <row r="79" spans="2:33" x14ac:dyDescent="0.25">
      <c r="B79" s="2" t="s">
        <v>80</v>
      </c>
      <c r="F79" s="6">
        <f>-Assumptions!M135</f>
        <v>37747</v>
      </c>
      <c r="G79" s="6">
        <f>-Assumptions!N135</f>
        <v>0</v>
      </c>
      <c r="H79" s="6">
        <f>-Assumptions!O135</f>
        <v>0</v>
      </c>
      <c r="I79" s="6">
        <f>-Assumptions!P135</f>
        <v>0</v>
      </c>
      <c r="J79" s="6">
        <f>-Assumptions!Q135</f>
        <v>0</v>
      </c>
      <c r="K79" s="6">
        <f>-Assumptions!R135</f>
        <v>0</v>
      </c>
      <c r="L79" s="6">
        <f>-Assumptions!S135</f>
        <v>0</v>
      </c>
      <c r="M79" s="6">
        <f>-Assumptions!T135</f>
        <v>0</v>
      </c>
      <c r="N79" s="6">
        <f>-Assumptions!U135</f>
        <v>0</v>
      </c>
      <c r="O79" s="6">
        <f>-Assumptions!V135</f>
        <v>0</v>
      </c>
      <c r="P79" s="6">
        <f>-Assumptions!W135</f>
        <v>0</v>
      </c>
      <c r="Q79" s="6">
        <f>-Assumptions!X135</f>
        <v>0</v>
      </c>
      <c r="R79" s="6">
        <f>-Assumptions!Y135</f>
        <v>0</v>
      </c>
      <c r="S79" s="6">
        <f>-Assumptions!Z135</f>
        <v>0</v>
      </c>
      <c r="T79" s="6">
        <f>-Assumptions!AA135</f>
        <v>0</v>
      </c>
      <c r="U79" s="6">
        <f>-Assumptions!AB135</f>
        <v>0</v>
      </c>
      <c r="V79" s="6">
        <f>-Assumptions!AC135</f>
        <v>0</v>
      </c>
      <c r="W79" s="6">
        <f>-Assumptions!AD135</f>
        <v>0</v>
      </c>
      <c r="X79" s="6">
        <f>-Assumptions!AE135</f>
        <v>0</v>
      </c>
      <c r="Y79" s="6">
        <f>-Assumptions!AF135</f>
        <v>0</v>
      </c>
      <c r="Z79" s="6">
        <f>-Assumptions!AG135</f>
        <v>0</v>
      </c>
      <c r="AB79" s="6">
        <f t="shared" si="109"/>
        <v>37747</v>
      </c>
      <c r="AC79" s="6">
        <f t="shared" si="109"/>
        <v>0</v>
      </c>
      <c r="AD79" s="6">
        <f t="shared" si="109"/>
        <v>0</v>
      </c>
      <c r="AE79" s="6">
        <f t="shared" si="109"/>
        <v>0</v>
      </c>
      <c r="AF79" s="6">
        <f t="shared" si="109"/>
        <v>0</v>
      </c>
      <c r="AG79" s="6">
        <f t="shared" si="109"/>
        <v>0</v>
      </c>
    </row>
    <row r="80" spans="2:33" x14ac:dyDescent="0.25">
      <c r="B80" s="2" t="s">
        <v>91</v>
      </c>
      <c r="F80" s="6">
        <f>E42-F42</f>
        <v>1346116.4019999998</v>
      </c>
      <c r="G80" s="6">
        <f t="shared" ref="G80:N80" si="111">F42-G42</f>
        <v>-95258.810501741245</v>
      </c>
      <c r="H80" s="6">
        <f t="shared" si="111"/>
        <v>-97067.267394432798</v>
      </c>
      <c r="I80" s="6">
        <f t="shared" si="111"/>
        <v>-98910.057240847498</v>
      </c>
      <c r="J80" s="6">
        <f t="shared" si="111"/>
        <v>-100787.83184071351</v>
      </c>
      <c r="K80" s="6">
        <f t="shared" si="111"/>
        <v>-102701.25536796264</v>
      </c>
      <c r="L80" s="6">
        <f t="shared" si="111"/>
        <v>-104651.00460564345</v>
      </c>
      <c r="M80" s="6">
        <f t="shared" si="111"/>
        <v>-106637.76918531116</v>
      </c>
      <c r="N80" s="6">
        <f t="shared" si="111"/>
        <v>-108662.25183094386</v>
      </c>
      <c r="O80" s="6">
        <f t="shared" ref="O80:Z80" si="112">N42-O42</f>
        <v>-110725.16860750224</v>
      </c>
      <c r="P80" s="6">
        <f t="shared" si="112"/>
        <v>-112827.24917420186</v>
      </c>
      <c r="Q80" s="6">
        <f t="shared" si="112"/>
        <v>-114969.23704259656</v>
      </c>
      <c r="R80" s="6">
        <f t="shared" si="112"/>
        <v>-117151.88983956072</v>
      </c>
      <c r="S80" s="6">
        <f t="shared" si="112"/>
        <v>-119375.97957526334</v>
      </c>
      <c r="T80" s="6">
        <f t="shared" si="112"/>
        <v>-121642.29291622899</v>
      </c>
      <c r="U80" s="6">
        <f t="shared" si="112"/>
        <v>-123951.63146358728</v>
      </c>
      <c r="V80" s="6">
        <f t="shared" si="112"/>
        <v>-126304.81203659624</v>
      </c>
      <c r="W80" s="6">
        <f t="shared" si="112"/>
        <v>-128702.66696155816</v>
      </c>
      <c r="X80" s="6">
        <f t="shared" si="112"/>
        <v>-131146.04436621349</v>
      </c>
      <c r="Y80" s="6">
        <f t="shared" si="112"/>
        <v>-133635.80847972818</v>
      </c>
      <c r="Z80" s="6">
        <f t="shared" si="112"/>
        <v>-136172.83993836772</v>
      </c>
      <c r="AB80" s="6">
        <f t="shared" si="109"/>
        <v>1346116.4019999998</v>
      </c>
      <c r="AC80" s="6">
        <f t="shared" si="109"/>
        <v>-392023.96697773505</v>
      </c>
      <c r="AD80" s="6">
        <f t="shared" si="109"/>
        <v>-422652.28098986112</v>
      </c>
      <c r="AE80" s="6">
        <f t="shared" si="109"/>
        <v>-455673.54466386139</v>
      </c>
      <c r="AF80" s="6">
        <f t="shared" si="109"/>
        <v>-491274.71599167585</v>
      </c>
      <c r="AG80" s="6">
        <f t="shared" si="109"/>
        <v>-529657.35974586755</v>
      </c>
    </row>
    <row r="81" spans="2:33" x14ac:dyDescent="0.25">
      <c r="B81" s="2" t="s">
        <v>117</v>
      </c>
      <c r="F81" s="6">
        <f t="shared" ref="F81:N81" si="113">F48-E48</f>
        <v>2808954.6219999995</v>
      </c>
      <c r="G81" s="6">
        <f t="shared" si="113"/>
        <v>596816.23990163021</v>
      </c>
      <c r="H81" s="6">
        <f t="shared" si="113"/>
        <v>618218.71563690156</v>
      </c>
      <c r="I81" s="6">
        <f t="shared" si="113"/>
        <v>640388.70729579031</v>
      </c>
      <c r="J81" s="6">
        <f t="shared" si="113"/>
        <v>663353.73882928118</v>
      </c>
      <c r="K81" s="6">
        <f t="shared" si="113"/>
        <v>687142.32122699544</v>
      </c>
      <c r="L81" s="6">
        <f t="shared" si="113"/>
        <v>711783.98791348189</v>
      </c>
      <c r="M81" s="6">
        <f t="shared" si="113"/>
        <v>737309.33141382784</v>
      </c>
      <c r="N81" s="6">
        <f t="shared" si="113"/>
        <v>763750.04133414477</v>
      </c>
      <c r="O81" s="6">
        <f t="shared" ref="O81:Z81" si="114">O48-N48</f>
        <v>791138.94370409474</v>
      </c>
      <c r="P81" s="6">
        <f t="shared" si="114"/>
        <v>819510.04173025489</v>
      </c>
      <c r="Q81" s="6">
        <f t="shared" si="114"/>
        <v>848898.55801096931</v>
      </c>
      <c r="R81" s="6">
        <f t="shared" si="114"/>
        <v>879340.97826503217</v>
      </c>
      <c r="S81" s="6">
        <f t="shared" si="114"/>
        <v>910875.09662858024</v>
      </c>
      <c r="T81" s="6">
        <f t="shared" si="114"/>
        <v>943540.06257633865</v>
      </c>
      <c r="U81" s="6">
        <f t="shared" si="114"/>
        <v>977376.4295255281</v>
      </c>
      <c r="V81" s="6">
        <f t="shared" si="114"/>
        <v>1012426.205182761</v>
      </c>
      <c r="W81" s="6">
        <f t="shared" si="114"/>
        <v>1048732.9036964402</v>
      </c>
      <c r="X81" s="6">
        <f t="shared" si="114"/>
        <v>1086341.5996793807</v>
      </c>
      <c r="Y81" s="6">
        <f t="shared" si="114"/>
        <v>1125298.9841687605</v>
      </c>
      <c r="Z81" s="6">
        <f t="shared" si="114"/>
        <v>1165653.4225928299</v>
      </c>
      <c r="AB81" s="6">
        <f t="shared" si="109"/>
        <v>2808954.6219999995</v>
      </c>
      <c r="AC81" s="6">
        <f t="shared" si="109"/>
        <v>2518777.4016636033</v>
      </c>
      <c r="AD81" s="6">
        <f t="shared" si="109"/>
        <v>2899985.6818884499</v>
      </c>
      <c r="AE81" s="6">
        <f t="shared" si="109"/>
        <v>3338888.5217103511</v>
      </c>
      <c r="AF81" s="6">
        <f t="shared" si="109"/>
        <v>3844217.7939132079</v>
      </c>
      <c r="AG81" s="6">
        <f t="shared" si="109"/>
        <v>4426026.9101374112</v>
      </c>
    </row>
    <row r="82" spans="2:33" x14ac:dyDescent="0.25">
      <c r="B82" s="2" t="s">
        <v>30</v>
      </c>
      <c r="F82" s="6">
        <f>Assumptions!M184</f>
        <v>0</v>
      </c>
      <c r="G82" s="6">
        <f>Assumptions!N184</f>
        <v>0</v>
      </c>
      <c r="H82" s="6">
        <f>Assumptions!O184</f>
        <v>0</v>
      </c>
      <c r="I82" s="6">
        <f>Assumptions!P184</f>
        <v>0</v>
      </c>
      <c r="J82" s="6">
        <f>Assumptions!Q184</f>
        <v>0</v>
      </c>
      <c r="K82" s="6">
        <f>Assumptions!R184</f>
        <v>0</v>
      </c>
      <c r="L82" s="6">
        <f>Assumptions!S184</f>
        <v>0</v>
      </c>
      <c r="M82" s="6">
        <f>Assumptions!T184</f>
        <v>0</v>
      </c>
      <c r="N82" s="6">
        <f>Assumptions!U184</f>
        <v>0</v>
      </c>
      <c r="O82" s="6">
        <f>Assumptions!V184</f>
        <v>0</v>
      </c>
      <c r="P82" s="6">
        <f>Assumptions!W184</f>
        <v>0</v>
      </c>
      <c r="Q82" s="6">
        <f>Assumptions!X184</f>
        <v>0</v>
      </c>
      <c r="R82" s="6">
        <f>Assumptions!Y184</f>
        <v>0</v>
      </c>
      <c r="S82" s="6">
        <f>Assumptions!Z184</f>
        <v>0</v>
      </c>
      <c r="T82" s="6">
        <f>Assumptions!AA184</f>
        <v>0</v>
      </c>
      <c r="U82" s="6">
        <f>Assumptions!AB184</f>
        <v>0</v>
      </c>
      <c r="V82" s="6">
        <f>Assumptions!AC184</f>
        <v>0</v>
      </c>
      <c r="W82" s="6">
        <f>Assumptions!AD184</f>
        <v>0</v>
      </c>
      <c r="X82" s="6">
        <f>Assumptions!AE184</f>
        <v>0</v>
      </c>
      <c r="Y82" s="6">
        <f>Assumptions!AF184</f>
        <v>0</v>
      </c>
      <c r="Z82" s="6">
        <f>Assumptions!AG184</f>
        <v>0</v>
      </c>
      <c r="AB82" s="6">
        <f t="shared" si="109"/>
        <v>0</v>
      </c>
      <c r="AC82" s="6">
        <f t="shared" si="109"/>
        <v>0</v>
      </c>
      <c r="AD82" s="6">
        <f t="shared" si="109"/>
        <v>0</v>
      </c>
      <c r="AE82" s="6">
        <f t="shared" si="109"/>
        <v>0</v>
      </c>
      <c r="AF82" s="6">
        <f t="shared" si="109"/>
        <v>0</v>
      </c>
      <c r="AG82" s="6">
        <f t="shared" si="109"/>
        <v>0</v>
      </c>
    </row>
    <row r="83" spans="2:33" x14ac:dyDescent="0.25">
      <c r="B83" s="2" t="s">
        <v>32</v>
      </c>
      <c r="F83" s="6">
        <f>Assumptions!M178</f>
        <v>173127.59</v>
      </c>
      <c r="G83" s="6">
        <f>Assumptions!N178</f>
        <v>0</v>
      </c>
      <c r="H83" s="6">
        <f>Assumptions!O178</f>
        <v>0</v>
      </c>
      <c r="I83" s="6">
        <f>Assumptions!P178</f>
        <v>0</v>
      </c>
      <c r="J83" s="6">
        <f>Assumptions!Q178</f>
        <v>0</v>
      </c>
      <c r="K83" s="6">
        <f>Assumptions!R178</f>
        <v>0</v>
      </c>
      <c r="L83" s="6">
        <f>Assumptions!S178</f>
        <v>0</v>
      </c>
      <c r="M83" s="6">
        <f>Assumptions!T178</f>
        <v>0</v>
      </c>
      <c r="N83" s="6">
        <f>Assumptions!U178</f>
        <v>0</v>
      </c>
      <c r="O83" s="6">
        <f>Assumptions!V178</f>
        <v>0</v>
      </c>
      <c r="P83" s="6">
        <f>Assumptions!W178</f>
        <v>0</v>
      </c>
      <c r="Q83" s="6">
        <f>Assumptions!X178</f>
        <v>0</v>
      </c>
      <c r="R83" s="6">
        <f>Assumptions!Y178</f>
        <v>0</v>
      </c>
      <c r="S83" s="6">
        <f>Assumptions!Z178</f>
        <v>0</v>
      </c>
      <c r="T83" s="6">
        <f>Assumptions!AA178</f>
        <v>0</v>
      </c>
      <c r="U83" s="6">
        <f>Assumptions!AB178</f>
        <v>0</v>
      </c>
      <c r="V83" s="6">
        <f>Assumptions!AC178</f>
        <v>0</v>
      </c>
      <c r="W83" s="6">
        <f>Assumptions!AD178</f>
        <v>0</v>
      </c>
      <c r="X83" s="6">
        <f>Assumptions!AE178</f>
        <v>0</v>
      </c>
      <c r="Y83" s="6">
        <f>Assumptions!AF178</f>
        <v>0</v>
      </c>
      <c r="Z83" s="6">
        <f>Assumptions!AG178</f>
        <v>0</v>
      </c>
      <c r="AB83" s="6">
        <f t="shared" si="109"/>
        <v>173127.59</v>
      </c>
      <c r="AC83" s="6">
        <f t="shared" si="109"/>
        <v>0</v>
      </c>
      <c r="AD83" s="6">
        <f t="shared" si="109"/>
        <v>0</v>
      </c>
      <c r="AE83" s="6">
        <f t="shared" si="109"/>
        <v>0</v>
      </c>
      <c r="AF83" s="6">
        <f t="shared" si="109"/>
        <v>0</v>
      </c>
      <c r="AG83" s="6">
        <f t="shared" si="109"/>
        <v>0</v>
      </c>
    </row>
    <row r="84" spans="2:33" x14ac:dyDescent="0.25">
      <c r="B84" s="2" t="s">
        <v>33</v>
      </c>
      <c r="F84" s="6">
        <f>Assumptions!M192</f>
        <v>97937.187999999995</v>
      </c>
      <c r="G84" s="6">
        <f>Assumptions!N192</f>
        <v>6036.798605298176</v>
      </c>
      <c r="H84" s="6">
        <f>Assumptions!O192</f>
        <v>6336.2790847133965</v>
      </c>
      <c r="I84" s="6">
        <f>Assumptions!P192</f>
        <v>6650.6165377357947</v>
      </c>
      <c r="J84" s="6">
        <f>Assumptions!Q192</f>
        <v>6980.5480062760689</v>
      </c>
      <c r="K84" s="6">
        <f>Assumptions!R192</f>
        <v>7326.8470962715119</v>
      </c>
      <c r="L84" s="6">
        <f>Assumptions!S192</f>
        <v>7690.3257915964869</v>
      </c>
      <c r="M84" s="6">
        <f>Assumptions!T192</f>
        <v>8071.8363579594661</v>
      </c>
      <c r="N84" s="6">
        <f>Assumptions!U192</f>
        <v>8472.2733412507951</v>
      </c>
      <c r="O84" s="6">
        <f>Assumptions!V192</f>
        <v>8892.5756650268013</v>
      </c>
      <c r="P84" s="6">
        <f>Assumptions!W192</f>
        <v>9333.7288320483149</v>
      </c>
      <c r="Q84" s="6">
        <f>Assumptions!X192</f>
        <v>9796.767235035657</v>
      </c>
      <c r="R84" s="6">
        <f>Assumptions!Y192</f>
        <v>10282.776582058239</v>
      </c>
      <c r="S84" s="6">
        <f>Assumptions!Z192</f>
        <v>10792.896442245672</v>
      </c>
      <c r="T84" s="6">
        <f>Assumptions!AA192</f>
        <v>11328.322917789475</v>
      </c>
      <c r="U84" s="6">
        <f>Assumptions!AB192</f>
        <v>11890.311448500523</v>
      </c>
      <c r="V84" s="6">
        <f>Assumptions!AC192</f>
        <v>12480.179755498206</v>
      </c>
      <c r="W84" s="6">
        <f>Assumptions!AD192</f>
        <v>13099.310930933554</v>
      </c>
      <c r="X84" s="6">
        <f>Assumptions!AE192</f>
        <v>13749.156680990882</v>
      </c>
      <c r="Y84" s="6">
        <f>Assumptions!AF192</f>
        <v>14431.240729772022</v>
      </c>
      <c r="Z84" s="6">
        <f>Assumptions!AG192</f>
        <v>15147.162392044389</v>
      </c>
      <c r="AB84" s="6">
        <f t="shared" si="109"/>
        <v>97937.187999999995</v>
      </c>
      <c r="AC84" s="6">
        <f t="shared" si="109"/>
        <v>26004.242234023437</v>
      </c>
      <c r="AD84" s="6">
        <f t="shared" si="109"/>
        <v>31561.282587078262</v>
      </c>
      <c r="AE84" s="6">
        <f t="shared" si="109"/>
        <v>38305.848314169009</v>
      </c>
      <c r="AF84" s="6">
        <f t="shared" si="109"/>
        <v>46491.71056403387</v>
      </c>
      <c r="AG84" s="6">
        <f t="shared" si="109"/>
        <v>56426.870733740849</v>
      </c>
    </row>
    <row r="85" spans="2:33" x14ac:dyDescent="0.25">
      <c r="B85" s="2" t="s">
        <v>65</v>
      </c>
      <c r="F85" s="6">
        <f>F52-E52</f>
        <v>13725.150999999998</v>
      </c>
      <c r="G85" s="6">
        <f t="shared" ref="G85:N85" si="115">G52-F52</f>
        <v>3674.0813836679008</v>
      </c>
      <c r="H85" s="6">
        <f t="shared" si="115"/>
        <v>4021.6219087624122</v>
      </c>
      <c r="I85" s="6">
        <f t="shared" si="115"/>
        <v>4402.0371592562733</v>
      </c>
      <c r="J85" s="6">
        <f t="shared" si="115"/>
        <v>4818.4368374490732</v>
      </c>
      <c r="K85" s="6">
        <f t="shared" si="115"/>
        <v>5274.2248001397602</v>
      </c>
      <c r="L85" s="6">
        <f t="shared" si="115"/>
        <v>5773.1268834346847</v>
      </c>
      <c r="M85" s="6">
        <f t="shared" si="115"/>
        <v>6319.2213595736685</v>
      </c>
      <c r="N85" s="6">
        <f t="shared" si="115"/>
        <v>6916.9722747431515</v>
      </c>
      <c r="O85" s="6">
        <f t="shared" ref="O85:Z85" si="116">O52-N52</f>
        <v>7571.2659403963917</v>
      </c>
      <c r="P85" s="6">
        <f t="shared" si="116"/>
        <v>8287.4508763785707</v>
      </c>
      <c r="Q85" s="6">
        <f t="shared" si="116"/>
        <v>9071.3815323718736</v>
      </c>
      <c r="R85" s="6">
        <f t="shared" si="116"/>
        <v>9929.4661450610292</v>
      </c>
      <c r="S85" s="6">
        <f t="shared" si="116"/>
        <v>10868.719122227689</v>
      </c>
      <c r="T85" s="6">
        <f t="shared" si="116"/>
        <v>11896.818381986814</v>
      </c>
      <c r="U85" s="6">
        <f t="shared" si="116"/>
        <v>13022.168115884648</v>
      </c>
      <c r="V85" s="6">
        <f t="shared" si="116"/>
        <v>14253.967488914699</v>
      </c>
      <c r="W85" s="6">
        <f t="shared" si="116"/>
        <v>15602.285838039534</v>
      </c>
      <c r="X85" s="6">
        <f t="shared" si="116"/>
        <v>17078.144983928563</v>
      </c>
      <c r="Y85" s="6">
        <f t="shared" si="116"/>
        <v>18693.609328768216</v>
      </c>
      <c r="Z85" s="6">
        <f t="shared" si="116"/>
        <v>20461.88447664908</v>
      </c>
      <c r="AB85" s="6">
        <f t="shared" si="109"/>
        <v>13725.150999999998</v>
      </c>
      <c r="AC85" s="6">
        <f t="shared" si="109"/>
        <v>16916.17728913566</v>
      </c>
      <c r="AD85" s="6">
        <f t="shared" si="109"/>
        <v>24283.545317891265</v>
      </c>
      <c r="AE85" s="6">
        <f t="shared" si="109"/>
        <v>34859.564494207865</v>
      </c>
      <c r="AF85" s="6">
        <f t="shared" si="109"/>
        <v>50041.673109013849</v>
      </c>
      <c r="AG85" s="6">
        <f t="shared" si="109"/>
        <v>71835.924627385393</v>
      </c>
    </row>
    <row r="86" spans="2:33" x14ac:dyDescent="0.25">
      <c r="B86" s="8" t="s">
        <v>74</v>
      </c>
      <c r="C86" s="8"/>
      <c r="D86" s="8"/>
      <c r="E86" s="16"/>
      <c r="F86" s="16">
        <f t="shared" ref="F86:N86" si="117">SUM(F69,F71:F73,F75:F85)</f>
        <v>4931883.7699999996</v>
      </c>
      <c r="G86" s="16">
        <f t="shared" ca="1" si="117"/>
        <v>-1135997.6632589274</v>
      </c>
      <c r="H86" s="16">
        <f t="shared" ca="1" si="117"/>
        <v>539127.05879180017</v>
      </c>
      <c r="I86" s="16">
        <f t="shared" ca="1" si="117"/>
        <v>563403.18396141531</v>
      </c>
      <c r="J86" s="16">
        <f t="shared" ca="1" si="117"/>
        <v>588672.05969723384</v>
      </c>
      <c r="K86" s="16">
        <f t="shared" ca="1" si="117"/>
        <v>614972.88853908586</v>
      </c>
      <c r="L86" s="16">
        <f t="shared" ca="1" si="117"/>
        <v>642346.4506367807</v>
      </c>
      <c r="M86" s="16">
        <f t="shared" ca="1" si="117"/>
        <v>670835.17281863093</v>
      </c>
      <c r="N86" s="16">
        <f t="shared" ca="1" si="117"/>
        <v>700483.20122376329</v>
      </c>
      <c r="O86" s="16">
        <f t="shared" ref="O86:Y86" ca="1" si="118">SUM(O69,O71:O73,O75:O85)</f>
        <v>731336.47772589221</v>
      </c>
      <c r="P86" s="16">
        <f t="shared" ca="1" si="118"/>
        <v>763442.82039371168</v>
      </c>
      <c r="Q86" s="16">
        <f t="shared" ca="1" si="118"/>
        <v>796852.00825212081</v>
      </c>
      <c r="R86" s="16">
        <f t="shared" ca="1" si="118"/>
        <v>831615.87062908884</v>
      </c>
      <c r="S86" s="16">
        <f t="shared" ca="1" si="118"/>
        <v>867788.38139546826</v>
      </c>
      <c r="T86" s="16">
        <f t="shared" ca="1" si="118"/>
        <v>905425.75842940668</v>
      </c>
      <c r="U86" s="16">
        <f t="shared" ca="1" si="118"/>
        <v>944586.56866354786</v>
      </c>
      <c r="V86" s="16">
        <f t="shared" ca="1" si="118"/>
        <v>985331.83910213993</v>
      </c>
      <c r="W86" s="16">
        <f t="shared" ca="1" si="118"/>
        <v>1027725.1742264871</v>
      </c>
      <c r="X86" s="16">
        <f t="shared" ca="1" si="118"/>
        <v>1071832.880241378</v>
      </c>
      <c r="Y86" s="16">
        <f t="shared" ca="1" si="118"/>
        <v>1117724.0966524337</v>
      </c>
      <c r="Z86" s="16">
        <f ca="1">SUM(Z69,Z71:Z73,Z75:Z85)</f>
        <v>1165470.9357046788</v>
      </c>
      <c r="AB86" s="16">
        <f>SUM(AB69,AB71:AB73,AB75:AB85)</f>
        <v>4931883.7699999996</v>
      </c>
      <c r="AC86" s="16">
        <f t="shared" ref="AC86:AG86" ca="1" si="119">SUM(AC69,AC71:AC73,AC75:AC85)</f>
        <v>555204.63919152203</v>
      </c>
      <c r="AD86" s="16">
        <f t="shared" ca="1" si="119"/>
        <v>2628637.7132182606</v>
      </c>
      <c r="AE86" s="16">
        <f t="shared" ca="1" si="119"/>
        <v>3123247.1770008132</v>
      </c>
      <c r="AF86" s="16">
        <f t="shared" ca="1" si="119"/>
        <v>3703132.5475905631</v>
      </c>
      <c r="AG86" s="16">
        <f t="shared" ca="1" si="119"/>
        <v>4382753.0868249768</v>
      </c>
    </row>
    <row r="87" spans="2:33" x14ac:dyDescent="0.25">
      <c r="B87" s="2" t="s">
        <v>82</v>
      </c>
      <c r="F87" s="6">
        <f>Assumptions!M118</f>
        <v>0</v>
      </c>
      <c r="G87" s="6">
        <f ca="1">Assumptions!N118</f>
        <v>-44555.859982605987</v>
      </c>
      <c r="H87" s="6">
        <f ca="1">Assumptions!O118</f>
        <v>-43887.138204517621</v>
      </c>
      <c r="I87" s="6">
        <f ca="1">Assumptions!P118</f>
        <v>-46129.751471888536</v>
      </c>
      <c r="J87" s="6">
        <f ca="1">Assumptions!Q118</f>
        <v>-48466.20843084174</v>
      </c>
      <c r="K87" s="6">
        <f ca="1">Assumptions!R118</f>
        <v>-50900.016286303602</v>
      </c>
      <c r="L87" s="6">
        <f ca="1">Assumptions!S118</f>
        <v>-53434.797697783128</v>
      </c>
      <c r="M87" s="6">
        <f ca="1">Assumptions!T118</f>
        <v>-56074.293441700509</v>
      </c>
      <c r="N87" s="6">
        <f ca="1">Assumptions!U118</f>
        <v>-58822.365018000324</v>
      </c>
      <c r="O87" s="6">
        <f ca="1">Assumptions!V118</f>
        <v>-61682.997184449741</v>
      </c>
      <c r="P87" s="6">
        <f ca="1">Assumptions!W118</f>
        <v>-64660.300400036067</v>
      </c>
      <c r="Q87" s="6">
        <f ca="1">Assumptions!X118</f>
        <v>-67758.51315668835</v>
      </c>
      <c r="R87" s="6">
        <f ca="1">Assumptions!Y118</f>
        <v>-70982.004176135306</v>
      </c>
      <c r="S87" s="6">
        <f ca="1">Assumptions!Z118</f>
        <v>-74335.274446054493</v>
      </c>
      <c r="T87" s="6">
        <f ca="1">Assumptions!AA118</f>
        <v>-77822.959066743177</v>
      </c>
      <c r="U87" s="6">
        <f ca="1">Assumptions!AB118</f>
        <v>-81449.828876319749</v>
      </c>
      <c r="V87" s="6">
        <f ca="1">Assumptions!AC118</f>
        <v>-85220.791818923419</v>
      </c>
      <c r="W87" s="6">
        <f ca="1">Assumptions!AD118</f>
        <v>-89140.894016481194</v>
      </c>
      <c r="X87" s="6">
        <f ca="1">Assumptions!AE118</f>
        <v>-93215.320500327318</v>
      </c>
      <c r="Y87" s="6">
        <f ca="1">Assumptions!AF118</f>
        <v>-97449.395554248098</v>
      </c>
      <c r="Z87" s="6">
        <f ca="1">Assumptions!AG118</f>
        <v>-101848.58261534631</v>
      </c>
      <c r="AB87" s="6">
        <f>SUMIF($E$2:$Z$2,AB$2,$E87:$Z87)</f>
        <v>0</v>
      </c>
      <c r="AC87" s="6">
        <f ca="1">SUMIF($E$2:$Z$2,AC$2,$E87:$Z87)</f>
        <v>-183038.95808985387</v>
      </c>
      <c r="AD87" s="6">
        <f t="shared" ref="AD87:AG87" ca="1" si="120">SUMIF($E$2:$Z$2,AD$2,$E87:$Z87)</f>
        <v>-219231.47244378758</v>
      </c>
      <c r="AE87" s="6">
        <f ca="1">SUMIF($E$2:$Z$2,AE$2,$E87:$Z87)</f>
        <v>-265083.81491730944</v>
      </c>
      <c r="AF87" s="6">
        <f t="shared" ca="1" si="120"/>
        <v>-318828.85420804087</v>
      </c>
      <c r="AG87" s="6">
        <f t="shared" ca="1" si="120"/>
        <v>-381654.19268640294</v>
      </c>
    </row>
    <row r="88" spans="2:33" x14ac:dyDescent="0.25">
      <c r="B88" s="8" t="s">
        <v>51</v>
      </c>
      <c r="C88" s="8"/>
      <c r="D88" s="8"/>
      <c r="E88" s="16"/>
      <c r="F88" s="16">
        <f>SUM(F86:F87)</f>
        <v>4931883.7699999996</v>
      </c>
      <c r="G88" s="16">
        <f t="shared" ref="G88:AG88" ca="1" si="121">SUM(G86:G87)</f>
        <v>-1180553.5232415334</v>
      </c>
      <c r="H88" s="16">
        <f t="shared" ref="H88" ca="1" si="122">SUM(H86:H87)</f>
        <v>495239.92058728257</v>
      </c>
      <c r="I88" s="16">
        <f t="shared" ref="I88" ca="1" si="123">SUM(I86:I87)</f>
        <v>517273.43248952681</v>
      </c>
      <c r="J88" s="16">
        <f t="shared" ref="J88" ca="1" si="124">SUM(J86:J87)</f>
        <v>540205.85126639204</v>
      </c>
      <c r="K88" s="16">
        <f t="shared" ref="K88" ca="1" si="125">SUM(K86:K87)</f>
        <v>564072.87225278222</v>
      </c>
      <c r="L88" s="16">
        <f t="shared" ref="L88" ca="1" si="126">SUM(L86:L87)</f>
        <v>588911.65293899761</v>
      </c>
      <c r="M88" s="16">
        <f t="shared" ref="M88" ca="1" si="127">SUM(M86:M87)</f>
        <v>614760.87937693042</v>
      </c>
      <c r="N88" s="16">
        <f t="shared" ref="N88" ca="1" si="128">SUM(N86:N87)</f>
        <v>641660.83620576293</v>
      </c>
      <c r="O88" s="16">
        <f t="shared" ref="O88" ca="1" si="129">SUM(O86:O87)</f>
        <v>669653.48054144252</v>
      </c>
      <c r="P88" s="16">
        <f t="shared" ref="P88" ca="1" si="130">SUM(P86:P87)</f>
        <v>698782.51999367564</v>
      </c>
      <c r="Q88" s="16">
        <f t="shared" ref="Q88" ca="1" si="131">SUM(Q86:Q87)</f>
        <v>729093.4950954325</v>
      </c>
      <c r="R88" s="16">
        <f t="shared" ref="R88" ca="1" si="132">SUM(R86:R87)</f>
        <v>760633.86645295355</v>
      </c>
      <c r="S88" s="16">
        <f t="shared" ref="S88" ca="1" si="133">SUM(S86:S87)</f>
        <v>793453.10694941378</v>
      </c>
      <c r="T88" s="16">
        <f t="shared" ref="T88" ca="1" si="134">SUM(T86:T87)</f>
        <v>827602.79936266353</v>
      </c>
      <c r="U88" s="16">
        <f t="shared" ref="U88" ca="1" si="135">SUM(U86:U87)</f>
        <v>863136.73978722817</v>
      </c>
      <c r="V88" s="16">
        <f t="shared" ref="V88" ca="1" si="136">SUM(V86:V87)</f>
        <v>900111.0472832165</v>
      </c>
      <c r="W88" s="16">
        <f t="shared" ref="W88" ca="1" si="137">SUM(W86:W87)</f>
        <v>938584.28021000582</v>
      </c>
      <c r="X88" s="16">
        <f t="shared" ref="X88" ca="1" si="138">SUM(X86:X87)</f>
        <v>978617.5597410507</v>
      </c>
      <c r="Y88" s="16">
        <f t="shared" ref="Y88" ca="1" si="139">SUM(Y86:Y87)</f>
        <v>1020274.7010981856</v>
      </c>
      <c r="Z88" s="16">
        <f t="shared" ref="Z88" ca="1" si="140">SUM(Z86:Z87)</f>
        <v>1063622.3530893323</v>
      </c>
      <c r="AB88" s="16">
        <f t="shared" si="121"/>
        <v>4931883.7699999996</v>
      </c>
      <c r="AC88" s="16">
        <f t="shared" ca="1" si="121"/>
        <v>372165.68110166816</v>
      </c>
      <c r="AD88" s="16">
        <f t="shared" ca="1" si="121"/>
        <v>2409406.2407744732</v>
      </c>
      <c r="AE88" s="16">
        <f t="shared" ca="1" si="121"/>
        <v>2858163.362083504</v>
      </c>
      <c r="AF88" s="16">
        <f t="shared" ca="1" si="121"/>
        <v>3384303.6933825221</v>
      </c>
      <c r="AG88" s="16">
        <f t="shared" ca="1" si="121"/>
        <v>4001098.8941385737</v>
      </c>
    </row>
    <row r="90" spans="2:33" x14ac:dyDescent="0.25">
      <c r="B90" s="4" t="s">
        <v>52</v>
      </c>
    </row>
    <row r="91" spans="2:33" x14ac:dyDescent="0.25">
      <c r="B91" s="2" t="s">
        <v>53</v>
      </c>
      <c r="F91" s="6">
        <f>-Assumptions!M152</f>
        <v>1941.704000000027</v>
      </c>
      <c r="G91" s="6">
        <f>-Assumptions!N152</f>
        <v>-6745.8999768367457</v>
      </c>
      <c r="H91" s="6">
        <f>-Assumptions!O152</f>
        <v>-6751.9352391838847</v>
      </c>
      <c r="I91" s="6">
        <f>-Assumptions!P152</f>
        <v>-6757.9759010168927</v>
      </c>
      <c r="J91" s="6">
        <f>-Assumptions!Q152</f>
        <v>-6764.0219671664527</v>
      </c>
      <c r="K91" s="6">
        <f>-Assumptions!R152</f>
        <v>-6770.0734424675738</v>
      </c>
      <c r="L91" s="6">
        <f>-Assumptions!S152</f>
        <v>-6776.1303317595866</v>
      </c>
      <c r="M91" s="6">
        <f>-Assumptions!T152</f>
        <v>-6782.1926398861515</v>
      </c>
      <c r="N91" s="6">
        <f>-Assumptions!U152</f>
        <v>-6788.2603716952653</v>
      </c>
      <c r="O91" s="6">
        <f>-Assumptions!V152</f>
        <v>-6794.333532039258</v>
      </c>
      <c r="P91" s="6">
        <f>-Assumptions!W152</f>
        <v>-6800.4121257748047</v>
      </c>
      <c r="Q91" s="6">
        <f>-Assumptions!X152</f>
        <v>-6806.496157762921</v>
      </c>
      <c r="R91" s="6">
        <f>-Assumptions!Y152</f>
        <v>-6812.585632868977</v>
      </c>
      <c r="S91" s="6">
        <f>-Assumptions!Z152</f>
        <v>-6818.6805559626919</v>
      </c>
      <c r="T91" s="6">
        <f>-Assumptions!AA152</f>
        <v>-6824.7809319181433</v>
      </c>
      <c r="U91" s="6">
        <f>-Assumptions!AB152</f>
        <v>-6830.8867656137672</v>
      </c>
      <c r="V91" s="6">
        <f>-Assumptions!AC152</f>
        <v>-6836.9980619323669</v>
      </c>
      <c r="W91" s="6">
        <f>-Assumptions!AD152</f>
        <v>-6843.1148257611121</v>
      </c>
      <c r="X91" s="6">
        <f>-Assumptions!AE152</f>
        <v>-6849.2370619915437</v>
      </c>
      <c r="Y91" s="6">
        <f>-Assumptions!AF152</f>
        <v>-6855.3647755195843</v>
      </c>
      <c r="Z91" s="6">
        <f>-Assumptions!AG152</f>
        <v>-6861.4979712455306</v>
      </c>
      <c r="AB91" s="6">
        <f t="shared" ref="AB91:AG95" si="141">SUMIF($E$2:$Z$2,AB$2,$E91:$Z91)</f>
        <v>1941.704000000027</v>
      </c>
      <c r="AC91" s="6">
        <f t="shared" si="141"/>
        <v>-27019.833084203976</v>
      </c>
      <c r="AD91" s="6">
        <f t="shared" si="141"/>
        <v>-27116.656785808576</v>
      </c>
      <c r="AE91" s="6">
        <f t="shared" si="141"/>
        <v>-27213.827448445962</v>
      </c>
      <c r="AF91" s="6">
        <f t="shared" si="141"/>
        <v>-27311.34631542697</v>
      </c>
      <c r="AG91" s="6">
        <f t="shared" si="141"/>
        <v>-27409.214634517772</v>
      </c>
    </row>
    <row r="92" spans="2:33" x14ac:dyDescent="0.25">
      <c r="B92" s="2" t="s">
        <v>272</v>
      </c>
      <c r="F92" s="6">
        <f>-Assumptions!M161</f>
        <v>-16713.089999999997</v>
      </c>
      <c r="G92" s="6">
        <f>-Assumptions!N161</f>
        <v>0</v>
      </c>
      <c r="H92" s="6">
        <f>-Assumptions!O161</f>
        <v>0</v>
      </c>
      <c r="I92" s="6">
        <f>-Assumptions!P161</f>
        <v>0</v>
      </c>
      <c r="J92" s="6">
        <f>-Assumptions!Q161</f>
        <v>0</v>
      </c>
      <c r="K92" s="6">
        <f>-Assumptions!R161</f>
        <v>0</v>
      </c>
      <c r="L92" s="6">
        <f>-Assumptions!S161</f>
        <v>0</v>
      </c>
      <c r="M92" s="6">
        <f>-Assumptions!T161</f>
        <v>0</v>
      </c>
      <c r="N92" s="6">
        <f>-Assumptions!U161</f>
        <v>0</v>
      </c>
      <c r="O92" s="6">
        <f>-Assumptions!V161</f>
        <v>0</v>
      </c>
      <c r="P92" s="6">
        <f>-Assumptions!W161</f>
        <v>0</v>
      </c>
      <c r="Q92" s="6">
        <f>-Assumptions!X161</f>
        <v>0</v>
      </c>
      <c r="R92" s="6">
        <f>-Assumptions!Y161</f>
        <v>0</v>
      </c>
      <c r="S92" s="6">
        <f>-Assumptions!Z161</f>
        <v>0</v>
      </c>
      <c r="T92" s="6">
        <f>-Assumptions!AA161</f>
        <v>0</v>
      </c>
      <c r="U92" s="6">
        <f>-Assumptions!AB161</f>
        <v>0</v>
      </c>
      <c r="V92" s="6">
        <f>-Assumptions!AC161</f>
        <v>0</v>
      </c>
      <c r="W92" s="6">
        <f>-Assumptions!AD161</f>
        <v>0</v>
      </c>
      <c r="X92" s="6">
        <f>-Assumptions!AE161</f>
        <v>0</v>
      </c>
      <c r="Y92" s="6">
        <f>-Assumptions!AF161</f>
        <v>0</v>
      </c>
      <c r="Z92" s="6">
        <f>-Assumptions!AG161</f>
        <v>0</v>
      </c>
      <c r="AB92" s="6">
        <f t="shared" si="141"/>
        <v>-16713.089999999997</v>
      </c>
      <c r="AC92" s="6">
        <f t="shared" si="141"/>
        <v>0</v>
      </c>
      <c r="AD92" s="6">
        <f t="shared" si="141"/>
        <v>0</v>
      </c>
      <c r="AE92" s="6">
        <f t="shared" si="141"/>
        <v>0</v>
      </c>
      <c r="AF92" s="6">
        <f t="shared" si="141"/>
        <v>0</v>
      </c>
      <c r="AG92" s="6">
        <f t="shared" si="141"/>
        <v>0</v>
      </c>
    </row>
    <row r="93" spans="2:33" x14ac:dyDescent="0.25">
      <c r="B93" s="2" t="s">
        <v>54</v>
      </c>
      <c r="F93" s="6">
        <f>-Assumptions!M143</f>
        <v>-3305.7269999999999</v>
      </c>
      <c r="G93" s="6">
        <f>-Assumptions!N143</f>
        <v>-1766.3488864884096</v>
      </c>
      <c r="H93" s="6">
        <f>-Assumptions!O143</f>
        <v>-1783.227415224377</v>
      </c>
      <c r="I93" s="6">
        <f>-Assumptions!P143</f>
        <v>-1800.2672284803332</v>
      </c>
      <c r="J93" s="6">
        <f>-Assumptions!Q143</f>
        <v>-1817.4698674271237</v>
      </c>
      <c r="K93" s="6">
        <f>-Assumptions!R143</f>
        <v>-1834.8368879624093</v>
      </c>
      <c r="L93" s="6">
        <f>-Assumptions!S143</f>
        <v>-1852.3698608513921</v>
      </c>
      <c r="M93" s="6">
        <f>-Assumptions!T143</f>
        <v>-1870.0703718688826</v>
      </c>
      <c r="N93" s="6">
        <f>-Assumptions!U143</f>
        <v>-1887.9400219427255</v>
      </c>
      <c r="O93" s="6">
        <f>-Assumptions!V143</f>
        <v>-1905.9804272985969</v>
      </c>
      <c r="P93" s="6">
        <f>-Assumptions!W143</f>
        <v>-1924.1932196061839</v>
      </c>
      <c r="Q93" s="6">
        <f>-Assumptions!X143</f>
        <v>-1942.5800461267604</v>
      </c>
      <c r="R93" s="6">
        <f>-Assumptions!Y143</f>
        <v>-1961.1425698621763</v>
      </c>
      <c r="S93" s="6">
        <f>-Assumptions!Z143</f>
        <v>-1979.8824697052667</v>
      </c>
      <c r="T93" s="6">
        <f>-Assumptions!AA143</f>
        <v>-1998.8014405917002</v>
      </c>
      <c r="U93" s="6">
        <f>-Assumptions!AB143</f>
        <v>-2017.901193653277</v>
      </c>
      <c r="V93" s="6">
        <f>-Assumptions!AC143</f>
        <v>-2037.1834563726943</v>
      </c>
      <c r="W93" s="6">
        <f>-Assumptions!AD143</f>
        <v>-2056.6499727397877</v>
      </c>
      <c r="X93" s="6">
        <f>-Assumptions!AE143</f>
        <v>-2076.3025034092675</v>
      </c>
      <c r="Y93" s="6">
        <f>-Assumptions!AF143</f>
        <v>-2096.1428258599612</v>
      </c>
      <c r="Z93" s="6">
        <f>-Assumptions!AG143</f>
        <v>-2116.1727345555787</v>
      </c>
      <c r="AB93" s="6">
        <f t="shared" si="141"/>
        <v>-3305.7269999999999</v>
      </c>
      <c r="AC93" s="6">
        <f t="shared" si="141"/>
        <v>-7167.3133976202434</v>
      </c>
      <c r="AD93" s="6">
        <f t="shared" si="141"/>
        <v>-7445.217142625409</v>
      </c>
      <c r="AE93" s="6">
        <f t="shared" si="141"/>
        <v>-7733.8962628937179</v>
      </c>
      <c r="AF93" s="6">
        <f t="shared" si="141"/>
        <v>-8033.7685603229384</v>
      </c>
      <c r="AG93" s="6">
        <f t="shared" si="141"/>
        <v>-8345.2680365645956</v>
      </c>
    </row>
    <row r="94" spans="2:33" x14ac:dyDescent="0.25">
      <c r="B94" s="2" t="s">
        <v>23</v>
      </c>
      <c r="F94" s="6">
        <f>-Assumptions!M104</f>
        <v>-294.38200000000006</v>
      </c>
      <c r="G94" s="6">
        <f>-Assumptions!N104</f>
        <v>0</v>
      </c>
      <c r="H94" s="6">
        <f>-Assumptions!O104</f>
        <v>0</v>
      </c>
      <c r="I94" s="6">
        <f>-Assumptions!P104</f>
        <v>0</v>
      </c>
      <c r="J94" s="6">
        <f>-Assumptions!Q104</f>
        <v>0</v>
      </c>
      <c r="K94" s="6">
        <f>-Assumptions!R104</f>
        <v>0</v>
      </c>
      <c r="L94" s="6">
        <f>-Assumptions!S104</f>
        <v>0</v>
      </c>
      <c r="M94" s="6">
        <f>-Assumptions!T104</f>
        <v>0</v>
      </c>
      <c r="N94" s="6">
        <f>-Assumptions!U104</f>
        <v>0</v>
      </c>
      <c r="O94" s="6">
        <f>-Assumptions!V104</f>
        <v>0</v>
      </c>
      <c r="P94" s="6">
        <f>-Assumptions!W104</f>
        <v>0</v>
      </c>
      <c r="Q94" s="6">
        <f>-Assumptions!X104</f>
        <v>0</v>
      </c>
      <c r="R94" s="6">
        <f>-Assumptions!Y104</f>
        <v>0</v>
      </c>
      <c r="S94" s="6">
        <f>-Assumptions!Z104</f>
        <v>0</v>
      </c>
      <c r="T94" s="6">
        <f>-Assumptions!AA104</f>
        <v>0</v>
      </c>
      <c r="U94" s="6">
        <f>-Assumptions!AB104</f>
        <v>0</v>
      </c>
      <c r="V94" s="6">
        <f>-Assumptions!AC104</f>
        <v>0</v>
      </c>
      <c r="W94" s="6">
        <f>-Assumptions!AD104</f>
        <v>0</v>
      </c>
      <c r="X94" s="6">
        <f>-Assumptions!AE104</f>
        <v>0</v>
      </c>
      <c r="Y94" s="6">
        <f>-Assumptions!AF104</f>
        <v>0</v>
      </c>
      <c r="Z94" s="6">
        <f>-Assumptions!AG104</f>
        <v>0</v>
      </c>
      <c r="AB94" s="6">
        <f t="shared" si="141"/>
        <v>-294.38200000000006</v>
      </c>
      <c r="AC94" s="6">
        <f t="shared" si="141"/>
        <v>0</v>
      </c>
      <c r="AD94" s="6">
        <f t="shared" si="141"/>
        <v>0</v>
      </c>
      <c r="AE94" s="6">
        <f t="shared" si="141"/>
        <v>0</v>
      </c>
      <c r="AF94" s="6">
        <f t="shared" si="141"/>
        <v>0</v>
      </c>
      <c r="AG94" s="6">
        <f t="shared" si="141"/>
        <v>0</v>
      </c>
    </row>
    <row r="95" spans="2:33" x14ac:dyDescent="0.25">
      <c r="B95" s="2" t="s">
        <v>79</v>
      </c>
      <c r="F95" s="6">
        <f>-Assumptions!M110</f>
        <v>3025</v>
      </c>
      <c r="G95" s="6">
        <f>-Assumptions!N110</f>
        <v>0</v>
      </c>
      <c r="H95" s="6">
        <f>-Assumptions!O110</f>
        <v>0</v>
      </c>
      <c r="I95" s="6">
        <f>-Assumptions!P110</f>
        <v>0</v>
      </c>
      <c r="J95" s="6">
        <f>-Assumptions!Q110</f>
        <v>0</v>
      </c>
      <c r="K95" s="6">
        <f>-Assumptions!R110</f>
        <v>0</v>
      </c>
      <c r="L95" s="6">
        <f>-Assumptions!S110</f>
        <v>0</v>
      </c>
      <c r="M95" s="6">
        <f>-Assumptions!T110</f>
        <v>0</v>
      </c>
      <c r="N95" s="6">
        <f>-Assumptions!U110</f>
        <v>0</v>
      </c>
      <c r="O95" s="6">
        <f>-Assumptions!V110</f>
        <v>0</v>
      </c>
      <c r="P95" s="6">
        <f>-Assumptions!W110</f>
        <v>0</v>
      </c>
      <c r="Q95" s="6">
        <f>-Assumptions!X110</f>
        <v>0</v>
      </c>
      <c r="R95" s="6">
        <f>-Assumptions!Y110</f>
        <v>0</v>
      </c>
      <c r="S95" s="6">
        <f>-Assumptions!Z110</f>
        <v>0</v>
      </c>
      <c r="T95" s="6">
        <f>-Assumptions!AA110</f>
        <v>0</v>
      </c>
      <c r="U95" s="6">
        <f>-Assumptions!AB110</f>
        <v>0</v>
      </c>
      <c r="V95" s="6">
        <f>-Assumptions!AC110</f>
        <v>0</v>
      </c>
      <c r="W95" s="6">
        <f>-Assumptions!AD110</f>
        <v>0</v>
      </c>
      <c r="X95" s="6">
        <f>-Assumptions!AE110</f>
        <v>0</v>
      </c>
      <c r="Y95" s="6">
        <f>-Assumptions!AF110</f>
        <v>0</v>
      </c>
      <c r="Z95" s="6">
        <f>-Assumptions!AG110</f>
        <v>0</v>
      </c>
      <c r="AB95" s="6">
        <f t="shared" si="141"/>
        <v>3025</v>
      </c>
      <c r="AC95" s="6">
        <f t="shared" si="141"/>
        <v>0</v>
      </c>
      <c r="AD95" s="6">
        <f t="shared" si="141"/>
        <v>0</v>
      </c>
      <c r="AE95" s="6">
        <f t="shared" si="141"/>
        <v>0</v>
      </c>
      <c r="AF95" s="6">
        <f t="shared" si="141"/>
        <v>0</v>
      </c>
      <c r="AG95" s="6">
        <f t="shared" si="141"/>
        <v>0</v>
      </c>
    </row>
    <row r="96" spans="2:33" x14ac:dyDescent="0.25">
      <c r="B96" s="8" t="s">
        <v>55</v>
      </c>
      <c r="C96" s="8"/>
      <c r="D96" s="8"/>
      <c r="E96" s="16"/>
      <c r="F96" s="16">
        <f>SUM(F91:F95)</f>
        <v>-15346.49499999997</v>
      </c>
      <c r="G96" s="16">
        <f t="shared" ref="G96:AG96" si="142">SUM(G91:G95)</f>
        <v>-8512.248863325156</v>
      </c>
      <c r="H96" s="16">
        <f t="shared" ref="H96" si="143">SUM(H91:H95)</f>
        <v>-8535.162654408261</v>
      </c>
      <c r="I96" s="16">
        <f t="shared" ref="I96" si="144">SUM(I91:I95)</f>
        <v>-8558.2431294972266</v>
      </c>
      <c r="J96" s="16">
        <f t="shared" ref="J96" si="145">SUM(J91:J95)</f>
        <v>-8581.4918345935766</v>
      </c>
      <c r="K96" s="16">
        <f t="shared" ref="K96" si="146">SUM(K91:K95)</f>
        <v>-8604.9103304299824</v>
      </c>
      <c r="L96" s="16">
        <f t="shared" ref="L96" si="147">SUM(L91:L95)</f>
        <v>-8628.500192610978</v>
      </c>
      <c r="M96" s="16">
        <f t="shared" ref="M96" si="148">SUM(M91:M95)</f>
        <v>-8652.2630117550343</v>
      </c>
      <c r="N96" s="16">
        <f t="shared" ref="N96" si="149">SUM(N91:N95)</f>
        <v>-8676.2003936379915</v>
      </c>
      <c r="O96" s="16">
        <f t="shared" ref="O96" si="150">SUM(O91:O95)</f>
        <v>-8700.3139593378546</v>
      </c>
      <c r="P96" s="16">
        <f t="shared" ref="P96" si="151">SUM(P91:P95)</f>
        <v>-8724.6053453809891</v>
      </c>
      <c r="Q96" s="16">
        <f t="shared" ref="Q96" si="152">SUM(Q91:Q95)</f>
        <v>-8749.076203889681</v>
      </c>
      <c r="R96" s="16">
        <f t="shared" ref="R96" si="153">SUM(R91:R95)</f>
        <v>-8773.7282027311539</v>
      </c>
      <c r="S96" s="16">
        <f t="shared" ref="S96" si="154">SUM(S91:S95)</f>
        <v>-8798.5630256679578</v>
      </c>
      <c r="T96" s="16">
        <f t="shared" ref="T96" si="155">SUM(T91:T95)</f>
        <v>-8823.5823725098435</v>
      </c>
      <c r="U96" s="16">
        <f t="shared" ref="U96" si="156">SUM(U91:U95)</f>
        <v>-8848.7879592670433</v>
      </c>
      <c r="V96" s="16">
        <f t="shared" ref="V96" si="157">SUM(V91:V95)</f>
        <v>-8874.1815183050603</v>
      </c>
      <c r="W96" s="16">
        <f t="shared" ref="W96" si="158">SUM(W91:W95)</f>
        <v>-8899.7647985008989</v>
      </c>
      <c r="X96" s="16">
        <f t="shared" ref="X96" si="159">SUM(X91:X95)</f>
        <v>-8925.5395654008116</v>
      </c>
      <c r="Y96" s="16">
        <f t="shared" ref="Y96" si="160">SUM(Y91:Y95)</f>
        <v>-8951.507601379546</v>
      </c>
      <c r="Z96" s="16">
        <f t="shared" ref="Z96" si="161">SUM(Z91:Z95)</f>
        <v>-8977.6707058011089</v>
      </c>
      <c r="AB96" s="16">
        <f t="shared" si="142"/>
        <v>-15346.49499999997</v>
      </c>
      <c r="AC96" s="16">
        <f t="shared" si="142"/>
        <v>-34187.146481824217</v>
      </c>
      <c r="AD96" s="16">
        <f t="shared" si="142"/>
        <v>-34561.873928433983</v>
      </c>
      <c r="AE96" s="16">
        <f t="shared" si="142"/>
        <v>-34947.723711339677</v>
      </c>
      <c r="AF96" s="16">
        <f t="shared" si="142"/>
        <v>-35345.11487574991</v>
      </c>
      <c r="AG96" s="16">
        <f t="shared" si="142"/>
        <v>-35754.482671082369</v>
      </c>
    </row>
    <row r="98" spans="2:33" x14ac:dyDescent="0.25">
      <c r="B98" s="4" t="s">
        <v>56</v>
      </c>
    </row>
    <row r="99" spans="2:33" x14ac:dyDescent="0.25">
      <c r="B99" s="7" t="s">
        <v>273</v>
      </c>
    </row>
    <row r="100" spans="2:33" x14ac:dyDescent="0.25">
      <c r="B100" s="2" t="s">
        <v>36</v>
      </c>
      <c r="F100" s="6">
        <f>-Assumptions!M210</f>
        <v>-204318.152</v>
      </c>
      <c r="G100" s="6">
        <f>-Assumptions!N210</f>
        <v>0</v>
      </c>
      <c r="H100" s="6">
        <f>-Assumptions!O210</f>
        <v>0</v>
      </c>
      <c r="I100" s="6">
        <f>-Assumptions!P210</f>
        <v>0</v>
      </c>
      <c r="J100" s="6">
        <f>-Assumptions!Q210</f>
        <v>0</v>
      </c>
      <c r="K100" s="6">
        <f>-Assumptions!R210</f>
        <v>0</v>
      </c>
      <c r="L100" s="6">
        <f>-Assumptions!S210</f>
        <v>0</v>
      </c>
      <c r="M100" s="6">
        <f>-Assumptions!T210</f>
        <v>0</v>
      </c>
      <c r="N100" s="6">
        <f>-Assumptions!U210</f>
        <v>0</v>
      </c>
      <c r="O100" s="6">
        <f>-Assumptions!V210</f>
        <v>0</v>
      </c>
      <c r="P100" s="6">
        <f>-Assumptions!W210</f>
        <v>0</v>
      </c>
      <c r="Q100" s="6">
        <f>-Assumptions!X210</f>
        <v>0</v>
      </c>
      <c r="R100" s="6">
        <f>-Assumptions!Y210</f>
        <v>0</v>
      </c>
      <c r="S100" s="6">
        <f>-Assumptions!Z210</f>
        <v>0</v>
      </c>
      <c r="T100" s="6">
        <f>-Assumptions!AA210</f>
        <v>0</v>
      </c>
      <c r="U100" s="6">
        <f>-Assumptions!AB210</f>
        <v>0</v>
      </c>
      <c r="V100" s="6">
        <f>-Assumptions!AC210</f>
        <v>0</v>
      </c>
      <c r="W100" s="6">
        <f>-Assumptions!AD210</f>
        <v>0</v>
      </c>
      <c r="X100" s="6">
        <f>-Assumptions!AE210</f>
        <v>0</v>
      </c>
      <c r="Y100" s="6">
        <f>-Assumptions!AF210</f>
        <v>0</v>
      </c>
      <c r="Z100" s="6">
        <f>-Assumptions!AG210</f>
        <v>0</v>
      </c>
      <c r="AB100" s="6">
        <f t="shared" ref="AB100:AG105" si="162">SUMIF($E$2:$Z$2,AB$2,$E100:$Z100)</f>
        <v>-204318.152</v>
      </c>
      <c r="AC100" s="6">
        <f t="shared" si="162"/>
        <v>0</v>
      </c>
      <c r="AD100" s="6">
        <f t="shared" si="162"/>
        <v>0</v>
      </c>
      <c r="AE100" s="6">
        <f t="shared" si="162"/>
        <v>0</v>
      </c>
      <c r="AF100" s="6">
        <f t="shared" si="162"/>
        <v>0</v>
      </c>
      <c r="AG100" s="6">
        <f t="shared" si="162"/>
        <v>0</v>
      </c>
    </row>
    <row r="101" spans="2:33" x14ac:dyDescent="0.25">
      <c r="B101" s="2" t="s">
        <v>37</v>
      </c>
      <c r="F101" s="6">
        <f>-Assumptions!M223</f>
        <v>-0.41399999998975545</v>
      </c>
      <c r="G101" s="6">
        <f>-Assumptions!N223</f>
        <v>0</v>
      </c>
      <c r="H101" s="6">
        <f>-Assumptions!O223</f>
        <v>0</v>
      </c>
      <c r="I101" s="6">
        <f>-Assumptions!P223</f>
        <v>0</v>
      </c>
      <c r="J101" s="6">
        <f>-Assumptions!Q223</f>
        <v>0</v>
      </c>
      <c r="K101" s="6">
        <f>-Assumptions!R223</f>
        <v>0</v>
      </c>
      <c r="L101" s="6">
        <f>-Assumptions!S223</f>
        <v>0</v>
      </c>
      <c r="M101" s="6">
        <f>-Assumptions!T223</f>
        <v>0</v>
      </c>
      <c r="N101" s="6">
        <f>-Assumptions!U223</f>
        <v>0</v>
      </c>
      <c r="O101" s="6">
        <f>-Assumptions!V223</f>
        <v>0</v>
      </c>
      <c r="P101" s="6">
        <f>-Assumptions!W223</f>
        <v>0</v>
      </c>
      <c r="Q101" s="6">
        <f>-Assumptions!X223</f>
        <v>0</v>
      </c>
      <c r="R101" s="6">
        <f>-Assumptions!Y223</f>
        <v>0</v>
      </c>
      <c r="S101" s="6">
        <f>-Assumptions!Z223</f>
        <v>0</v>
      </c>
      <c r="T101" s="6">
        <f>-Assumptions!AA223</f>
        <v>0</v>
      </c>
      <c r="U101" s="6">
        <f>-Assumptions!AB223</f>
        <v>0</v>
      </c>
      <c r="V101" s="6">
        <f>-Assumptions!AC223</f>
        <v>0</v>
      </c>
      <c r="W101" s="6">
        <f>-Assumptions!AD223</f>
        <v>0</v>
      </c>
      <c r="X101" s="6">
        <f>-Assumptions!AE223</f>
        <v>0</v>
      </c>
      <c r="Y101" s="6">
        <f>-Assumptions!AF223</f>
        <v>0</v>
      </c>
      <c r="Z101" s="6">
        <f>-Assumptions!AG223</f>
        <v>0</v>
      </c>
      <c r="AB101" s="6">
        <f t="shared" si="162"/>
        <v>-0.41399999998975545</v>
      </c>
      <c r="AC101" s="6">
        <f t="shared" si="162"/>
        <v>0</v>
      </c>
      <c r="AD101" s="6">
        <f t="shared" si="162"/>
        <v>0</v>
      </c>
      <c r="AE101" s="6">
        <f t="shared" si="162"/>
        <v>0</v>
      </c>
      <c r="AF101" s="6">
        <f t="shared" si="162"/>
        <v>0</v>
      </c>
      <c r="AG101" s="6">
        <f t="shared" si="162"/>
        <v>0</v>
      </c>
    </row>
    <row r="102" spans="2:33" x14ac:dyDescent="0.25">
      <c r="B102" s="2" t="s">
        <v>38</v>
      </c>
      <c r="F102" s="6">
        <f>-Assumptions!M229</f>
        <v>-120901.92499999999</v>
      </c>
      <c r="G102" s="6">
        <f>-Assumptions!N229</f>
        <v>0</v>
      </c>
      <c r="H102" s="6">
        <f>-Assumptions!O229</f>
        <v>0</v>
      </c>
      <c r="I102" s="6">
        <f>-Assumptions!P229</f>
        <v>0</v>
      </c>
      <c r="J102" s="6">
        <f>-Assumptions!Q229</f>
        <v>0</v>
      </c>
      <c r="K102" s="6">
        <f>-Assumptions!R229</f>
        <v>0</v>
      </c>
      <c r="L102" s="6">
        <f>-Assumptions!S229</f>
        <v>0</v>
      </c>
      <c r="M102" s="6">
        <f>-Assumptions!T229</f>
        <v>0</v>
      </c>
      <c r="N102" s="6">
        <f>-Assumptions!U229</f>
        <v>0</v>
      </c>
      <c r="O102" s="6">
        <f>-Assumptions!V229</f>
        <v>0</v>
      </c>
      <c r="P102" s="6">
        <f>-Assumptions!W229</f>
        <v>0</v>
      </c>
      <c r="Q102" s="6">
        <f>-Assumptions!X229</f>
        <v>0</v>
      </c>
      <c r="R102" s="6">
        <f>-Assumptions!Y229</f>
        <v>0</v>
      </c>
      <c r="S102" s="6">
        <f>-Assumptions!Z229</f>
        <v>0</v>
      </c>
      <c r="T102" s="6">
        <f>-Assumptions!AA229</f>
        <v>0</v>
      </c>
      <c r="U102" s="6">
        <f>-Assumptions!AB229</f>
        <v>0</v>
      </c>
      <c r="V102" s="6">
        <f>-Assumptions!AC229</f>
        <v>0</v>
      </c>
      <c r="W102" s="6">
        <f>-Assumptions!AD229</f>
        <v>0</v>
      </c>
      <c r="X102" s="6">
        <f>-Assumptions!AE229</f>
        <v>0</v>
      </c>
      <c r="Y102" s="6">
        <f>-Assumptions!AF229</f>
        <v>0</v>
      </c>
      <c r="Z102" s="6">
        <f>-Assumptions!AG229</f>
        <v>0</v>
      </c>
      <c r="AB102" s="6">
        <f t="shared" si="162"/>
        <v>-120901.92499999999</v>
      </c>
      <c r="AC102" s="6">
        <f t="shared" si="162"/>
        <v>0</v>
      </c>
      <c r="AD102" s="6">
        <f t="shared" si="162"/>
        <v>0</v>
      </c>
      <c r="AE102" s="6">
        <f t="shared" si="162"/>
        <v>0</v>
      </c>
      <c r="AF102" s="6">
        <f t="shared" si="162"/>
        <v>0</v>
      </c>
      <c r="AG102" s="6">
        <f t="shared" si="162"/>
        <v>0</v>
      </c>
    </row>
    <row r="103" spans="2:33" x14ac:dyDescent="0.25">
      <c r="B103" s="2" t="s">
        <v>39</v>
      </c>
      <c r="F103" s="6">
        <f>-Assumptions!M235</f>
        <v>-6669.7539999999863</v>
      </c>
      <c r="G103" s="6">
        <f>-Assumptions!N235</f>
        <v>0</v>
      </c>
      <c r="H103" s="6">
        <f>-Assumptions!O235</f>
        <v>0</v>
      </c>
      <c r="I103" s="6">
        <f>-Assumptions!P235</f>
        <v>0</v>
      </c>
      <c r="J103" s="6">
        <f>-Assumptions!Q235</f>
        <v>0</v>
      </c>
      <c r="K103" s="6">
        <f>-Assumptions!R235</f>
        <v>0</v>
      </c>
      <c r="L103" s="6">
        <f>-Assumptions!S235</f>
        <v>0</v>
      </c>
      <c r="M103" s="6">
        <f>-Assumptions!T235</f>
        <v>0</v>
      </c>
      <c r="N103" s="6">
        <f>-Assumptions!U235</f>
        <v>0</v>
      </c>
      <c r="O103" s="6">
        <f>-Assumptions!V235</f>
        <v>0</v>
      </c>
      <c r="P103" s="6">
        <f>-Assumptions!W235</f>
        <v>0</v>
      </c>
      <c r="Q103" s="6">
        <f>-Assumptions!X235</f>
        <v>0</v>
      </c>
      <c r="R103" s="6">
        <f>-Assumptions!Y235</f>
        <v>0</v>
      </c>
      <c r="S103" s="6">
        <f>-Assumptions!Z235</f>
        <v>0</v>
      </c>
      <c r="T103" s="6">
        <f>-Assumptions!AA235</f>
        <v>0</v>
      </c>
      <c r="U103" s="6">
        <f>-Assumptions!AB235</f>
        <v>0</v>
      </c>
      <c r="V103" s="6">
        <f>-Assumptions!AC235</f>
        <v>0</v>
      </c>
      <c r="W103" s="6">
        <f>-Assumptions!AD235</f>
        <v>0</v>
      </c>
      <c r="X103" s="6">
        <f>-Assumptions!AE235</f>
        <v>0</v>
      </c>
      <c r="Y103" s="6">
        <f>-Assumptions!AF235</f>
        <v>0</v>
      </c>
      <c r="Z103" s="6">
        <f>-Assumptions!AG235</f>
        <v>0</v>
      </c>
      <c r="AB103" s="6">
        <f t="shared" si="162"/>
        <v>-6669.7539999999863</v>
      </c>
      <c r="AC103" s="6">
        <f t="shared" si="162"/>
        <v>0</v>
      </c>
      <c r="AD103" s="6">
        <f t="shared" si="162"/>
        <v>0</v>
      </c>
      <c r="AE103" s="6">
        <f t="shared" si="162"/>
        <v>0</v>
      </c>
      <c r="AF103" s="6">
        <f t="shared" si="162"/>
        <v>0</v>
      </c>
      <c r="AG103" s="6">
        <f t="shared" si="162"/>
        <v>0</v>
      </c>
    </row>
    <row r="104" spans="2:33" x14ac:dyDescent="0.25">
      <c r="B104" s="2" t="s">
        <v>40</v>
      </c>
      <c r="F104" s="6">
        <f>-Assumptions!M241</f>
        <v>0</v>
      </c>
      <c r="G104" s="6">
        <f>-Assumptions!N241</f>
        <v>0</v>
      </c>
      <c r="H104" s="6">
        <f>-Assumptions!O241</f>
        <v>0</v>
      </c>
      <c r="I104" s="6">
        <f>-Assumptions!P241</f>
        <v>0</v>
      </c>
      <c r="J104" s="6">
        <f>-Assumptions!Q241</f>
        <v>0</v>
      </c>
      <c r="K104" s="6">
        <f>-Assumptions!R241</f>
        <v>0</v>
      </c>
      <c r="L104" s="6">
        <f>-Assumptions!S241</f>
        <v>0</v>
      </c>
      <c r="M104" s="6">
        <f>-Assumptions!T241</f>
        <v>0</v>
      </c>
      <c r="N104" s="6">
        <f>-Assumptions!U241</f>
        <v>0</v>
      </c>
      <c r="O104" s="6">
        <f>-Assumptions!V241</f>
        <v>0</v>
      </c>
      <c r="P104" s="6">
        <f>-Assumptions!W241</f>
        <v>0</v>
      </c>
      <c r="Q104" s="6">
        <f>-Assumptions!X241</f>
        <v>0</v>
      </c>
      <c r="R104" s="6">
        <f>-Assumptions!Y241</f>
        <v>0</v>
      </c>
      <c r="S104" s="6">
        <f>-Assumptions!Z241</f>
        <v>0</v>
      </c>
      <c r="T104" s="6">
        <f>-Assumptions!AA241</f>
        <v>0</v>
      </c>
      <c r="U104" s="6">
        <f>-Assumptions!AB241</f>
        <v>0</v>
      </c>
      <c r="V104" s="6">
        <f>-Assumptions!AC241</f>
        <v>0</v>
      </c>
      <c r="W104" s="6">
        <f>-Assumptions!AD241</f>
        <v>0</v>
      </c>
      <c r="X104" s="6">
        <f>-Assumptions!AE241</f>
        <v>0</v>
      </c>
      <c r="Y104" s="6">
        <f>-Assumptions!AF241</f>
        <v>0</v>
      </c>
      <c r="Z104" s="6">
        <f>-Assumptions!AG241</f>
        <v>0</v>
      </c>
      <c r="AB104" s="6">
        <f t="shared" si="162"/>
        <v>0</v>
      </c>
      <c r="AC104" s="6">
        <f t="shared" si="162"/>
        <v>0</v>
      </c>
      <c r="AD104" s="6">
        <f t="shared" si="162"/>
        <v>0</v>
      </c>
      <c r="AE104" s="6">
        <f t="shared" si="162"/>
        <v>0</v>
      </c>
      <c r="AF104" s="6">
        <f t="shared" si="162"/>
        <v>0</v>
      </c>
      <c r="AG104" s="6">
        <f t="shared" si="162"/>
        <v>0</v>
      </c>
    </row>
    <row r="105" spans="2:33" x14ac:dyDescent="0.25">
      <c r="B105" s="2" t="s">
        <v>83</v>
      </c>
      <c r="F105" s="6">
        <f>Assumptions!M217</f>
        <v>-129654.11700000026</v>
      </c>
      <c r="G105" s="6">
        <f ca="1">Assumptions!N217</f>
        <v>-45192.947649303416</v>
      </c>
      <c r="H105" s="6">
        <f ca="1">Assumptions!O217</f>
        <v>-44514.664067280879</v>
      </c>
      <c r="I105" s="6">
        <f ca="1">Assumptions!P217</f>
        <v>-46789.343627488961</v>
      </c>
      <c r="J105" s="6">
        <f ca="1">Assumptions!Q217</f>
        <v>-49159.208715314548</v>
      </c>
      <c r="K105" s="6">
        <f ca="1">Assumptions!R217</f>
        <v>-51627.816683902529</v>
      </c>
      <c r="L105" s="6">
        <f ca="1">Assumptions!S217</f>
        <v>-54198.841991822563</v>
      </c>
      <c r="M105" s="6">
        <f ca="1">Assumptions!T217</f>
        <v>-56876.078903465277</v>
      </c>
      <c r="N105" s="6">
        <f ca="1">Assumptions!U217</f>
        <v>-59663.444132926452</v>
      </c>
      <c r="O105" s="6">
        <f ca="1">Assumptions!V217</f>
        <v>-62564.979414542191</v>
      </c>
      <c r="P105" s="6">
        <f ca="1">Assumptions!W217</f>
        <v>-65584.853981223729</v>
      </c>
      <c r="Q105" s="6">
        <f ca="1">Assumptions!X217</f>
        <v>-68727.366929519456</v>
      </c>
      <c r="R105" s="6">
        <f ca="1">Assumptions!Y217</f>
        <v>-71996.949447884879</v>
      </c>
      <c r="S105" s="6">
        <f ca="1">Assumptions!Z217</f>
        <v>-75398.16688194593</v>
      </c>
      <c r="T105" s="6">
        <f ca="1">Assumptions!AA217</f>
        <v>-78935.720607574767</v>
      </c>
      <c r="U105" s="6">
        <f ca="1">Assumptions!AB217</f>
        <v>-82614.44967932922</v>
      </c>
      <c r="V105" s="6">
        <f ca="1">Assumptions!AC217</f>
        <v>-86439.332218215932</v>
      </c>
      <c r="W105" s="6">
        <f ca="1">Assumptions!AD217</f>
        <v>-90415.486498782135</v>
      </c>
      <c r="X105" s="6">
        <f ca="1">Assumptions!AE217</f>
        <v>-94548.171691196272</v>
      </c>
      <c r="Y105" s="6">
        <f ca="1">Assumptions!AF217</f>
        <v>-98842.78820919781</v>
      </c>
      <c r="Z105" s="6">
        <f ca="1">Assumptions!AG217</f>
        <v>-103304.87760954423</v>
      </c>
      <c r="AB105" s="6">
        <f t="shared" si="162"/>
        <v>-129654.11700000026</v>
      </c>
      <c r="AC105" s="6">
        <f t="shared" ca="1" si="162"/>
        <v>-185656.16405938781</v>
      </c>
      <c r="AD105" s="6">
        <f t="shared" ca="1" si="162"/>
        <v>-222366.18171211681</v>
      </c>
      <c r="AE105" s="6">
        <f t="shared" ca="1" si="162"/>
        <v>-268874.14977317024</v>
      </c>
      <c r="AF105" s="6">
        <f t="shared" ca="1" si="162"/>
        <v>-323387.66938706586</v>
      </c>
      <c r="AG105" s="6">
        <f t="shared" ca="1" si="162"/>
        <v>-387111.32400872046</v>
      </c>
    </row>
    <row r="106" spans="2:33" x14ac:dyDescent="0.25">
      <c r="B106" s="8" t="s">
        <v>57</v>
      </c>
      <c r="C106" s="8"/>
      <c r="D106" s="8"/>
      <c r="E106" s="16"/>
      <c r="F106" s="16">
        <f>SUM(F100:F105)</f>
        <v>-461544.36200000026</v>
      </c>
      <c r="G106" s="16">
        <f t="shared" ref="G106:AG106" ca="1" si="163">SUM(G100:G105)</f>
        <v>-45192.947649303416</v>
      </c>
      <c r="H106" s="16">
        <f t="shared" ref="H106" ca="1" si="164">SUM(H100:H105)</f>
        <v>-44514.664067280879</v>
      </c>
      <c r="I106" s="16">
        <f t="shared" ref="I106" ca="1" si="165">SUM(I100:I105)</f>
        <v>-46789.343627488961</v>
      </c>
      <c r="J106" s="16">
        <f t="shared" ref="J106" ca="1" si="166">SUM(J100:J105)</f>
        <v>-49159.208715314548</v>
      </c>
      <c r="K106" s="16">
        <f t="shared" ref="K106" ca="1" si="167">SUM(K100:K105)</f>
        <v>-51627.816683902529</v>
      </c>
      <c r="L106" s="16">
        <f t="shared" ref="L106" ca="1" si="168">SUM(L100:L105)</f>
        <v>-54198.841991822563</v>
      </c>
      <c r="M106" s="16">
        <f t="shared" ref="M106" ca="1" si="169">SUM(M100:M105)</f>
        <v>-56876.078903465277</v>
      </c>
      <c r="N106" s="16">
        <f t="shared" ref="N106" ca="1" si="170">SUM(N100:N105)</f>
        <v>-59663.444132926452</v>
      </c>
      <c r="O106" s="16">
        <f t="shared" ref="O106" ca="1" si="171">SUM(O100:O105)</f>
        <v>-62564.979414542191</v>
      </c>
      <c r="P106" s="16">
        <f t="shared" ref="P106" ca="1" si="172">SUM(P100:P105)</f>
        <v>-65584.853981223729</v>
      </c>
      <c r="Q106" s="16">
        <f t="shared" ref="Q106" ca="1" si="173">SUM(Q100:Q105)</f>
        <v>-68727.366929519456</v>
      </c>
      <c r="R106" s="16">
        <f t="shared" ref="R106" ca="1" si="174">SUM(R100:R105)</f>
        <v>-71996.949447884879</v>
      </c>
      <c r="S106" s="16">
        <f t="shared" ref="S106" ca="1" si="175">SUM(S100:S105)</f>
        <v>-75398.16688194593</v>
      </c>
      <c r="T106" s="16">
        <f t="shared" ref="T106" ca="1" si="176">SUM(T100:T105)</f>
        <v>-78935.720607574767</v>
      </c>
      <c r="U106" s="16">
        <f t="shared" ref="U106" ca="1" si="177">SUM(U100:U105)</f>
        <v>-82614.44967932922</v>
      </c>
      <c r="V106" s="16">
        <f t="shared" ref="V106" ca="1" si="178">SUM(V100:V105)</f>
        <v>-86439.332218215932</v>
      </c>
      <c r="W106" s="16">
        <f t="shared" ref="W106" ca="1" si="179">SUM(W100:W105)</f>
        <v>-90415.486498782135</v>
      </c>
      <c r="X106" s="16">
        <f t="shared" ref="X106" ca="1" si="180">SUM(X100:X105)</f>
        <v>-94548.171691196272</v>
      </c>
      <c r="Y106" s="16">
        <f t="shared" ref="Y106" ca="1" si="181">SUM(Y100:Y105)</f>
        <v>-98842.78820919781</v>
      </c>
      <c r="Z106" s="16">
        <f t="shared" ref="Z106" ca="1" si="182">SUM(Z100:Z105)</f>
        <v>-103304.87760954423</v>
      </c>
      <c r="AB106" s="16">
        <f t="shared" si="163"/>
        <v>-461544.36200000026</v>
      </c>
      <c r="AC106" s="16">
        <f t="shared" ca="1" si="163"/>
        <v>-185656.16405938781</v>
      </c>
      <c r="AD106" s="16">
        <f t="shared" ca="1" si="163"/>
        <v>-222366.18171211681</v>
      </c>
      <c r="AE106" s="16">
        <f t="shared" ca="1" si="163"/>
        <v>-268874.14977317024</v>
      </c>
      <c r="AF106" s="16">
        <f t="shared" ca="1" si="163"/>
        <v>-323387.66938706586</v>
      </c>
      <c r="AG106" s="16">
        <f t="shared" ca="1" si="163"/>
        <v>-387111.32400872046</v>
      </c>
    </row>
    <row r="108" spans="2:33" x14ac:dyDescent="0.25">
      <c r="B108" s="4" t="s">
        <v>70</v>
      </c>
      <c r="C108" s="4"/>
      <c r="D108" s="4"/>
      <c r="E108" s="90"/>
      <c r="F108" s="90">
        <f>F88+F96+F106</f>
        <v>4454992.9129999988</v>
      </c>
      <c r="G108" s="90">
        <f ca="1">G88+G96+G106</f>
        <v>-1234258.719754162</v>
      </c>
      <c r="H108" s="90">
        <f t="shared" ref="H108:N108" ca="1" si="183">H88+H96+H106</f>
        <v>442190.09386559343</v>
      </c>
      <c r="I108" s="90">
        <f t="shared" ca="1" si="183"/>
        <v>461925.84573254065</v>
      </c>
      <c r="J108" s="90">
        <f t="shared" ca="1" si="183"/>
        <v>482465.15071648388</v>
      </c>
      <c r="K108" s="90">
        <f t="shared" ca="1" si="183"/>
        <v>503840.14523844968</v>
      </c>
      <c r="L108" s="90">
        <f t="shared" ca="1" si="183"/>
        <v>526084.31075456401</v>
      </c>
      <c r="M108" s="90">
        <f t="shared" ca="1" si="183"/>
        <v>549232.53746171005</v>
      </c>
      <c r="N108" s="90">
        <f t="shared" ca="1" si="183"/>
        <v>573321.19167919853</v>
      </c>
      <c r="O108" s="90">
        <f t="shared" ref="O108:AG108" ca="1" si="184">O88+O96+O106</f>
        <v>598388.18716756243</v>
      </c>
      <c r="P108" s="90">
        <f t="shared" ca="1" si="184"/>
        <v>624473.06066707091</v>
      </c>
      <c r="Q108" s="90">
        <f t="shared" ca="1" si="184"/>
        <v>651617.05196202337</v>
      </c>
      <c r="R108" s="90">
        <f t="shared" ca="1" si="184"/>
        <v>679863.18880233751</v>
      </c>
      <c r="S108" s="90">
        <f t="shared" ca="1" si="184"/>
        <v>709256.37704179995</v>
      </c>
      <c r="T108" s="90">
        <f t="shared" ca="1" si="184"/>
        <v>739843.49638257886</v>
      </c>
      <c r="U108" s="90">
        <f t="shared" ca="1" si="184"/>
        <v>771673.50214863196</v>
      </c>
      <c r="V108" s="90">
        <f t="shared" ca="1" si="184"/>
        <v>804797.53354669549</v>
      </c>
      <c r="W108" s="90">
        <f t="shared" ca="1" si="184"/>
        <v>839269.02891272272</v>
      </c>
      <c r="X108" s="90">
        <f t="shared" ca="1" si="184"/>
        <v>875143.84848445363</v>
      </c>
      <c r="Y108" s="90">
        <f t="shared" ca="1" si="184"/>
        <v>912480.40528760827</v>
      </c>
      <c r="Z108" s="90">
        <f t="shared" ca="1" si="184"/>
        <v>951339.80477398704</v>
      </c>
      <c r="AB108" s="90">
        <f t="shared" si="184"/>
        <v>4454992.9129999988</v>
      </c>
      <c r="AC108" s="90">
        <f t="shared" ca="1" si="184"/>
        <v>152322.37056045613</v>
      </c>
      <c r="AD108" s="90">
        <f t="shared" ca="1" si="184"/>
        <v>2152478.1851339219</v>
      </c>
      <c r="AE108" s="90">
        <f t="shared" ca="1" si="184"/>
        <v>2554341.488598994</v>
      </c>
      <c r="AF108" s="90">
        <f t="shared" ca="1" si="184"/>
        <v>3025570.9091197066</v>
      </c>
      <c r="AG108" s="90">
        <f t="shared" ca="1" si="184"/>
        <v>3578233.0874587707</v>
      </c>
    </row>
    <row r="109" spans="2:33" x14ac:dyDescent="0.25">
      <c r="B109" s="2" t="s">
        <v>277</v>
      </c>
      <c r="F109" s="6">
        <f>-(F108+F110-(F63-SUM(F34:F44)))</f>
        <v>394538.6360000018</v>
      </c>
      <c r="G109" s="6">
        <f t="shared" ref="G109:Z109" ca="1" si="185">-(G108+G110-(G63-SUM(G34:G44)))</f>
        <v>-35953.320111020468</v>
      </c>
      <c r="H109" s="6">
        <f t="shared" ca="1" si="185"/>
        <v>-39223.325717644766</v>
      </c>
      <c r="I109" s="6">
        <f t="shared" ca="1" si="185"/>
        <v>-40629.916592351161</v>
      </c>
      <c r="J109" s="6">
        <f t="shared" ca="1" si="185"/>
        <v>-42086.949336873367</v>
      </c>
      <c r="K109" s="6">
        <f t="shared" ca="1" si="185"/>
        <v>-43596.232851173729</v>
      </c>
      <c r="L109" s="6">
        <f t="shared" ca="1" si="185"/>
        <v>-45159.640904383734</v>
      </c>
      <c r="M109" s="6">
        <f t="shared" ca="1" si="185"/>
        <v>-46779.114460978657</v>
      </c>
      <c r="N109" s="6">
        <f t="shared" ca="1" si="185"/>
        <v>-48456.664090555161</v>
      </c>
      <c r="O109" s="6">
        <f t="shared" ca="1" si="185"/>
        <v>-50194.372463870794</v>
      </c>
      <c r="P109" s="6">
        <f t="shared" ca="1" si="185"/>
        <v>-51994.396938547492</v>
      </c>
      <c r="Q109" s="6">
        <f t="shared" ca="1" si="185"/>
        <v>-53858.972237350419</v>
      </c>
      <c r="R109" s="6">
        <f t="shared" ca="1" si="185"/>
        <v>-55790.413222650066</v>
      </c>
      <c r="S109" s="6">
        <f t="shared" ca="1" si="185"/>
        <v>-57791.117770252749</v>
      </c>
      <c r="T109" s="6">
        <f t="shared" ca="1" si="185"/>
        <v>-59863.569746423513</v>
      </c>
      <c r="U109" s="6">
        <f t="shared" ca="1" si="185"/>
        <v>-62010.342091519386</v>
      </c>
      <c r="V109" s="6">
        <f t="shared" ca="1" si="185"/>
        <v>-64234.10001433827</v>
      </c>
      <c r="W109" s="6">
        <f t="shared" ca="1" si="185"/>
        <v>-66537.604300953448</v>
      </c>
      <c r="X109" s="6">
        <f t="shared" ca="1" si="185"/>
        <v>-68923.714742198586</v>
      </c>
      <c r="Y109" s="6">
        <f t="shared" ca="1" si="185"/>
        <v>-71395.393684104085</v>
      </c>
      <c r="Z109" s="6">
        <f t="shared" ca="1" si="185"/>
        <v>-73955.709705643356</v>
      </c>
      <c r="AB109" s="6">
        <f t="shared" ref="AB109:AG109" si="186">SUMIF($E$2:$Z$2,AB$2,$E109:$Z109)</f>
        <v>394538.6360000018</v>
      </c>
      <c r="AC109" s="6">
        <f t="shared" ca="1" si="186"/>
        <v>-157893.51175788976</v>
      </c>
      <c r="AD109" s="6">
        <f t="shared" ca="1" si="186"/>
        <v>-183991.65230709128</v>
      </c>
      <c r="AE109" s="6">
        <f t="shared" ca="1" si="186"/>
        <v>-211838.15486241877</v>
      </c>
      <c r="AF109" s="6">
        <f t="shared" ca="1" si="186"/>
        <v>-243899.12962253392</v>
      </c>
      <c r="AG109" s="6">
        <f t="shared" ca="1" si="186"/>
        <v>-280812.42243289948</v>
      </c>
    </row>
    <row r="110" spans="2:33" x14ac:dyDescent="0.25">
      <c r="B110" s="2" t="s">
        <v>274</v>
      </c>
      <c r="F110" s="6">
        <f>E111</f>
        <v>3312929</v>
      </c>
      <c r="G110" s="6">
        <f>F111</f>
        <v>8162460.5490000006</v>
      </c>
      <c r="H110" s="6">
        <f t="shared" ref="H110:Z110" ca="1" si="187">G111</f>
        <v>6892248.5091348179</v>
      </c>
      <c r="I110" s="6">
        <f t="shared" ca="1" si="187"/>
        <v>7295215.277282767</v>
      </c>
      <c r="J110" s="6">
        <f t="shared" ca="1" si="187"/>
        <v>7716511.2064229567</v>
      </c>
      <c r="K110" s="6">
        <f t="shared" ca="1" si="187"/>
        <v>8156889.4078025669</v>
      </c>
      <c r="L110" s="6">
        <f t="shared" ca="1" si="187"/>
        <v>8617133.320189843</v>
      </c>
      <c r="M110" s="6">
        <f t="shared" ca="1" si="187"/>
        <v>9098057.9900400229</v>
      </c>
      <c r="N110" s="6">
        <f t="shared" ca="1" si="187"/>
        <v>9600511.4130407535</v>
      </c>
      <c r="O110" s="6">
        <f t="shared" ca="1" si="187"/>
        <v>10125375.940629397</v>
      </c>
      <c r="P110" s="6">
        <f t="shared" ca="1" si="187"/>
        <v>10673569.755333088</v>
      </c>
      <c r="Q110" s="6">
        <f t="shared" ca="1" si="187"/>
        <v>11246048.419061612</v>
      </c>
      <c r="R110" s="6">
        <f t="shared" ca="1" si="187"/>
        <v>11843806.498786286</v>
      </c>
      <c r="S110" s="6">
        <f t="shared" ca="1" si="187"/>
        <v>12467879.274365973</v>
      </c>
      <c r="T110" s="6">
        <f t="shared" ca="1" si="187"/>
        <v>13119344.53363752</v>
      </c>
      <c r="U110" s="6">
        <f t="shared" ca="1" si="187"/>
        <v>13799324.460273676</v>
      </c>
      <c r="V110" s="6">
        <f t="shared" ca="1" si="187"/>
        <v>14508987.620330788</v>
      </c>
      <c r="W110" s="6">
        <f t="shared" ca="1" si="187"/>
        <v>15249551.053863145</v>
      </c>
      <c r="X110" s="6">
        <f t="shared" ca="1" si="187"/>
        <v>16022282.478474915</v>
      </c>
      <c r="Y110" s="6">
        <f t="shared" ca="1" si="187"/>
        <v>16828502.612217169</v>
      </c>
      <c r="Z110" s="6">
        <f t="shared" ca="1" si="187"/>
        <v>17669587.623820674</v>
      </c>
      <c r="AB110" s="6">
        <f t="shared" ref="AB110" si="188">SUMIF($E$4:$Z$4,AB$4,$E110:$Z110)</f>
        <v>3312929</v>
      </c>
      <c r="AC110" s="6">
        <f>AB111</f>
        <v>8162460.5490000006</v>
      </c>
      <c r="AD110" s="6">
        <f t="shared" ref="AD110:AG110" ca="1" si="189">AC111</f>
        <v>8156889.4078025669</v>
      </c>
      <c r="AE110" s="6">
        <f t="shared" ca="1" si="189"/>
        <v>10125375.940629397</v>
      </c>
      <c r="AF110" s="6">
        <f t="shared" ca="1" si="189"/>
        <v>12467879.274365973</v>
      </c>
      <c r="AG110" s="6">
        <f t="shared" ca="1" si="189"/>
        <v>15249551.053863145</v>
      </c>
    </row>
    <row r="111" spans="2:33" ht="11.4" thickBot="1" x14ac:dyDescent="0.3">
      <c r="B111" s="17" t="s">
        <v>275</v>
      </c>
      <c r="C111" s="17"/>
      <c r="D111" s="17"/>
      <c r="E111" s="18">
        <f>E33</f>
        <v>3312929</v>
      </c>
      <c r="F111" s="18">
        <f t="shared" ref="F111:Z111" si="190">SUM(F108:F110)</f>
        <v>8162460.5490000006</v>
      </c>
      <c r="G111" s="18">
        <f t="shared" ca="1" si="190"/>
        <v>6892248.5091348179</v>
      </c>
      <c r="H111" s="18">
        <f t="shared" ca="1" si="190"/>
        <v>7295215.277282767</v>
      </c>
      <c r="I111" s="18">
        <f t="shared" ca="1" si="190"/>
        <v>7716511.2064229567</v>
      </c>
      <c r="J111" s="18">
        <f t="shared" ca="1" si="190"/>
        <v>8156889.4078025669</v>
      </c>
      <c r="K111" s="18">
        <f t="shared" ca="1" si="190"/>
        <v>8617133.320189843</v>
      </c>
      <c r="L111" s="18">
        <f t="shared" ca="1" si="190"/>
        <v>9098057.9900400229</v>
      </c>
      <c r="M111" s="18">
        <f t="shared" ca="1" si="190"/>
        <v>9600511.4130407535</v>
      </c>
      <c r="N111" s="18">
        <f t="shared" ca="1" si="190"/>
        <v>10125375.940629397</v>
      </c>
      <c r="O111" s="18">
        <f t="shared" ca="1" si="190"/>
        <v>10673569.755333088</v>
      </c>
      <c r="P111" s="18">
        <f t="shared" ca="1" si="190"/>
        <v>11246048.419061612</v>
      </c>
      <c r="Q111" s="18">
        <f t="shared" ca="1" si="190"/>
        <v>11843806.498786286</v>
      </c>
      <c r="R111" s="18">
        <f t="shared" ca="1" si="190"/>
        <v>12467879.274365973</v>
      </c>
      <c r="S111" s="18">
        <f t="shared" ca="1" si="190"/>
        <v>13119344.53363752</v>
      </c>
      <c r="T111" s="18">
        <f t="shared" ca="1" si="190"/>
        <v>13799324.460273676</v>
      </c>
      <c r="U111" s="18">
        <f t="shared" ca="1" si="190"/>
        <v>14508987.620330788</v>
      </c>
      <c r="V111" s="18">
        <f t="shared" ca="1" si="190"/>
        <v>15249551.053863145</v>
      </c>
      <c r="W111" s="18">
        <f t="shared" ca="1" si="190"/>
        <v>16022282.478474915</v>
      </c>
      <c r="X111" s="18">
        <f t="shared" ca="1" si="190"/>
        <v>16828502.612217169</v>
      </c>
      <c r="Y111" s="18">
        <f t="shared" ca="1" si="190"/>
        <v>17669587.623820674</v>
      </c>
      <c r="Z111" s="18">
        <f t="shared" ca="1" si="190"/>
        <v>18546971.718889017</v>
      </c>
      <c r="AB111" s="18">
        <f t="shared" ref="AB111:AG111" si="191">SUM(AB108:AB110)</f>
        <v>8162460.5490000006</v>
      </c>
      <c r="AC111" s="18">
        <f t="shared" ca="1" si="191"/>
        <v>8156889.4078025669</v>
      </c>
      <c r="AD111" s="18">
        <f t="shared" ca="1" si="191"/>
        <v>10125375.940629397</v>
      </c>
      <c r="AE111" s="18">
        <f t="shared" ca="1" si="191"/>
        <v>12467879.274365973</v>
      </c>
      <c r="AF111" s="18">
        <f t="shared" ca="1" si="191"/>
        <v>15249551.053863145</v>
      </c>
      <c r="AG111" s="18">
        <f t="shared" ca="1" si="191"/>
        <v>18546971.718889017</v>
      </c>
    </row>
    <row r="113" spans="29:33" x14ac:dyDescent="0.25">
      <c r="AC113" s="30"/>
      <c r="AD113" s="30"/>
      <c r="AE113" s="30"/>
      <c r="AF113" s="30"/>
      <c r="AG113" s="30"/>
    </row>
    <row r="115" spans="29:33" x14ac:dyDescent="0.25">
      <c r="AC115" s="121"/>
    </row>
    <row r="116" spans="29:33" x14ac:dyDescent="0.25">
      <c r="AC116" s="121"/>
    </row>
    <row r="117" spans="29:33" x14ac:dyDescent="0.25">
      <c r="AC117" s="121"/>
    </row>
    <row r="118" spans="29:33" x14ac:dyDescent="0.25">
      <c r="AC118" s="121"/>
    </row>
  </sheetData>
  <conditionalFormatting sqref="E64:Z64 AB64:AG6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ignoredErrors>
    <ignoredError sqref="AB10:AG10 AB13:AH26 AB86:AG86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4" r:id="rId3" name="Drop Down 2">
              <controlPr defaultSize="0" autoLine="0" autoPict="0">
                <anchor moveWithCells="1">
                  <from>
                    <xdr:col>1</xdr:col>
                    <xdr:colOff>114300</xdr:colOff>
                    <xdr:row>1</xdr:row>
                    <xdr:rowOff>106680</xdr:rowOff>
                  </from>
                  <to>
                    <xdr:col>1</xdr:col>
                    <xdr:colOff>1066800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0D94-B098-4979-8E9C-7EFDE7B96768}">
  <sheetPr>
    <tabColor rgb="FFFFE1FF"/>
  </sheetPr>
  <dimension ref="A1:AR242"/>
  <sheetViews>
    <sheetView showGridLines="0" zoomScaleNormal="100" workbookViewId="0">
      <pane xSplit="10" ySplit="5" topLeftCell="K85" activePane="bottomRight" state="frozen"/>
      <selection activeCell="F112" sqref="F112"/>
      <selection pane="topRight" activeCell="F112" sqref="F112"/>
      <selection pane="bottomLeft" activeCell="F112" sqref="F112"/>
      <selection pane="bottomRight" activeCell="F102" sqref="F102"/>
    </sheetView>
  </sheetViews>
  <sheetFormatPr defaultColWidth="0" defaultRowHeight="10.8" x14ac:dyDescent="0.25"/>
  <cols>
    <col min="1" max="3" width="2.6640625" style="2" customWidth="1"/>
    <col min="4" max="4" width="39.88671875" style="2" customWidth="1"/>
    <col min="5" max="5" width="16" style="2" customWidth="1"/>
    <col min="6" max="10" width="10.6640625" style="2" customWidth="1"/>
    <col min="11" max="11" width="33.109375" style="2" customWidth="1"/>
    <col min="12" max="29" width="9.5546875" style="6" bestFit="1" customWidth="1"/>
    <col min="30" max="33" width="10.44140625" style="6" bestFit="1" customWidth="1"/>
    <col min="34" max="34" width="2.6640625" style="6" customWidth="1"/>
    <col min="35" max="40" width="10.44140625" style="6" bestFit="1" customWidth="1"/>
    <col min="41" max="41" width="4.6640625" style="2" customWidth="1"/>
    <col min="42" max="44" width="0" style="2" hidden="1" customWidth="1"/>
    <col min="45" max="16384" width="9.109375" style="2" hidden="1"/>
  </cols>
  <sheetData>
    <row r="1" spans="2:40" ht="13.8" x14ac:dyDescent="0.3">
      <c r="D1" s="1" t="s">
        <v>0</v>
      </c>
      <c r="E1" s="1"/>
      <c r="F1" s="1"/>
      <c r="G1" s="1"/>
      <c r="H1" s="1"/>
      <c r="I1" s="1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2:40" x14ac:dyDescent="0.25">
      <c r="D2" s="99" t="s">
        <v>230</v>
      </c>
      <c r="E2" s="124" t="s">
        <v>288</v>
      </c>
      <c r="F2" s="104"/>
      <c r="G2" s="14"/>
      <c r="H2" s="105"/>
      <c r="I2" s="105"/>
      <c r="J2" s="11" t="s">
        <v>103</v>
      </c>
      <c r="K2" s="23"/>
      <c r="L2" s="22"/>
      <c r="M2" s="11">
        <f>YEAR(M4)</f>
        <v>2025</v>
      </c>
      <c r="N2" s="11">
        <f t="shared" ref="N2:AM2" si="0">YEAR(N4)</f>
        <v>2026</v>
      </c>
      <c r="O2" s="11">
        <f t="shared" si="0"/>
        <v>2026</v>
      </c>
      <c r="P2" s="11">
        <f t="shared" si="0"/>
        <v>2026</v>
      </c>
      <c r="Q2" s="11">
        <f t="shared" si="0"/>
        <v>2026</v>
      </c>
      <c r="R2" s="11">
        <f t="shared" si="0"/>
        <v>2027</v>
      </c>
      <c r="S2" s="11">
        <f t="shared" si="0"/>
        <v>2027</v>
      </c>
      <c r="T2" s="11">
        <f t="shared" si="0"/>
        <v>2027</v>
      </c>
      <c r="U2" s="11">
        <f t="shared" si="0"/>
        <v>2027</v>
      </c>
      <c r="V2" s="11">
        <f t="shared" si="0"/>
        <v>2028</v>
      </c>
      <c r="W2" s="11">
        <f t="shared" si="0"/>
        <v>2028</v>
      </c>
      <c r="X2" s="11">
        <f t="shared" si="0"/>
        <v>2028</v>
      </c>
      <c r="Y2" s="11">
        <f t="shared" si="0"/>
        <v>2028</v>
      </c>
      <c r="Z2" s="11">
        <f t="shared" si="0"/>
        <v>2029</v>
      </c>
      <c r="AA2" s="11">
        <f t="shared" si="0"/>
        <v>2029</v>
      </c>
      <c r="AB2" s="11">
        <f t="shared" si="0"/>
        <v>2029</v>
      </c>
      <c r="AC2" s="11">
        <f t="shared" si="0"/>
        <v>2029</v>
      </c>
      <c r="AD2" s="11">
        <f t="shared" si="0"/>
        <v>2030</v>
      </c>
      <c r="AE2" s="11">
        <f t="shared" si="0"/>
        <v>2030</v>
      </c>
      <c r="AF2" s="11">
        <f t="shared" si="0"/>
        <v>2030</v>
      </c>
      <c r="AG2" s="11">
        <f t="shared" si="0"/>
        <v>2030</v>
      </c>
      <c r="AI2" s="11">
        <f t="shared" si="0"/>
        <v>2025</v>
      </c>
      <c r="AJ2" s="11">
        <f t="shared" si="0"/>
        <v>2026</v>
      </c>
      <c r="AK2" s="11">
        <f t="shared" si="0"/>
        <v>2027</v>
      </c>
      <c r="AL2" s="11">
        <f t="shared" si="0"/>
        <v>2028</v>
      </c>
      <c r="AM2" s="11">
        <f t="shared" si="0"/>
        <v>2029</v>
      </c>
      <c r="AN2" s="11">
        <f t="shared" ref="AN2" si="1">YEAR(AN4)</f>
        <v>2030</v>
      </c>
    </row>
    <row r="3" spans="2:40" x14ac:dyDescent="0.25">
      <c r="D3" s="13" t="s">
        <v>227</v>
      </c>
      <c r="F3" s="2">
        <v>1</v>
      </c>
      <c r="G3" s="13"/>
      <c r="J3" s="11" t="s">
        <v>98</v>
      </c>
      <c r="K3" s="25"/>
      <c r="L3" s="24"/>
      <c r="M3" s="12">
        <f>H8</f>
        <v>45931</v>
      </c>
      <c r="N3" s="12">
        <f>M4+1</f>
        <v>46023</v>
      </c>
      <c r="O3" s="12">
        <f t="shared" ref="O3:AG3" si="2">N4+1</f>
        <v>46113</v>
      </c>
      <c r="P3" s="12">
        <f t="shared" si="2"/>
        <v>46204</v>
      </c>
      <c r="Q3" s="12">
        <f t="shared" si="2"/>
        <v>46296</v>
      </c>
      <c r="R3" s="12">
        <f t="shared" si="2"/>
        <v>46388</v>
      </c>
      <c r="S3" s="12">
        <f t="shared" si="2"/>
        <v>46478</v>
      </c>
      <c r="T3" s="12">
        <f t="shared" si="2"/>
        <v>46569</v>
      </c>
      <c r="U3" s="12">
        <f t="shared" si="2"/>
        <v>46661</v>
      </c>
      <c r="V3" s="12">
        <f t="shared" si="2"/>
        <v>46753</v>
      </c>
      <c r="W3" s="12">
        <f t="shared" si="2"/>
        <v>46844</v>
      </c>
      <c r="X3" s="12">
        <f t="shared" si="2"/>
        <v>46935</v>
      </c>
      <c r="Y3" s="12">
        <f t="shared" si="2"/>
        <v>47027</v>
      </c>
      <c r="Z3" s="12">
        <f t="shared" si="2"/>
        <v>47119</v>
      </c>
      <c r="AA3" s="12">
        <f t="shared" si="2"/>
        <v>47209</v>
      </c>
      <c r="AB3" s="12">
        <f t="shared" si="2"/>
        <v>47300</v>
      </c>
      <c r="AC3" s="12">
        <f t="shared" si="2"/>
        <v>47392</v>
      </c>
      <c r="AD3" s="12">
        <f t="shared" si="2"/>
        <v>47484</v>
      </c>
      <c r="AE3" s="12">
        <f>AD4+1</f>
        <v>47574</v>
      </c>
      <c r="AF3" s="12">
        <f t="shared" si="2"/>
        <v>47665</v>
      </c>
      <c r="AG3" s="12">
        <f t="shared" si="2"/>
        <v>47757</v>
      </c>
      <c r="AI3" s="12">
        <f>M3</f>
        <v>45931</v>
      </c>
      <c r="AJ3" s="12">
        <f>AI4+1</f>
        <v>46023</v>
      </c>
      <c r="AK3" s="12">
        <f t="shared" ref="AK3:AN3" si="3">AJ4+1</f>
        <v>46388</v>
      </c>
      <c r="AL3" s="12">
        <f t="shared" si="3"/>
        <v>46753</v>
      </c>
      <c r="AM3" s="12">
        <f t="shared" si="3"/>
        <v>47119</v>
      </c>
      <c r="AN3" s="12">
        <f t="shared" si="3"/>
        <v>47484</v>
      </c>
    </row>
    <row r="4" spans="2:40" x14ac:dyDescent="0.25">
      <c r="D4" s="13" t="s">
        <v>231</v>
      </c>
      <c r="F4" s="107">
        <v>2</v>
      </c>
      <c r="G4" s="2">
        <v>1</v>
      </c>
      <c r="J4" s="11" t="s">
        <v>99</v>
      </c>
      <c r="K4" s="25"/>
      <c r="L4" s="24"/>
      <c r="M4" s="12">
        <f>EOMONTH(M3,2)</f>
        <v>46022</v>
      </c>
      <c r="N4" s="12">
        <f>EOMONTH(N3,2)</f>
        <v>46112</v>
      </c>
      <c r="O4" s="12">
        <f t="shared" ref="O4:AD4" si="4">EOMONTH(O3,2)</f>
        <v>46203</v>
      </c>
      <c r="P4" s="12">
        <f t="shared" si="4"/>
        <v>46295</v>
      </c>
      <c r="Q4" s="12">
        <f t="shared" si="4"/>
        <v>46387</v>
      </c>
      <c r="R4" s="12">
        <f t="shared" si="4"/>
        <v>46477</v>
      </c>
      <c r="S4" s="12">
        <f t="shared" si="4"/>
        <v>46568</v>
      </c>
      <c r="T4" s="12">
        <f t="shared" si="4"/>
        <v>46660</v>
      </c>
      <c r="U4" s="12">
        <f t="shared" si="4"/>
        <v>46752</v>
      </c>
      <c r="V4" s="12">
        <f t="shared" si="4"/>
        <v>46843</v>
      </c>
      <c r="W4" s="12">
        <f t="shared" si="4"/>
        <v>46934</v>
      </c>
      <c r="X4" s="12">
        <f t="shared" si="4"/>
        <v>47026</v>
      </c>
      <c r="Y4" s="12">
        <f t="shared" si="4"/>
        <v>47118</v>
      </c>
      <c r="Z4" s="12">
        <f t="shared" si="4"/>
        <v>47208</v>
      </c>
      <c r="AA4" s="12">
        <f t="shared" si="4"/>
        <v>47299</v>
      </c>
      <c r="AB4" s="12">
        <f t="shared" si="4"/>
        <v>47391</v>
      </c>
      <c r="AC4" s="12">
        <f t="shared" si="4"/>
        <v>47483</v>
      </c>
      <c r="AD4" s="12">
        <f t="shared" si="4"/>
        <v>47573</v>
      </c>
      <c r="AE4" s="12">
        <f>EOMONTH(AE3,2)</f>
        <v>47664</v>
      </c>
      <c r="AF4" s="12">
        <f t="shared" ref="AF4:AG4" si="5">EOMONTH(AF3,2)</f>
        <v>47756</v>
      </c>
      <c r="AG4" s="12">
        <f t="shared" si="5"/>
        <v>47848</v>
      </c>
      <c r="AI4" s="12">
        <f>EOMONTH(AI3,2)</f>
        <v>46022</v>
      </c>
      <c r="AJ4" s="12">
        <f t="shared" ref="AJ4:AM4" si="6">EOMONTH(AJ3,11)</f>
        <v>46387</v>
      </c>
      <c r="AK4" s="12">
        <f t="shared" si="6"/>
        <v>46752</v>
      </c>
      <c r="AL4" s="12">
        <f t="shared" si="6"/>
        <v>47118</v>
      </c>
      <c r="AM4" s="12">
        <f t="shared" si="6"/>
        <v>47483</v>
      </c>
      <c r="AN4" s="12">
        <f t="shared" ref="AN4" si="7">EOMONTH(AN3,11)</f>
        <v>47848</v>
      </c>
    </row>
    <row r="5" spans="2:40" x14ac:dyDescent="0.25">
      <c r="D5" s="103" t="s">
        <v>228</v>
      </c>
      <c r="E5" s="106"/>
      <c r="F5" s="102">
        <v>3</v>
      </c>
      <c r="G5" s="13"/>
      <c r="H5" s="106"/>
      <c r="I5" s="102"/>
      <c r="J5" s="11" t="s">
        <v>100</v>
      </c>
      <c r="K5" s="25"/>
      <c r="L5" s="24"/>
      <c r="M5" s="10">
        <f>M4-M3+1</f>
        <v>92</v>
      </c>
      <c r="N5" s="10">
        <f t="shared" ref="N5:AG5" si="8">N4-N3+1</f>
        <v>90</v>
      </c>
      <c r="O5" s="10">
        <f t="shared" si="8"/>
        <v>91</v>
      </c>
      <c r="P5" s="10">
        <f t="shared" si="8"/>
        <v>92</v>
      </c>
      <c r="Q5" s="10">
        <f t="shared" si="8"/>
        <v>92</v>
      </c>
      <c r="R5" s="10">
        <f t="shared" si="8"/>
        <v>90</v>
      </c>
      <c r="S5" s="10">
        <f t="shared" si="8"/>
        <v>91</v>
      </c>
      <c r="T5" s="10">
        <f t="shared" si="8"/>
        <v>92</v>
      </c>
      <c r="U5" s="10">
        <f t="shared" si="8"/>
        <v>92</v>
      </c>
      <c r="V5" s="10">
        <f t="shared" si="8"/>
        <v>91</v>
      </c>
      <c r="W5" s="10">
        <f t="shared" si="8"/>
        <v>91</v>
      </c>
      <c r="X5" s="10">
        <f t="shared" si="8"/>
        <v>92</v>
      </c>
      <c r="Y5" s="10">
        <f t="shared" si="8"/>
        <v>92</v>
      </c>
      <c r="Z5" s="10">
        <f t="shared" si="8"/>
        <v>90</v>
      </c>
      <c r="AA5" s="10">
        <f t="shared" si="8"/>
        <v>91</v>
      </c>
      <c r="AB5" s="10">
        <f t="shared" si="8"/>
        <v>92</v>
      </c>
      <c r="AC5" s="10">
        <f t="shared" si="8"/>
        <v>92</v>
      </c>
      <c r="AD5" s="10">
        <f t="shared" si="8"/>
        <v>90</v>
      </c>
      <c r="AE5" s="10">
        <f t="shared" si="8"/>
        <v>91</v>
      </c>
      <c r="AF5" s="10">
        <f t="shared" si="8"/>
        <v>92</v>
      </c>
      <c r="AG5" s="10">
        <f t="shared" si="8"/>
        <v>92</v>
      </c>
      <c r="AI5" s="10">
        <f>AI4-AI3+1</f>
        <v>92</v>
      </c>
      <c r="AJ5" s="10">
        <f t="shared" ref="AJ5:AM5" si="9">AJ4-AJ3+1</f>
        <v>365</v>
      </c>
      <c r="AK5" s="10">
        <f t="shared" si="9"/>
        <v>365</v>
      </c>
      <c r="AL5" s="10">
        <f t="shared" si="9"/>
        <v>366</v>
      </c>
      <c r="AM5" s="10">
        <f t="shared" si="9"/>
        <v>365</v>
      </c>
      <c r="AN5" s="10">
        <f t="shared" ref="AN5" si="10">AN4-AN3+1</f>
        <v>365</v>
      </c>
    </row>
    <row r="6" spans="2:40" ht="5.0999999999999996" customHeight="1" x14ac:dyDescent="0.25"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I6" s="2"/>
      <c r="AJ6" s="2"/>
      <c r="AK6" s="2"/>
      <c r="AL6" s="2"/>
      <c r="AM6" s="2"/>
      <c r="AN6" s="2"/>
    </row>
    <row r="7" spans="2:40" x14ac:dyDescent="0.25">
      <c r="B7" s="95">
        <v>1</v>
      </c>
      <c r="D7" s="21" t="s">
        <v>226</v>
      </c>
      <c r="E7" s="21"/>
      <c r="F7" s="21"/>
      <c r="G7" s="21"/>
      <c r="H7" s="21"/>
      <c r="I7" s="21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I7" s="20"/>
      <c r="AJ7" s="20"/>
      <c r="AK7" s="20"/>
      <c r="AL7" s="20"/>
      <c r="AM7" s="20"/>
      <c r="AN7" s="20"/>
    </row>
    <row r="8" spans="2:40" x14ac:dyDescent="0.25">
      <c r="D8" s="2" t="s">
        <v>98</v>
      </c>
      <c r="H8" s="101">
        <f>'Quarterly Historical Financials'!AB4+1</f>
        <v>45931</v>
      </c>
    </row>
    <row r="13" spans="2:40" x14ac:dyDescent="0.25">
      <c r="B13" s="95">
        <v>2</v>
      </c>
      <c r="D13" s="21" t="s">
        <v>234</v>
      </c>
      <c r="E13" s="21"/>
      <c r="F13" s="21"/>
      <c r="G13" s="21"/>
      <c r="H13" s="21"/>
      <c r="I13" s="21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I13" s="20"/>
      <c r="AJ13" s="20"/>
      <c r="AK13" s="20"/>
      <c r="AL13" s="20"/>
      <c r="AM13" s="20"/>
      <c r="AN13" s="20"/>
    </row>
    <row r="14" spans="2:40" x14ac:dyDescent="0.25">
      <c r="D14" s="96" t="s">
        <v>2</v>
      </c>
      <c r="E14" s="108" t="s">
        <v>238</v>
      </c>
      <c r="F14" s="98" t="s">
        <v>227</v>
      </c>
      <c r="G14" s="98" t="s">
        <v>231</v>
      </c>
      <c r="H14" s="98" t="s">
        <v>228</v>
      </c>
      <c r="I14" s="98" t="s">
        <v>232</v>
      </c>
      <c r="J14" s="96"/>
      <c r="K14" s="96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I14" s="97"/>
      <c r="AJ14" s="97"/>
      <c r="AK14" s="97"/>
      <c r="AL14" s="97"/>
      <c r="AM14" s="97"/>
      <c r="AN14" s="97"/>
    </row>
    <row r="15" spans="2:40" x14ac:dyDescent="0.25">
      <c r="D15" s="2" t="s">
        <v>229</v>
      </c>
      <c r="E15" s="109" t="s">
        <v>239</v>
      </c>
      <c r="F15" s="100">
        <f>AVERAGE('Quarterly Historical Financials'!$D94:$D95)</f>
        <v>2.7623396447216647E-2</v>
      </c>
      <c r="G15" s="100">
        <f>AVERAGE('Quarterly Historical Financials'!$D93:$D95)</f>
        <v>2.9276023873690282E-2</v>
      </c>
      <c r="H15" s="100">
        <f>AVERAGE('Quarterly Historical Financials'!$D92:$D95)</f>
        <v>3.4839545937837377E-2</v>
      </c>
      <c r="I15" s="30">
        <f>CHOOSE($G$4,F15,G15,H15)</f>
        <v>2.7623396447216647E-2</v>
      </c>
    </row>
    <row r="16" spans="2:40" x14ac:dyDescent="0.25">
      <c r="K16" s="2" t="s">
        <v>21</v>
      </c>
      <c r="M16" s="6">
        <f>'Quarterly Financial Projections'!F33</f>
        <v>8162460.5479999995</v>
      </c>
      <c r="N16" s="6">
        <f ca="1">'Quarterly Financial Projections'!G33</f>
        <v>6892248.5091348179</v>
      </c>
      <c r="O16" s="6">
        <f ca="1">'Quarterly Financial Projections'!H33</f>
        <v>7295215.277282767</v>
      </c>
      <c r="P16" s="6">
        <f ca="1">'Quarterly Financial Projections'!I33</f>
        <v>7716511.2064229567</v>
      </c>
      <c r="Q16" s="6">
        <f ca="1">'Quarterly Financial Projections'!J33</f>
        <v>8156889.4078025669</v>
      </c>
      <c r="R16" s="6">
        <f ca="1">'Quarterly Financial Projections'!K33</f>
        <v>8617133.320189843</v>
      </c>
      <c r="S16" s="6">
        <f ca="1">'Quarterly Financial Projections'!L33</f>
        <v>9098057.9900400229</v>
      </c>
      <c r="T16" s="6">
        <f ca="1">'Quarterly Financial Projections'!M33</f>
        <v>9600511.4130407535</v>
      </c>
      <c r="U16" s="6">
        <f ca="1">'Quarterly Financial Projections'!N33</f>
        <v>10125375.940629397</v>
      </c>
      <c r="V16" s="6">
        <f ca="1">'Quarterly Financial Projections'!O33</f>
        <v>10673569.755333088</v>
      </c>
      <c r="W16" s="6">
        <f ca="1">'Quarterly Financial Projections'!P33</f>
        <v>11246048.419061612</v>
      </c>
      <c r="X16" s="6">
        <f ca="1">'Quarterly Financial Projections'!Q33</f>
        <v>11843806.498786286</v>
      </c>
      <c r="Y16" s="6">
        <f ca="1">'Quarterly Financial Projections'!R33</f>
        <v>12467879.274365973</v>
      </c>
      <c r="Z16" s="6">
        <f ca="1">'Quarterly Financial Projections'!S33</f>
        <v>13119344.53363752</v>
      </c>
      <c r="AA16" s="6">
        <f ca="1">'Quarterly Financial Projections'!T33</f>
        <v>13799324.460273676</v>
      </c>
      <c r="AB16" s="6">
        <f ca="1">'Quarterly Financial Projections'!U33</f>
        <v>14508987.620330788</v>
      </c>
      <c r="AC16" s="6">
        <f ca="1">'Quarterly Financial Projections'!V33</f>
        <v>15249551.053863145</v>
      </c>
      <c r="AD16" s="6">
        <f ca="1">'Quarterly Financial Projections'!W33</f>
        <v>16022282.478474915</v>
      </c>
      <c r="AE16" s="6">
        <f ca="1">'Quarterly Financial Projections'!X33</f>
        <v>16828502.612217169</v>
      </c>
      <c r="AF16" s="6">
        <f ca="1">'Quarterly Financial Projections'!Y33</f>
        <v>17669587.623820674</v>
      </c>
      <c r="AG16" s="6">
        <f ca="1">'Quarterly Financial Projections'!Z33</f>
        <v>18546971.718889017</v>
      </c>
      <c r="AI16" s="6">
        <f t="shared" ref="AI16:AJ18" si="11">SUMIF($M$4:$AG$4,AI$4,$M16:$AG16)</f>
        <v>8162460.5479999995</v>
      </c>
      <c r="AJ16" s="6">
        <f t="shared" ca="1" si="11"/>
        <v>8156889.4078025669</v>
      </c>
      <c r="AK16" s="6">
        <f t="shared" ref="AK16:AM18" ca="1" si="12">SUMIF($M$4:$AG$4,AK$4,$M16:$AG16)</f>
        <v>10125375.940629397</v>
      </c>
      <c r="AL16" s="6">
        <f t="shared" ca="1" si="12"/>
        <v>12467879.274365973</v>
      </c>
      <c r="AM16" s="6">
        <f t="shared" ca="1" si="12"/>
        <v>15249551.053863145</v>
      </c>
      <c r="AN16" s="6">
        <f ca="1">SUMIF($M$4:$AG$4,AN$4,$M16:$AG16)</f>
        <v>18546971.718889017</v>
      </c>
    </row>
    <row r="17" spans="2:40" x14ac:dyDescent="0.25">
      <c r="K17" s="2" t="s">
        <v>71</v>
      </c>
      <c r="M17" s="6">
        <f>M99</f>
        <v>3178870.372</v>
      </c>
      <c r="N17" s="6">
        <f t="shared" ref="N17:AG17" si="13">N99</f>
        <v>4086092.6829498024</v>
      </c>
      <c r="O17" s="6">
        <f t="shared" si="13"/>
        <v>4232624.3850920144</v>
      </c>
      <c r="P17" s="6">
        <f t="shared" si="13"/>
        <v>4384410.8725263672</v>
      </c>
      <c r="Q17" s="6">
        <f t="shared" si="13"/>
        <v>4541640.5875357473</v>
      </c>
      <c r="R17" s="6">
        <f t="shared" si="13"/>
        <v>4704508.730147074</v>
      </c>
      <c r="S17" s="6">
        <f t="shared" si="13"/>
        <v>4873217.5004713163</v>
      </c>
      <c r="T17" s="6">
        <f t="shared" si="13"/>
        <v>5047976.3497340726</v>
      </c>
      <c r="U17" s="6">
        <f t="shared" si="13"/>
        <v>5229002.2403083835</v>
      </c>
      <c r="V17" s="6">
        <f t="shared" si="13"/>
        <v>5416519.9150726004</v>
      </c>
      <c r="W17" s="6">
        <f t="shared" si="13"/>
        <v>5610762.1764277192</v>
      </c>
      <c r="X17" s="6">
        <f t="shared" si="13"/>
        <v>5811970.1753205815</v>
      </c>
      <c r="Y17" s="6">
        <f t="shared" si="13"/>
        <v>6020393.7106317496</v>
      </c>
      <c r="Z17" s="6">
        <f t="shared" si="13"/>
        <v>6236291.5392997675</v>
      </c>
      <c r="AA17" s="6">
        <f t="shared" si="13"/>
        <v>6459931.6975668026</v>
      </c>
      <c r="AB17" s="6">
        <f t="shared" si="13"/>
        <v>6691591.833744511</v>
      </c>
      <c r="AC17" s="6">
        <f t="shared" si="13"/>
        <v>6931559.552913243</v>
      </c>
      <c r="AD17" s="6">
        <f t="shared" si="13"/>
        <v>7180132.7739825323</v>
      </c>
      <c r="AE17" s="6">
        <f t="shared" si="13"/>
        <v>7437620.0995561667</v>
      </c>
      <c r="AF17" s="6">
        <f t="shared" si="13"/>
        <v>7704341.1990610156</v>
      </c>
      <c r="AG17" s="6">
        <f t="shared" si="13"/>
        <v>7980627.2056152737</v>
      </c>
      <c r="AI17" s="6">
        <f t="shared" si="11"/>
        <v>3178870.372</v>
      </c>
      <c r="AJ17" s="6">
        <f t="shared" si="11"/>
        <v>4541640.5875357473</v>
      </c>
      <c r="AK17" s="6">
        <f t="shared" si="12"/>
        <v>5229002.2403083835</v>
      </c>
      <c r="AL17" s="6">
        <f t="shared" si="12"/>
        <v>6020393.7106317496</v>
      </c>
      <c r="AM17" s="6">
        <f t="shared" si="12"/>
        <v>6931559.552913243</v>
      </c>
      <c r="AN17" s="6">
        <f>SUMIF($M$4:$AG$4,AN$4,$M17:$AG17)</f>
        <v>7980627.2056152737</v>
      </c>
    </row>
    <row r="18" spans="2:40" x14ac:dyDescent="0.25">
      <c r="K18" s="2" t="s">
        <v>22</v>
      </c>
      <c r="M18" s="6">
        <f>M94</f>
        <v>1947024.824</v>
      </c>
      <c r="N18" s="6">
        <f t="shared" ref="N18:AG18" si="14">N94</f>
        <v>2936526.5137544735</v>
      </c>
      <c r="O18" s="6">
        <f t="shared" si="14"/>
        <v>3041833.5299760299</v>
      </c>
      <c r="P18" s="6">
        <f t="shared" si="14"/>
        <v>3150916.9696739432</v>
      </c>
      <c r="Q18" s="6">
        <f t="shared" si="14"/>
        <v>3263912.2594777439</v>
      </c>
      <c r="R18" s="6">
        <f t="shared" si="14"/>
        <v>3380959.6825623419</v>
      </c>
      <c r="S18" s="6">
        <f t="shared" si="14"/>
        <v>3502204.5528089958</v>
      </c>
      <c r="T18" s="6">
        <f t="shared" si="14"/>
        <v>3627797.3952118834</v>
      </c>
      <c r="U18" s="6">
        <f t="shared" si="14"/>
        <v>3757894.1327542439</v>
      </c>
      <c r="V18" s="6">
        <f t="shared" si="14"/>
        <v>3892656.2799861049</v>
      </c>
      <c r="W18" s="6">
        <f t="shared" si="14"/>
        <v>4032251.1435439126</v>
      </c>
      <c r="X18" s="6">
        <f t="shared" si="14"/>
        <v>4176852.0298610153</v>
      </c>
      <c r="Y18" s="6">
        <f t="shared" si="14"/>
        <v>4326638.4603268672</v>
      </c>
      <c r="Z18" s="6">
        <f t="shared" si="14"/>
        <v>4481796.3941620756</v>
      </c>
      <c r="AA18" s="6">
        <f t="shared" si="14"/>
        <v>4642518.4592859866</v>
      </c>
      <c r="AB18" s="6">
        <f t="shared" si="14"/>
        <v>4809004.1914634351</v>
      </c>
      <c r="AC18" s="6">
        <f t="shared" si="14"/>
        <v>4981460.2820275528</v>
      </c>
      <c r="AD18" s="6">
        <f t="shared" si="14"/>
        <v>5160100.8344861828</v>
      </c>
      <c r="AE18" s="6">
        <f t="shared" si="14"/>
        <v>5345147.6303304853</v>
      </c>
      <c r="AF18" s="6">
        <f t="shared" si="14"/>
        <v>5536830.4043757152</v>
      </c>
      <c r="AG18" s="6">
        <f t="shared" si="14"/>
        <v>5735387.1299760304</v>
      </c>
      <c r="AI18" s="6">
        <f t="shared" si="11"/>
        <v>1947024.824</v>
      </c>
      <c r="AJ18" s="6">
        <f t="shared" si="11"/>
        <v>3263912.2594777439</v>
      </c>
      <c r="AK18" s="6">
        <f t="shared" si="12"/>
        <v>3757894.1327542439</v>
      </c>
      <c r="AL18" s="6">
        <f t="shared" si="12"/>
        <v>4326638.4603268672</v>
      </c>
      <c r="AM18" s="6">
        <f t="shared" si="12"/>
        <v>4981460.2820275528</v>
      </c>
      <c r="AN18" s="6">
        <f>SUMIF($M$4:$AG$4,AN$4,$M18:$AG18)</f>
        <v>5735387.1299760304</v>
      </c>
    </row>
    <row r="19" spans="2:40" x14ac:dyDescent="0.25">
      <c r="K19" s="8" t="s">
        <v>168</v>
      </c>
      <c r="L19" s="16"/>
      <c r="M19" s="16">
        <f>SUM(M16:M18)</f>
        <v>13288355.743999999</v>
      </c>
      <c r="N19" s="16">
        <f t="shared" ref="N19:AN19" ca="1" si="15">SUM(N16:N18)</f>
        <v>13914867.705839094</v>
      </c>
      <c r="O19" s="16">
        <f t="shared" ca="1" si="15"/>
        <v>14569673.192350812</v>
      </c>
      <c r="P19" s="16">
        <f t="shared" ca="1" si="15"/>
        <v>15251839.048623268</v>
      </c>
      <c r="Q19" s="16">
        <f t="shared" ca="1" si="15"/>
        <v>15962442.254816057</v>
      </c>
      <c r="R19" s="16">
        <f t="shared" ca="1" si="15"/>
        <v>16702601.732899258</v>
      </c>
      <c r="S19" s="16">
        <f t="shared" ca="1" si="15"/>
        <v>17473480.043320335</v>
      </c>
      <c r="T19" s="16">
        <f t="shared" ca="1" si="15"/>
        <v>18276285.157986708</v>
      </c>
      <c r="U19" s="16">
        <f t="shared" ca="1" si="15"/>
        <v>19112272.313692026</v>
      </c>
      <c r="V19" s="16">
        <f t="shared" ca="1" si="15"/>
        <v>19982745.950391795</v>
      </c>
      <c r="W19" s="16">
        <f t="shared" ca="1" si="15"/>
        <v>20889061.739033245</v>
      </c>
      <c r="X19" s="16">
        <f t="shared" ca="1" si="15"/>
        <v>21832628.70396788</v>
      </c>
      <c r="Y19" s="16">
        <f t="shared" ca="1" si="15"/>
        <v>22814911.445324592</v>
      </c>
      <c r="Z19" s="16">
        <f t="shared" ca="1" si="15"/>
        <v>23837432.467099361</v>
      </c>
      <c r="AA19" s="16">
        <f t="shared" ca="1" si="15"/>
        <v>24901774.617126465</v>
      </c>
      <c r="AB19" s="16">
        <f t="shared" ca="1" si="15"/>
        <v>26009583.645538732</v>
      </c>
      <c r="AC19" s="16">
        <f t="shared" ca="1" si="15"/>
        <v>27162570.88880394</v>
      </c>
      <c r="AD19" s="16">
        <f t="shared" ca="1" si="15"/>
        <v>28362516.08694363</v>
      </c>
      <c r="AE19" s="16">
        <f t="shared" ca="1" si="15"/>
        <v>29611270.34210382</v>
      </c>
      <c r="AF19" s="16">
        <f t="shared" ca="1" si="15"/>
        <v>30910759.227257408</v>
      </c>
      <c r="AG19" s="16">
        <f t="shared" ca="1" si="15"/>
        <v>32262986.054480322</v>
      </c>
      <c r="AI19" s="16">
        <f t="shared" si="15"/>
        <v>13288355.743999999</v>
      </c>
      <c r="AJ19" s="16">
        <f t="shared" ca="1" si="15"/>
        <v>15962442.254816057</v>
      </c>
      <c r="AK19" s="16">
        <f t="shared" ca="1" si="15"/>
        <v>19112272.313692026</v>
      </c>
      <c r="AL19" s="16">
        <f t="shared" ca="1" si="15"/>
        <v>22814911.445324592</v>
      </c>
      <c r="AM19" s="16">
        <f t="shared" ca="1" si="15"/>
        <v>27162570.88880394</v>
      </c>
      <c r="AN19" s="16">
        <f t="shared" ca="1" si="15"/>
        <v>32262986.054480322</v>
      </c>
    </row>
    <row r="21" spans="2:40" x14ac:dyDescent="0.25">
      <c r="K21" s="4" t="s">
        <v>2</v>
      </c>
      <c r="L21" s="90"/>
      <c r="M21" s="110">
        <f>'Quarterly Historical Financials'!AC9</f>
        <v>681759.56600000011</v>
      </c>
      <c r="N21" s="90">
        <f t="shared" ref="N21:AG21" ca="1" si="16">N19*$I$15</f>
        <v>384375.90714896529</v>
      </c>
      <c r="O21" s="90">
        <f t="shared" ca="1" si="16"/>
        <v>402463.85869869107</v>
      </c>
      <c r="P21" s="90">
        <f t="shared" ca="1" si="16"/>
        <v>421307.59658926009</v>
      </c>
      <c r="Q21" s="90">
        <f t="shared" ca="1" si="16"/>
        <v>440936.87067058677</v>
      </c>
      <c r="R21" s="90">
        <f t="shared" ca="1" si="16"/>
        <v>461382.58936784399</v>
      </c>
      <c r="S21" s="90">
        <f t="shared" ca="1" si="16"/>
        <v>482676.86654916592</v>
      </c>
      <c r="T21" s="90">
        <f t="shared" ca="1" si="16"/>
        <v>504853.07050144835</v>
      </c>
      <c r="U21" s="90">
        <f t="shared" ca="1" si="16"/>
        <v>527945.87512827734</v>
      </c>
      <c r="V21" s="90">
        <f t="shared" ca="1" si="16"/>
        <v>551991.31349168555</v>
      </c>
      <c r="W21" s="90">
        <f t="shared" ca="1" si="16"/>
        <v>577026.83382770012</v>
      </c>
      <c r="X21" s="90">
        <f t="shared" ca="1" si="16"/>
        <v>603091.35817458655</v>
      </c>
      <c r="Y21" s="90">
        <f t="shared" ca="1" si="16"/>
        <v>630225.34376234177</v>
      </c>
      <c r="Z21" s="90">
        <f t="shared" ca="1" si="16"/>
        <v>658470.84732243919</v>
      </c>
      <c r="AA21" s="90">
        <f t="shared" ca="1" si="16"/>
        <v>687871.59248812089</v>
      </c>
      <c r="AB21" s="90">
        <f t="shared" ca="1" si="16"/>
        <v>718473.04046775878</v>
      </c>
      <c r="AC21" s="90">
        <f t="shared" ca="1" si="16"/>
        <v>750322.46418705711</v>
      </c>
      <c r="AD21" s="90">
        <f t="shared" ca="1" si="16"/>
        <v>783469.0261102037</v>
      </c>
      <c r="AE21" s="90">
        <f t="shared" ca="1" si="16"/>
        <v>817963.85996564233</v>
      </c>
      <c r="AF21" s="90">
        <f t="shared" ca="1" si="16"/>
        <v>853860.15661899152</v>
      </c>
      <c r="AG21" s="90">
        <f t="shared" ca="1" si="16"/>
        <v>891213.25435393199</v>
      </c>
      <c r="AI21" s="90">
        <f>SUMIF($M$2:$AG$2,AI$2,$M21:$AG21)</f>
        <v>681759.56600000011</v>
      </c>
      <c r="AJ21" s="90">
        <f t="shared" ref="AJ21:AN21" ca="1" si="17">SUMIF($M$2:$AG$2,AJ$2,$M21:$AG21)</f>
        <v>1649084.2331075033</v>
      </c>
      <c r="AK21" s="90">
        <f t="shared" ca="1" si="17"/>
        <v>1976858.4015467355</v>
      </c>
      <c r="AL21" s="90">
        <f t="shared" ca="1" si="17"/>
        <v>2362334.8492563143</v>
      </c>
      <c r="AM21" s="90">
        <f t="shared" ca="1" si="17"/>
        <v>2815137.944465376</v>
      </c>
      <c r="AN21" s="90">
        <f t="shared" ca="1" si="17"/>
        <v>3346506.2970487694</v>
      </c>
    </row>
    <row r="24" spans="2:40" x14ac:dyDescent="0.25">
      <c r="D24" s="96" t="s">
        <v>3</v>
      </c>
      <c r="E24" s="108" t="s">
        <v>238</v>
      </c>
      <c r="F24" s="98" t="s">
        <v>227</v>
      </c>
      <c r="G24" s="98" t="s">
        <v>231</v>
      </c>
      <c r="H24" s="98" t="s">
        <v>228</v>
      </c>
      <c r="I24" s="98" t="s">
        <v>232</v>
      </c>
      <c r="J24" s="96"/>
      <c r="K24" s="96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I24" s="97"/>
      <c r="AJ24" s="97"/>
      <c r="AK24" s="97"/>
      <c r="AL24" s="97"/>
      <c r="AM24" s="97"/>
      <c r="AN24" s="97"/>
    </row>
    <row r="25" spans="2:40" x14ac:dyDescent="0.25">
      <c r="D25" s="2" t="s">
        <v>229</v>
      </c>
      <c r="E25" s="109" t="s">
        <v>240</v>
      </c>
      <c r="F25" s="100">
        <f>AVERAGE('Quarterly Historical Financials'!$D107:$D108)</f>
        <v>-6.0437956885323069E-3</v>
      </c>
      <c r="G25" s="100">
        <f>AVERAGE('Quarterly Historical Financials'!$D106:$D107)/1.2</f>
        <v>-6.1649646117900754E-3</v>
      </c>
      <c r="H25" s="100">
        <f>AVERAGE('Quarterly Historical Financials'!$D105:$D106)/1.3</f>
        <v>-6.9636483798307149E-3</v>
      </c>
      <c r="I25" s="30">
        <f>CHOOSE($G$4,F25,G25,H25)</f>
        <v>-6.0437956885323069E-3</v>
      </c>
    </row>
    <row r="26" spans="2:40" x14ac:dyDescent="0.25">
      <c r="K26" s="2" t="s">
        <v>117</v>
      </c>
      <c r="M26" s="6">
        <f>M85</f>
        <v>16642449.622</v>
      </c>
      <c r="N26" s="6">
        <f t="shared" ref="N26:AG26" si="18">N85</f>
        <v>17239265.86190163</v>
      </c>
      <c r="O26" s="6">
        <f t="shared" si="18"/>
        <v>17857484.577538531</v>
      </c>
      <c r="P26" s="6">
        <f t="shared" si="18"/>
        <v>18497873.284834322</v>
      </c>
      <c r="Q26" s="6">
        <f t="shared" si="18"/>
        <v>19161227.023663603</v>
      </c>
      <c r="R26" s="6">
        <f t="shared" si="18"/>
        <v>19848369.344890598</v>
      </c>
      <c r="S26" s="6">
        <f t="shared" si="18"/>
        <v>20560153.33280408</v>
      </c>
      <c r="T26" s="6">
        <f t="shared" si="18"/>
        <v>21297462.664217908</v>
      </c>
      <c r="U26" s="6">
        <f t="shared" si="18"/>
        <v>22061212.705552053</v>
      </c>
      <c r="V26" s="6">
        <f t="shared" si="18"/>
        <v>22852351.649256147</v>
      </c>
      <c r="W26" s="6">
        <f t="shared" si="18"/>
        <v>23671861.690986402</v>
      </c>
      <c r="X26" s="6">
        <f t="shared" si="18"/>
        <v>24520760.248997372</v>
      </c>
      <c r="Y26" s="6">
        <f t="shared" si="18"/>
        <v>25400101.227262404</v>
      </c>
      <c r="Z26" s="6">
        <f t="shared" si="18"/>
        <v>26310976.323890984</v>
      </c>
      <c r="AA26" s="6">
        <f t="shared" si="18"/>
        <v>27254516.386467323</v>
      </c>
      <c r="AB26" s="6">
        <f t="shared" si="18"/>
        <v>28231892.815992851</v>
      </c>
      <c r="AC26" s="6">
        <f t="shared" si="18"/>
        <v>29244319.021175612</v>
      </c>
      <c r="AD26" s="6">
        <f t="shared" si="18"/>
        <v>30293051.924872052</v>
      </c>
      <c r="AE26" s="6">
        <f t="shared" si="18"/>
        <v>31379393.524551433</v>
      </c>
      <c r="AF26" s="6">
        <f t="shared" si="18"/>
        <v>32504692.508720193</v>
      </c>
      <c r="AG26" s="6">
        <f t="shared" si="18"/>
        <v>33670345.931313023</v>
      </c>
      <c r="AI26" s="6">
        <f>SUMIF($M$4:$AG$4,AI$4,$M26:$AG26)</f>
        <v>16642449.622</v>
      </c>
      <c r="AJ26" s="6">
        <f>SUMIF($M$4:$AG$4,AJ$4,$M26:$AG26)</f>
        <v>19161227.023663603</v>
      </c>
      <c r="AK26" s="6">
        <f t="shared" ref="AK26:AM26" si="19">SUMIF($M$4:$AG$4,AK$4,$M26:$AG26)</f>
        <v>22061212.705552053</v>
      </c>
      <c r="AL26" s="6">
        <f t="shared" si="19"/>
        <v>25400101.227262404</v>
      </c>
      <c r="AM26" s="6">
        <f t="shared" si="19"/>
        <v>29244319.021175612</v>
      </c>
      <c r="AN26" s="6">
        <f>SUMIF($M$4:$AG$4,AN$4,$M26:$AG26)</f>
        <v>33670345.931313023</v>
      </c>
    </row>
    <row r="27" spans="2:40" x14ac:dyDescent="0.25">
      <c r="K27" s="8" t="s">
        <v>233</v>
      </c>
      <c r="L27" s="16"/>
      <c r="M27" s="16">
        <f t="shared" ref="M27:AN27" si="20">SUM(M26:M26)</f>
        <v>16642449.622</v>
      </c>
      <c r="N27" s="16">
        <f t="shared" si="20"/>
        <v>17239265.86190163</v>
      </c>
      <c r="O27" s="16">
        <f t="shared" si="20"/>
        <v>17857484.577538531</v>
      </c>
      <c r="P27" s="16">
        <f t="shared" si="20"/>
        <v>18497873.284834322</v>
      </c>
      <c r="Q27" s="16">
        <f t="shared" si="20"/>
        <v>19161227.023663603</v>
      </c>
      <c r="R27" s="16">
        <f t="shared" si="20"/>
        <v>19848369.344890598</v>
      </c>
      <c r="S27" s="16">
        <f t="shared" si="20"/>
        <v>20560153.33280408</v>
      </c>
      <c r="T27" s="16">
        <f t="shared" si="20"/>
        <v>21297462.664217908</v>
      </c>
      <c r="U27" s="16">
        <f t="shared" si="20"/>
        <v>22061212.705552053</v>
      </c>
      <c r="V27" s="16">
        <f t="shared" si="20"/>
        <v>22852351.649256147</v>
      </c>
      <c r="W27" s="16">
        <f t="shared" si="20"/>
        <v>23671861.690986402</v>
      </c>
      <c r="X27" s="16">
        <f t="shared" si="20"/>
        <v>24520760.248997372</v>
      </c>
      <c r="Y27" s="16">
        <f t="shared" si="20"/>
        <v>25400101.227262404</v>
      </c>
      <c r="Z27" s="16">
        <f t="shared" si="20"/>
        <v>26310976.323890984</v>
      </c>
      <c r="AA27" s="16">
        <f t="shared" si="20"/>
        <v>27254516.386467323</v>
      </c>
      <c r="AB27" s="16">
        <f t="shared" si="20"/>
        <v>28231892.815992851</v>
      </c>
      <c r="AC27" s="16">
        <f t="shared" si="20"/>
        <v>29244319.021175612</v>
      </c>
      <c r="AD27" s="16">
        <f t="shared" si="20"/>
        <v>30293051.924872052</v>
      </c>
      <c r="AE27" s="16">
        <f t="shared" si="20"/>
        <v>31379393.524551433</v>
      </c>
      <c r="AF27" s="16">
        <f t="shared" si="20"/>
        <v>32504692.508720193</v>
      </c>
      <c r="AG27" s="16">
        <f t="shared" si="20"/>
        <v>33670345.931313023</v>
      </c>
      <c r="AI27" s="16">
        <f t="shared" si="20"/>
        <v>16642449.622</v>
      </c>
      <c r="AJ27" s="16">
        <f t="shared" si="20"/>
        <v>19161227.023663603</v>
      </c>
      <c r="AK27" s="16">
        <f t="shared" si="20"/>
        <v>22061212.705552053</v>
      </c>
      <c r="AL27" s="16">
        <f t="shared" si="20"/>
        <v>25400101.227262404</v>
      </c>
      <c r="AM27" s="16">
        <f t="shared" si="20"/>
        <v>29244319.021175612</v>
      </c>
      <c r="AN27" s="16">
        <f t="shared" si="20"/>
        <v>33670345.931313023</v>
      </c>
    </row>
    <row r="29" spans="2:40" x14ac:dyDescent="0.25">
      <c r="K29" s="4" t="s">
        <v>3</v>
      </c>
      <c r="L29" s="90"/>
      <c r="M29" s="110">
        <f>'Quarterly Historical Financials'!AC10</f>
        <v>-102371.52399999998</v>
      </c>
      <c r="N29" s="90">
        <f>N27*$I25</f>
        <v>-104190.60068962326</v>
      </c>
      <c r="O29" s="90">
        <f t="shared" ref="O29:AG29" si="21">O27*$I25</f>
        <v>-107926.98829775954</v>
      </c>
      <c r="P29" s="90">
        <f t="shared" si="21"/>
        <v>-111797.36680589861</v>
      </c>
      <c r="Q29" s="90">
        <f t="shared" si="21"/>
        <v>-115806.54127260682</v>
      </c>
      <c r="R29" s="90">
        <f t="shared" si="21"/>
        <v>-119959.48907104661</v>
      </c>
      <c r="S29" s="90">
        <f t="shared" si="21"/>
        <v>-124261.36606836444</v>
      </c>
      <c r="T29" s="90">
        <f t="shared" si="21"/>
        <v>-128717.51302667797</v>
      </c>
      <c r="U29" s="90">
        <f t="shared" si="21"/>
        <v>-133333.46223360964</v>
      </c>
      <c r="V29" s="90">
        <f t="shared" si="21"/>
        <v>-138114.94437059844</v>
      </c>
      <c r="W29" s="90">
        <f t="shared" si="21"/>
        <v>-143067.8956275167</v>
      </c>
      <c r="X29" s="90">
        <f t="shared" si="21"/>
        <v>-148198.4650724247</v>
      </c>
      <c r="Y29" s="90">
        <f t="shared" si="21"/>
        <v>-153513.02228561268</v>
      </c>
      <c r="Z29" s="90">
        <f t="shared" si="21"/>
        <v>-159018.16526740792</v>
      </c>
      <c r="AA29" s="90">
        <f t="shared" si="21"/>
        <v>-164720.72862956431</v>
      </c>
      <c r="AB29" s="90">
        <f t="shared" si="21"/>
        <v>-170627.7920804038</v>
      </c>
      <c r="AC29" s="90">
        <f t="shared" si="21"/>
        <v>-176746.68921424448</v>
      </c>
      <c r="AD29" s="90">
        <f t="shared" si="21"/>
        <v>-183085.01661602702</v>
      </c>
      <c r="AE29" s="90">
        <f t="shared" si="21"/>
        <v>-189650.64329244255</v>
      </c>
      <c r="AF29" s="90">
        <f t="shared" si="21"/>
        <v>-196451.72044127149</v>
      </c>
      <c r="AG29" s="90">
        <f t="shared" si="21"/>
        <v>-203496.69157106095</v>
      </c>
      <c r="AI29" s="90">
        <f>SUMIF($M$2:$AG$2,AI$2,$M29:$AG29)</f>
        <v>-102371.52399999998</v>
      </c>
      <c r="AJ29" s="90">
        <f t="shared" ref="AJ29:AN29" si="22">SUMIF($M$2:$AG$2,AJ$2,$M29:$AG29)</f>
        <v>-439721.49706588825</v>
      </c>
      <c r="AK29" s="90">
        <f t="shared" si="22"/>
        <v>-506271.83039969869</v>
      </c>
      <c r="AL29" s="90">
        <f t="shared" si="22"/>
        <v>-582894.32735615247</v>
      </c>
      <c r="AM29" s="90">
        <f t="shared" si="22"/>
        <v>-671113.37519162055</v>
      </c>
      <c r="AN29" s="90">
        <f t="shared" si="22"/>
        <v>-772684.071920802</v>
      </c>
    </row>
    <row r="32" spans="2:40" x14ac:dyDescent="0.25">
      <c r="B32" s="95">
        <v>3</v>
      </c>
      <c r="D32" s="21" t="s">
        <v>235</v>
      </c>
      <c r="E32" s="21"/>
      <c r="F32" s="21"/>
      <c r="G32" s="21"/>
      <c r="H32" s="21"/>
      <c r="I32" s="21"/>
      <c r="J32" s="19"/>
      <c r="K32" s="19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I32" s="20"/>
      <c r="AJ32" s="20"/>
      <c r="AK32" s="20"/>
      <c r="AL32" s="20"/>
      <c r="AM32" s="20"/>
      <c r="AN32" s="20"/>
    </row>
    <row r="33" spans="2:40" x14ac:dyDescent="0.25">
      <c r="D33" s="96" t="s">
        <v>171</v>
      </c>
      <c r="E33" s="108" t="s">
        <v>238</v>
      </c>
      <c r="F33" s="98" t="s">
        <v>227</v>
      </c>
      <c r="G33" s="98" t="s">
        <v>231</v>
      </c>
      <c r="H33" s="98" t="s">
        <v>228</v>
      </c>
      <c r="I33" s="98" t="s">
        <v>232</v>
      </c>
      <c r="J33" s="96"/>
      <c r="K33" s="96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I33" s="97"/>
      <c r="AJ33" s="97"/>
      <c r="AK33" s="97"/>
      <c r="AL33" s="97"/>
      <c r="AM33" s="97"/>
      <c r="AN33" s="97"/>
    </row>
    <row r="34" spans="2:40" x14ac:dyDescent="0.25">
      <c r="D34" s="2" t="s">
        <v>236</v>
      </c>
      <c r="E34" s="109" t="s">
        <v>239</v>
      </c>
      <c r="F34" s="100">
        <f>AVERAGE('Quarterly Historical Financials'!$D124:$D125)</f>
        <v>3.9583728502595832E-3</v>
      </c>
      <c r="G34" s="100">
        <f>AVERAGE('Quarterly Historical Financials'!$D123:$D124)</f>
        <v>5.5470728340381754E-3</v>
      </c>
      <c r="H34" s="100">
        <f>AVERAGE('Quarterly Historical Financials'!$D122:$D123)/1.2</f>
        <v>7.2811602744212384E-3</v>
      </c>
      <c r="I34" s="30">
        <f>CHOOSE($G$4,F34,G34,H34)</f>
        <v>3.9583728502595832E-3</v>
      </c>
    </row>
    <row r="35" spans="2:40" x14ac:dyDescent="0.25">
      <c r="K35" s="2" t="s">
        <v>177</v>
      </c>
      <c r="M35" s="6">
        <f>M90</f>
        <v>608840.22</v>
      </c>
      <c r="N35" s="6">
        <f t="shared" ref="N35:AG35" si="23">N90</f>
        <v>1015508.193865496</v>
      </c>
      <c r="O35" s="6">
        <f t="shared" si="23"/>
        <v>144530.34193919599</v>
      </c>
      <c r="P35" s="6">
        <f t="shared" si="23"/>
        <v>149713.35629026964</v>
      </c>
      <c r="Q35" s="6">
        <f t="shared" si="23"/>
        <v>155082.23914067028</v>
      </c>
      <c r="R35" s="6">
        <f t="shared" si="23"/>
        <v>160643.65593577409</v>
      </c>
      <c r="S35" s="6">
        <f t="shared" si="23"/>
        <v>166404.51115103625</v>
      </c>
      <c r="T35" s="6">
        <f t="shared" si="23"/>
        <v>172371.95686386898</v>
      </c>
      <c r="U35" s="6">
        <f t="shared" si="23"/>
        <v>178553.40163291246</v>
      </c>
      <c r="V35" s="6">
        <f t="shared" si="23"/>
        <v>184956.51969573274</v>
      </c>
      <c r="W35" s="6">
        <f t="shared" si="23"/>
        <v>191589.26049635233</v>
      </c>
      <c r="X35" s="6">
        <f t="shared" si="23"/>
        <v>198459.85855445405</v>
      </c>
      <c r="Y35" s="6">
        <f t="shared" si="23"/>
        <v>205576.84368849965</v>
      </c>
      <c r="Z35" s="6">
        <f t="shared" si="23"/>
        <v>212949.05160546582</v>
      </c>
      <c r="AA35" s="6">
        <f t="shared" si="23"/>
        <v>220585.63487033453</v>
      </c>
      <c r="AB35" s="6">
        <f t="shared" si="23"/>
        <v>228496.07426896691</v>
      </c>
      <c r="AC35" s="6">
        <f t="shared" si="23"/>
        <v>236690.19057845697</v>
      </c>
      <c r="AD35" s="6">
        <f t="shared" si="23"/>
        <v>245178.15675958246</v>
      </c>
      <c r="AE35" s="6">
        <f t="shared" si="23"/>
        <v>253970.5105865011</v>
      </c>
      <c r="AF35" s="6">
        <f t="shared" si="23"/>
        <v>263078.1677293377</v>
      </c>
      <c r="AG35" s="6">
        <f t="shared" si="23"/>
        <v>272512.43530596141</v>
      </c>
      <c r="AI35" s="90">
        <f>SUMIF($M$2:$AG$2,AI$2,$M35:$AG35)</f>
        <v>608840.22</v>
      </c>
      <c r="AJ35" s="90">
        <f t="shared" ref="AJ35:AN35" si="24">SUMIF($M$2:$AG$2,AJ$2,$M35:$AG35)</f>
        <v>1464834.1312356319</v>
      </c>
      <c r="AK35" s="90">
        <f t="shared" si="24"/>
        <v>677973.52558359178</v>
      </c>
      <c r="AL35" s="90">
        <f t="shared" si="24"/>
        <v>780582.48243503878</v>
      </c>
      <c r="AM35" s="90">
        <f t="shared" si="24"/>
        <v>898720.95132322423</v>
      </c>
      <c r="AN35" s="90">
        <f t="shared" si="24"/>
        <v>1034739.2703813827</v>
      </c>
    </row>
    <row r="36" spans="2:40" x14ac:dyDescent="0.25">
      <c r="K36" s="2" t="s">
        <v>178</v>
      </c>
      <c r="M36" s="6">
        <f>M85</f>
        <v>16642449.622</v>
      </c>
      <c r="N36" s="6">
        <f t="shared" ref="N36:AG36" si="25">N85</f>
        <v>17239265.86190163</v>
      </c>
      <c r="O36" s="6">
        <f t="shared" si="25"/>
        <v>17857484.577538531</v>
      </c>
      <c r="P36" s="6">
        <f t="shared" si="25"/>
        <v>18497873.284834322</v>
      </c>
      <c r="Q36" s="6">
        <f t="shared" si="25"/>
        <v>19161227.023663603</v>
      </c>
      <c r="R36" s="6">
        <f t="shared" si="25"/>
        <v>19848369.344890598</v>
      </c>
      <c r="S36" s="6">
        <f t="shared" si="25"/>
        <v>20560153.33280408</v>
      </c>
      <c r="T36" s="6">
        <f t="shared" si="25"/>
        <v>21297462.664217908</v>
      </c>
      <c r="U36" s="6">
        <f t="shared" si="25"/>
        <v>22061212.705552053</v>
      </c>
      <c r="V36" s="6">
        <f t="shared" si="25"/>
        <v>22852351.649256147</v>
      </c>
      <c r="W36" s="6">
        <f t="shared" si="25"/>
        <v>23671861.690986402</v>
      </c>
      <c r="X36" s="6">
        <f t="shared" si="25"/>
        <v>24520760.248997372</v>
      </c>
      <c r="Y36" s="6">
        <f t="shared" si="25"/>
        <v>25400101.227262404</v>
      </c>
      <c r="Z36" s="6">
        <f t="shared" si="25"/>
        <v>26310976.323890984</v>
      </c>
      <c r="AA36" s="6">
        <f t="shared" si="25"/>
        <v>27254516.386467323</v>
      </c>
      <c r="AB36" s="6">
        <f t="shared" si="25"/>
        <v>28231892.815992851</v>
      </c>
      <c r="AC36" s="6">
        <f t="shared" si="25"/>
        <v>29244319.021175612</v>
      </c>
      <c r="AD36" s="6">
        <f t="shared" si="25"/>
        <v>30293051.924872052</v>
      </c>
      <c r="AE36" s="6">
        <f t="shared" si="25"/>
        <v>31379393.524551433</v>
      </c>
      <c r="AF36" s="6">
        <f t="shared" si="25"/>
        <v>32504692.508720193</v>
      </c>
      <c r="AG36" s="6">
        <f t="shared" si="25"/>
        <v>33670345.931313023</v>
      </c>
      <c r="AI36" s="6">
        <f>SUMIF($M$4:$AG$4,AI$4,$M36:$AG36)</f>
        <v>16642449.622</v>
      </c>
      <c r="AJ36" s="6">
        <f>SUMIF($M$4:$AG$4,AJ$4,$M36:$AG36)</f>
        <v>19161227.023663603</v>
      </c>
      <c r="AK36" s="6">
        <f t="shared" ref="AK36:AM36" si="26">SUMIF($M$4:$AG$4,AK$4,$M36:$AG36)</f>
        <v>22061212.705552053</v>
      </c>
      <c r="AL36" s="6">
        <f t="shared" si="26"/>
        <v>25400101.227262404</v>
      </c>
      <c r="AM36" s="6">
        <f t="shared" si="26"/>
        <v>29244319.021175612</v>
      </c>
      <c r="AN36" s="6">
        <f>SUMIF($M$4:$AG$4,AN$4,$M36:$AG36)</f>
        <v>33670345.931313023</v>
      </c>
    </row>
    <row r="37" spans="2:40" x14ac:dyDescent="0.25">
      <c r="K37" s="8" t="s">
        <v>168</v>
      </c>
      <c r="L37" s="16"/>
      <c r="M37" s="16">
        <f>SUM(M35:M36)</f>
        <v>17251289.842</v>
      </c>
      <c r="N37" s="16">
        <f t="shared" ref="N37:AN37" si="27">SUM(N35:N36)</f>
        <v>18254774.055767126</v>
      </c>
      <c r="O37" s="16">
        <f t="shared" si="27"/>
        <v>18002014.919477727</v>
      </c>
      <c r="P37" s="16">
        <f t="shared" si="27"/>
        <v>18647586.641124591</v>
      </c>
      <c r="Q37" s="16">
        <f t="shared" si="27"/>
        <v>19316309.262804274</v>
      </c>
      <c r="R37" s="16">
        <f t="shared" si="27"/>
        <v>20009013.000826374</v>
      </c>
      <c r="S37" s="16">
        <f t="shared" si="27"/>
        <v>20726557.843955114</v>
      </c>
      <c r="T37" s="16">
        <f t="shared" si="27"/>
        <v>21469834.621081777</v>
      </c>
      <c r="U37" s="16">
        <f t="shared" si="27"/>
        <v>22239766.107184965</v>
      </c>
      <c r="V37" s="16">
        <f t="shared" si="27"/>
        <v>23037308.16895188</v>
      </c>
      <c r="W37" s="16">
        <f t="shared" si="27"/>
        <v>23863450.951482754</v>
      </c>
      <c r="X37" s="16">
        <f t="shared" si="27"/>
        <v>24719220.107551824</v>
      </c>
      <c r="Y37" s="16">
        <f t="shared" si="27"/>
        <v>25605678.070950903</v>
      </c>
      <c r="Z37" s="16">
        <f t="shared" si="27"/>
        <v>26523925.375496451</v>
      </c>
      <c r="AA37" s="16">
        <f t="shared" si="27"/>
        <v>27475102.021337658</v>
      </c>
      <c r="AB37" s="16">
        <f t="shared" si="27"/>
        <v>28460388.890261818</v>
      </c>
      <c r="AC37" s="16">
        <f t="shared" si="27"/>
        <v>29481009.211754069</v>
      </c>
      <c r="AD37" s="16">
        <f t="shared" si="27"/>
        <v>30538230.081631634</v>
      </c>
      <c r="AE37" s="16">
        <f t="shared" si="27"/>
        <v>31633364.035137933</v>
      </c>
      <c r="AF37" s="16">
        <f t="shared" si="27"/>
        <v>32767770.67644953</v>
      </c>
      <c r="AG37" s="16">
        <f t="shared" si="27"/>
        <v>33942858.366618983</v>
      </c>
      <c r="AI37" s="16">
        <f t="shared" si="27"/>
        <v>17251289.842</v>
      </c>
      <c r="AJ37" s="16">
        <f t="shared" si="27"/>
        <v>20626061.154899236</v>
      </c>
      <c r="AK37" s="16">
        <f t="shared" si="27"/>
        <v>22739186.231135644</v>
      </c>
      <c r="AL37" s="16">
        <f t="shared" si="27"/>
        <v>26180683.709697444</v>
      </c>
      <c r="AM37" s="16">
        <f t="shared" si="27"/>
        <v>30143039.972498834</v>
      </c>
      <c r="AN37" s="16">
        <f t="shared" si="27"/>
        <v>34705085.201694407</v>
      </c>
    </row>
    <row r="39" spans="2:40" x14ac:dyDescent="0.25">
      <c r="K39" s="4" t="s">
        <v>171</v>
      </c>
      <c r="L39" s="90"/>
      <c r="M39" s="110">
        <f>'Quarterly Historical Financials'!AC12</f>
        <v>76446.237000000023</v>
      </c>
      <c r="N39" s="90">
        <f t="shared" ref="N39:AG39" si="28">N37*$I34</f>
        <v>72259.202009971617</v>
      </c>
      <c r="O39" s="90">
        <f t="shared" si="28"/>
        <v>71258.687107228587</v>
      </c>
      <c r="P39" s="90">
        <f t="shared" si="28"/>
        <v>73814.100683090874</v>
      </c>
      <c r="Q39" s="90">
        <f t="shared" si="28"/>
        <v>76461.154153102136</v>
      </c>
      <c r="R39" s="90">
        <f t="shared" si="28"/>
        <v>79203.133822962147</v>
      </c>
      <c r="S39" s="90">
        <f t="shared" si="28"/>
        <v>82043.443848846728</v>
      </c>
      <c r="T39" s="90">
        <f t="shared" si="28"/>
        <v>84985.610463653356</v>
      </c>
      <c r="U39" s="90">
        <f t="shared" si="28"/>
        <v>88033.286354804222</v>
      </c>
      <c r="V39" s="90">
        <f t="shared" si="28"/>
        <v>91190.25519904244</v>
      </c>
      <c r="W39" s="90">
        <f t="shared" si="28"/>
        <v>94460.436359850544</v>
      </c>
      <c r="X39" s="90">
        <f t="shared" si="28"/>
        <v>97847.889753323921</v>
      </c>
      <c r="Y39" s="90">
        <f t="shared" si="28"/>
        <v>101356.82088853924</v>
      </c>
      <c r="Z39" s="90">
        <f t="shared" si="28"/>
        <v>104991.58608867637</v>
      </c>
      <c r="AA39" s="90">
        <f t="shared" si="28"/>
        <v>108756.69789937518</v>
      </c>
      <c r="AB39" s="90">
        <f t="shared" si="28"/>
        <v>112656.83069104185</v>
      </c>
      <c r="AC39" s="90">
        <f t="shared" si="28"/>
        <v>116696.82646205998</v>
      </c>
      <c r="AD39" s="90">
        <f t="shared" si="28"/>
        <v>120881.70085011116</v>
      </c>
      <c r="AE39" s="90">
        <f t="shared" si="28"/>
        <v>125216.64935906793</v>
      </c>
      <c r="AF39" s="90">
        <f t="shared" si="28"/>
        <v>129707.05380918992</v>
      </c>
      <c r="AG39" s="90">
        <f t="shared" si="28"/>
        <v>134358.48901863093</v>
      </c>
      <c r="AI39" s="90">
        <f>SUMIF($M$2:$AG$2,AI$2,$M39:$AG39)</f>
        <v>76446.237000000023</v>
      </c>
      <c r="AJ39" s="90">
        <f t="shared" ref="AJ39:AN39" si="29">SUMIF($M$2:$AG$2,AJ$2,$M39:$AG39)</f>
        <v>293793.14395339321</v>
      </c>
      <c r="AK39" s="90">
        <f t="shared" si="29"/>
        <v>334265.47449026647</v>
      </c>
      <c r="AL39" s="90">
        <f t="shared" si="29"/>
        <v>384855.40220075619</v>
      </c>
      <c r="AM39" s="90">
        <f t="shared" si="29"/>
        <v>443101.94114115339</v>
      </c>
      <c r="AN39" s="90">
        <f t="shared" si="29"/>
        <v>510163.89303699997</v>
      </c>
    </row>
    <row r="42" spans="2:40" x14ac:dyDescent="0.25">
      <c r="D42" s="96" t="s">
        <v>182</v>
      </c>
      <c r="E42" s="108" t="s">
        <v>238</v>
      </c>
      <c r="F42" s="98" t="s">
        <v>227</v>
      </c>
      <c r="G42" s="98" t="s">
        <v>231</v>
      </c>
      <c r="H42" s="98" t="s">
        <v>228</v>
      </c>
      <c r="I42" s="98" t="s">
        <v>232</v>
      </c>
      <c r="J42" s="96"/>
      <c r="K42" s="96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I42" s="97"/>
      <c r="AJ42" s="97"/>
      <c r="AK42" s="97"/>
      <c r="AL42" s="97"/>
      <c r="AM42" s="97"/>
      <c r="AN42" s="97"/>
    </row>
    <row r="43" spans="2:40" x14ac:dyDescent="0.25">
      <c r="D43" s="2" t="s">
        <v>237</v>
      </c>
      <c r="E43" s="109" t="s">
        <v>241</v>
      </c>
      <c r="F43" s="100">
        <f>AVERAGE('Quarterly Historical Financials'!$D133:$D134)</f>
        <v>-0.26653248290246778</v>
      </c>
      <c r="G43" s="100">
        <f>AVERAGE('Quarterly Historical Financials'!$D132:$D133)</f>
        <v>-0.31674643985482609</v>
      </c>
      <c r="H43" s="100">
        <f>AVERAGE('Quarterly Historical Financials'!$D131:$D132)</f>
        <v>-0.35884550147966443</v>
      </c>
      <c r="I43" s="30">
        <f>CHOOSE($G$4,F43,G43,H43)</f>
        <v>-0.26653248290246778</v>
      </c>
    </row>
    <row r="44" spans="2:40" x14ac:dyDescent="0.25">
      <c r="K44" s="4" t="s">
        <v>182</v>
      </c>
      <c r="L44" s="90"/>
      <c r="M44" s="110">
        <f>'Quarterly Historical Financials'!AC13</f>
        <v>-29426.085000000006</v>
      </c>
      <c r="N44" s="90">
        <f t="shared" ref="N44:AG44" si="30">N39*$I43</f>
        <v>-19259.424524268725</v>
      </c>
      <c r="O44" s="90">
        <f t="shared" si="30"/>
        <v>-18992.754803059706</v>
      </c>
      <c r="P44" s="90">
        <f t="shared" si="30"/>
        <v>-19673.855528276952</v>
      </c>
      <c r="Q44" s="90">
        <f t="shared" si="30"/>
        <v>-20379.381262014649</v>
      </c>
      <c r="R44" s="90">
        <f t="shared" si="30"/>
        <v>-21110.207911490525</v>
      </c>
      <c r="S44" s="90">
        <f t="shared" si="30"/>
        <v>-21867.242794902315</v>
      </c>
      <c r="T44" s="90">
        <f t="shared" si="30"/>
        <v>-22651.425767859477</v>
      </c>
      <c r="U44" s="90">
        <f t="shared" si="30"/>
        <v>-23463.730390209908</v>
      </c>
      <c r="V44" s="90">
        <f t="shared" si="30"/>
        <v>-24305.165134710453</v>
      </c>
      <c r="W44" s="90">
        <f t="shared" si="30"/>
        <v>-25176.774639041512</v>
      </c>
      <c r="X44" s="90">
        <f t="shared" si="30"/>
        <v>-26079.64100272036</v>
      </c>
      <c r="Y44" s="90">
        <f t="shared" si="30"/>
        <v>-27014.885130523075</v>
      </c>
      <c r="Z44" s="90">
        <f t="shared" si="30"/>
        <v>-27983.668124083109</v>
      </c>
      <c r="AA44" s="90">
        <f t="shared" si="30"/>
        <v>-28987.19272339407</v>
      </c>
      <c r="AB44" s="90">
        <f t="shared" si="30"/>
        <v>-30026.704800006319</v>
      </c>
      <c r="AC44" s="90">
        <f t="shared" si="30"/>
        <v>-31103.49490377125</v>
      </c>
      <c r="AD44" s="90">
        <f t="shared" si="30"/>
        <v>-32218.899865053478</v>
      </c>
      <c r="AE44" s="90">
        <f t="shared" si="30"/>
        <v>-33374.304454400073</v>
      </c>
      <c r="AF44" s="90">
        <f t="shared" si="30"/>
        <v>-34571.143101727379</v>
      </c>
      <c r="AG44" s="90">
        <f t="shared" si="30"/>
        <v>-35810.901677159658</v>
      </c>
      <c r="AI44" s="90">
        <f>SUMIF($M$2:$AG$2,AI$2,$M44:$AG44)</f>
        <v>-29426.085000000006</v>
      </c>
      <c r="AJ44" s="90">
        <f t="shared" ref="AJ44:AN44" si="31">SUMIF($M$2:$AG$2,AJ$2,$M44:$AG44)</f>
        <v>-78305.416117620029</v>
      </c>
      <c r="AK44" s="90">
        <f t="shared" si="31"/>
        <v>-89092.606864462228</v>
      </c>
      <c r="AL44" s="90">
        <f t="shared" si="31"/>
        <v>-102576.46590699539</v>
      </c>
      <c r="AM44" s="90">
        <f t="shared" si="31"/>
        <v>-118101.06055125475</v>
      </c>
      <c r="AN44" s="90">
        <f t="shared" si="31"/>
        <v>-135975.24909834057</v>
      </c>
    </row>
    <row r="47" spans="2:40" x14ac:dyDescent="0.25">
      <c r="B47" s="95">
        <v>4</v>
      </c>
      <c r="D47" s="21" t="s">
        <v>242</v>
      </c>
      <c r="E47" s="21"/>
      <c r="F47" s="21"/>
      <c r="G47" s="21"/>
      <c r="H47" s="21"/>
      <c r="I47" s="21"/>
      <c r="J47" s="19"/>
      <c r="K47" s="19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I47" s="20"/>
      <c r="AJ47" s="20"/>
      <c r="AK47" s="20"/>
      <c r="AL47" s="20"/>
      <c r="AM47" s="20"/>
      <c r="AN47" s="20"/>
    </row>
    <row r="48" spans="2:40" x14ac:dyDescent="0.25">
      <c r="D48" s="96" t="s">
        <v>187</v>
      </c>
      <c r="E48" s="108" t="s">
        <v>238</v>
      </c>
      <c r="F48" s="98" t="s">
        <v>227</v>
      </c>
      <c r="G48" s="98" t="s">
        <v>231</v>
      </c>
      <c r="H48" s="98" t="s">
        <v>228</v>
      </c>
      <c r="I48" s="98" t="s">
        <v>232</v>
      </c>
      <c r="J48" s="96"/>
      <c r="K48" s="96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I48" s="97"/>
      <c r="AJ48" s="97"/>
      <c r="AK48" s="97"/>
      <c r="AL48" s="97"/>
      <c r="AM48" s="97"/>
      <c r="AN48" s="97"/>
    </row>
    <row r="49" spans="4:40" x14ac:dyDescent="0.25">
      <c r="D49" s="2" t="s">
        <v>188</v>
      </c>
      <c r="E49" s="109" t="s">
        <v>243</v>
      </c>
      <c r="F49" s="100">
        <f>AVERAGE('Quarterly Historical Financials'!$D148:$D149)</f>
        <v>5.4653931274335817E-3</v>
      </c>
      <c r="G49" s="100">
        <f>AVERAGE('Quarterly Historical Financials'!$D147:$D148)</f>
        <v>1.2295688025897051E-2</v>
      </c>
      <c r="H49" s="100">
        <f>AVERAGE('Quarterly Historical Financials'!$D146:$D147)</f>
        <v>2.0889395289774945E-2</v>
      </c>
      <c r="I49" s="30">
        <f>CHOOSE($G$4,F49,G49,H49)</f>
        <v>5.4653931274335817E-3</v>
      </c>
    </row>
    <row r="50" spans="4:40" x14ac:dyDescent="0.25">
      <c r="K50" s="2" t="s">
        <v>71</v>
      </c>
      <c r="M50" s="6">
        <f>M99</f>
        <v>3178870.372</v>
      </c>
      <c r="N50" s="6">
        <f t="shared" ref="N50:AG50" si="32">N99</f>
        <v>4086092.6829498024</v>
      </c>
      <c r="O50" s="6">
        <f t="shared" si="32"/>
        <v>4232624.3850920144</v>
      </c>
      <c r="P50" s="6">
        <f t="shared" si="32"/>
        <v>4384410.8725263672</v>
      </c>
      <c r="Q50" s="6">
        <f t="shared" si="32"/>
        <v>4541640.5875357473</v>
      </c>
      <c r="R50" s="6">
        <f t="shared" si="32"/>
        <v>4704508.730147074</v>
      </c>
      <c r="S50" s="6">
        <f t="shared" si="32"/>
        <v>4873217.5004713163</v>
      </c>
      <c r="T50" s="6">
        <f t="shared" si="32"/>
        <v>5047976.3497340726</v>
      </c>
      <c r="U50" s="6">
        <f t="shared" si="32"/>
        <v>5229002.2403083835</v>
      </c>
      <c r="V50" s="6">
        <f t="shared" si="32"/>
        <v>5416519.9150726004</v>
      </c>
      <c r="W50" s="6">
        <f t="shared" si="32"/>
        <v>5610762.1764277192</v>
      </c>
      <c r="X50" s="6">
        <f t="shared" si="32"/>
        <v>5811970.1753205815</v>
      </c>
      <c r="Y50" s="6">
        <f t="shared" si="32"/>
        <v>6020393.7106317496</v>
      </c>
      <c r="Z50" s="6">
        <f t="shared" si="32"/>
        <v>6236291.5392997675</v>
      </c>
      <c r="AA50" s="6">
        <f t="shared" si="32"/>
        <v>6459931.6975668026</v>
      </c>
      <c r="AB50" s="6">
        <f t="shared" si="32"/>
        <v>6691591.833744511</v>
      </c>
      <c r="AC50" s="6">
        <f t="shared" si="32"/>
        <v>6931559.552913243</v>
      </c>
      <c r="AD50" s="6">
        <f t="shared" si="32"/>
        <v>7180132.7739825323</v>
      </c>
      <c r="AE50" s="6">
        <f t="shared" si="32"/>
        <v>7437620.0995561667</v>
      </c>
      <c r="AF50" s="6">
        <f t="shared" si="32"/>
        <v>7704341.1990610156</v>
      </c>
      <c r="AG50" s="6">
        <f t="shared" si="32"/>
        <v>7980627.2056152737</v>
      </c>
      <c r="AI50" s="6">
        <f t="shared" ref="AI50:AN52" si="33">SUMIF($M$4:$AG$4,AI$4,$M50:$AG50)</f>
        <v>3178870.372</v>
      </c>
      <c r="AJ50" s="6">
        <f t="shared" si="33"/>
        <v>4541640.5875357473</v>
      </c>
      <c r="AK50" s="6">
        <f t="shared" si="33"/>
        <v>5229002.2403083835</v>
      </c>
      <c r="AL50" s="6">
        <f t="shared" si="33"/>
        <v>6020393.7106317496</v>
      </c>
      <c r="AM50" s="6">
        <f t="shared" si="33"/>
        <v>6931559.552913243</v>
      </c>
      <c r="AN50" s="6">
        <f t="shared" si="33"/>
        <v>7980627.2056152737</v>
      </c>
    </row>
    <row r="51" spans="4:40" x14ac:dyDescent="0.25">
      <c r="K51" s="2" t="s">
        <v>88</v>
      </c>
      <c r="M51" s="113">
        <f>'Quarterly Historical Financials'!AC45</f>
        <v>0</v>
      </c>
      <c r="N51" s="115">
        <v>0</v>
      </c>
      <c r="O51" s="115">
        <v>0</v>
      </c>
      <c r="P51" s="115">
        <v>0</v>
      </c>
      <c r="Q51" s="115">
        <v>0</v>
      </c>
      <c r="R51" s="115">
        <v>0</v>
      </c>
      <c r="S51" s="115">
        <v>0</v>
      </c>
      <c r="T51" s="115">
        <v>0</v>
      </c>
      <c r="U51" s="115">
        <v>0</v>
      </c>
      <c r="V51" s="115">
        <v>0</v>
      </c>
      <c r="W51" s="115">
        <v>0</v>
      </c>
      <c r="X51" s="115">
        <v>0</v>
      </c>
      <c r="Y51" s="115">
        <v>0</v>
      </c>
      <c r="Z51" s="115">
        <v>0</v>
      </c>
      <c r="AA51" s="115">
        <v>0</v>
      </c>
      <c r="AB51" s="115">
        <v>0</v>
      </c>
      <c r="AC51" s="115">
        <v>0</v>
      </c>
      <c r="AD51" s="115">
        <v>0</v>
      </c>
      <c r="AE51" s="115">
        <v>0</v>
      </c>
      <c r="AF51" s="115">
        <v>0</v>
      </c>
      <c r="AG51" s="115">
        <v>0</v>
      </c>
      <c r="AI51" s="6">
        <f t="shared" si="33"/>
        <v>0</v>
      </c>
      <c r="AJ51" s="6">
        <f t="shared" si="33"/>
        <v>0</v>
      </c>
      <c r="AK51" s="6">
        <f t="shared" si="33"/>
        <v>0</v>
      </c>
      <c r="AL51" s="6">
        <f t="shared" si="33"/>
        <v>0</v>
      </c>
      <c r="AM51" s="6">
        <f t="shared" si="33"/>
        <v>0</v>
      </c>
      <c r="AN51" s="6">
        <f t="shared" si="33"/>
        <v>0</v>
      </c>
    </row>
    <row r="52" spans="4:40" x14ac:dyDescent="0.25">
      <c r="K52" s="2" t="s">
        <v>95</v>
      </c>
      <c r="M52" s="113">
        <f>'Quarterly Historical Financials'!AC46</f>
        <v>0</v>
      </c>
      <c r="N52" s="115">
        <v>0</v>
      </c>
      <c r="O52" s="115">
        <v>0</v>
      </c>
      <c r="P52" s="115">
        <v>0</v>
      </c>
      <c r="Q52" s="115">
        <v>0</v>
      </c>
      <c r="R52" s="115">
        <v>0</v>
      </c>
      <c r="S52" s="115">
        <v>0</v>
      </c>
      <c r="T52" s="115">
        <v>0</v>
      </c>
      <c r="U52" s="115">
        <v>0</v>
      </c>
      <c r="V52" s="115">
        <v>0</v>
      </c>
      <c r="W52" s="115">
        <v>0</v>
      </c>
      <c r="X52" s="115">
        <v>0</v>
      </c>
      <c r="Y52" s="115">
        <v>0</v>
      </c>
      <c r="Z52" s="115">
        <v>0</v>
      </c>
      <c r="AA52" s="115">
        <v>0</v>
      </c>
      <c r="AB52" s="115">
        <v>0</v>
      </c>
      <c r="AC52" s="115">
        <v>0</v>
      </c>
      <c r="AD52" s="115">
        <v>0</v>
      </c>
      <c r="AE52" s="115">
        <v>0</v>
      </c>
      <c r="AF52" s="115">
        <v>0</v>
      </c>
      <c r="AG52" s="115">
        <v>0</v>
      </c>
      <c r="AI52" s="6">
        <f t="shared" si="33"/>
        <v>0</v>
      </c>
      <c r="AJ52" s="6">
        <f t="shared" si="33"/>
        <v>0</v>
      </c>
      <c r="AK52" s="6">
        <f t="shared" si="33"/>
        <v>0</v>
      </c>
      <c r="AL52" s="6">
        <f t="shared" si="33"/>
        <v>0</v>
      </c>
      <c r="AM52" s="6">
        <f t="shared" si="33"/>
        <v>0</v>
      </c>
      <c r="AN52" s="6">
        <f t="shared" si="33"/>
        <v>0</v>
      </c>
    </row>
    <row r="53" spans="4:40" x14ac:dyDescent="0.25">
      <c r="K53" s="8" t="s">
        <v>185</v>
      </c>
      <c r="L53" s="16"/>
      <c r="M53" s="16">
        <f>SUM(M50:M52)</f>
        <v>3178870.372</v>
      </c>
      <c r="N53" s="16">
        <f t="shared" ref="N53:AN53" si="34">SUM(N50:N52)</f>
        <v>4086092.6829498024</v>
      </c>
      <c r="O53" s="16">
        <f t="shared" si="34"/>
        <v>4232624.3850920144</v>
      </c>
      <c r="P53" s="16">
        <f t="shared" si="34"/>
        <v>4384410.8725263672</v>
      </c>
      <c r="Q53" s="16">
        <f t="shared" si="34"/>
        <v>4541640.5875357473</v>
      </c>
      <c r="R53" s="16">
        <f t="shared" si="34"/>
        <v>4704508.730147074</v>
      </c>
      <c r="S53" s="16">
        <f t="shared" si="34"/>
        <v>4873217.5004713163</v>
      </c>
      <c r="T53" s="16">
        <f t="shared" si="34"/>
        <v>5047976.3497340726</v>
      </c>
      <c r="U53" s="16">
        <f t="shared" si="34"/>
        <v>5229002.2403083835</v>
      </c>
      <c r="V53" s="16">
        <f t="shared" si="34"/>
        <v>5416519.9150726004</v>
      </c>
      <c r="W53" s="16">
        <f t="shared" si="34"/>
        <v>5610762.1764277192</v>
      </c>
      <c r="X53" s="16">
        <f t="shared" si="34"/>
        <v>5811970.1753205815</v>
      </c>
      <c r="Y53" s="16">
        <f t="shared" si="34"/>
        <v>6020393.7106317496</v>
      </c>
      <c r="Z53" s="16">
        <f t="shared" si="34"/>
        <v>6236291.5392997675</v>
      </c>
      <c r="AA53" s="16">
        <f t="shared" si="34"/>
        <v>6459931.6975668026</v>
      </c>
      <c r="AB53" s="16">
        <f t="shared" si="34"/>
        <v>6691591.833744511</v>
      </c>
      <c r="AC53" s="16">
        <f t="shared" si="34"/>
        <v>6931559.552913243</v>
      </c>
      <c r="AD53" s="16">
        <f t="shared" si="34"/>
        <v>7180132.7739825323</v>
      </c>
      <c r="AE53" s="16">
        <f t="shared" si="34"/>
        <v>7437620.0995561667</v>
      </c>
      <c r="AF53" s="16">
        <f t="shared" si="34"/>
        <v>7704341.1990610156</v>
      </c>
      <c r="AG53" s="16">
        <f t="shared" si="34"/>
        <v>7980627.2056152737</v>
      </c>
      <c r="AI53" s="16">
        <f t="shared" si="34"/>
        <v>3178870.372</v>
      </c>
      <c r="AJ53" s="16">
        <f t="shared" si="34"/>
        <v>4541640.5875357473</v>
      </c>
      <c r="AK53" s="16">
        <f t="shared" si="34"/>
        <v>5229002.2403083835</v>
      </c>
      <c r="AL53" s="16">
        <f t="shared" si="34"/>
        <v>6020393.7106317496</v>
      </c>
      <c r="AM53" s="16">
        <f t="shared" si="34"/>
        <v>6931559.552913243</v>
      </c>
      <c r="AN53" s="16">
        <f t="shared" si="34"/>
        <v>7980627.2056152737</v>
      </c>
    </row>
    <row r="55" spans="4:40" x14ac:dyDescent="0.25">
      <c r="K55" s="4" t="s">
        <v>187</v>
      </c>
      <c r="L55" s="90"/>
      <c r="M55" s="110">
        <f>'Quarterly Historical Financials'!AC15</f>
        <v>46887.804000000004</v>
      </c>
      <c r="N55" s="90">
        <f t="shared" ref="N55:AG55" si="35">N53*$I49</f>
        <v>22332.102867450496</v>
      </c>
      <c r="O55" s="90">
        <f t="shared" si="35"/>
        <v>23132.956225289687</v>
      </c>
      <c r="P55" s="90">
        <f t="shared" si="35"/>
        <v>23962.529050550682</v>
      </c>
      <c r="Q55" s="90">
        <f t="shared" si="35"/>
        <v>24821.851254391288</v>
      </c>
      <c r="R55" s="90">
        <f t="shared" si="35"/>
        <v>25711.989681697105</v>
      </c>
      <c r="S55" s="90">
        <f t="shared" si="35"/>
        <v>26634.04943556499</v>
      </c>
      <c r="T55" s="90">
        <f t="shared" si="35"/>
        <v>27589.17524928386</v>
      </c>
      <c r="U55" s="90">
        <f t="shared" si="35"/>
        <v>28578.552907516241</v>
      </c>
      <c r="V55" s="90">
        <f t="shared" si="35"/>
        <v>29603.410718444917</v>
      </c>
      <c r="W55" s="90">
        <f t="shared" si="35"/>
        <v>30665.021038712341</v>
      </c>
      <c r="X55" s="90">
        <f t="shared" si="35"/>
        <v>31764.701853046055</v>
      </c>
      <c r="Y55" s="90">
        <f t="shared" si="35"/>
        <v>32903.818410531123</v>
      </c>
      <c r="Z55" s="90">
        <f t="shared" si="35"/>
        <v>34083.784919561142</v>
      </c>
      <c r="AA55" s="90">
        <f t="shared" si="35"/>
        <v>35306.066303571955</v>
      </c>
      <c r="AB55" s="90">
        <f t="shared" si="35"/>
        <v>36572.180019737927</v>
      </c>
      <c r="AC55" s="90">
        <f t="shared" si="35"/>
        <v>37883.697942888626</v>
      </c>
      <c r="AD55" s="90">
        <f t="shared" si="35"/>
        <v>39242.248316984747</v>
      </c>
      <c r="AE55" s="90">
        <f t="shared" si="35"/>
        <v>40649.517776576147</v>
      </c>
      <c r="AF55" s="90">
        <f t="shared" si="35"/>
        <v>42107.253440751476</v>
      </c>
      <c r="AG55" s="90">
        <f t="shared" si="35"/>
        <v>43617.265082179183</v>
      </c>
      <c r="AI55" s="90">
        <f>SUMIF($M$2:$AG$2,AI$2,$M55:$AG55)</f>
        <v>46887.804000000004</v>
      </c>
      <c r="AJ55" s="90">
        <f t="shared" ref="AJ55:AN55" si="36">SUMIF($M$2:$AG$2,AJ$2,$M55:$AG55)</f>
        <v>94249.439397682145</v>
      </c>
      <c r="AK55" s="90">
        <f t="shared" si="36"/>
        <v>108513.76727406221</v>
      </c>
      <c r="AL55" s="90">
        <f t="shared" si="36"/>
        <v>124936.95202073443</v>
      </c>
      <c r="AM55" s="90">
        <f t="shared" si="36"/>
        <v>143845.72918575964</v>
      </c>
      <c r="AN55" s="90">
        <f t="shared" si="36"/>
        <v>165616.28461649155</v>
      </c>
    </row>
    <row r="57" spans="4:40" x14ac:dyDescent="0.25">
      <c r="D57" s="96" t="s">
        <v>186</v>
      </c>
      <c r="E57" s="108" t="s">
        <v>238</v>
      </c>
      <c r="F57" s="98" t="s">
        <v>227</v>
      </c>
      <c r="G57" s="98" t="s">
        <v>231</v>
      </c>
      <c r="H57" s="98" t="s">
        <v>228</v>
      </c>
      <c r="I57" s="98" t="s">
        <v>232</v>
      </c>
      <c r="J57" s="96"/>
      <c r="K57" s="96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I57" s="97"/>
      <c r="AJ57" s="97"/>
      <c r="AK57" s="97"/>
      <c r="AL57" s="97"/>
      <c r="AM57" s="97"/>
      <c r="AN57" s="97"/>
    </row>
    <row r="58" spans="4:40" x14ac:dyDescent="0.25">
      <c r="D58" s="2" t="s">
        <v>188</v>
      </c>
      <c r="E58" s="109" t="s">
        <v>244</v>
      </c>
      <c r="F58" s="100">
        <f>AVERAGE('Quarterly Historical Financials'!$D156:$D157)</f>
        <v>8.6321313959377213E-4</v>
      </c>
      <c r="G58" s="100">
        <f>AVERAGE('Quarterly Historical Financials'!$D155:$D156)</f>
        <v>1.0393349168988872E-3</v>
      </c>
      <c r="H58" s="100">
        <f>AVERAGE('Quarterly Historical Financials'!$D154:$D155)/4.5</f>
        <v>1.9593524509837219E-3</v>
      </c>
      <c r="I58" s="30">
        <f>CHOOSE($G$4,F58,G58,H58)</f>
        <v>8.6321313959377213E-4</v>
      </c>
    </row>
    <row r="59" spans="4:40" x14ac:dyDescent="0.25">
      <c r="K59" s="2" t="s">
        <v>2</v>
      </c>
      <c r="M59" s="6">
        <f>M21</f>
        <v>681759.56600000011</v>
      </c>
      <c r="N59" s="6">
        <f t="shared" ref="N59:AG59" ca="1" si="37">N21</f>
        <v>384375.90714896529</v>
      </c>
      <c r="O59" s="6">
        <f t="shared" ca="1" si="37"/>
        <v>402463.85869869107</v>
      </c>
      <c r="P59" s="6">
        <f t="shared" ca="1" si="37"/>
        <v>421307.59658926009</v>
      </c>
      <c r="Q59" s="6">
        <f t="shared" ca="1" si="37"/>
        <v>440936.87067058677</v>
      </c>
      <c r="R59" s="6">
        <f t="shared" ca="1" si="37"/>
        <v>461382.58936784399</v>
      </c>
      <c r="S59" s="6">
        <f t="shared" ca="1" si="37"/>
        <v>482676.86654916592</v>
      </c>
      <c r="T59" s="6">
        <f t="shared" ca="1" si="37"/>
        <v>504853.07050144835</v>
      </c>
      <c r="U59" s="6">
        <f t="shared" ca="1" si="37"/>
        <v>527945.87512827734</v>
      </c>
      <c r="V59" s="6">
        <f t="shared" ca="1" si="37"/>
        <v>551991.31349168555</v>
      </c>
      <c r="W59" s="6">
        <f t="shared" ca="1" si="37"/>
        <v>577026.83382770012</v>
      </c>
      <c r="X59" s="6">
        <f t="shared" ca="1" si="37"/>
        <v>603091.35817458655</v>
      </c>
      <c r="Y59" s="6">
        <f t="shared" ca="1" si="37"/>
        <v>630225.34376234177</v>
      </c>
      <c r="Z59" s="6">
        <f t="shared" ca="1" si="37"/>
        <v>658470.84732243919</v>
      </c>
      <c r="AA59" s="6">
        <f t="shared" ca="1" si="37"/>
        <v>687871.59248812089</v>
      </c>
      <c r="AB59" s="6">
        <f t="shared" ca="1" si="37"/>
        <v>718473.04046775878</v>
      </c>
      <c r="AC59" s="6">
        <f t="shared" ca="1" si="37"/>
        <v>750322.46418705711</v>
      </c>
      <c r="AD59" s="6">
        <f t="shared" ca="1" si="37"/>
        <v>783469.0261102037</v>
      </c>
      <c r="AE59" s="6">
        <f t="shared" ca="1" si="37"/>
        <v>817963.85996564233</v>
      </c>
      <c r="AF59" s="6">
        <f t="shared" ca="1" si="37"/>
        <v>853860.15661899152</v>
      </c>
      <c r="AG59" s="6">
        <f t="shared" ca="1" si="37"/>
        <v>891213.25435393199</v>
      </c>
      <c r="AI59" s="6">
        <f t="shared" ref="AI59:AN61" si="38">SUMIF($M$2:$AG$2,AI$2,$M59:$AG59)</f>
        <v>681759.56600000011</v>
      </c>
      <c r="AJ59" s="6">
        <f t="shared" ca="1" si="38"/>
        <v>1649084.2331075033</v>
      </c>
      <c r="AK59" s="6">
        <f t="shared" ca="1" si="38"/>
        <v>1976858.4015467355</v>
      </c>
      <c r="AL59" s="6">
        <f t="shared" ca="1" si="38"/>
        <v>2362334.8492563143</v>
      </c>
      <c r="AM59" s="6">
        <f t="shared" ca="1" si="38"/>
        <v>2815137.944465376</v>
      </c>
      <c r="AN59" s="6">
        <f t="shared" ca="1" si="38"/>
        <v>3346506.2970487694</v>
      </c>
    </row>
    <row r="60" spans="4:40" x14ac:dyDescent="0.25">
      <c r="K60" s="2" t="s">
        <v>171</v>
      </c>
      <c r="M60" s="6">
        <f>M39</f>
        <v>76446.237000000023</v>
      </c>
      <c r="N60" s="6">
        <f t="shared" ref="N60:AG60" si="39">N39</f>
        <v>72259.202009971617</v>
      </c>
      <c r="O60" s="6">
        <f t="shared" si="39"/>
        <v>71258.687107228587</v>
      </c>
      <c r="P60" s="6">
        <f t="shared" si="39"/>
        <v>73814.100683090874</v>
      </c>
      <c r="Q60" s="6">
        <f t="shared" si="39"/>
        <v>76461.154153102136</v>
      </c>
      <c r="R60" s="6">
        <f t="shared" si="39"/>
        <v>79203.133822962147</v>
      </c>
      <c r="S60" s="6">
        <f t="shared" si="39"/>
        <v>82043.443848846728</v>
      </c>
      <c r="T60" s="6">
        <f t="shared" si="39"/>
        <v>84985.610463653356</v>
      </c>
      <c r="U60" s="6">
        <f t="shared" si="39"/>
        <v>88033.286354804222</v>
      </c>
      <c r="V60" s="6">
        <f t="shared" si="39"/>
        <v>91190.25519904244</v>
      </c>
      <c r="W60" s="6">
        <f t="shared" si="39"/>
        <v>94460.436359850544</v>
      </c>
      <c r="X60" s="6">
        <f t="shared" si="39"/>
        <v>97847.889753323921</v>
      </c>
      <c r="Y60" s="6">
        <f t="shared" si="39"/>
        <v>101356.82088853924</v>
      </c>
      <c r="Z60" s="6">
        <f t="shared" si="39"/>
        <v>104991.58608867637</v>
      </c>
      <c r="AA60" s="6">
        <f t="shared" si="39"/>
        <v>108756.69789937518</v>
      </c>
      <c r="AB60" s="6">
        <f t="shared" si="39"/>
        <v>112656.83069104185</v>
      </c>
      <c r="AC60" s="6">
        <f t="shared" si="39"/>
        <v>116696.82646205998</v>
      </c>
      <c r="AD60" s="6">
        <f t="shared" si="39"/>
        <v>120881.70085011116</v>
      </c>
      <c r="AE60" s="6">
        <f t="shared" si="39"/>
        <v>125216.64935906793</v>
      </c>
      <c r="AF60" s="6">
        <f t="shared" si="39"/>
        <v>129707.05380918992</v>
      </c>
      <c r="AG60" s="6">
        <f t="shared" si="39"/>
        <v>134358.48901863093</v>
      </c>
      <c r="AI60" s="6">
        <f t="shared" si="38"/>
        <v>76446.237000000023</v>
      </c>
      <c r="AJ60" s="6">
        <f t="shared" si="38"/>
        <v>293793.14395339321</v>
      </c>
      <c r="AK60" s="6">
        <f t="shared" si="38"/>
        <v>334265.47449026647</v>
      </c>
      <c r="AL60" s="6">
        <f t="shared" si="38"/>
        <v>384855.40220075619</v>
      </c>
      <c r="AM60" s="6">
        <f t="shared" si="38"/>
        <v>443101.94114115339</v>
      </c>
      <c r="AN60" s="6">
        <f t="shared" si="38"/>
        <v>510163.89303699997</v>
      </c>
    </row>
    <row r="61" spans="4:40" x14ac:dyDescent="0.25">
      <c r="K61" s="2" t="s">
        <v>187</v>
      </c>
      <c r="M61" s="6">
        <f>M55</f>
        <v>46887.804000000004</v>
      </c>
      <c r="N61" s="6">
        <f t="shared" ref="N61:AG61" si="40">N55</f>
        <v>22332.102867450496</v>
      </c>
      <c r="O61" s="6">
        <f t="shared" si="40"/>
        <v>23132.956225289687</v>
      </c>
      <c r="P61" s="6">
        <f t="shared" si="40"/>
        <v>23962.529050550682</v>
      </c>
      <c r="Q61" s="6">
        <f t="shared" si="40"/>
        <v>24821.851254391288</v>
      </c>
      <c r="R61" s="6">
        <f t="shared" si="40"/>
        <v>25711.989681697105</v>
      </c>
      <c r="S61" s="6">
        <f t="shared" si="40"/>
        <v>26634.04943556499</v>
      </c>
      <c r="T61" s="6">
        <f t="shared" si="40"/>
        <v>27589.17524928386</v>
      </c>
      <c r="U61" s="6">
        <f t="shared" si="40"/>
        <v>28578.552907516241</v>
      </c>
      <c r="V61" s="6">
        <f t="shared" si="40"/>
        <v>29603.410718444917</v>
      </c>
      <c r="W61" s="6">
        <f t="shared" si="40"/>
        <v>30665.021038712341</v>
      </c>
      <c r="X61" s="6">
        <f t="shared" si="40"/>
        <v>31764.701853046055</v>
      </c>
      <c r="Y61" s="6">
        <f t="shared" si="40"/>
        <v>32903.818410531123</v>
      </c>
      <c r="Z61" s="6">
        <f t="shared" si="40"/>
        <v>34083.784919561142</v>
      </c>
      <c r="AA61" s="6">
        <f t="shared" si="40"/>
        <v>35306.066303571955</v>
      </c>
      <c r="AB61" s="6">
        <f t="shared" si="40"/>
        <v>36572.180019737927</v>
      </c>
      <c r="AC61" s="6">
        <f t="shared" si="40"/>
        <v>37883.697942888626</v>
      </c>
      <c r="AD61" s="6">
        <f t="shared" si="40"/>
        <v>39242.248316984747</v>
      </c>
      <c r="AE61" s="6">
        <f t="shared" si="40"/>
        <v>40649.517776576147</v>
      </c>
      <c r="AF61" s="6">
        <f t="shared" si="40"/>
        <v>42107.253440751476</v>
      </c>
      <c r="AG61" s="6">
        <f t="shared" si="40"/>
        <v>43617.265082179183</v>
      </c>
      <c r="AI61" s="6">
        <f t="shared" si="38"/>
        <v>46887.804000000004</v>
      </c>
      <c r="AJ61" s="6">
        <f t="shared" si="38"/>
        <v>94249.439397682145</v>
      </c>
      <c r="AK61" s="6">
        <f t="shared" si="38"/>
        <v>108513.76727406221</v>
      </c>
      <c r="AL61" s="6">
        <f t="shared" si="38"/>
        <v>124936.95202073443</v>
      </c>
      <c r="AM61" s="6">
        <f t="shared" si="38"/>
        <v>143845.72918575964</v>
      </c>
      <c r="AN61" s="6">
        <f t="shared" si="38"/>
        <v>165616.28461649155</v>
      </c>
    </row>
    <row r="62" spans="4:40" x14ac:dyDescent="0.25">
      <c r="K62" s="8" t="s">
        <v>190</v>
      </c>
      <c r="L62" s="16"/>
      <c r="M62" s="16">
        <f>SUM(M59:M61)</f>
        <v>805093.60700000008</v>
      </c>
      <c r="N62" s="16">
        <f t="shared" ref="N62:AN62" ca="1" si="41">SUM(N59:N61)</f>
        <v>478967.21202638739</v>
      </c>
      <c r="O62" s="16">
        <f t="shared" ca="1" si="41"/>
        <v>496855.50203120935</v>
      </c>
      <c r="P62" s="16">
        <f t="shared" ca="1" si="41"/>
        <v>519084.22632290161</v>
      </c>
      <c r="Q62" s="16">
        <f t="shared" ca="1" si="41"/>
        <v>542219.87607808015</v>
      </c>
      <c r="R62" s="16">
        <f t="shared" ca="1" si="41"/>
        <v>566297.71287250321</v>
      </c>
      <c r="S62" s="16">
        <f t="shared" ca="1" si="41"/>
        <v>591354.35983357765</v>
      </c>
      <c r="T62" s="16">
        <f t="shared" ca="1" si="41"/>
        <v>617427.8562143856</v>
      </c>
      <c r="U62" s="16">
        <f t="shared" ca="1" si="41"/>
        <v>644557.71439059777</v>
      </c>
      <c r="V62" s="16">
        <f t="shared" ca="1" si="41"/>
        <v>672784.9794091729</v>
      </c>
      <c r="W62" s="16">
        <f t="shared" ca="1" si="41"/>
        <v>702152.29122626304</v>
      </c>
      <c r="X62" s="16">
        <f t="shared" ca="1" si="41"/>
        <v>732703.94978095649</v>
      </c>
      <c r="Y62" s="16">
        <f t="shared" ca="1" si="41"/>
        <v>764485.98306141212</v>
      </c>
      <c r="Z62" s="16">
        <f t="shared" ca="1" si="41"/>
        <v>797546.21833067667</v>
      </c>
      <c r="AA62" s="16">
        <f t="shared" ca="1" si="41"/>
        <v>831934.35669106804</v>
      </c>
      <c r="AB62" s="16">
        <f t="shared" ca="1" si="41"/>
        <v>867702.05117853859</v>
      </c>
      <c r="AC62" s="16">
        <f t="shared" ca="1" si="41"/>
        <v>904902.98859200568</v>
      </c>
      <c r="AD62" s="16">
        <f t="shared" ca="1" si="41"/>
        <v>943592.97527729964</v>
      </c>
      <c r="AE62" s="16">
        <f t="shared" ca="1" si="41"/>
        <v>983830.02710128634</v>
      </c>
      <c r="AF62" s="16">
        <f t="shared" ca="1" si="41"/>
        <v>1025674.4638689329</v>
      </c>
      <c r="AG62" s="16">
        <f t="shared" ca="1" si="41"/>
        <v>1069189.0084547421</v>
      </c>
      <c r="AI62" s="16">
        <f t="shared" si="41"/>
        <v>805093.60700000008</v>
      </c>
      <c r="AJ62" s="16">
        <f t="shared" ca="1" si="41"/>
        <v>2037126.8164585787</v>
      </c>
      <c r="AK62" s="16">
        <f t="shared" ca="1" si="41"/>
        <v>2419637.6433110642</v>
      </c>
      <c r="AL62" s="16">
        <f t="shared" ca="1" si="41"/>
        <v>2872127.203477805</v>
      </c>
      <c r="AM62" s="16">
        <f t="shared" ca="1" si="41"/>
        <v>3402085.6147922887</v>
      </c>
      <c r="AN62" s="16">
        <f t="shared" ca="1" si="41"/>
        <v>4022286.4747022614</v>
      </c>
    </row>
    <row r="64" spans="4:40" x14ac:dyDescent="0.25">
      <c r="K64" s="4" t="s">
        <v>186</v>
      </c>
      <c r="L64" s="90"/>
      <c r="M64" s="110">
        <f>'Quarterly Historical Financials'!AC16</f>
        <v>326.38799999999992</v>
      </c>
      <c r="N64" s="90">
        <f t="shared" ref="N64:AG64" ca="1" si="42">N62*$I58</f>
        <v>413.45079085577379</v>
      </c>
      <c r="O64" s="90">
        <f t="shared" ca="1" si="42"/>
        <v>428.89219783280004</v>
      </c>
      <c r="P64" s="90">
        <f t="shared" ca="1" si="42"/>
        <v>448.08032471779609</v>
      </c>
      <c r="Q64" s="90">
        <f t="shared" ca="1" si="42"/>
        <v>468.05132157950561</v>
      </c>
      <c r="R64" s="90">
        <f t="shared" ca="1" si="42"/>
        <v>488.83562667344603</v>
      </c>
      <c r="S64" s="90">
        <f t="shared" ca="1" si="42"/>
        <v>510.4648535644078</v>
      </c>
      <c r="T64" s="90">
        <f t="shared" ca="1" si="42"/>
        <v>532.97183823547186</v>
      </c>
      <c r="U64" s="90">
        <f t="shared" ca="1" si="42"/>
        <v>556.39068828849383</v>
      </c>
      <c r="V64" s="90">
        <f t="shared" ca="1" si="42"/>
        <v>580.75683434732343</v>
      </c>
      <c r="W64" s="90">
        <f t="shared" ca="1" si="42"/>
        <v>606.10708378238314</v>
      </c>
      <c r="X64" s="90">
        <f t="shared" ca="1" si="42"/>
        <v>632.47967688317704</v>
      </c>
      <c r="Y64" s="90">
        <f t="shared" ca="1" si="42"/>
        <v>659.91434561387291</v>
      </c>
      <c r="Z64" s="90">
        <f t="shared" ca="1" si="42"/>
        <v>688.45237509636343</v>
      </c>
      <c r="AA64" s="90">
        <f t="shared" ca="1" si="42"/>
        <v>718.13666797522194</v>
      </c>
      <c r="AB64" s="90">
        <f t="shared" ca="1" si="42"/>
        <v>749.01181182978223</v>
      </c>
      <c r="AC64" s="90">
        <f t="shared" ca="1" si="42"/>
        <v>781.12414981029258</v>
      </c>
      <c r="AD64" s="90">
        <f t="shared" ca="1" si="42"/>
        <v>814.52185468774644</v>
      </c>
      <c r="AE64" s="90">
        <f t="shared" ca="1" si="42"/>
        <v>849.25500652072731</v>
      </c>
      <c r="AF64" s="90">
        <f t="shared" ca="1" si="42"/>
        <v>885.37567415746059</v>
      </c>
      <c r="AG64" s="90">
        <f t="shared" ca="1" si="42"/>
        <v>922.93800080737014</v>
      </c>
      <c r="AI64" s="90">
        <f t="shared" ref="AI64:AN64" si="43">SUMIF($M$2:$AG$2,AI$2,$M64:$AG64)</f>
        <v>326.38799999999992</v>
      </c>
      <c r="AJ64" s="90">
        <f t="shared" ca="1" si="43"/>
        <v>1758.4746349858754</v>
      </c>
      <c r="AK64" s="90">
        <f t="shared" ca="1" si="43"/>
        <v>2088.6630067618198</v>
      </c>
      <c r="AL64" s="90">
        <f t="shared" ca="1" si="43"/>
        <v>2479.2579406267569</v>
      </c>
      <c r="AM64" s="90">
        <f t="shared" ca="1" si="43"/>
        <v>2936.7250047116604</v>
      </c>
      <c r="AN64" s="90">
        <f t="shared" ca="1" si="43"/>
        <v>3472.0905361733048</v>
      </c>
    </row>
    <row r="67" spans="2:40" x14ac:dyDescent="0.25">
      <c r="B67" s="95">
        <v>5</v>
      </c>
      <c r="D67" s="21" t="s">
        <v>245</v>
      </c>
      <c r="E67" s="21"/>
      <c r="F67" s="21"/>
      <c r="G67" s="21"/>
      <c r="H67" s="21"/>
      <c r="I67" s="21"/>
      <c r="J67" s="19"/>
      <c r="K67" s="19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I67" s="20"/>
      <c r="AJ67" s="20"/>
      <c r="AK67" s="20"/>
      <c r="AL67" s="20"/>
      <c r="AM67" s="20"/>
      <c r="AN67" s="20"/>
    </row>
    <row r="68" spans="2:40" x14ac:dyDescent="0.25">
      <c r="D68" s="96" t="s">
        <v>191</v>
      </c>
      <c r="E68" s="108" t="s">
        <v>238</v>
      </c>
      <c r="F68" s="98" t="s">
        <v>227</v>
      </c>
      <c r="G68" s="98" t="s">
        <v>231</v>
      </c>
      <c r="H68" s="98" t="s">
        <v>228</v>
      </c>
      <c r="I68" s="98" t="s">
        <v>232</v>
      </c>
      <c r="J68" s="96"/>
      <c r="K68" s="96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I68" s="97"/>
      <c r="AJ68" s="97"/>
      <c r="AK68" s="97"/>
      <c r="AL68" s="97"/>
      <c r="AM68" s="97"/>
      <c r="AN68" s="97"/>
    </row>
    <row r="69" spans="2:40" x14ac:dyDescent="0.25">
      <c r="D69" s="2" t="s">
        <v>237</v>
      </c>
      <c r="E69" s="109" t="s">
        <v>246</v>
      </c>
      <c r="F69" s="100">
        <f>AVERAGE('Quarterly Historical Financials'!$D167:$D168)</f>
        <v>-0.16106520998108964</v>
      </c>
      <c r="G69" s="100">
        <f>AVERAGE('Quarterly Historical Financials'!$D166:$D167)/1.1</f>
        <v>-0.20062125736072378</v>
      </c>
      <c r="H69" s="100">
        <f>AVERAGE('Quarterly Historical Financials'!$D165:$D166)</f>
        <v>-0.25505653241270682</v>
      </c>
      <c r="I69" s="30">
        <f>CHOOSE($G$4,F69,G69,H69)</f>
        <v>-0.16106520998108964</v>
      </c>
    </row>
    <row r="70" spans="2:40" x14ac:dyDescent="0.25">
      <c r="K70" s="2" t="s">
        <v>4</v>
      </c>
      <c r="M70" s="6">
        <f>M21+M29</f>
        <v>579388.04200000013</v>
      </c>
      <c r="N70" s="6">
        <f t="shared" ref="N70:AG70" ca="1" si="44">N21+N29</f>
        <v>280185.30645934201</v>
      </c>
      <c r="O70" s="6">
        <f t="shared" ca="1" si="44"/>
        <v>294536.87040093151</v>
      </c>
      <c r="P70" s="6">
        <f t="shared" ca="1" si="44"/>
        <v>309510.22978336149</v>
      </c>
      <c r="Q70" s="6">
        <f t="shared" ca="1" si="44"/>
        <v>325130.32939797995</v>
      </c>
      <c r="R70" s="6">
        <f t="shared" ca="1" si="44"/>
        <v>341423.10029679735</v>
      </c>
      <c r="S70" s="6">
        <f t="shared" ca="1" si="44"/>
        <v>358415.50048080145</v>
      </c>
      <c r="T70" s="6">
        <f t="shared" ca="1" si="44"/>
        <v>376135.55747477035</v>
      </c>
      <c r="U70" s="6">
        <f t="shared" ca="1" si="44"/>
        <v>394612.41289466771</v>
      </c>
      <c r="V70" s="6">
        <f t="shared" ca="1" si="44"/>
        <v>413876.36912108713</v>
      </c>
      <c r="W70" s="6">
        <f t="shared" ca="1" si="44"/>
        <v>433958.93820018345</v>
      </c>
      <c r="X70" s="6">
        <f t="shared" ca="1" si="44"/>
        <v>454892.89310216182</v>
      </c>
      <c r="Y70" s="6">
        <f t="shared" ca="1" si="44"/>
        <v>476712.32147672912</v>
      </c>
      <c r="Z70" s="6">
        <f t="shared" ca="1" si="44"/>
        <v>499452.6820550313</v>
      </c>
      <c r="AA70" s="6">
        <f t="shared" ca="1" si="44"/>
        <v>523150.86385855661</v>
      </c>
      <c r="AB70" s="6">
        <f t="shared" ca="1" si="44"/>
        <v>547845.24838735501</v>
      </c>
      <c r="AC70" s="6">
        <f t="shared" ca="1" si="44"/>
        <v>573575.77497281262</v>
      </c>
      <c r="AD70" s="6">
        <f t="shared" ca="1" si="44"/>
        <v>600384.00949417672</v>
      </c>
      <c r="AE70" s="6">
        <f t="shared" ca="1" si="44"/>
        <v>628313.21667319979</v>
      </c>
      <c r="AF70" s="6">
        <f t="shared" ca="1" si="44"/>
        <v>657408.43617772008</v>
      </c>
      <c r="AG70" s="6">
        <f t="shared" ca="1" si="44"/>
        <v>687716.56278287107</v>
      </c>
      <c r="AI70" s="6">
        <f t="shared" ref="AI70:AN73" si="45">SUMIF($M$2:$AG$2,AI$2,$M70:$AG70)</f>
        <v>579388.04200000013</v>
      </c>
      <c r="AJ70" s="6">
        <f t="shared" ca="1" si="45"/>
        <v>1209362.736041615</v>
      </c>
      <c r="AK70" s="6">
        <f t="shared" ca="1" si="45"/>
        <v>1470586.5711470367</v>
      </c>
      <c r="AL70" s="6">
        <f t="shared" ca="1" si="45"/>
        <v>1779440.5219001616</v>
      </c>
      <c r="AM70" s="6">
        <f t="shared" ca="1" si="45"/>
        <v>2144024.5692737554</v>
      </c>
      <c r="AN70" s="6">
        <f t="shared" ca="1" si="45"/>
        <v>2573822.225127968</v>
      </c>
    </row>
    <row r="71" spans="2:40" x14ac:dyDescent="0.25">
      <c r="K71" s="2" t="s">
        <v>101</v>
      </c>
      <c r="M71" s="6">
        <f>M39+M44</f>
        <v>47020.152000000016</v>
      </c>
      <c r="N71" s="6">
        <f t="shared" ref="N71:AG71" si="46">N39+N44</f>
        <v>52999.777485702893</v>
      </c>
      <c r="O71" s="6">
        <f t="shared" si="46"/>
        <v>52265.932304168877</v>
      </c>
      <c r="P71" s="6">
        <f t="shared" si="46"/>
        <v>54140.245154813922</v>
      </c>
      <c r="Q71" s="6">
        <f t="shared" si="46"/>
        <v>56081.772891087487</v>
      </c>
      <c r="R71" s="6">
        <f t="shared" si="46"/>
        <v>58092.925911471626</v>
      </c>
      <c r="S71" s="6">
        <f t="shared" si="46"/>
        <v>60176.201053944416</v>
      </c>
      <c r="T71" s="6">
        <f t="shared" si="46"/>
        <v>62334.184695793883</v>
      </c>
      <c r="U71" s="6">
        <f t="shared" si="46"/>
        <v>64569.555964594314</v>
      </c>
      <c r="V71" s="6">
        <f t="shared" si="46"/>
        <v>66885.090064331991</v>
      </c>
      <c r="W71" s="6">
        <f t="shared" si="46"/>
        <v>69283.661720809032</v>
      </c>
      <c r="X71" s="6">
        <f t="shared" si="46"/>
        <v>71768.248750603554</v>
      </c>
      <c r="Y71" s="6">
        <f t="shared" si="46"/>
        <v>74341.93575801616</v>
      </c>
      <c r="Z71" s="6">
        <f t="shared" si="46"/>
        <v>77007.91796459326</v>
      </c>
      <c r="AA71" s="6">
        <f t="shared" si="46"/>
        <v>79769.505175981118</v>
      </c>
      <c r="AB71" s="6">
        <f t="shared" si="46"/>
        <v>82630.125891035525</v>
      </c>
      <c r="AC71" s="6">
        <f t="shared" si="46"/>
        <v>85593.33155828873</v>
      </c>
      <c r="AD71" s="6">
        <f t="shared" si="46"/>
        <v>88662.800985057678</v>
      </c>
      <c r="AE71" s="6">
        <f t="shared" si="46"/>
        <v>91842.344904667858</v>
      </c>
      <c r="AF71" s="6">
        <f t="shared" si="46"/>
        <v>95135.91070746255</v>
      </c>
      <c r="AG71" s="6">
        <f t="shared" si="46"/>
        <v>98547.587341471284</v>
      </c>
      <c r="AI71" s="6">
        <f t="shared" si="45"/>
        <v>47020.152000000016</v>
      </c>
      <c r="AJ71" s="6">
        <f t="shared" si="45"/>
        <v>215487.72783577317</v>
      </c>
      <c r="AK71" s="6">
        <f t="shared" si="45"/>
        <v>245172.86762580421</v>
      </c>
      <c r="AL71" s="6">
        <f t="shared" si="45"/>
        <v>282278.93629376072</v>
      </c>
      <c r="AM71" s="6">
        <f t="shared" si="45"/>
        <v>325000.88058989862</v>
      </c>
      <c r="AN71" s="6">
        <f t="shared" si="45"/>
        <v>374188.6439386594</v>
      </c>
    </row>
    <row r="72" spans="2:40" x14ac:dyDescent="0.25">
      <c r="K72" s="2" t="s">
        <v>6</v>
      </c>
      <c r="M72" s="6">
        <f>M55</f>
        <v>46887.804000000004</v>
      </c>
      <c r="N72" s="6">
        <f t="shared" ref="N72:AG72" si="47">N55</f>
        <v>22332.102867450496</v>
      </c>
      <c r="O72" s="6">
        <f t="shared" si="47"/>
        <v>23132.956225289687</v>
      </c>
      <c r="P72" s="6">
        <f t="shared" si="47"/>
        <v>23962.529050550682</v>
      </c>
      <c r="Q72" s="6">
        <f t="shared" si="47"/>
        <v>24821.851254391288</v>
      </c>
      <c r="R72" s="6">
        <f t="shared" si="47"/>
        <v>25711.989681697105</v>
      </c>
      <c r="S72" s="6">
        <f t="shared" si="47"/>
        <v>26634.04943556499</v>
      </c>
      <c r="T72" s="6">
        <f t="shared" si="47"/>
        <v>27589.17524928386</v>
      </c>
      <c r="U72" s="6">
        <f t="shared" si="47"/>
        <v>28578.552907516241</v>
      </c>
      <c r="V72" s="6">
        <f t="shared" si="47"/>
        <v>29603.410718444917</v>
      </c>
      <c r="W72" s="6">
        <f t="shared" si="47"/>
        <v>30665.021038712341</v>
      </c>
      <c r="X72" s="6">
        <f t="shared" si="47"/>
        <v>31764.701853046055</v>
      </c>
      <c r="Y72" s="6">
        <f t="shared" si="47"/>
        <v>32903.818410531123</v>
      </c>
      <c r="Z72" s="6">
        <f t="shared" si="47"/>
        <v>34083.784919561142</v>
      </c>
      <c r="AA72" s="6">
        <f t="shared" si="47"/>
        <v>35306.066303571955</v>
      </c>
      <c r="AB72" s="6">
        <f t="shared" si="47"/>
        <v>36572.180019737927</v>
      </c>
      <c r="AC72" s="6">
        <f t="shared" si="47"/>
        <v>37883.697942888626</v>
      </c>
      <c r="AD72" s="6">
        <f t="shared" si="47"/>
        <v>39242.248316984747</v>
      </c>
      <c r="AE72" s="6">
        <f t="shared" si="47"/>
        <v>40649.517776576147</v>
      </c>
      <c r="AF72" s="6">
        <f t="shared" si="47"/>
        <v>42107.253440751476</v>
      </c>
      <c r="AG72" s="6">
        <f t="shared" si="47"/>
        <v>43617.265082179183</v>
      </c>
      <c r="AI72" s="6">
        <f t="shared" si="45"/>
        <v>46887.804000000004</v>
      </c>
      <c r="AJ72" s="6">
        <f t="shared" si="45"/>
        <v>94249.439397682145</v>
      </c>
      <c r="AK72" s="6">
        <f t="shared" si="45"/>
        <v>108513.76727406221</v>
      </c>
      <c r="AL72" s="6">
        <f t="shared" si="45"/>
        <v>124936.95202073443</v>
      </c>
      <c r="AM72" s="6">
        <f t="shared" si="45"/>
        <v>143845.72918575964</v>
      </c>
      <c r="AN72" s="6">
        <f t="shared" si="45"/>
        <v>165616.28461649155</v>
      </c>
    </row>
    <row r="73" spans="2:40" x14ac:dyDescent="0.25">
      <c r="K73" s="2" t="s">
        <v>63</v>
      </c>
      <c r="M73" s="6">
        <f>M64</f>
        <v>326.38799999999992</v>
      </c>
      <c r="N73" s="6">
        <f t="shared" ref="N73:AG73" ca="1" si="48">N64</f>
        <v>413.45079085577379</v>
      </c>
      <c r="O73" s="6">
        <f t="shared" ca="1" si="48"/>
        <v>428.89219783280004</v>
      </c>
      <c r="P73" s="6">
        <f t="shared" ca="1" si="48"/>
        <v>448.08032471779609</v>
      </c>
      <c r="Q73" s="6">
        <f t="shared" ca="1" si="48"/>
        <v>468.05132157950561</v>
      </c>
      <c r="R73" s="6">
        <f t="shared" ca="1" si="48"/>
        <v>488.83562667344603</v>
      </c>
      <c r="S73" s="6">
        <f t="shared" ca="1" si="48"/>
        <v>510.4648535644078</v>
      </c>
      <c r="T73" s="6">
        <f t="shared" ca="1" si="48"/>
        <v>532.97183823547186</v>
      </c>
      <c r="U73" s="6">
        <f t="shared" ca="1" si="48"/>
        <v>556.39068828849383</v>
      </c>
      <c r="V73" s="6">
        <f t="shared" ca="1" si="48"/>
        <v>580.75683434732343</v>
      </c>
      <c r="W73" s="6">
        <f t="shared" ca="1" si="48"/>
        <v>606.10708378238314</v>
      </c>
      <c r="X73" s="6">
        <f t="shared" ca="1" si="48"/>
        <v>632.47967688317704</v>
      </c>
      <c r="Y73" s="6">
        <f t="shared" ca="1" si="48"/>
        <v>659.91434561387291</v>
      </c>
      <c r="Z73" s="6">
        <f t="shared" ca="1" si="48"/>
        <v>688.45237509636343</v>
      </c>
      <c r="AA73" s="6">
        <f t="shared" ca="1" si="48"/>
        <v>718.13666797522194</v>
      </c>
      <c r="AB73" s="6">
        <f t="shared" ca="1" si="48"/>
        <v>749.01181182978223</v>
      </c>
      <c r="AC73" s="6">
        <f t="shared" ca="1" si="48"/>
        <v>781.12414981029258</v>
      </c>
      <c r="AD73" s="6">
        <f t="shared" ca="1" si="48"/>
        <v>814.52185468774644</v>
      </c>
      <c r="AE73" s="6">
        <f t="shared" ca="1" si="48"/>
        <v>849.25500652072731</v>
      </c>
      <c r="AF73" s="6">
        <f t="shared" ca="1" si="48"/>
        <v>885.37567415746059</v>
      </c>
      <c r="AG73" s="6">
        <f t="shared" ca="1" si="48"/>
        <v>922.93800080737014</v>
      </c>
      <c r="AI73" s="6">
        <f t="shared" si="45"/>
        <v>326.38799999999992</v>
      </c>
      <c r="AJ73" s="6">
        <f t="shared" ca="1" si="45"/>
        <v>1758.4746349858754</v>
      </c>
      <c r="AK73" s="6">
        <f t="shared" ca="1" si="45"/>
        <v>2088.6630067618198</v>
      </c>
      <c r="AL73" s="6">
        <f t="shared" ca="1" si="45"/>
        <v>2479.2579406267569</v>
      </c>
      <c r="AM73" s="6">
        <f t="shared" ca="1" si="45"/>
        <v>2936.7250047116604</v>
      </c>
      <c r="AN73" s="6">
        <f t="shared" ca="1" si="45"/>
        <v>3472.0905361733048</v>
      </c>
    </row>
    <row r="74" spans="2:40" x14ac:dyDescent="0.25">
      <c r="K74" s="8" t="s">
        <v>7</v>
      </c>
      <c r="L74" s="16"/>
      <c r="M74" s="16">
        <f>SUM(M70:M73)</f>
        <v>673622.38600000017</v>
      </c>
      <c r="N74" s="16">
        <f t="shared" ref="N74:AN74" ca="1" si="49">SUM(N70:N73)</f>
        <v>355930.63760335121</v>
      </c>
      <c r="O74" s="16">
        <f t="shared" ca="1" si="49"/>
        <v>370364.65112822287</v>
      </c>
      <c r="P74" s="16">
        <f t="shared" ca="1" si="49"/>
        <v>388061.08431344386</v>
      </c>
      <c r="Q74" s="16">
        <f t="shared" ca="1" si="49"/>
        <v>406502.00486503827</v>
      </c>
      <c r="R74" s="16">
        <f t="shared" ca="1" si="49"/>
        <v>425716.85151663946</v>
      </c>
      <c r="S74" s="16">
        <f t="shared" ca="1" si="49"/>
        <v>445736.21582387527</v>
      </c>
      <c r="T74" s="16">
        <f t="shared" ca="1" si="49"/>
        <v>466591.88925808354</v>
      </c>
      <c r="U74" s="16">
        <f t="shared" ca="1" si="49"/>
        <v>488316.91245506675</v>
      </c>
      <c r="V74" s="16">
        <f t="shared" ca="1" si="49"/>
        <v>510945.62673821137</v>
      </c>
      <c r="W74" s="16">
        <f t="shared" ca="1" si="49"/>
        <v>534513.7280434873</v>
      </c>
      <c r="X74" s="16">
        <f t="shared" ca="1" si="49"/>
        <v>559058.32338269462</v>
      </c>
      <c r="Y74" s="16">
        <f t="shared" ca="1" si="49"/>
        <v>584617.98999089038</v>
      </c>
      <c r="Z74" s="16">
        <f t="shared" ca="1" si="49"/>
        <v>611232.83731428208</v>
      </c>
      <c r="AA74" s="16">
        <f t="shared" ca="1" si="49"/>
        <v>638944.57200608484</v>
      </c>
      <c r="AB74" s="16">
        <f t="shared" ca="1" si="49"/>
        <v>667796.56610995822</v>
      </c>
      <c r="AC74" s="16">
        <f t="shared" ca="1" si="49"/>
        <v>697833.92862380028</v>
      </c>
      <c r="AD74" s="16">
        <f t="shared" ca="1" si="49"/>
        <v>729103.58065090689</v>
      </c>
      <c r="AE74" s="16">
        <f t="shared" ca="1" si="49"/>
        <v>761654.33436096448</v>
      </c>
      <c r="AF74" s="16">
        <f t="shared" ca="1" si="49"/>
        <v>795536.97600009153</v>
      </c>
      <c r="AG74" s="16">
        <f t="shared" ca="1" si="49"/>
        <v>830804.35320732906</v>
      </c>
      <c r="AI74" s="16">
        <f t="shared" si="49"/>
        <v>673622.38600000017</v>
      </c>
      <c r="AJ74" s="16">
        <f t="shared" ca="1" si="49"/>
        <v>1520858.3779100564</v>
      </c>
      <c r="AK74" s="16">
        <f t="shared" ca="1" si="49"/>
        <v>1826361.8690536649</v>
      </c>
      <c r="AL74" s="16">
        <f t="shared" ca="1" si="49"/>
        <v>2189135.6681552837</v>
      </c>
      <c r="AM74" s="16">
        <f t="shared" ca="1" si="49"/>
        <v>2615807.9040541253</v>
      </c>
      <c r="AN74" s="16">
        <f t="shared" ca="1" si="49"/>
        <v>3117099.2442192924</v>
      </c>
    </row>
    <row r="76" spans="2:40" x14ac:dyDescent="0.25">
      <c r="K76" s="4" t="s">
        <v>191</v>
      </c>
      <c r="L76" s="90"/>
      <c r="M76" s="110">
        <f>'Quarterly Historical Financials'!AC20</f>
        <v>-119879.86300000001</v>
      </c>
      <c r="N76" s="90">
        <f t="shared" ref="N76:AG76" ca="1" si="50">N74*$I69</f>
        <v>-57328.042884286886</v>
      </c>
      <c r="O76" s="90">
        <f t="shared" ca="1" si="50"/>
        <v>-59652.860303540227</v>
      </c>
      <c r="P76" s="90">
        <f t="shared" ca="1" si="50"/>
        <v>-62503.140030434166</v>
      </c>
      <c r="Q76" s="90">
        <f t="shared" ca="1" si="50"/>
        <v>-65473.330771321314</v>
      </c>
      <c r="R76" s="90">
        <f t="shared" ca="1" si="50"/>
        <v>-68568.174082015888</v>
      </c>
      <c r="S76" s="90">
        <f t="shared" ca="1" si="50"/>
        <v>-71792.597197848765</v>
      </c>
      <c r="T76" s="90">
        <f t="shared" ca="1" si="50"/>
        <v>-75151.720618826555</v>
      </c>
      <c r="U76" s="90">
        <f t="shared" ca="1" si="50"/>
        <v>-78650.866041892688</v>
      </c>
      <c r="V76" s="90">
        <f t="shared" ca="1" si="50"/>
        <v>-82295.564659509459</v>
      </c>
      <c r="W76" s="90">
        <f t="shared" ca="1" si="50"/>
        <v>-86091.565845099321</v>
      </c>
      <c r="X76" s="90">
        <f t="shared" ca="1" si="50"/>
        <v>-90044.84624730963</v>
      </c>
      <c r="Y76" s="90">
        <f t="shared" ca="1" si="50"/>
        <v>-94161.619316605327</v>
      </c>
      <c r="Z76" s="90">
        <f t="shared" ca="1" si="50"/>
        <v>-98448.345289362042</v>
      </c>
      <c r="AA76" s="90">
        <f t="shared" ca="1" si="50"/>
        <v>-102911.7416564375</v>
      </c>
      <c r="AB76" s="90">
        <f t="shared" ca="1" si="50"/>
        <v>-107558.79414515103</v>
      </c>
      <c r="AC76" s="90">
        <f t="shared" ca="1" si="50"/>
        <v>-112396.76824572112</v>
      </c>
      <c r="AD76" s="90">
        <f t="shared" ca="1" si="50"/>
        <v>-117433.22131550264</v>
      </c>
      <c r="AE76" s="90">
        <f t="shared" ca="1" si="50"/>
        <v>-122676.0152968558</v>
      </c>
      <c r="AF76" s="90">
        <f t="shared" ca="1" si="50"/>
        <v>-128133.33008717581</v>
      </c>
      <c r="AG76" s="90">
        <f t="shared" ca="1" si="50"/>
        <v>-133813.67760254181</v>
      </c>
      <c r="AI76" s="90">
        <f t="shared" ref="AI76:AN76" si="51">SUMIF($M$2:$AG$2,AI$2,$M76:$AG76)</f>
        <v>-119879.86300000001</v>
      </c>
      <c r="AJ76" s="90">
        <f t="shared" ca="1" si="51"/>
        <v>-244957.37398958259</v>
      </c>
      <c r="AK76" s="90">
        <f t="shared" ca="1" si="51"/>
        <v>-294163.3579405839</v>
      </c>
      <c r="AL76" s="90">
        <f t="shared" ca="1" si="51"/>
        <v>-352593.59606852377</v>
      </c>
      <c r="AM76" s="90">
        <f t="shared" ca="1" si="51"/>
        <v>-421315.64933667169</v>
      </c>
      <c r="AN76" s="90">
        <f t="shared" ca="1" si="51"/>
        <v>-502056.24430207605</v>
      </c>
    </row>
    <row r="78" spans="2:40" x14ac:dyDescent="0.25">
      <c r="D78" s="96" t="s">
        <v>194</v>
      </c>
      <c r="E78" s="108" t="s">
        <v>238</v>
      </c>
      <c r="F78" s="98" t="s">
        <v>227</v>
      </c>
      <c r="G78" s="98" t="s">
        <v>231</v>
      </c>
      <c r="H78" s="98" t="s">
        <v>228</v>
      </c>
      <c r="I78" s="98" t="s">
        <v>232</v>
      </c>
    </row>
    <row r="79" spans="2:40" x14ac:dyDescent="0.25">
      <c r="D79" s="2" t="s">
        <v>237</v>
      </c>
      <c r="E79" s="109" t="s">
        <v>246</v>
      </c>
      <c r="F79" s="100">
        <f>AVERAGE('Quarterly Historical Financials'!$D174:$D175)</f>
        <v>-0.13194677583394221</v>
      </c>
      <c r="G79" s="100">
        <f>AVERAGE('Quarterly Historical Financials'!$D173:$D174)/1.1</f>
        <v>-0.20120098960651744</v>
      </c>
      <c r="H79" s="100">
        <f>AVERAGE('Quarterly Historical Financials'!$D172:$D173)</f>
        <v>-0.26778135062911312</v>
      </c>
      <c r="I79" s="30">
        <f>CHOOSE($G$4,F79,G79,H79)</f>
        <v>-0.13194677583394221</v>
      </c>
      <c r="K79" s="4" t="s">
        <v>194</v>
      </c>
      <c r="L79" s="90"/>
      <c r="M79" s="110">
        <f>'Quarterly Historical Financials'!AC22</f>
        <v>-25698.954999999987</v>
      </c>
      <c r="N79" s="90">
        <f t="shared" ref="N79:AG79" ca="1" si="52">N74*$I79</f>
        <v>-46963.900052281504</v>
      </c>
      <c r="O79" s="90">
        <f t="shared" ca="1" si="52"/>
        <v>-48868.421599231835</v>
      </c>
      <c r="P79" s="90">
        <f t="shared" ca="1" si="52"/>
        <v>-51203.408901782524</v>
      </c>
      <c r="Q79" s="90">
        <f t="shared" ca="1" si="52"/>
        <v>-53636.628911975291</v>
      </c>
      <c r="R79" s="90">
        <f t="shared" ca="1" si="52"/>
        <v>-56171.965975797684</v>
      </c>
      <c r="S79" s="90">
        <f t="shared" ca="1" si="52"/>
        <v>-58813.456550382558</v>
      </c>
      <c r="T79" s="90">
        <f t="shared" ca="1" si="52"/>
        <v>-61565.295417871937</v>
      </c>
      <c r="U79" s="90">
        <f t="shared" ca="1" si="52"/>
        <v>-64431.842183631474</v>
      </c>
      <c r="V79" s="90">
        <f t="shared" ca="1" si="52"/>
        <v>-67417.628074559878</v>
      </c>
      <c r="W79" s="90">
        <f t="shared" ca="1" si="52"/>
        <v>-70527.363054318761</v>
      </c>
      <c r="X79" s="90">
        <f t="shared" ca="1" si="52"/>
        <v>-73765.943273475976</v>
      </c>
      <c r="Y79" s="90">
        <f t="shared" ca="1" si="52"/>
        <v>-77138.458873817886</v>
      </c>
      <c r="Z79" s="90">
        <f t="shared" ca="1" si="52"/>
        <v>-80650.202167452051</v>
      </c>
      <c r="AA79" s="90">
        <f t="shared" ca="1" si="52"/>
        <v>-84306.676212801016</v>
      </c>
      <c r="AB79" s="90">
        <f t="shared" ca="1" si="52"/>
        <v>-88113.603811187029</v>
      </c>
      <c r="AC79" s="90">
        <f t="shared" ca="1" si="52"/>
        <v>-92076.9369494438</v>
      </c>
      <c r="AD79" s="90">
        <f t="shared" ca="1" si="52"/>
        <v>-96202.866715869823</v>
      </c>
      <c r="AE79" s="90">
        <f t="shared" ca="1" si="52"/>
        <v>-100497.83371887665</v>
      </c>
      <c r="AF79" s="90">
        <f t="shared" ca="1" si="52"/>
        <v>-104968.53903989634</v>
      </c>
      <c r="AG79" s="90">
        <f t="shared" ca="1" si="52"/>
        <v>-109621.9557545108</v>
      </c>
      <c r="AI79" s="90">
        <f t="shared" ref="AI79:AN79" si="53">SUMIF($M$2:$AG$2,AI$2,$M79:$AG79)</f>
        <v>-25698.954999999987</v>
      </c>
      <c r="AJ79" s="90">
        <f t="shared" ca="1" si="53"/>
        <v>-200672.35946527118</v>
      </c>
      <c r="AK79" s="90">
        <f t="shared" ca="1" si="53"/>
        <v>-240982.56012768365</v>
      </c>
      <c r="AL79" s="90">
        <f t="shared" ca="1" si="53"/>
        <v>-288849.39327617252</v>
      </c>
      <c r="AM79" s="90">
        <f t="shared" ca="1" si="53"/>
        <v>-345147.4191408839</v>
      </c>
      <c r="AN79" s="90">
        <f t="shared" ca="1" si="53"/>
        <v>-411291.19522915361</v>
      </c>
    </row>
    <row r="82" spans="2:40" x14ac:dyDescent="0.25">
      <c r="B82" s="95">
        <v>6</v>
      </c>
      <c r="D82" s="21" t="s">
        <v>248</v>
      </c>
      <c r="E82" s="21"/>
      <c r="F82" s="21"/>
      <c r="G82" s="21"/>
      <c r="H82" s="21"/>
      <c r="I82" s="21"/>
      <c r="J82" s="19"/>
      <c r="K82" s="19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I82" s="20"/>
      <c r="AJ82" s="20"/>
      <c r="AK82" s="20"/>
      <c r="AL82" s="20"/>
      <c r="AM82" s="20"/>
      <c r="AN82" s="20"/>
    </row>
    <row r="83" spans="2:40" x14ac:dyDescent="0.25">
      <c r="D83" s="96" t="s">
        <v>117</v>
      </c>
      <c r="E83" s="108" t="s">
        <v>238</v>
      </c>
      <c r="F83" s="98" t="s">
        <v>227</v>
      </c>
      <c r="G83" s="98" t="s">
        <v>231</v>
      </c>
      <c r="H83" s="98" t="s">
        <v>228</v>
      </c>
      <c r="I83" s="98" t="s">
        <v>232</v>
      </c>
      <c r="J83" s="96"/>
      <c r="K83" s="96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I83" s="97"/>
      <c r="AJ83" s="97"/>
      <c r="AK83" s="97"/>
      <c r="AL83" s="97"/>
      <c r="AM83" s="97"/>
      <c r="AN83" s="97"/>
    </row>
    <row r="84" spans="2:40" x14ac:dyDescent="0.25">
      <c r="D84" s="2" t="s">
        <v>247</v>
      </c>
      <c r="E84" s="109" t="s">
        <v>253</v>
      </c>
      <c r="F84" s="100">
        <f>AVERAGE('Quarterly Historical Financials'!$D194:$D195)/2</f>
        <v>3.5861081358641245E-2</v>
      </c>
      <c r="G84" s="100">
        <f>AVERAGE('Quarterly Historical Financials'!$D193:$D194)/2</f>
        <v>5.210078417578369E-2</v>
      </c>
      <c r="H84" s="100">
        <f>AVERAGE('Quarterly Historical Financials'!$D192:$D193)/2</f>
        <v>6.1738612528713502E-2</v>
      </c>
      <c r="I84" s="30">
        <f>CHOOSE($G$4,F84,G84,H84)</f>
        <v>3.5861081358641245E-2</v>
      </c>
    </row>
    <row r="85" spans="2:40" x14ac:dyDescent="0.25">
      <c r="K85" s="4" t="s">
        <v>117</v>
      </c>
      <c r="L85" s="110">
        <f>'Quarterly Historical Financials'!AB190</f>
        <v>13833495</v>
      </c>
      <c r="M85" s="110">
        <f>'Quarterly Historical Financials'!AC190</f>
        <v>16642449.622</v>
      </c>
      <c r="N85" s="90">
        <f t="shared" ref="N85:AF85" si="54">M85*(1+$I84)</f>
        <v>17239265.86190163</v>
      </c>
      <c r="O85" s="90">
        <f t="shared" si="54"/>
        <v>17857484.577538531</v>
      </c>
      <c r="P85" s="90">
        <f t="shared" si="54"/>
        <v>18497873.284834322</v>
      </c>
      <c r="Q85" s="90">
        <f t="shared" si="54"/>
        <v>19161227.023663603</v>
      </c>
      <c r="R85" s="90">
        <f t="shared" si="54"/>
        <v>19848369.344890598</v>
      </c>
      <c r="S85" s="90">
        <f t="shared" si="54"/>
        <v>20560153.33280408</v>
      </c>
      <c r="T85" s="90">
        <f t="shared" si="54"/>
        <v>21297462.664217908</v>
      </c>
      <c r="U85" s="90">
        <f t="shared" si="54"/>
        <v>22061212.705552053</v>
      </c>
      <c r="V85" s="90">
        <f t="shared" si="54"/>
        <v>22852351.649256147</v>
      </c>
      <c r="W85" s="90">
        <f t="shared" si="54"/>
        <v>23671861.690986402</v>
      </c>
      <c r="X85" s="90">
        <f t="shared" si="54"/>
        <v>24520760.248997372</v>
      </c>
      <c r="Y85" s="90">
        <f t="shared" si="54"/>
        <v>25400101.227262404</v>
      </c>
      <c r="Z85" s="90">
        <f t="shared" si="54"/>
        <v>26310976.323890984</v>
      </c>
      <c r="AA85" s="90">
        <f t="shared" si="54"/>
        <v>27254516.386467323</v>
      </c>
      <c r="AB85" s="90">
        <f t="shared" si="54"/>
        <v>28231892.815992851</v>
      </c>
      <c r="AC85" s="90">
        <f t="shared" si="54"/>
        <v>29244319.021175612</v>
      </c>
      <c r="AD85" s="90">
        <f t="shared" si="54"/>
        <v>30293051.924872052</v>
      </c>
      <c r="AE85" s="90">
        <f t="shared" si="54"/>
        <v>31379393.524551433</v>
      </c>
      <c r="AF85" s="90">
        <f t="shared" si="54"/>
        <v>32504692.508720193</v>
      </c>
      <c r="AG85" s="90">
        <f>AF85*(1+$I84)</f>
        <v>33670345.931313023</v>
      </c>
      <c r="AI85" s="90">
        <f t="shared" ref="AI85:AN85" si="55">SUMIF($M$4:$AG$4,AI$4,$M85:$AG85)</f>
        <v>16642449.622</v>
      </c>
      <c r="AJ85" s="90">
        <f t="shared" si="55"/>
        <v>19161227.023663603</v>
      </c>
      <c r="AK85" s="90">
        <f t="shared" si="55"/>
        <v>22061212.705552053</v>
      </c>
      <c r="AL85" s="90">
        <f t="shared" si="55"/>
        <v>25400101.227262404</v>
      </c>
      <c r="AM85" s="90">
        <f t="shared" si="55"/>
        <v>29244319.021175612</v>
      </c>
      <c r="AN85" s="90">
        <f t="shared" si="55"/>
        <v>33670345.931313023</v>
      </c>
    </row>
    <row r="87" spans="2:40" x14ac:dyDescent="0.25">
      <c r="D87" s="96" t="s">
        <v>114</v>
      </c>
      <c r="E87" s="108" t="s">
        <v>238</v>
      </c>
      <c r="F87" s="98" t="s">
        <v>227</v>
      </c>
      <c r="G87" s="98" t="s">
        <v>231</v>
      </c>
      <c r="H87" s="98" t="s">
        <v>228</v>
      </c>
      <c r="I87" s="98" t="s">
        <v>232</v>
      </c>
      <c r="J87" s="96"/>
      <c r="K87" s="96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I87" s="97"/>
      <c r="AJ87" s="97"/>
      <c r="AK87" s="97"/>
      <c r="AL87" s="97"/>
      <c r="AM87" s="97"/>
      <c r="AN87" s="97"/>
    </row>
    <row r="88" spans="2:40" x14ac:dyDescent="0.25">
      <c r="D88" s="2" t="s">
        <v>202</v>
      </c>
      <c r="E88" s="109" t="s">
        <v>249</v>
      </c>
      <c r="F88" s="111">
        <f>AVERAGE('Quarterly Historical Financials'!$D203:$D204)</f>
        <v>0.17033941800527178</v>
      </c>
      <c r="G88" s="111">
        <f>AVERAGE('Quarterly Historical Financials'!$D202:$D203)</f>
        <v>0.21970257893925849</v>
      </c>
      <c r="H88" s="111">
        <f>AVERAGE('Quarterly Historical Financials'!$D201:$D202)</f>
        <v>0.25160932497376765</v>
      </c>
      <c r="I88" s="112">
        <f>CHOOSE($G$4,F88,G88,H88)</f>
        <v>0.17033941800527178</v>
      </c>
    </row>
    <row r="89" spans="2:40" x14ac:dyDescent="0.25">
      <c r="D89" s="2" t="s">
        <v>250</v>
      </c>
      <c r="E89" s="109" t="s">
        <v>207</v>
      </c>
      <c r="F89" s="100">
        <f>AVERAGE('Quarterly Historical Financials'!$D210:$D211)</f>
        <v>-1.3357048040915163E-2</v>
      </c>
      <c r="G89" s="100">
        <f>AVERAGE('Quarterly Historical Financials'!$D209:$D210)</f>
        <v>-1.306243654984536E-2</v>
      </c>
      <c r="H89" s="100">
        <f>AVERAGE('Quarterly Historical Financials'!$D208:$D209)</f>
        <v>-1.1708222080362729E-2</v>
      </c>
      <c r="I89" s="30">
        <f>CHOOSE($G$4,F89,G89,H89)</f>
        <v>-1.3357048040915163E-2</v>
      </c>
      <c r="K89" s="2" t="s">
        <v>173</v>
      </c>
      <c r="L89" s="113">
        <f>'Quarterly Historical Financials'!AA199</f>
        <v>1414797</v>
      </c>
      <c r="M89" s="113">
        <f>'Quarterly Historical Financials'!AB199</f>
        <v>1516490</v>
      </c>
      <c r="N89" s="6">
        <f>M92</f>
        <v>1947024.824</v>
      </c>
      <c r="O89" s="6">
        <f t="shared" ref="O89:AG89" si="56">N92</f>
        <v>2936526.5137544735</v>
      </c>
      <c r="P89" s="6">
        <f t="shared" si="56"/>
        <v>3041833.5299760299</v>
      </c>
      <c r="Q89" s="6">
        <f t="shared" si="56"/>
        <v>3150916.9696739432</v>
      </c>
      <c r="R89" s="6">
        <f t="shared" si="56"/>
        <v>3263912.2594777439</v>
      </c>
      <c r="S89" s="6">
        <f t="shared" si="56"/>
        <v>3380959.6825623419</v>
      </c>
      <c r="T89" s="6">
        <f t="shared" si="56"/>
        <v>3502204.5528089958</v>
      </c>
      <c r="U89" s="6">
        <f t="shared" si="56"/>
        <v>3627797.3952118834</v>
      </c>
      <c r="V89" s="6">
        <f t="shared" si="56"/>
        <v>3757894.1327542439</v>
      </c>
      <c r="W89" s="6">
        <f t="shared" si="56"/>
        <v>3892656.2799861049</v>
      </c>
      <c r="X89" s="6">
        <f t="shared" si="56"/>
        <v>4032251.1435439126</v>
      </c>
      <c r="Y89" s="6">
        <f t="shared" si="56"/>
        <v>4176852.0298610153</v>
      </c>
      <c r="Z89" s="6">
        <f t="shared" si="56"/>
        <v>4326638.4603268672</v>
      </c>
      <c r="AA89" s="6">
        <f t="shared" si="56"/>
        <v>4481796.3941620756</v>
      </c>
      <c r="AB89" s="6">
        <f t="shared" si="56"/>
        <v>4642518.4592859866</v>
      </c>
      <c r="AC89" s="6">
        <f t="shared" si="56"/>
        <v>4809004.1914634351</v>
      </c>
      <c r="AD89" s="6">
        <f t="shared" si="56"/>
        <v>4981460.2820275528</v>
      </c>
      <c r="AE89" s="6">
        <f t="shared" si="56"/>
        <v>5160100.8344861828</v>
      </c>
      <c r="AF89" s="6">
        <f t="shared" si="56"/>
        <v>5345147.6303304853</v>
      </c>
      <c r="AG89" s="6">
        <f t="shared" si="56"/>
        <v>5536830.4043757152</v>
      </c>
      <c r="AI89" s="6">
        <f t="shared" ref="AI89" si="57">SUMIF($M$4:$AG$4,AI$4,$M89:$AG89)</f>
        <v>1516490</v>
      </c>
      <c r="AJ89" s="6">
        <f>AI92</f>
        <v>1947024.8239999998</v>
      </c>
      <c r="AK89" s="6">
        <f t="shared" ref="AK89:AN89" si="58">AJ92</f>
        <v>3263912.2594777434</v>
      </c>
      <c r="AL89" s="6">
        <f t="shared" si="58"/>
        <v>3757894.132754243</v>
      </c>
      <c r="AM89" s="6">
        <f t="shared" si="58"/>
        <v>4326638.4603268672</v>
      </c>
      <c r="AN89" s="6">
        <f t="shared" si="58"/>
        <v>4981460.2820275528</v>
      </c>
    </row>
    <row r="90" spans="2:40" x14ac:dyDescent="0.25">
      <c r="K90" s="2" t="s">
        <v>251</v>
      </c>
      <c r="L90" s="113">
        <f>L92-SUM(L89,L91)</f>
        <v>55033</v>
      </c>
      <c r="M90" s="113">
        <f>M92-SUM(M89,M91)</f>
        <v>608840.22</v>
      </c>
      <c r="N90" s="6">
        <f t="shared" ref="N90:AG90" si="59">N92-SUM(N89,N91)</f>
        <v>1015508.193865496</v>
      </c>
      <c r="O90" s="6">
        <f t="shared" si="59"/>
        <v>144530.34193919599</v>
      </c>
      <c r="P90" s="6">
        <f t="shared" si="59"/>
        <v>149713.35629026964</v>
      </c>
      <c r="Q90" s="6">
        <f t="shared" si="59"/>
        <v>155082.23914067028</v>
      </c>
      <c r="R90" s="6">
        <f t="shared" si="59"/>
        <v>160643.65593577409</v>
      </c>
      <c r="S90" s="6">
        <f t="shared" si="59"/>
        <v>166404.51115103625</v>
      </c>
      <c r="T90" s="6">
        <f t="shared" si="59"/>
        <v>172371.95686386898</v>
      </c>
      <c r="U90" s="6">
        <f t="shared" si="59"/>
        <v>178553.40163291246</v>
      </c>
      <c r="V90" s="6">
        <f t="shared" si="59"/>
        <v>184956.51969573274</v>
      </c>
      <c r="W90" s="6">
        <f t="shared" si="59"/>
        <v>191589.26049635233</v>
      </c>
      <c r="X90" s="6">
        <f t="shared" si="59"/>
        <v>198459.85855445405</v>
      </c>
      <c r="Y90" s="6">
        <f t="shared" si="59"/>
        <v>205576.84368849965</v>
      </c>
      <c r="Z90" s="6">
        <f t="shared" si="59"/>
        <v>212949.05160546582</v>
      </c>
      <c r="AA90" s="6">
        <f t="shared" si="59"/>
        <v>220585.63487033453</v>
      </c>
      <c r="AB90" s="6">
        <f t="shared" si="59"/>
        <v>228496.07426896691</v>
      </c>
      <c r="AC90" s="6">
        <f t="shared" si="59"/>
        <v>236690.19057845697</v>
      </c>
      <c r="AD90" s="6">
        <f t="shared" si="59"/>
        <v>245178.15675958246</v>
      </c>
      <c r="AE90" s="6">
        <f t="shared" si="59"/>
        <v>253970.5105865011</v>
      </c>
      <c r="AF90" s="6">
        <f t="shared" si="59"/>
        <v>263078.1677293377</v>
      </c>
      <c r="AG90" s="6">
        <f t="shared" si="59"/>
        <v>272512.43530596141</v>
      </c>
      <c r="AI90" s="6">
        <f t="shared" ref="AI90:AN91" si="60">SUMIF($M$2:$AG$2,AI$2,$M90:$AG90)</f>
        <v>608840.22</v>
      </c>
      <c r="AJ90" s="6">
        <f t="shared" si="60"/>
        <v>1464834.1312356319</v>
      </c>
      <c r="AK90" s="6">
        <f t="shared" si="60"/>
        <v>677973.52558359178</v>
      </c>
      <c r="AL90" s="6">
        <f t="shared" si="60"/>
        <v>780582.48243503878</v>
      </c>
      <c r="AM90" s="6">
        <f t="shared" si="60"/>
        <v>898720.95132322423</v>
      </c>
      <c r="AN90" s="6">
        <f t="shared" si="60"/>
        <v>1034739.2703813827</v>
      </c>
    </row>
    <row r="91" spans="2:40" x14ac:dyDescent="0.25">
      <c r="K91" s="2" t="s">
        <v>250</v>
      </c>
      <c r="L91" s="113">
        <f>'Quarterly Historical Financials'!AB206</f>
        <v>46660</v>
      </c>
      <c r="M91" s="113">
        <f>'Quarterly Historical Financials'!AC206</f>
        <v>-178305.39600000001</v>
      </c>
      <c r="N91" s="6">
        <f t="shared" ref="N91:AG91" si="61">N89*$I89</f>
        <v>-26006.50411102239</v>
      </c>
      <c r="O91" s="6">
        <f t="shared" si="61"/>
        <v>-39223.325717639622</v>
      </c>
      <c r="P91" s="6">
        <f t="shared" si="61"/>
        <v>-40629.916592356385</v>
      </c>
      <c r="Q91" s="6">
        <f t="shared" si="61"/>
        <v>-42086.949336869686</v>
      </c>
      <c r="R91" s="6">
        <f t="shared" si="61"/>
        <v>-43596.232851176181</v>
      </c>
      <c r="S91" s="6">
        <f t="shared" si="61"/>
        <v>-45159.640904382482</v>
      </c>
      <c r="T91" s="6">
        <f t="shared" si="61"/>
        <v>-46779.114460981567</v>
      </c>
      <c r="U91" s="6">
        <f t="shared" si="61"/>
        <v>-48456.664090552018</v>
      </c>
      <c r="V91" s="6">
        <f t="shared" si="61"/>
        <v>-50194.372463871659</v>
      </c>
      <c r="W91" s="6">
        <f t="shared" si="61"/>
        <v>-51994.396938544509</v>
      </c>
      <c r="X91" s="6">
        <f t="shared" si="61"/>
        <v>-53858.972237351147</v>
      </c>
      <c r="Y91" s="6">
        <f t="shared" si="61"/>
        <v>-55790.413222647599</v>
      </c>
      <c r="Z91" s="6">
        <f t="shared" si="61"/>
        <v>-57791.11777025718</v>
      </c>
      <c r="AA91" s="6">
        <f t="shared" si="61"/>
        <v>-59863.569746423193</v>
      </c>
      <c r="AB91" s="6">
        <f t="shared" si="61"/>
        <v>-62010.342091518367</v>
      </c>
      <c r="AC91" s="6">
        <f t="shared" si="61"/>
        <v>-64234.100014339485</v>
      </c>
      <c r="AD91" s="6">
        <f t="shared" si="61"/>
        <v>-66537.604300952822</v>
      </c>
      <c r="AE91" s="6">
        <f t="shared" si="61"/>
        <v>-68923.714742198368</v>
      </c>
      <c r="AF91" s="6">
        <f t="shared" si="61"/>
        <v>-71395.39368410813</v>
      </c>
      <c r="AG91" s="6">
        <f t="shared" si="61"/>
        <v>-73955.709705646164</v>
      </c>
      <c r="AI91" s="6">
        <f t="shared" si="60"/>
        <v>-178305.39600000001</v>
      </c>
      <c r="AJ91" s="6">
        <f t="shared" si="60"/>
        <v>-147946.69575788808</v>
      </c>
      <c r="AK91" s="6">
        <f t="shared" si="60"/>
        <v>-183991.65230709224</v>
      </c>
      <c r="AL91" s="6">
        <f t="shared" si="60"/>
        <v>-211838.1548624149</v>
      </c>
      <c r="AM91" s="6">
        <f t="shared" si="60"/>
        <v>-243899.12962253822</v>
      </c>
      <c r="AN91" s="6">
        <f t="shared" si="60"/>
        <v>-280812.42243290547</v>
      </c>
    </row>
    <row r="92" spans="2:40" x14ac:dyDescent="0.25">
      <c r="K92" s="8" t="s">
        <v>252</v>
      </c>
      <c r="L92" s="114">
        <f>L94</f>
        <v>1516490</v>
      </c>
      <c r="M92" s="114">
        <f>M94</f>
        <v>1947024.824</v>
      </c>
      <c r="N92" s="16">
        <f t="shared" ref="N92:AG92" si="62">N94</f>
        <v>2936526.5137544735</v>
      </c>
      <c r="O92" s="16">
        <f t="shared" si="62"/>
        <v>3041833.5299760299</v>
      </c>
      <c r="P92" s="16">
        <f t="shared" si="62"/>
        <v>3150916.9696739432</v>
      </c>
      <c r="Q92" s="16">
        <f t="shared" si="62"/>
        <v>3263912.2594777439</v>
      </c>
      <c r="R92" s="16">
        <f t="shared" si="62"/>
        <v>3380959.6825623419</v>
      </c>
      <c r="S92" s="16">
        <f t="shared" si="62"/>
        <v>3502204.5528089958</v>
      </c>
      <c r="T92" s="16">
        <f t="shared" si="62"/>
        <v>3627797.3952118834</v>
      </c>
      <c r="U92" s="16">
        <f t="shared" si="62"/>
        <v>3757894.1327542439</v>
      </c>
      <c r="V92" s="16">
        <f t="shared" si="62"/>
        <v>3892656.2799861049</v>
      </c>
      <c r="W92" s="16">
        <f t="shared" si="62"/>
        <v>4032251.1435439126</v>
      </c>
      <c r="X92" s="16">
        <f t="shared" si="62"/>
        <v>4176852.0298610153</v>
      </c>
      <c r="Y92" s="16">
        <f t="shared" si="62"/>
        <v>4326638.4603268672</v>
      </c>
      <c r="Z92" s="16">
        <f t="shared" si="62"/>
        <v>4481796.3941620756</v>
      </c>
      <c r="AA92" s="16">
        <f t="shared" si="62"/>
        <v>4642518.4592859866</v>
      </c>
      <c r="AB92" s="16">
        <f t="shared" si="62"/>
        <v>4809004.1914634351</v>
      </c>
      <c r="AC92" s="16">
        <f t="shared" si="62"/>
        <v>4981460.2820275528</v>
      </c>
      <c r="AD92" s="16">
        <f t="shared" si="62"/>
        <v>5160100.8344861828</v>
      </c>
      <c r="AE92" s="16">
        <f t="shared" si="62"/>
        <v>5345147.6303304853</v>
      </c>
      <c r="AF92" s="16">
        <f t="shared" si="62"/>
        <v>5536830.4043757152</v>
      </c>
      <c r="AG92" s="16">
        <f t="shared" si="62"/>
        <v>5735387.1299760304</v>
      </c>
      <c r="AI92" s="16">
        <f>SUM(AI89:AI91)</f>
        <v>1947024.8239999998</v>
      </c>
      <c r="AJ92" s="16">
        <f t="shared" ref="AJ92:AN92" si="63">SUM(AJ89:AJ91)</f>
        <v>3263912.2594777434</v>
      </c>
      <c r="AK92" s="16">
        <f t="shared" si="63"/>
        <v>3757894.132754243</v>
      </c>
      <c r="AL92" s="16">
        <f t="shared" si="63"/>
        <v>4326638.4603268672</v>
      </c>
      <c r="AM92" s="16">
        <f t="shared" si="63"/>
        <v>4981460.2820275528</v>
      </c>
      <c r="AN92" s="16">
        <f t="shared" si="63"/>
        <v>5735387.1299760304</v>
      </c>
    </row>
    <row r="93" spans="2:40" x14ac:dyDescent="0.25">
      <c r="K93" s="4"/>
      <c r="L93" s="11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I93" s="90"/>
      <c r="AJ93" s="90"/>
      <c r="AK93" s="90"/>
      <c r="AL93" s="90"/>
      <c r="AM93" s="90"/>
      <c r="AN93" s="90"/>
    </row>
    <row r="94" spans="2:40" x14ac:dyDescent="0.25">
      <c r="K94" s="4" t="s">
        <v>22</v>
      </c>
      <c r="L94" s="110">
        <f>'Quarterly Historical Financials'!AB199</f>
        <v>1516490</v>
      </c>
      <c r="M94" s="110">
        <f>'Quarterly Historical Financials'!AC199</f>
        <v>1947024.824</v>
      </c>
      <c r="N94" s="90">
        <f t="shared" ref="N94:AG94" si="64">N85*$I88</f>
        <v>2936526.5137544735</v>
      </c>
      <c r="O94" s="90">
        <f t="shared" si="64"/>
        <v>3041833.5299760299</v>
      </c>
      <c r="P94" s="90">
        <f t="shared" si="64"/>
        <v>3150916.9696739432</v>
      </c>
      <c r="Q94" s="90">
        <f t="shared" si="64"/>
        <v>3263912.2594777439</v>
      </c>
      <c r="R94" s="90">
        <f t="shared" si="64"/>
        <v>3380959.6825623419</v>
      </c>
      <c r="S94" s="90">
        <f t="shared" si="64"/>
        <v>3502204.5528089958</v>
      </c>
      <c r="T94" s="90">
        <f t="shared" si="64"/>
        <v>3627797.3952118834</v>
      </c>
      <c r="U94" s="90">
        <f t="shared" si="64"/>
        <v>3757894.1327542439</v>
      </c>
      <c r="V94" s="90">
        <f t="shared" si="64"/>
        <v>3892656.2799861049</v>
      </c>
      <c r="W94" s="90">
        <f t="shared" si="64"/>
        <v>4032251.1435439126</v>
      </c>
      <c r="X94" s="90">
        <f t="shared" si="64"/>
        <v>4176852.0298610153</v>
      </c>
      <c r="Y94" s="90">
        <f t="shared" si="64"/>
        <v>4326638.4603268672</v>
      </c>
      <c r="Z94" s="90">
        <f t="shared" si="64"/>
        <v>4481796.3941620756</v>
      </c>
      <c r="AA94" s="90">
        <f t="shared" si="64"/>
        <v>4642518.4592859866</v>
      </c>
      <c r="AB94" s="90">
        <f t="shared" si="64"/>
        <v>4809004.1914634351</v>
      </c>
      <c r="AC94" s="90">
        <f t="shared" si="64"/>
        <v>4981460.2820275528</v>
      </c>
      <c r="AD94" s="90">
        <f t="shared" si="64"/>
        <v>5160100.8344861828</v>
      </c>
      <c r="AE94" s="90">
        <f t="shared" si="64"/>
        <v>5345147.6303304853</v>
      </c>
      <c r="AF94" s="90">
        <f t="shared" si="64"/>
        <v>5536830.4043757152</v>
      </c>
      <c r="AG94" s="90">
        <f t="shared" si="64"/>
        <v>5735387.1299760304</v>
      </c>
      <c r="AI94" s="90">
        <f t="shared" ref="AI94:AN94" si="65">SUMIF($M$4:$AG$4,AI$4,$M94:$AG94)</f>
        <v>1947024.824</v>
      </c>
      <c r="AJ94" s="90">
        <f t="shared" si="65"/>
        <v>3263912.2594777439</v>
      </c>
      <c r="AK94" s="90">
        <f t="shared" si="65"/>
        <v>3757894.1327542439</v>
      </c>
      <c r="AL94" s="90">
        <f t="shared" si="65"/>
        <v>4326638.4603268672</v>
      </c>
      <c r="AM94" s="90">
        <f t="shared" si="65"/>
        <v>4981460.2820275528</v>
      </c>
      <c r="AN94" s="90">
        <f t="shared" si="65"/>
        <v>5735387.1299760304</v>
      </c>
    </row>
    <row r="95" spans="2:40" x14ac:dyDescent="0.25">
      <c r="K95" s="4"/>
      <c r="L95" s="11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I95" s="90"/>
      <c r="AJ95" s="90"/>
      <c r="AK95" s="90"/>
      <c r="AL95" s="90"/>
      <c r="AM95" s="90"/>
      <c r="AN95" s="90"/>
    </row>
    <row r="96" spans="2:40" x14ac:dyDescent="0.25"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4:40" x14ac:dyDescent="0.25">
      <c r="D97" s="96" t="s">
        <v>116</v>
      </c>
      <c r="E97" s="108" t="s">
        <v>238</v>
      </c>
      <c r="F97" s="98" t="s">
        <v>227</v>
      </c>
      <c r="G97" s="98" t="s">
        <v>231</v>
      </c>
      <c r="H97" s="98" t="s">
        <v>228</v>
      </c>
      <c r="I97" s="98" t="s">
        <v>232</v>
      </c>
      <c r="J97" s="96"/>
      <c r="K97" s="96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I97" s="97"/>
      <c r="AJ97" s="97"/>
      <c r="AK97" s="97"/>
      <c r="AL97" s="97"/>
      <c r="AM97" s="97"/>
      <c r="AN97" s="97"/>
    </row>
    <row r="98" spans="4:40" x14ac:dyDescent="0.25">
      <c r="D98" s="2" t="s">
        <v>203</v>
      </c>
      <c r="E98" s="109" t="s">
        <v>249</v>
      </c>
      <c r="F98" s="111">
        <f>AVERAGE('Quarterly Historical Financials'!$D219:$D220)</f>
        <v>0.23702242982283664</v>
      </c>
      <c r="G98" s="111">
        <f>AVERAGE('Quarterly Historical Financials'!$D218:$D219)*0.95</f>
        <v>0.28385813902647983</v>
      </c>
      <c r="H98" s="111">
        <f>AVERAGE('Quarterly Historical Financials'!$D217:$D218)*0.75</f>
        <v>0.31550250778153854</v>
      </c>
      <c r="I98" s="112">
        <f>CHOOSE($G$4,F98,G98,H98)</f>
        <v>0.23702242982283664</v>
      </c>
    </row>
    <row r="99" spans="4:40" x14ac:dyDescent="0.25">
      <c r="K99" s="4" t="s">
        <v>71</v>
      </c>
      <c r="L99" s="110">
        <f>'Quarterly Historical Financials'!AB215</f>
        <v>3580300</v>
      </c>
      <c r="M99" s="110">
        <f>'Quarterly Historical Financials'!AC215</f>
        <v>3178870.372</v>
      </c>
      <c r="N99" s="90">
        <f t="shared" ref="N99:AG99" si="66">N85*$I98</f>
        <v>4086092.6829498024</v>
      </c>
      <c r="O99" s="90">
        <f t="shared" si="66"/>
        <v>4232624.3850920144</v>
      </c>
      <c r="P99" s="90">
        <f t="shared" si="66"/>
        <v>4384410.8725263672</v>
      </c>
      <c r="Q99" s="90">
        <f t="shared" si="66"/>
        <v>4541640.5875357473</v>
      </c>
      <c r="R99" s="90">
        <f t="shared" si="66"/>
        <v>4704508.730147074</v>
      </c>
      <c r="S99" s="90">
        <f t="shared" si="66"/>
        <v>4873217.5004713163</v>
      </c>
      <c r="T99" s="90">
        <f t="shared" si="66"/>
        <v>5047976.3497340726</v>
      </c>
      <c r="U99" s="90">
        <f t="shared" si="66"/>
        <v>5229002.2403083835</v>
      </c>
      <c r="V99" s="90">
        <f t="shared" si="66"/>
        <v>5416519.9150726004</v>
      </c>
      <c r="W99" s="90">
        <f t="shared" si="66"/>
        <v>5610762.1764277192</v>
      </c>
      <c r="X99" s="90">
        <f t="shared" si="66"/>
        <v>5811970.1753205815</v>
      </c>
      <c r="Y99" s="90">
        <f t="shared" si="66"/>
        <v>6020393.7106317496</v>
      </c>
      <c r="Z99" s="90">
        <f t="shared" si="66"/>
        <v>6236291.5392997675</v>
      </c>
      <c r="AA99" s="90">
        <f t="shared" si="66"/>
        <v>6459931.6975668026</v>
      </c>
      <c r="AB99" s="90">
        <f t="shared" si="66"/>
        <v>6691591.833744511</v>
      </c>
      <c r="AC99" s="90">
        <f t="shared" si="66"/>
        <v>6931559.552913243</v>
      </c>
      <c r="AD99" s="90">
        <f t="shared" si="66"/>
        <v>7180132.7739825323</v>
      </c>
      <c r="AE99" s="90">
        <f t="shared" si="66"/>
        <v>7437620.0995561667</v>
      </c>
      <c r="AF99" s="90">
        <f t="shared" si="66"/>
        <v>7704341.1990610156</v>
      </c>
      <c r="AG99" s="90">
        <f t="shared" si="66"/>
        <v>7980627.2056152737</v>
      </c>
      <c r="AI99" s="90">
        <f t="shared" ref="AI99:AN99" si="67">SUMIF($M$4:$AG$4,AI$4,$M99:$AG99)</f>
        <v>3178870.372</v>
      </c>
      <c r="AJ99" s="90">
        <f t="shared" si="67"/>
        <v>4541640.5875357473</v>
      </c>
      <c r="AK99" s="90">
        <f t="shared" si="67"/>
        <v>5229002.2403083835</v>
      </c>
      <c r="AL99" s="90">
        <f t="shared" si="67"/>
        <v>6020393.7106317496</v>
      </c>
      <c r="AM99" s="90">
        <f t="shared" si="67"/>
        <v>6931559.552913243</v>
      </c>
      <c r="AN99" s="90">
        <f t="shared" si="67"/>
        <v>7980627.2056152737</v>
      </c>
    </row>
    <row r="100" spans="4:40" x14ac:dyDescent="0.25">
      <c r="F100" s="6">
        <f>-Assumptions!M210</f>
        <v>-204318.152</v>
      </c>
    </row>
    <row r="101" spans="4:40" x14ac:dyDescent="0.25">
      <c r="D101" s="96" t="s">
        <v>23</v>
      </c>
      <c r="E101" s="108" t="s">
        <v>238</v>
      </c>
      <c r="F101" s="120">
        <f>-Assumptions!M223</f>
        <v>-0.41399999998975545</v>
      </c>
      <c r="G101" s="98" t="s">
        <v>231</v>
      </c>
      <c r="H101" s="98" t="s">
        <v>228</v>
      </c>
      <c r="I101" s="98" t="s">
        <v>232</v>
      </c>
      <c r="J101" s="96"/>
      <c r="K101" s="96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I101" s="97"/>
      <c r="AJ101" s="97"/>
      <c r="AK101" s="97"/>
      <c r="AL101" s="97"/>
      <c r="AM101" s="97"/>
      <c r="AN101" s="97"/>
    </row>
    <row r="102" spans="4:40" x14ac:dyDescent="0.25">
      <c r="D102" s="2" t="s">
        <v>221</v>
      </c>
      <c r="E102" s="109" t="s">
        <v>254</v>
      </c>
      <c r="F102" s="100">
        <f>AVERAGE('Quarterly Historical Financials'!$D231:$D231)</f>
        <v>0</v>
      </c>
      <c r="G102" s="100">
        <f>AVERAGE('Quarterly Historical Financials'!$D231:$D231)</f>
        <v>0</v>
      </c>
      <c r="H102" s="100">
        <f>AVERAGE('Quarterly Historical Financials'!$D231:$D231)</f>
        <v>0</v>
      </c>
      <c r="I102" s="30">
        <f>CHOOSE($G$4,F102,G102,H102)</f>
        <v>0</v>
      </c>
    </row>
    <row r="103" spans="4:40" x14ac:dyDescent="0.25">
      <c r="F103" s="6">
        <f>-Assumptions!M235</f>
        <v>-6669.7539999999863</v>
      </c>
      <c r="K103" s="2" t="s">
        <v>173</v>
      </c>
      <c r="L103" s="113">
        <f>'Quarterly Historical Financials'!AB224</f>
        <v>2082</v>
      </c>
      <c r="M103" s="113">
        <f>'Quarterly Historical Financials'!AC224</f>
        <v>2505</v>
      </c>
      <c r="N103" s="6">
        <f t="shared" ref="N103:AG103" si="68">M105</f>
        <v>2799.3820000000001</v>
      </c>
      <c r="O103" s="6">
        <f t="shared" si="68"/>
        <v>2799.3820000000001</v>
      </c>
      <c r="P103" s="6">
        <f t="shared" si="68"/>
        <v>2799.3820000000001</v>
      </c>
      <c r="Q103" s="6">
        <f t="shared" si="68"/>
        <v>2799.3820000000001</v>
      </c>
      <c r="R103" s="6">
        <f t="shared" si="68"/>
        <v>2799.3820000000001</v>
      </c>
      <c r="S103" s="6">
        <f t="shared" si="68"/>
        <v>2799.3820000000001</v>
      </c>
      <c r="T103" s="6">
        <f t="shared" si="68"/>
        <v>2799.3820000000001</v>
      </c>
      <c r="U103" s="6">
        <f t="shared" si="68"/>
        <v>2799.3820000000001</v>
      </c>
      <c r="V103" s="6">
        <f t="shared" si="68"/>
        <v>2799.3820000000001</v>
      </c>
      <c r="W103" s="6">
        <f t="shared" si="68"/>
        <v>2799.3820000000001</v>
      </c>
      <c r="X103" s="6">
        <f t="shared" si="68"/>
        <v>2799.3820000000001</v>
      </c>
      <c r="Y103" s="6">
        <f t="shared" si="68"/>
        <v>2799.3820000000001</v>
      </c>
      <c r="Z103" s="6">
        <f t="shared" si="68"/>
        <v>2799.3820000000001</v>
      </c>
      <c r="AA103" s="6">
        <f t="shared" si="68"/>
        <v>2799.3820000000001</v>
      </c>
      <c r="AB103" s="6">
        <f t="shared" si="68"/>
        <v>2799.3820000000001</v>
      </c>
      <c r="AC103" s="6">
        <f t="shared" si="68"/>
        <v>2799.3820000000001</v>
      </c>
      <c r="AD103" s="6">
        <f t="shared" si="68"/>
        <v>2799.3820000000001</v>
      </c>
      <c r="AE103" s="6">
        <f t="shared" si="68"/>
        <v>2799.3820000000001</v>
      </c>
      <c r="AF103" s="6">
        <f t="shared" si="68"/>
        <v>2799.3820000000001</v>
      </c>
      <c r="AG103" s="6">
        <f t="shared" si="68"/>
        <v>2799.3820000000001</v>
      </c>
      <c r="AI103" s="6">
        <f t="shared" ref="AI103:AN103" si="69">SUMIF($M$4:$AG$4,AI$4,$M103:$AG103)</f>
        <v>2505</v>
      </c>
      <c r="AJ103" s="6">
        <f t="shared" si="69"/>
        <v>2799.3820000000001</v>
      </c>
      <c r="AK103" s="6">
        <f t="shared" si="69"/>
        <v>2799.3820000000001</v>
      </c>
      <c r="AL103" s="6">
        <f t="shared" si="69"/>
        <v>2799.3820000000001</v>
      </c>
      <c r="AM103" s="6">
        <f t="shared" si="69"/>
        <v>2799.3820000000001</v>
      </c>
      <c r="AN103" s="6">
        <f t="shared" si="69"/>
        <v>2799.3820000000001</v>
      </c>
    </row>
    <row r="104" spans="4:40" x14ac:dyDescent="0.25">
      <c r="F104" s="6">
        <f>-Assumptions!M241</f>
        <v>0</v>
      </c>
      <c r="K104" s="2" t="s">
        <v>205</v>
      </c>
      <c r="L104" s="113">
        <f>'Quarterly Historical Financials'!AB225</f>
        <v>423</v>
      </c>
      <c r="M104" s="113">
        <f>'Quarterly Historical Financials'!AC225</f>
        <v>294.38200000000006</v>
      </c>
      <c r="N104" s="6">
        <f t="shared" ref="N104:AG104" si="70">N103*$I102</f>
        <v>0</v>
      </c>
      <c r="O104" s="6">
        <f t="shared" si="70"/>
        <v>0</v>
      </c>
      <c r="P104" s="6">
        <f t="shared" si="70"/>
        <v>0</v>
      </c>
      <c r="Q104" s="6">
        <f t="shared" si="70"/>
        <v>0</v>
      </c>
      <c r="R104" s="6">
        <f t="shared" si="70"/>
        <v>0</v>
      </c>
      <c r="S104" s="6">
        <f t="shared" si="70"/>
        <v>0</v>
      </c>
      <c r="T104" s="6">
        <f t="shared" si="70"/>
        <v>0</v>
      </c>
      <c r="U104" s="6">
        <f t="shared" si="70"/>
        <v>0</v>
      </c>
      <c r="V104" s="6">
        <f t="shared" si="70"/>
        <v>0</v>
      </c>
      <c r="W104" s="6">
        <f t="shared" si="70"/>
        <v>0</v>
      </c>
      <c r="X104" s="6">
        <f t="shared" si="70"/>
        <v>0</v>
      </c>
      <c r="Y104" s="6">
        <f t="shared" si="70"/>
        <v>0</v>
      </c>
      <c r="Z104" s="6">
        <f t="shared" si="70"/>
        <v>0</v>
      </c>
      <c r="AA104" s="6">
        <f t="shared" si="70"/>
        <v>0</v>
      </c>
      <c r="AB104" s="6">
        <f t="shared" si="70"/>
        <v>0</v>
      </c>
      <c r="AC104" s="6">
        <f t="shared" si="70"/>
        <v>0</v>
      </c>
      <c r="AD104" s="6">
        <f t="shared" si="70"/>
        <v>0</v>
      </c>
      <c r="AE104" s="6">
        <f t="shared" si="70"/>
        <v>0</v>
      </c>
      <c r="AF104" s="6">
        <f t="shared" si="70"/>
        <v>0</v>
      </c>
      <c r="AG104" s="6">
        <f t="shared" si="70"/>
        <v>0</v>
      </c>
      <c r="AI104" s="6">
        <f t="shared" ref="AI104:AN104" si="71">SUMIF($M$2:$AG$2,AI$2,$M104:$AG104)</f>
        <v>294.38200000000006</v>
      </c>
      <c r="AJ104" s="6">
        <f t="shared" si="71"/>
        <v>0</v>
      </c>
      <c r="AK104" s="6">
        <f t="shared" si="71"/>
        <v>0</v>
      </c>
      <c r="AL104" s="6">
        <f t="shared" si="71"/>
        <v>0</v>
      </c>
      <c r="AM104" s="6">
        <f t="shared" si="71"/>
        <v>0</v>
      </c>
      <c r="AN104" s="6">
        <f t="shared" si="71"/>
        <v>0</v>
      </c>
    </row>
    <row r="105" spans="4:40" x14ac:dyDescent="0.25">
      <c r="K105" s="8" t="s">
        <v>204</v>
      </c>
      <c r="L105" s="114">
        <f>SUM(L103:L104)</f>
        <v>2505</v>
      </c>
      <c r="M105" s="114">
        <f>SUM(M103:M104)</f>
        <v>2799.3820000000001</v>
      </c>
      <c r="N105" s="16">
        <f t="shared" ref="N105:AN105" si="72">SUM(N103:N104)</f>
        <v>2799.3820000000001</v>
      </c>
      <c r="O105" s="16">
        <f t="shared" si="72"/>
        <v>2799.3820000000001</v>
      </c>
      <c r="P105" s="16">
        <f t="shared" si="72"/>
        <v>2799.3820000000001</v>
      </c>
      <c r="Q105" s="16">
        <f t="shared" si="72"/>
        <v>2799.3820000000001</v>
      </c>
      <c r="R105" s="16">
        <f t="shared" si="72"/>
        <v>2799.3820000000001</v>
      </c>
      <c r="S105" s="16">
        <f t="shared" si="72"/>
        <v>2799.3820000000001</v>
      </c>
      <c r="T105" s="16">
        <f t="shared" si="72"/>
        <v>2799.3820000000001</v>
      </c>
      <c r="U105" s="16">
        <f t="shared" si="72"/>
        <v>2799.3820000000001</v>
      </c>
      <c r="V105" s="16">
        <f t="shared" si="72"/>
        <v>2799.3820000000001</v>
      </c>
      <c r="W105" s="16">
        <f t="shared" si="72"/>
        <v>2799.3820000000001</v>
      </c>
      <c r="X105" s="16">
        <f t="shared" si="72"/>
        <v>2799.3820000000001</v>
      </c>
      <c r="Y105" s="16">
        <f t="shared" si="72"/>
        <v>2799.3820000000001</v>
      </c>
      <c r="Z105" s="16">
        <f t="shared" si="72"/>
        <v>2799.3820000000001</v>
      </c>
      <c r="AA105" s="16">
        <f t="shared" si="72"/>
        <v>2799.3820000000001</v>
      </c>
      <c r="AB105" s="16">
        <f t="shared" si="72"/>
        <v>2799.3820000000001</v>
      </c>
      <c r="AC105" s="16">
        <f t="shared" si="72"/>
        <v>2799.3820000000001</v>
      </c>
      <c r="AD105" s="16">
        <f t="shared" si="72"/>
        <v>2799.3820000000001</v>
      </c>
      <c r="AE105" s="16">
        <f t="shared" si="72"/>
        <v>2799.3820000000001</v>
      </c>
      <c r="AF105" s="16">
        <f t="shared" si="72"/>
        <v>2799.3820000000001</v>
      </c>
      <c r="AG105" s="16">
        <f t="shared" si="72"/>
        <v>2799.3820000000001</v>
      </c>
      <c r="AI105" s="16">
        <f t="shared" si="72"/>
        <v>2799.3820000000001</v>
      </c>
      <c r="AJ105" s="16">
        <f t="shared" si="72"/>
        <v>2799.3820000000001</v>
      </c>
      <c r="AK105" s="16">
        <f t="shared" si="72"/>
        <v>2799.3820000000001</v>
      </c>
      <c r="AL105" s="16">
        <f t="shared" si="72"/>
        <v>2799.3820000000001</v>
      </c>
      <c r="AM105" s="16">
        <f t="shared" si="72"/>
        <v>2799.3820000000001</v>
      </c>
      <c r="AN105" s="16">
        <f t="shared" si="72"/>
        <v>2799.3820000000001</v>
      </c>
    </row>
    <row r="106" spans="4:40" x14ac:dyDescent="0.25">
      <c r="K106" s="119">
        <f t="shared" ref="K106:AG106" si="73">SUM(K100:K105)</f>
        <v>0</v>
      </c>
      <c r="L106" s="119">
        <f t="shared" si="73"/>
        <v>5010</v>
      </c>
      <c r="M106" s="119">
        <f t="shared" ref="M106" si="74">SUM(M100:M105)</f>
        <v>5598.7640000000001</v>
      </c>
      <c r="N106" s="119">
        <f t="shared" si="73"/>
        <v>5598.7640000000001</v>
      </c>
      <c r="O106" s="119">
        <f t="shared" si="73"/>
        <v>5598.7640000000001</v>
      </c>
      <c r="P106" s="119">
        <f t="shared" si="73"/>
        <v>5598.7640000000001</v>
      </c>
      <c r="Q106" s="119">
        <f t="shared" si="73"/>
        <v>5598.7640000000001</v>
      </c>
      <c r="R106" s="119">
        <f t="shared" si="73"/>
        <v>5598.7640000000001</v>
      </c>
      <c r="S106" s="119">
        <f t="shared" si="73"/>
        <v>5598.7640000000001</v>
      </c>
      <c r="T106" s="119">
        <f t="shared" si="73"/>
        <v>5598.7640000000001</v>
      </c>
      <c r="U106" s="119">
        <f t="shared" si="73"/>
        <v>5598.7640000000001</v>
      </c>
      <c r="V106" s="119">
        <f t="shared" si="73"/>
        <v>5598.7640000000001</v>
      </c>
      <c r="W106" s="119">
        <f t="shared" si="73"/>
        <v>5598.7640000000001</v>
      </c>
      <c r="X106" s="119">
        <f t="shared" si="73"/>
        <v>5598.7640000000001</v>
      </c>
      <c r="Y106" s="119">
        <f t="shared" si="73"/>
        <v>5598.7640000000001</v>
      </c>
      <c r="Z106" s="119">
        <f t="shared" si="73"/>
        <v>5598.7640000000001</v>
      </c>
      <c r="AA106" s="119">
        <f t="shared" si="73"/>
        <v>5598.7640000000001</v>
      </c>
      <c r="AB106" s="119">
        <f t="shared" si="73"/>
        <v>5598.7640000000001</v>
      </c>
      <c r="AC106" s="119">
        <f t="shared" si="73"/>
        <v>5598.7640000000001</v>
      </c>
      <c r="AD106" s="119">
        <f t="shared" si="73"/>
        <v>5598.7640000000001</v>
      </c>
      <c r="AE106" s="119">
        <f t="shared" si="73"/>
        <v>5598.7640000000001</v>
      </c>
      <c r="AF106" s="119">
        <f t="shared" si="73"/>
        <v>5598.7640000000001</v>
      </c>
      <c r="AG106" s="119">
        <f t="shared" si="73"/>
        <v>5598.7640000000001</v>
      </c>
    </row>
    <row r="107" spans="4:40" x14ac:dyDescent="0.25">
      <c r="D107" s="96" t="s">
        <v>79</v>
      </c>
      <c r="E107" s="108" t="s">
        <v>238</v>
      </c>
      <c r="F107" s="98" t="s">
        <v>227</v>
      </c>
      <c r="G107" s="98" t="s">
        <v>231</v>
      </c>
      <c r="H107" s="98" t="s">
        <v>228</v>
      </c>
      <c r="I107" s="98" t="s">
        <v>232</v>
      </c>
      <c r="J107" s="96"/>
      <c r="K107" s="96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I107" s="97"/>
      <c r="AJ107" s="97"/>
      <c r="AK107" s="97"/>
      <c r="AL107" s="97"/>
      <c r="AM107" s="97"/>
      <c r="AN107" s="97"/>
    </row>
    <row r="108" spans="4:40" x14ac:dyDescent="0.25">
      <c r="D108" s="2" t="s">
        <v>221</v>
      </c>
      <c r="E108" s="109" t="s">
        <v>254</v>
      </c>
      <c r="F108" s="100">
        <f>AVERAGE('Quarterly Historical Financials'!$D243:$D243)</f>
        <v>0</v>
      </c>
      <c r="G108" s="100">
        <f>AVERAGE('Quarterly Historical Financials'!$D243:$D243)</f>
        <v>0</v>
      </c>
      <c r="H108" s="100">
        <f>AVERAGE('Quarterly Historical Financials'!$D243:$D243)</f>
        <v>0</v>
      </c>
      <c r="I108" s="30">
        <f>CHOOSE($G$4,F108,G108,H108)</f>
        <v>0</v>
      </c>
    </row>
    <row r="109" spans="4:40" x14ac:dyDescent="0.25">
      <c r="K109" s="2" t="s">
        <v>173</v>
      </c>
      <c r="L109" s="113">
        <f>'Quarterly Historical Financials'!AB236</f>
        <v>3025</v>
      </c>
      <c r="M109" s="113">
        <f>'Quarterly Historical Financials'!AC236</f>
        <v>3025</v>
      </c>
      <c r="N109" s="6">
        <f t="shared" ref="N109:AG109" si="75">M111</f>
        <v>0</v>
      </c>
      <c r="O109" s="6">
        <f t="shared" si="75"/>
        <v>0</v>
      </c>
      <c r="P109" s="6">
        <f t="shared" si="75"/>
        <v>0</v>
      </c>
      <c r="Q109" s="6">
        <f t="shared" si="75"/>
        <v>0</v>
      </c>
      <c r="R109" s="6">
        <f t="shared" si="75"/>
        <v>0</v>
      </c>
      <c r="S109" s="6">
        <f t="shared" si="75"/>
        <v>0</v>
      </c>
      <c r="T109" s="6">
        <f t="shared" si="75"/>
        <v>0</v>
      </c>
      <c r="U109" s="6">
        <f t="shared" si="75"/>
        <v>0</v>
      </c>
      <c r="V109" s="6">
        <f t="shared" si="75"/>
        <v>0</v>
      </c>
      <c r="W109" s="6">
        <f t="shared" si="75"/>
        <v>0</v>
      </c>
      <c r="X109" s="6">
        <f t="shared" si="75"/>
        <v>0</v>
      </c>
      <c r="Y109" s="6">
        <f t="shared" si="75"/>
        <v>0</v>
      </c>
      <c r="Z109" s="6">
        <f t="shared" si="75"/>
        <v>0</v>
      </c>
      <c r="AA109" s="6">
        <f t="shared" si="75"/>
        <v>0</v>
      </c>
      <c r="AB109" s="6">
        <f t="shared" si="75"/>
        <v>0</v>
      </c>
      <c r="AC109" s="6">
        <f t="shared" si="75"/>
        <v>0</v>
      </c>
      <c r="AD109" s="6">
        <f t="shared" si="75"/>
        <v>0</v>
      </c>
      <c r="AE109" s="6">
        <f t="shared" si="75"/>
        <v>0</v>
      </c>
      <c r="AF109" s="6">
        <f t="shared" si="75"/>
        <v>0</v>
      </c>
      <c r="AG109" s="6">
        <f t="shared" si="75"/>
        <v>0</v>
      </c>
      <c r="AI109" s="6">
        <f t="shared" ref="AI109:AN109" si="76">SUMIF($M$4:$AG$4,AI$4,$M109:$AG109)</f>
        <v>3025</v>
      </c>
      <c r="AJ109" s="6">
        <f t="shared" si="76"/>
        <v>0</v>
      </c>
      <c r="AK109" s="6">
        <f t="shared" si="76"/>
        <v>0</v>
      </c>
      <c r="AL109" s="6">
        <f t="shared" si="76"/>
        <v>0</v>
      </c>
      <c r="AM109" s="6">
        <f t="shared" si="76"/>
        <v>0</v>
      </c>
      <c r="AN109" s="6">
        <f t="shared" si="76"/>
        <v>0</v>
      </c>
    </row>
    <row r="110" spans="4:40" x14ac:dyDescent="0.25">
      <c r="K110" s="2" t="s">
        <v>205</v>
      </c>
      <c r="L110" s="113">
        <f>'Quarterly Historical Financials'!AB237</f>
        <v>0</v>
      </c>
      <c r="M110" s="113">
        <f>'Quarterly Historical Financials'!AC237</f>
        <v>-3025</v>
      </c>
      <c r="N110" s="6">
        <f t="shared" ref="N110" si="77">N109*$I108</f>
        <v>0</v>
      </c>
      <c r="O110" s="6">
        <f t="shared" ref="O110" si="78">O109*$I108</f>
        <v>0</v>
      </c>
      <c r="P110" s="6">
        <f t="shared" ref="P110" si="79">P109*$I108</f>
        <v>0</v>
      </c>
      <c r="Q110" s="6">
        <f t="shared" ref="Q110" si="80">Q109*$I108</f>
        <v>0</v>
      </c>
      <c r="R110" s="6">
        <f t="shared" ref="R110" si="81">R109*$I108</f>
        <v>0</v>
      </c>
      <c r="S110" s="6">
        <f t="shared" ref="S110" si="82">S109*$I108</f>
        <v>0</v>
      </c>
      <c r="T110" s="6">
        <f t="shared" ref="T110" si="83">T109*$I108</f>
        <v>0</v>
      </c>
      <c r="U110" s="6">
        <f t="shared" ref="U110" si="84">U109*$I108</f>
        <v>0</v>
      </c>
      <c r="V110" s="6">
        <f t="shared" ref="V110" si="85">V109*$I108</f>
        <v>0</v>
      </c>
      <c r="W110" s="6">
        <f t="shared" ref="W110" si="86">W109*$I108</f>
        <v>0</v>
      </c>
      <c r="X110" s="6">
        <f t="shared" ref="X110" si="87">X109*$I108</f>
        <v>0</v>
      </c>
      <c r="Y110" s="6">
        <f t="shared" ref="Y110" si="88">Y109*$I108</f>
        <v>0</v>
      </c>
      <c r="Z110" s="6">
        <f t="shared" ref="Z110" si="89">Z109*$I108</f>
        <v>0</v>
      </c>
      <c r="AA110" s="6">
        <f t="shared" ref="AA110" si="90">AA109*$I108</f>
        <v>0</v>
      </c>
      <c r="AB110" s="6">
        <f t="shared" ref="AB110" si="91">AB109*$I108</f>
        <v>0</v>
      </c>
      <c r="AC110" s="6">
        <f t="shared" ref="AC110" si="92">AC109*$I108</f>
        <v>0</v>
      </c>
      <c r="AD110" s="6">
        <f t="shared" ref="AD110" si="93">AD109*$I108</f>
        <v>0</v>
      </c>
      <c r="AE110" s="6">
        <f t="shared" ref="AE110" si="94">AE109*$I108</f>
        <v>0</v>
      </c>
      <c r="AF110" s="6">
        <f t="shared" ref="AF110" si="95">AF109*$I108</f>
        <v>0</v>
      </c>
      <c r="AG110" s="6">
        <f t="shared" ref="AG110" si="96">AG109*$I108</f>
        <v>0</v>
      </c>
      <c r="AI110" s="6">
        <f t="shared" ref="AI110:AN110" si="97">SUMIF($M$2:$AG$2,AI$2,$M110:$AG110)</f>
        <v>-3025</v>
      </c>
      <c r="AJ110" s="6">
        <f t="shared" si="97"/>
        <v>0</v>
      </c>
      <c r="AK110" s="6">
        <f t="shared" si="97"/>
        <v>0</v>
      </c>
      <c r="AL110" s="6">
        <f t="shared" si="97"/>
        <v>0</v>
      </c>
      <c r="AM110" s="6">
        <f t="shared" si="97"/>
        <v>0</v>
      </c>
      <c r="AN110" s="6">
        <f t="shared" si="97"/>
        <v>0</v>
      </c>
    </row>
    <row r="111" spans="4:40" x14ac:dyDescent="0.25">
      <c r="K111" s="8" t="s">
        <v>204</v>
      </c>
      <c r="L111" s="114">
        <f>SUM(L109:L110)</f>
        <v>3025</v>
      </c>
      <c r="M111" s="114">
        <f>SUM(M109:M110)</f>
        <v>0</v>
      </c>
      <c r="N111" s="16">
        <f t="shared" ref="N111" si="98">SUM(N109:N110)</f>
        <v>0</v>
      </c>
      <c r="O111" s="16">
        <f t="shared" ref="O111" si="99">SUM(O109:O110)</f>
        <v>0</v>
      </c>
      <c r="P111" s="16">
        <f t="shared" ref="P111" si="100">SUM(P109:P110)</f>
        <v>0</v>
      </c>
      <c r="Q111" s="16">
        <f t="shared" ref="Q111" si="101">SUM(Q109:Q110)</f>
        <v>0</v>
      </c>
      <c r="R111" s="16">
        <f t="shared" ref="R111" si="102">SUM(R109:R110)</f>
        <v>0</v>
      </c>
      <c r="S111" s="16">
        <f t="shared" ref="S111" si="103">SUM(S109:S110)</f>
        <v>0</v>
      </c>
      <c r="T111" s="16">
        <f t="shared" ref="T111" si="104">SUM(T109:T110)</f>
        <v>0</v>
      </c>
      <c r="U111" s="16">
        <f t="shared" ref="U111" si="105">SUM(U109:U110)</f>
        <v>0</v>
      </c>
      <c r="V111" s="16">
        <f t="shared" ref="V111" si="106">SUM(V109:V110)</f>
        <v>0</v>
      </c>
      <c r="W111" s="16">
        <f t="shared" ref="W111" si="107">SUM(W109:W110)</f>
        <v>0</v>
      </c>
      <c r="X111" s="16">
        <f t="shared" ref="X111" si="108">SUM(X109:X110)</f>
        <v>0</v>
      </c>
      <c r="Y111" s="16">
        <f t="shared" ref="Y111" si="109">SUM(Y109:Y110)</f>
        <v>0</v>
      </c>
      <c r="Z111" s="16">
        <f t="shared" ref="Z111" si="110">SUM(Z109:Z110)</f>
        <v>0</v>
      </c>
      <c r="AA111" s="16">
        <f t="shared" ref="AA111" si="111">SUM(AA109:AA110)</f>
        <v>0</v>
      </c>
      <c r="AB111" s="16">
        <f t="shared" ref="AB111" si="112">SUM(AB109:AB110)</f>
        <v>0</v>
      </c>
      <c r="AC111" s="16">
        <f t="shared" ref="AC111" si="113">SUM(AC109:AC110)</f>
        <v>0</v>
      </c>
      <c r="AD111" s="16">
        <f t="shared" ref="AD111" si="114">SUM(AD109:AD110)</f>
        <v>0</v>
      </c>
      <c r="AE111" s="16">
        <f t="shared" ref="AE111" si="115">SUM(AE109:AE110)</f>
        <v>0</v>
      </c>
      <c r="AF111" s="16">
        <f t="shared" ref="AF111" si="116">SUM(AF109:AF110)</f>
        <v>0</v>
      </c>
      <c r="AG111" s="16">
        <f t="shared" ref="AG111" si="117">SUM(AG109:AG110)</f>
        <v>0</v>
      </c>
      <c r="AI111" s="16">
        <f t="shared" ref="AI111" si="118">SUM(AI109:AI110)</f>
        <v>0</v>
      </c>
      <c r="AJ111" s="16">
        <f t="shared" ref="AJ111" si="119">SUM(AJ109:AJ110)</f>
        <v>0</v>
      </c>
      <c r="AK111" s="16">
        <f t="shared" ref="AK111" si="120">SUM(AK109:AK110)</f>
        <v>0</v>
      </c>
      <c r="AL111" s="16">
        <f t="shared" ref="AL111" si="121">SUM(AL109:AL110)</f>
        <v>0</v>
      </c>
      <c r="AM111" s="16">
        <f t="shared" ref="AM111" si="122">SUM(AM109:AM110)</f>
        <v>0</v>
      </c>
      <c r="AN111" s="16">
        <f t="shared" ref="AN111" si="123">SUM(AN109:AN110)</f>
        <v>0</v>
      </c>
    </row>
    <row r="113" spans="2:40" x14ac:dyDescent="0.25">
      <c r="B113" s="95">
        <v>7</v>
      </c>
      <c r="D113" s="21" t="s">
        <v>208</v>
      </c>
      <c r="E113" s="21"/>
      <c r="F113" s="21"/>
      <c r="G113" s="21"/>
      <c r="H113" s="21"/>
      <c r="I113" s="21"/>
      <c r="J113" s="19"/>
      <c r="K113" s="19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I113" s="20"/>
      <c r="AJ113" s="20"/>
      <c r="AK113" s="20"/>
      <c r="AL113" s="20"/>
      <c r="AM113" s="20"/>
      <c r="AN113" s="20"/>
    </row>
    <row r="114" spans="2:40" x14ac:dyDescent="0.25">
      <c r="B114" s="116"/>
      <c r="D114" s="96" t="s">
        <v>195</v>
      </c>
      <c r="E114" s="108" t="s">
        <v>238</v>
      </c>
      <c r="F114" s="98" t="s">
        <v>227</v>
      </c>
      <c r="G114" s="98" t="s">
        <v>231</v>
      </c>
      <c r="H114" s="98" t="s">
        <v>228</v>
      </c>
      <c r="I114" s="98" t="s">
        <v>232</v>
      </c>
      <c r="J114" s="96"/>
      <c r="K114" s="96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I114" s="97"/>
      <c r="AJ114" s="97"/>
      <c r="AK114" s="97"/>
      <c r="AL114" s="97"/>
      <c r="AM114" s="97"/>
      <c r="AN114" s="97"/>
    </row>
    <row r="115" spans="2:40" x14ac:dyDescent="0.25">
      <c r="B115" s="116"/>
      <c r="D115" s="2" t="s">
        <v>197</v>
      </c>
      <c r="E115" s="109" t="s">
        <v>255</v>
      </c>
      <c r="F115" s="100">
        <f>AVERAGE('Quarterly Historical Financials'!$D185:$D186)</f>
        <v>-0.20652056110899283</v>
      </c>
      <c r="G115" s="100">
        <f>AVERAGE('Quarterly Historical Financials'!$D184:$D185)</f>
        <v>-0.29089362346848158</v>
      </c>
      <c r="H115" s="100">
        <f>AVERAGE('Quarterly Historical Financials'!$D183:$D184)</f>
        <v>-0.34133927930480773</v>
      </c>
      <c r="I115" s="30">
        <f>CHOOSE($G$4,F115,G115,H115)</f>
        <v>-0.20652056110899283</v>
      </c>
    </row>
    <row r="116" spans="2:40" x14ac:dyDescent="0.25">
      <c r="B116" s="116"/>
      <c r="D116" s="2" t="s">
        <v>256</v>
      </c>
      <c r="E116" s="109" t="s">
        <v>257</v>
      </c>
      <c r="F116" s="117">
        <v>1</v>
      </c>
      <c r="G116" s="117">
        <v>1</v>
      </c>
      <c r="H116" s="117">
        <v>1</v>
      </c>
      <c r="I116" s="30">
        <f>CHOOSE($G$4,F116,G116,H116)</f>
        <v>1</v>
      </c>
      <c r="K116" s="4" t="s">
        <v>198</v>
      </c>
      <c r="L116" s="110">
        <f>'Quarterly Historical Financials'!AB179</f>
        <v>154788</v>
      </c>
      <c r="M116" s="110">
        <f>'Quarterly Historical Financials'!AC179</f>
        <v>331289.4540000002</v>
      </c>
      <c r="N116" s="90">
        <f ca="1">'Quarterly Financial Projections'!G24</f>
        <v>215745.39476043396</v>
      </c>
      <c r="O116" s="90">
        <f ca="1">'Quarterly Financial Projections'!H24</f>
        <v>212507.35504904928</v>
      </c>
      <c r="P116" s="90">
        <f ca="1">'Quarterly Financial Projections'!I24</f>
        <v>223366.38649525651</v>
      </c>
      <c r="Q116" s="90">
        <f ca="1">'Quarterly Financial Projections'!J24</f>
        <v>234679.82156635396</v>
      </c>
      <c r="R116" s="90">
        <f ca="1">'Quarterly Financial Projections'!K24</f>
        <v>246464.6426146437</v>
      </c>
      <c r="S116" s="90">
        <f ca="1">'Quarterly Financial Projections'!L24</f>
        <v>258738.39103885883</v>
      </c>
      <c r="T116" s="90">
        <f ca="1">'Quarterly Financial Projections'!M24</f>
        <v>271519.18017551221</v>
      </c>
      <c r="U116" s="90">
        <f ca="1">'Quarterly Financial Projections'!N24</f>
        <v>284825.70792046399</v>
      </c>
      <c r="V116" s="90">
        <f ca="1">'Quarterly Financial Projections'!O24</f>
        <v>298677.26900033001</v>
      </c>
      <c r="W116" s="90">
        <f ca="1">'Quarterly Financial Projections'!P24</f>
        <v>313093.76680373773</v>
      </c>
      <c r="X116" s="90">
        <f ca="1">'Quarterly Financial Projections'!Q24</f>
        <v>328095.72467183194</v>
      </c>
      <c r="Y116" s="90">
        <f ca="1">'Quarterly Financial Projections'!R24</f>
        <v>343704.29653575271</v>
      </c>
      <c r="Z116" s="90">
        <f ca="1">'Quarterly Financial Projections'!S24</f>
        <v>359941.27677594032</v>
      </c>
      <c r="AA116" s="90">
        <f ca="1">'Quarterly Financial Projections'!T24</f>
        <v>376829.1091639612</v>
      </c>
      <c r="AB116" s="90">
        <f ca="1">'Quarterly Financial Projections'!U24</f>
        <v>394390.89473194862</v>
      </c>
      <c r="AC116" s="90">
        <f ca="1">'Quarterly Financial Projections'!V24</f>
        <v>412650.3983976079</v>
      </c>
      <c r="AD116" s="90">
        <f ca="1">'Quarterly Financial Projections'!W24</f>
        <v>431632.05415385438</v>
      </c>
      <c r="AE116" s="90">
        <f ca="1">'Quarterly Financial Projections'!X24</f>
        <v>451360.96861141204</v>
      </c>
      <c r="AF116" s="90">
        <f ca="1">'Quarterly Financial Projections'!Y24</f>
        <v>471862.92265988188</v>
      </c>
      <c r="AG116" s="90">
        <f ca="1">'Quarterly Financial Projections'!Z24</f>
        <v>493164.37098771456</v>
      </c>
      <c r="AH116" s="90"/>
      <c r="AI116" s="90">
        <f t="shared" ref="AI116:AN118" si="124">SUMIF($M$2:$AG$2,AI$2,$M116:$AG116)</f>
        <v>331289.4540000002</v>
      </c>
      <c r="AJ116" s="90">
        <f t="shared" ca="1" si="124"/>
        <v>886298.95787109365</v>
      </c>
      <c r="AK116" s="90">
        <f t="shared" ca="1" si="124"/>
        <v>1061547.9217494787</v>
      </c>
      <c r="AL116" s="90">
        <f t="shared" ca="1" si="124"/>
        <v>1283571.0570116523</v>
      </c>
      <c r="AM116" s="90">
        <f t="shared" ca="1" si="124"/>
        <v>1543811.679069458</v>
      </c>
      <c r="AN116" s="90">
        <f t="shared" ca="1" si="124"/>
        <v>1848020.3164128629</v>
      </c>
    </row>
    <row r="117" spans="2:40" x14ac:dyDescent="0.25">
      <c r="K117" s="2" t="s">
        <v>196</v>
      </c>
      <c r="L117" s="113">
        <f>'Quarterly Historical Financials'!AB181</f>
        <v>-43024</v>
      </c>
      <c r="M117" s="113">
        <f>'Quarterly Historical Financials'!AC181</f>
        <v>-101178.38999999998</v>
      </c>
      <c r="N117" s="6">
        <f t="shared" ref="N117:AG117" ca="1" si="125">N116*$I115</f>
        <v>-44555.859982605987</v>
      </c>
      <c r="O117" s="6">
        <f t="shared" ca="1" si="125"/>
        <v>-43887.138204517621</v>
      </c>
      <c r="P117" s="6">
        <f t="shared" ca="1" si="125"/>
        <v>-46129.751471888536</v>
      </c>
      <c r="Q117" s="6">
        <f t="shared" ca="1" si="125"/>
        <v>-48466.20843084174</v>
      </c>
      <c r="R117" s="6">
        <f t="shared" ca="1" si="125"/>
        <v>-50900.016286303602</v>
      </c>
      <c r="S117" s="6">
        <f t="shared" ca="1" si="125"/>
        <v>-53434.797697783128</v>
      </c>
      <c r="T117" s="6">
        <f t="shared" ca="1" si="125"/>
        <v>-56074.293441700509</v>
      </c>
      <c r="U117" s="6">
        <f t="shared" ca="1" si="125"/>
        <v>-58822.365018000324</v>
      </c>
      <c r="V117" s="6">
        <f t="shared" ca="1" si="125"/>
        <v>-61682.997184449741</v>
      </c>
      <c r="W117" s="6">
        <f t="shared" ca="1" si="125"/>
        <v>-64660.300400036067</v>
      </c>
      <c r="X117" s="6">
        <f t="shared" ca="1" si="125"/>
        <v>-67758.51315668835</v>
      </c>
      <c r="Y117" s="6">
        <f t="shared" ca="1" si="125"/>
        <v>-70982.004176135306</v>
      </c>
      <c r="Z117" s="6">
        <f t="shared" ca="1" si="125"/>
        <v>-74335.274446054493</v>
      </c>
      <c r="AA117" s="6">
        <f t="shared" ca="1" si="125"/>
        <v>-77822.959066743177</v>
      </c>
      <c r="AB117" s="6">
        <f t="shared" ca="1" si="125"/>
        <v>-81449.828876319749</v>
      </c>
      <c r="AC117" s="6">
        <f t="shared" ca="1" si="125"/>
        <v>-85220.791818923419</v>
      </c>
      <c r="AD117" s="6">
        <f t="shared" ca="1" si="125"/>
        <v>-89140.894016481194</v>
      </c>
      <c r="AE117" s="6">
        <f t="shared" ca="1" si="125"/>
        <v>-93215.320500327318</v>
      </c>
      <c r="AF117" s="6">
        <f t="shared" ca="1" si="125"/>
        <v>-97449.395554248098</v>
      </c>
      <c r="AG117" s="6">
        <f t="shared" ca="1" si="125"/>
        <v>-101848.58261534631</v>
      </c>
      <c r="AH117" s="2"/>
      <c r="AI117" s="6">
        <f t="shared" si="124"/>
        <v>-101178.38999999998</v>
      </c>
      <c r="AJ117" s="6">
        <f t="shared" ca="1" si="124"/>
        <v>-183038.95808985387</v>
      </c>
      <c r="AK117" s="6">
        <f t="shared" ca="1" si="124"/>
        <v>-219231.47244378758</v>
      </c>
      <c r="AL117" s="6">
        <f t="shared" ca="1" si="124"/>
        <v>-265083.81491730944</v>
      </c>
      <c r="AM117" s="6">
        <f t="shared" ca="1" si="124"/>
        <v>-318828.85420804087</v>
      </c>
      <c r="AN117" s="6">
        <f t="shared" ca="1" si="124"/>
        <v>-381654.19268640294</v>
      </c>
    </row>
    <row r="118" spans="2:40" x14ac:dyDescent="0.25">
      <c r="K118" s="2" t="s">
        <v>258</v>
      </c>
      <c r="L118" s="113">
        <f>'Raw Historical Financials'!Y105</f>
        <v>0</v>
      </c>
      <c r="M118" s="113">
        <f>'Raw Historical Financials'!Z105</f>
        <v>0</v>
      </c>
      <c r="N118" s="6">
        <f t="shared" ref="N118:AG118" ca="1" si="126">N117*$I116</f>
        <v>-44555.859982605987</v>
      </c>
      <c r="O118" s="6">
        <f t="shared" ca="1" si="126"/>
        <v>-43887.138204517621</v>
      </c>
      <c r="P118" s="6">
        <f t="shared" ca="1" si="126"/>
        <v>-46129.751471888536</v>
      </c>
      <c r="Q118" s="6">
        <f t="shared" ca="1" si="126"/>
        <v>-48466.20843084174</v>
      </c>
      <c r="R118" s="6">
        <f t="shared" ca="1" si="126"/>
        <v>-50900.016286303602</v>
      </c>
      <c r="S118" s="6">
        <f t="shared" ca="1" si="126"/>
        <v>-53434.797697783128</v>
      </c>
      <c r="T118" s="6">
        <f t="shared" ca="1" si="126"/>
        <v>-56074.293441700509</v>
      </c>
      <c r="U118" s="6">
        <f t="shared" ca="1" si="126"/>
        <v>-58822.365018000324</v>
      </c>
      <c r="V118" s="6">
        <f t="shared" ca="1" si="126"/>
        <v>-61682.997184449741</v>
      </c>
      <c r="W118" s="6">
        <f t="shared" ca="1" si="126"/>
        <v>-64660.300400036067</v>
      </c>
      <c r="X118" s="6">
        <f t="shared" ca="1" si="126"/>
        <v>-67758.51315668835</v>
      </c>
      <c r="Y118" s="6">
        <f t="shared" ca="1" si="126"/>
        <v>-70982.004176135306</v>
      </c>
      <c r="Z118" s="6">
        <f t="shared" ca="1" si="126"/>
        <v>-74335.274446054493</v>
      </c>
      <c r="AA118" s="6">
        <f t="shared" ca="1" si="126"/>
        <v>-77822.959066743177</v>
      </c>
      <c r="AB118" s="6">
        <f t="shared" ca="1" si="126"/>
        <v>-81449.828876319749</v>
      </c>
      <c r="AC118" s="6">
        <f t="shared" ca="1" si="126"/>
        <v>-85220.791818923419</v>
      </c>
      <c r="AD118" s="6">
        <f t="shared" ca="1" si="126"/>
        <v>-89140.894016481194</v>
      </c>
      <c r="AE118" s="6">
        <f t="shared" ca="1" si="126"/>
        <v>-93215.320500327318</v>
      </c>
      <c r="AF118" s="6">
        <f t="shared" ca="1" si="126"/>
        <v>-97449.395554248098</v>
      </c>
      <c r="AG118" s="6">
        <f t="shared" ca="1" si="126"/>
        <v>-101848.58261534631</v>
      </c>
      <c r="AH118" s="2"/>
      <c r="AI118" s="6">
        <f t="shared" si="124"/>
        <v>0</v>
      </c>
      <c r="AJ118" s="6">
        <f t="shared" ca="1" si="124"/>
        <v>-183038.95808985387</v>
      </c>
      <c r="AK118" s="6">
        <f t="shared" ca="1" si="124"/>
        <v>-219231.47244378758</v>
      </c>
      <c r="AL118" s="6">
        <f t="shared" ca="1" si="124"/>
        <v>-265083.81491730944</v>
      </c>
      <c r="AM118" s="6">
        <f t="shared" ca="1" si="124"/>
        <v>-318828.85420804087</v>
      </c>
      <c r="AN118" s="6">
        <f t="shared" ca="1" si="124"/>
        <v>-381654.19268640294</v>
      </c>
    </row>
    <row r="119" spans="2:40" x14ac:dyDescent="0.25"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2:40" x14ac:dyDescent="0.25">
      <c r="D120" s="96" t="s">
        <v>24</v>
      </c>
      <c r="E120" s="108" t="s">
        <v>238</v>
      </c>
      <c r="F120" s="98" t="s">
        <v>227</v>
      </c>
      <c r="G120" s="98" t="s">
        <v>231</v>
      </c>
      <c r="H120" s="98" t="s">
        <v>228</v>
      </c>
      <c r="I120" s="98" t="s">
        <v>232</v>
      </c>
      <c r="J120" s="96"/>
      <c r="K120" s="96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I120" s="97"/>
      <c r="AJ120" s="97"/>
      <c r="AK120" s="97"/>
      <c r="AL120" s="97"/>
      <c r="AM120" s="97"/>
      <c r="AN120" s="97"/>
    </row>
    <row r="121" spans="2:40" x14ac:dyDescent="0.25">
      <c r="D121" s="2" t="s">
        <v>221</v>
      </c>
      <c r="E121" s="109" t="s">
        <v>254</v>
      </c>
      <c r="F121" s="100">
        <f>AVERAGE('Quarterly Historical Financials'!$D263:$D263)</f>
        <v>0</v>
      </c>
      <c r="G121" s="100">
        <f>AVERAGE('Quarterly Historical Financials'!$D263:$D263)</f>
        <v>0</v>
      </c>
      <c r="H121" s="100">
        <f>AVERAGE('Quarterly Historical Financials'!$D263:$D263)</f>
        <v>0</v>
      </c>
      <c r="I121" s="30">
        <f>CHOOSE($G$4,F121,G121,H121)</f>
        <v>0</v>
      </c>
    </row>
    <row r="122" spans="2:40" x14ac:dyDescent="0.25">
      <c r="K122" s="2" t="s">
        <v>173</v>
      </c>
      <c r="L122" s="113">
        <f>'Quarterly Historical Financials'!AB256</f>
        <v>188481</v>
      </c>
      <c r="M122" s="113">
        <f>'Quarterly Historical Financials'!AC256</f>
        <v>191807</v>
      </c>
      <c r="N122" s="6">
        <f t="shared" ref="N122:AG122" si="127">M124</f>
        <v>244879.81</v>
      </c>
      <c r="O122" s="6">
        <f t="shared" si="127"/>
        <v>244879.81</v>
      </c>
      <c r="P122" s="6">
        <f t="shared" si="127"/>
        <v>244879.81</v>
      </c>
      <c r="Q122" s="6">
        <f t="shared" si="127"/>
        <v>244879.81</v>
      </c>
      <c r="R122" s="6">
        <f t="shared" si="127"/>
        <v>244879.81</v>
      </c>
      <c r="S122" s="6">
        <f t="shared" si="127"/>
        <v>244879.81</v>
      </c>
      <c r="T122" s="6">
        <f t="shared" si="127"/>
        <v>244879.81</v>
      </c>
      <c r="U122" s="6">
        <f t="shared" si="127"/>
        <v>244879.81</v>
      </c>
      <c r="V122" s="6">
        <f t="shared" si="127"/>
        <v>244879.81</v>
      </c>
      <c r="W122" s="6">
        <f t="shared" si="127"/>
        <v>244879.81</v>
      </c>
      <c r="X122" s="6">
        <f t="shared" si="127"/>
        <v>244879.81</v>
      </c>
      <c r="Y122" s="6">
        <f t="shared" si="127"/>
        <v>244879.81</v>
      </c>
      <c r="Z122" s="6">
        <f t="shared" si="127"/>
        <v>244879.81</v>
      </c>
      <c r="AA122" s="6">
        <f t="shared" si="127"/>
        <v>244879.81</v>
      </c>
      <c r="AB122" s="6">
        <f t="shared" si="127"/>
        <v>244879.81</v>
      </c>
      <c r="AC122" s="6">
        <f t="shared" si="127"/>
        <v>244879.81</v>
      </c>
      <c r="AD122" s="6">
        <f t="shared" si="127"/>
        <v>244879.81</v>
      </c>
      <c r="AE122" s="6">
        <f t="shared" si="127"/>
        <v>244879.81</v>
      </c>
      <c r="AF122" s="6">
        <f t="shared" si="127"/>
        <v>244879.81</v>
      </c>
      <c r="AG122" s="6">
        <f t="shared" si="127"/>
        <v>244879.81</v>
      </c>
      <c r="AI122" s="6">
        <f t="shared" ref="AI122" si="128">SUMIF($M$4:$AG$4,AI$4,$M122:$AG122)</f>
        <v>191807</v>
      </c>
      <c r="AJ122" s="6">
        <f>AI124</f>
        <v>244879.81</v>
      </c>
      <c r="AK122" s="6">
        <f t="shared" ref="AK122:AN122" si="129">AJ124</f>
        <v>244879.81</v>
      </c>
      <c r="AL122" s="6">
        <f t="shared" si="129"/>
        <v>244879.81</v>
      </c>
      <c r="AM122" s="6">
        <f t="shared" si="129"/>
        <v>244879.81</v>
      </c>
      <c r="AN122" s="6">
        <f t="shared" si="129"/>
        <v>244879.81</v>
      </c>
    </row>
    <row r="123" spans="2:40" x14ac:dyDescent="0.25">
      <c r="K123" s="2" t="s">
        <v>205</v>
      </c>
      <c r="L123" s="113">
        <f>'Quarterly Historical Financials'!AB257</f>
        <v>3326</v>
      </c>
      <c r="M123" s="113">
        <f>'Quarterly Historical Financials'!AC257</f>
        <v>53072.81</v>
      </c>
      <c r="N123" s="6">
        <f t="shared" ref="N123" si="130">N122*$I121</f>
        <v>0</v>
      </c>
      <c r="O123" s="6">
        <f t="shared" ref="O123" si="131">O122*$I121</f>
        <v>0</v>
      </c>
      <c r="P123" s="6">
        <f t="shared" ref="P123" si="132">P122*$I121</f>
        <v>0</v>
      </c>
      <c r="Q123" s="6">
        <f t="shared" ref="Q123" si="133">Q122*$I121</f>
        <v>0</v>
      </c>
      <c r="R123" s="6">
        <f t="shared" ref="R123" si="134">R122*$I121</f>
        <v>0</v>
      </c>
      <c r="S123" s="6">
        <f t="shared" ref="S123" si="135">S122*$I121</f>
        <v>0</v>
      </c>
      <c r="T123" s="6">
        <f t="shared" ref="T123" si="136">T122*$I121</f>
        <v>0</v>
      </c>
      <c r="U123" s="6">
        <f t="shared" ref="U123" si="137">U122*$I121</f>
        <v>0</v>
      </c>
      <c r="V123" s="6">
        <f t="shared" ref="V123" si="138">V122*$I121</f>
        <v>0</v>
      </c>
      <c r="W123" s="6">
        <f t="shared" ref="W123" si="139">W122*$I121</f>
        <v>0</v>
      </c>
      <c r="X123" s="6">
        <f t="shared" ref="X123" si="140">X122*$I121</f>
        <v>0</v>
      </c>
      <c r="Y123" s="6">
        <f t="shared" ref="Y123" si="141">Y122*$I121</f>
        <v>0</v>
      </c>
      <c r="Z123" s="6">
        <f t="shared" ref="Z123" si="142">Z122*$I121</f>
        <v>0</v>
      </c>
      <c r="AA123" s="6">
        <f t="shared" ref="AA123" si="143">AA122*$I121</f>
        <v>0</v>
      </c>
      <c r="AB123" s="6">
        <f t="shared" ref="AB123" si="144">AB122*$I121</f>
        <v>0</v>
      </c>
      <c r="AC123" s="6">
        <f t="shared" ref="AC123" si="145">AC122*$I121</f>
        <v>0</v>
      </c>
      <c r="AD123" s="6">
        <f t="shared" ref="AD123" si="146">AD122*$I121</f>
        <v>0</v>
      </c>
      <c r="AE123" s="6">
        <f t="shared" ref="AE123" si="147">AE122*$I121</f>
        <v>0</v>
      </c>
      <c r="AF123" s="6">
        <f t="shared" ref="AF123" si="148">AF122*$I121</f>
        <v>0</v>
      </c>
      <c r="AG123" s="6">
        <f t="shared" ref="AG123" si="149">AG122*$I121</f>
        <v>0</v>
      </c>
      <c r="AI123" s="6">
        <f t="shared" ref="AI123:AN123" si="150">SUMIF($M$2:$AG$2,AI$2,$M123:$AG123)</f>
        <v>53072.81</v>
      </c>
      <c r="AJ123" s="6">
        <f t="shared" si="150"/>
        <v>0</v>
      </c>
      <c r="AK123" s="6">
        <f t="shared" si="150"/>
        <v>0</v>
      </c>
      <c r="AL123" s="6">
        <f t="shared" si="150"/>
        <v>0</v>
      </c>
      <c r="AM123" s="6">
        <f t="shared" si="150"/>
        <v>0</v>
      </c>
      <c r="AN123" s="6">
        <f t="shared" si="150"/>
        <v>0</v>
      </c>
    </row>
    <row r="124" spans="2:40" x14ac:dyDescent="0.25">
      <c r="K124" s="8" t="s">
        <v>204</v>
      </c>
      <c r="L124" s="114">
        <f>SUM(L122:L123)</f>
        <v>191807</v>
      </c>
      <c r="M124" s="114">
        <f>SUM(M122:M123)</f>
        <v>244879.81</v>
      </c>
      <c r="N124" s="16">
        <f t="shared" ref="N124" si="151">SUM(N122:N123)</f>
        <v>244879.81</v>
      </c>
      <c r="O124" s="16">
        <f t="shared" ref="O124" si="152">SUM(O122:O123)</f>
        <v>244879.81</v>
      </c>
      <c r="P124" s="16">
        <f t="shared" ref="P124" si="153">SUM(P122:P123)</f>
        <v>244879.81</v>
      </c>
      <c r="Q124" s="16">
        <f t="shared" ref="Q124" si="154">SUM(Q122:Q123)</f>
        <v>244879.81</v>
      </c>
      <c r="R124" s="16">
        <f t="shared" ref="R124" si="155">SUM(R122:R123)</f>
        <v>244879.81</v>
      </c>
      <c r="S124" s="16">
        <f t="shared" ref="S124" si="156">SUM(S122:S123)</f>
        <v>244879.81</v>
      </c>
      <c r="T124" s="16">
        <f t="shared" ref="T124" si="157">SUM(T122:T123)</f>
        <v>244879.81</v>
      </c>
      <c r="U124" s="16">
        <f t="shared" ref="U124" si="158">SUM(U122:U123)</f>
        <v>244879.81</v>
      </c>
      <c r="V124" s="16">
        <f t="shared" ref="V124" si="159">SUM(V122:V123)</f>
        <v>244879.81</v>
      </c>
      <c r="W124" s="16">
        <f t="shared" ref="W124" si="160">SUM(W122:W123)</f>
        <v>244879.81</v>
      </c>
      <c r="X124" s="16">
        <f t="shared" ref="X124" si="161">SUM(X122:X123)</f>
        <v>244879.81</v>
      </c>
      <c r="Y124" s="16">
        <f t="shared" ref="Y124" si="162">SUM(Y122:Y123)</f>
        <v>244879.81</v>
      </c>
      <c r="Z124" s="16">
        <f t="shared" ref="Z124" si="163">SUM(Z122:Z123)</f>
        <v>244879.81</v>
      </c>
      <c r="AA124" s="16">
        <f t="shared" ref="AA124" si="164">SUM(AA122:AA123)</f>
        <v>244879.81</v>
      </c>
      <c r="AB124" s="16">
        <f t="shared" ref="AB124" si="165">SUM(AB122:AB123)</f>
        <v>244879.81</v>
      </c>
      <c r="AC124" s="16">
        <f t="shared" ref="AC124" si="166">SUM(AC122:AC123)</f>
        <v>244879.81</v>
      </c>
      <c r="AD124" s="16">
        <f t="shared" ref="AD124" si="167">SUM(AD122:AD123)</f>
        <v>244879.81</v>
      </c>
      <c r="AE124" s="16">
        <f t="shared" ref="AE124" si="168">SUM(AE122:AE123)</f>
        <v>244879.81</v>
      </c>
      <c r="AF124" s="16">
        <f t="shared" ref="AF124" si="169">SUM(AF122:AF123)</f>
        <v>244879.81</v>
      </c>
      <c r="AG124" s="16">
        <f t="shared" ref="AG124" si="170">SUM(AG122:AG123)</f>
        <v>244879.81</v>
      </c>
      <c r="AI124" s="16">
        <f t="shared" ref="AI124" si="171">SUM(AI122:AI123)</f>
        <v>244879.81</v>
      </c>
      <c r="AJ124" s="16">
        <f t="shared" ref="AJ124" si="172">SUM(AJ122:AJ123)</f>
        <v>244879.81</v>
      </c>
      <c r="AK124" s="16">
        <f t="shared" ref="AK124" si="173">SUM(AK122:AK123)</f>
        <v>244879.81</v>
      </c>
      <c r="AL124" s="16">
        <f t="shared" ref="AL124" si="174">SUM(AL122:AL123)</f>
        <v>244879.81</v>
      </c>
      <c r="AM124" s="16">
        <f t="shared" ref="AM124" si="175">SUM(AM122:AM123)</f>
        <v>244879.81</v>
      </c>
      <c r="AN124" s="16">
        <f t="shared" ref="AN124" si="176">SUM(AN122:AN123)</f>
        <v>244879.81</v>
      </c>
    </row>
    <row r="126" spans="2:40" x14ac:dyDescent="0.25">
      <c r="D126" s="96" t="s">
        <v>73</v>
      </c>
      <c r="E126" s="108" t="s">
        <v>238</v>
      </c>
      <c r="F126" s="98" t="s">
        <v>227</v>
      </c>
      <c r="G126" s="98" t="s">
        <v>231</v>
      </c>
      <c r="H126" s="98" t="s">
        <v>228</v>
      </c>
      <c r="I126" s="98" t="s">
        <v>232</v>
      </c>
      <c r="J126" s="96"/>
      <c r="K126" s="96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I126" s="97"/>
      <c r="AJ126" s="97"/>
      <c r="AK126" s="97"/>
      <c r="AL126" s="97"/>
      <c r="AM126" s="97"/>
      <c r="AN126" s="97"/>
    </row>
    <row r="127" spans="2:40" x14ac:dyDescent="0.25">
      <c r="D127" s="2" t="s">
        <v>221</v>
      </c>
      <c r="E127" s="109" t="s">
        <v>254</v>
      </c>
      <c r="F127" s="100">
        <f>AVERAGE('Quarterly Historical Financials'!$D274:$D275)</f>
        <v>0</v>
      </c>
      <c r="G127" s="100">
        <f>AVERAGE('Quarterly Historical Financials'!$D274:$D274)</f>
        <v>0</v>
      </c>
      <c r="H127" s="100">
        <f>AVERAGE('Quarterly Historical Financials'!$D272:$D272)</f>
        <v>0</v>
      </c>
      <c r="I127" s="30">
        <f>CHOOSE($G$4,F127,G127,H127)</f>
        <v>0</v>
      </c>
    </row>
    <row r="128" spans="2:40" x14ac:dyDescent="0.25">
      <c r="K128" s="2" t="s">
        <v>173</v>
      </c>
      <c r="L128" s="113">
        <f>'Quarterly Historical Financials'!AB267</f>
        <v>8827</v>
      </c>
      <c r="M128" s="113">
        <f>'Quarterly Historical Financials'!AC267</f>
        <v>8827</v>
      </c>
      <c r="N128" s="6">
        <f t="shared" ref="N128:AG128" si="177">M130</f>
        <v>0</v>
      </c>
      <c r="O128" s="6">
        <f t="shared" si="177"/>
        <v>0</v>
      </c>
      <c r="P128" s="6">
        <f t="shared" si="177"/>
        <v>0</v>
      </c>
      <c r="Q128" s="6">
        <f t="shared" si="177"/>
        <v>0</v>
      </c>
      <c r="R128" s="6">
        <f t="shared" si="177"/>
        <v>0</v>
      </c>
      <c r="S128" s="6">
        <f t="shared" si="177"/>
        <v>0</v>
      </c>
      <c r="T128" s="6">
        <f t="shared" si="177"/>
        <v>0</v>
      </c>
      <c r="U128" s="6">
        <f t="shared" si="177"/>
        <v>0</v>
      </c>
      <c r="V128" s="6">
        <f t="shared" si="177"/>
        <v>0</v>
      </c>
      <c r="W128" s="6">
        <f t="shared" si="177"/>
        <v>0</v>
      </c>
      <c r="X128" s="6">
        <f t="shared" si="177"/>
        <v>0</v>
      </c>
      <c r="Y128" s="6">
        <f t="shared" si="177"/>
        <v>0</v>
      </c>
      <c r="Z128" s="6">
        <f t="shared" si="177"/>
        <v>0</v>
      </c>
      <c r="AA128" s="6">
        <f t="shared" si="177"/>
        <v>0</v>
      </c>
      <c r="AB128" s="6">
        <f t="shared" si="177"/>
        <v>0</v>
      </c>
      <c r="AC128" s="6">
        <f t="shared" si="177"/>
        <v>0</v>
      </c>
      <c r="AD128" s="6">
        <f t="shared" si="177"/>
        <v>0</v>
      </c>
      <c r="AE128" s="6">
        <f t="shared" si="177"/>
        <v>0</v>
      </c>
      <c r="AF128" s="6">
        <f t="shared" si="177"/>
        <v>0</v>
      </c>
      <c r="AG128" s="6">
        <f t="shared" si="177"/>
        <v>0</v>
      </c>
      <c r="AI128" s="6">
        <f t="shared" ref="AI128" si="178">SUMIF($M$4:$AG$4,AI$4,$M128:$AG128)</f>
        <v>8827</v>
      </c>
      <c r="AJ128" s="6">
        <f>AI130</f>
        <v>0</v>
      </c>
      <c r="AK128" s="6">
        <f t="shared" ref="AK128:AN128" si="179">AJ130</f>
        <v>0</v>
      </c>
      <c r="AL128" s="6">
        <f t="shared" si="179"/>
        <v>0</v>
      </c>
      <c r="AM128" s="6">
        <f t="shared" si="179"/>
        <v>0</v>
      </c>
      <c r="AN128" s="6">
        <f t="shared" si="179"/>
        <v>0</v>
      </c>
    </row>
    <row r="129" spans="2:40" x14ac:dyDescent="0.25">
      <c r="K129" s="2" t="s">
        <v>205</v>
      </c>
      <c r="L129" s="113">
        <f>'Quarterly Historical Financials'!AB268</f>
        <v>0</v>
      </c>
      <c r="M129" s="113">
        <f>'Quarterly Historical Financials'!AC268</f>
        <v>-8827</v>
      </c>
      <c r="N129" s="6">
        <f>N128*$I127</f>
        <v>0</v>
      </c>
      <c r="O129" s="6">
        <f t="shared" ref="O129" si="180">O128*$I127</f>
        <v>0</v>
      </c>
      <c r="P129" s="6">
        <f t="shared" ref="P129" si="181">P128*$I127</f>
        <v>0</v>
      </c>
      <c r="Q129" s="6">
        <f t="shared" ref="Q129" si="182">Q128*$I127</f>
        <v>0</v>
      </c>
      <c r="R129" s="6">
        <f t="shared" ref="R129" si="183">R128*$I127</f>
        <v>0</v>
      </c>
      <c r="S129" s="6">
        <f t="shared" ref="S129" si="184">S128*$I127</f>
        <v>0</v>
      </c>
      <c r="T129" s="6">
        <f t="shared" ref="T129" si="185">T128*$I127</f>
        <v>0</v>
      </c>
      <c r="U129" s="6">
        <f t="shared" ref="U129" si="186">U128*$I127</f>
        <v>0</v>
      </c>
      <c r="V129" s="6">
        <f t="shared" ref="V129" si="187">V128*$I127</f>
        <v>0</v>
      </c>
      <c r="W129" s="6">
        <f t="shared" ref="W129" si="188">W128*$I127</f>
        <v>0</v>
      </c>
      <c r="X129" s="6">
        <f t="shared" ref="X129" si="189">X128*$I127</f>
        <v>0</v>
      </c>
      <c r="Y129" s="6">
        <f t="shared" ref="Y129" si="190">Y128*$I127</f>
        <v>0</v>
      </c>
      <c r="Z129" s="6">
        <f t="shared" ref="Z129" si="191">Z128*$I127</f>
        <v>0</v>
      </c>
      <c r="AA129" s="6">
        <f t="shared" ref="AA129" si="192">AA128*$I127</f>
        <v>0</v>
      </c>
      <c r="AB129" s="6">
        <f t="shared" ref="AB129" si="193">AB128*$I127</f>
        <v>0</v>
      </c>
      <c r="AC129" s="6">
        <f t="shared" ref="AC129" si="194">AC128*$I127</f>
        <v>0</v>
      </c>
      <c r="AD129" s="6">
        <f t="shared" ref="AD129" si="195">AD128*$I127</f>
        <v>0</v>
      </c>
      <c r="AE129" s="6">
        <f t="shared" ref="AE129" si="196">AE128*$I127</f>
        <v>0</v>
      </c>
      <c r="AF129" s="6">
        <f t="shared" ref="AF129" si="197">AF128*$I127</f>
        <v>0</v>
      </c>
      <c r="AG129" s="6">
        <f t="shared" ref="AG129" si="198">AG128*$I127</f>
        <v>0</v>
      </c>
      <c r="AI129" s="6">
        <f t="shared" ref="AI129:AN129" si="199">SUMIF($M$2:$AG$2,AI$2,$M129:$AG129)</f>
        <v>-8827</v>
      </c>
      <c r="AJ129" s="6">
        <f t="shared" si="199"/>
        <v>0</v>
      </c>
      <c r="AK129" s="6">
        <f t="shared" si="199"/>
        <v>0</v>
      </c>
      <c r="AL129" s="6">
        <f t="shared" si="199"/>
        <v>0</v>
      </c>
      <c r="AM129" s="6">
        <f t="shared" si="199"/>
        <v>0</v>
      </c>
      <c r="AN129" s="6">
        <f t="shared" si="199"/>
        <v>0</v>
      </c>
    </row>
    <row r="130" spans="2:40" x14ac:dyDescent="0.25">
      <c r="K130" s="8" t="s">
        <v>204</v>
      </c>
      <c r="L130" s="114">
        <f>SUM(L128:L129)</f>
        <v>8827</v>
      </c>
      <c r="M130" s="114">
        <f>SUM(M128:M129)</f>
        <v>0</v>
      </c>
      <c r="N130" s="16">
        <f t="shared" ref="N130" si="200">SUM(N128:N129)</f>
        <v>0</v>
      </c>
      <c r="O130" s="16">
        <f t="shared" ref="O130" si="201">SUM(O128:O129)</f>
        <v>0</v>
      </c>
      <c r="P130" s="16">
        <f t="shared" ref="P130" si="202">SUM(P128:P129)</f>
        <v>0</v>
      </c>
      <c r="Q130" s="16">
        <f t="shared" ref="Q130" si="203">SUM(Q128:Q129)</f>
        <v>0</v>
      </c>
      <c r="R130" s="16">
        <f t="shared" ref="R130" si="204">SUM(R128:R129)</f>
        <v>0</v>
      </c>
      <c r="S130" s="16">
        <f t="shared" ref="S130" si="205">SUM(S128:S129)</f>
        <v>0</v>
      </c>
      <c r="T130" s="16">
        <f t="shared" ref="T130" si="206">SUM(T128:T129)</f>
        <v>0</v>
      </c>
      <c r="U130" s="16">
        <f t="shared" ref="U130" si="207">SUM(U128:U129)</f>
        <v>0</v>
      </c>
      <c r="V130" s="16">
        <f t="shared" ref="V130" si="208">SUM(V128:V129)</f>
        <v>0</v>
      </c>
      <c r="W130" s="16">
        <f t="shared" ref="W130" si="209">SUM(W128:W129)</f>
        <v>0</v>
      </c>
      <c r="X130" s="16">
        <f t="shared" ref="X130" si="210">SUM(X128:X129)</f>
        <v>0</v>
      </c>
      <c r="Y130" s="16">
        <f t="shared" ref="Y130" si="211">SUM(Y128:Y129)</f>
        <v>0</v>
      </c>
      <c r="Z130" s="16">
        <f t="shared" ref="Z130" si="212">SUM(Z128:Z129)</f>
        <v>0</v>
      </c>
      <c r="AA130" s="16">
        <f t="shared" ref="AA130" si="213">SUM(AA128:AA129)</f>
        <v>0</v>
      </c>
      <c r="AB130" s="16">
        <f t="shared" ref="AB130" si="214">SUM(AB128:AB129)</f>
        <v>0</v>
      </c>
      <c r="AC130" s="16">
        <f t="shared" ref="AC130" si="215">SUM(AC128:AC129)</f>
        <v>0</v>
      </c>
      <c r="AD130" s="16">
        <f t="shared" ref="AD130" si="216">SUM(AD128:AD129)</f>
        <v>0</v>
      </c>
      <c r="AE130" s="16">
        <f t="shared" ref="AE130" si="217">SUM(AE128:AE129)</f>
        <v>0</v>
      </c>
      <c r="AF130" s="16">
        <f t="shared" ref="AF130" si="218">SUM(AF128:AF129)</f>
        <v>0</v>
      </c>
      <c r="AG130" s="16">
        <f t="shared" ref="AG130" si="219">SUM(AG128:AG129)</f>
        <v>0</v>
      </c>
      <c r="AI130" s="16">
        <f t="shared" ref="AI130" si="220">SUM(AI128:AI129)</f>
        <v>0</v>
      </c>
      <c r="AJ130" s="16">
        <f t="shared" ref="AJ130" si="221">SUM(AJ128:AJ129)</f>
        <v>0</v>
      </c>
      <c r="AK130" s="16">
        <f t="shared" ref="AK130" si="222">SUM(AK128:AK129)</f>
        <v>0</v>
      </c>
      <c r="AL130" s="16">
        <f t="shared" ref="AL130" si="223">SUM(AL128:AL129)</f>
        <v>0</v>
      </c>
      <c r="AM130" s="16">
        <f t="shared" ref="AM130" si="224">SUM(AM128:AM129)</f>
        <v>0</v>
      </c>
      <c r="AN130" s="16">
        <f t="shared" ref="AN130" si="225">SUM(AN128:AN129)</f>
        <v>0</v>
      </c>
    </row>
    <row r="132" spans="2:40" x14ac:dyDescent="0.25">
      <c r="D132" s="96" t="s">
        <v>80</v>
      </c>
      <c r="E132" s="108" t="s">
        <v>238</v>
      </c>
      <c r="F132" s="98" t="s">
        <v>227</v>
      </c>
      <c r="G132" s="98" t="s">
        <v>231</v>
      </c>
      <c r="H132" s="98" t="s">
        <v>228</v>
      </c>
      <c r="I132" s="98" t="s">
        <v>232</v>
      </c>
      <c r="J132" s="96"/>
      <c r="K132" s="96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I132" s="97"/>
      <c r="AJ132" s="97"/>
      <c r="AK132" s="97"/>
      <c r="AL132" s="97"/>
      <c r="AM132" s="97"/>
      <c r="AN132" s="97"/>
    </row>
    <row r="133" spans="2:40" x14ac:dyDescent="0.25">
      <c r="D133" s="2" t="s">
        <v>221</v>
      </c>
      <c r="E133" s="109" t="s">
        <v>254</v>
      </c>
      <c r="F133" s="100">
        <f>AVERAGE('Quarterly Historical Financials'!$D293:$D293)</f>
        <v>0</v>
      </c>
      <c r="G133" s="100">
        <f>AVERAGE('Quarterly Historical Financials'!$D293:$D293)</f>
        <v>0</v>
      </c>
      <c r="H133" s="100">
        <f>AVERAGE('Quarterly Historical Financials'!$D293:$D293)</f>
        <v>0</v>
      </c>
      <c r="I133" s="30">
        <f>CHOOSE($G$4,F133,G133,H133)</f>
        <v>0</v>
      </c>
    </row>
    <row r="134" spans="2:40" x14ac:dyDescent="0.25">
      <c r="K134" s="2" t="s">
        <v>173</v>
      </c>
      <c r="L134" s="113">
        <f>'Quarterly Historical Financials'!AB286</f>
        <v>27816</v>
      </c>
      <c r="M134" s="113">
        <f>'Quarterly Historical Financials'!AC286</f>
        <v>37747</v>
      </c>
      <c r="N134" s="6">
        <f t="shared" ref="N134:AG134" si="226">M136</f>
        <v>0</v>
      </c>
      <c r="O134" s="6">
        <f t="shared" si="226"/>
        <v>0</v>
      </c>
      <c r="P134" s="6">
        <f t="shared" si="226"/>
        <v>0</v>
      </c>
      <c r="Q134" s="6">
        <f t="shared" si="226"/>
        <v>0</v>
      </c>
      <c r="R134" s="6">
        <f t="shared" si="226"/>
        <v>0</v>
      </c>
      <c r="S134" s="6">
        <f t="shared" si="226"/>
        <v>0</v>
      </c>
      <c r="T134" s="6">
        <f t="shared" si="226"/>
        <v>0</v>
      </c>
      <c r="U134" s="6">
        <f t="shared" si="226"/>
        <v>0</v>
      </c>
      <c r="V134" s="6">
        <f t="shared" si="226"/>
        <v>0</v>
      </c>
      <c r="W134" s="6">
        <f t="shared" si="226"/>
        <v>0</v>
      </c>
      <c r="X134" s="6">
        <f t="shared" si="226"/>
        <v>0</v>
      </c>
      <c r="Y134" s="6">
        <f t="shared" si="226"/>
        <v>0</v>
      </c>
      <c r="Z134" s="6">
        <f t="shared" si="226"/>
        <v>0</v>
      </c>
      <c r="AA134" s="6">
        <f t="shared" si="226"/>
        <v>0</v>
      </c>
      <c r="AB134" s="6">
        <f t="shared" si="226"/>
        <v>0</v>
      </c>
      <c r="AC134" s="6">
        <f t="shared" si="226"/>
        <v>0</v>
      </c>
      <c r="AD134" s="6">
        <f t="shared" si="226"/>
        <v>0</v>
      </c>
      <c r="AE134" s="6">
        <f t="shared" si="226"/>
        <v>0</v>
      </c>
      <c r="AF134" s="6">
        <f t="shared" si="226"/>
        <v>0</v>
      </c>
      <c r="AG134" s="6">
        <f t="shared" si="226"/>
        <v>0</v>
      </c>
      <c r="AI134" s="6">
        <f t="shared" ref="AI134" si="227">SUMIF($M$4:$AG$4,AI$4,$M134:$AG134)</f>
        <v>37747</v>
      </c>
      <c r="AJ134" s="6">
        <f>AI136</f>
        <v>0</v>
      </c>
      <c r="AK134" s="6">
        <f t="shared" ref="AK134:AN134" si="228">AJ136</f>
        <v>0</v>
      </c>
      <c r="AL134" s="6">
        <f t="shared" si="228"/>
        <v>0</v>
      </c>
      <c r="AM134" s="6">
        <f t="shared" si="228"/>
        <v>0</v>
      </c>
      <c r="AN134" s="6">
        <f t="shared" si="228"/>
        <v>0</v>
      </c>
    </row>
    <row r="135" spans="2:40" x14ac:dyDescent="0.25">
      <c r="K135" s="2" t="s">
        <v>205</v>
      </c>
      <c r="L135" s="113">
        <f>'Quarterly Historical Financials'!AB287</f>
        <v>9931</v>
      </c>
      <c r="M135" s="113">
        <f>'Quarterly Historical Financials'!AC287</f>
        <v>-37747</v>
      </c>
      <c r="N135" s="6">
        <f>N134*$I133</f>
        <v>0</v>
      </c>
      <c r="O135" s="6">
        <f t="shared" ref="O135" si="229">O134*$I133</f>
        <v>0</v>
      </c>
      <c r="P135" s="6">
        <f t="shared" ref="P135" si="230">P134*$I133</f>
        <v>0</v>
      </c>
      <c r="Q135" s="6">
        <f t="shared" ref="Q135" si="231">Q134*$I133</f>
        <v>0</v>
      </c>
      <c r="R135" s="6">
        <f t="shared" ref="R135" si="232">R134*$I133</f>
        <v>0</v>
      </c>
      <c r="S135" s="6">
        <f t="shared" ref="S135" si="233">S134*$I133</f>
        <v>0</v>
      </c>
      <c r="T135" s="6">
        <f t="shared" ref="T135" si="234">T134*$I133</f>
        <v>0</v>
      </c>
      <c r="U135" s="6">
        <f t="shared" ref="U135" si="235">U134*$I133</f>
        <v>0</v>
      </c>
      <c r="V135" s="6">
        <f t="shared" ref="V135" si="236">V134*$I133</f>
        <v>0</v>
      </c>
      <c r="W135" s="6">
        <f t="shared" ref="W135" si="237">W134*$I133</f>
        <v>0</v>
      </c>
      <c r="X135" s="6">
        <f t="shared" ref="X135" si="238">X134*$I133</f>
        <v>0</v>
      </c>
      <c r="Y135" s="6">
        <f t="shared" ref="Y135" si="239">Y134*$I133</f>
        <v>0</v>
      </c>
      <c r="Z135" s="6">
        <f t="shared" ref="Z135" si="240">Z134*$I133</f>
        <v>0</v>
      </c>
      <c r="AA135" s="6">
        <f t="shared" ref="AA135" si="241">AA134*$I133</f>
        <v>0</v>
      </c>
      <c r="AB135" s="6">
        <f t="shared" ref="AB135" si="242">AB134*$I133</f>
        <v>0</v>
      </c>
      <c r="AC135" s="6">
        <f t="shared" ref="AC135" si="243">AC134*$I133</f>
        <v>0</v>
      </c>
      <c r="AD135" s="6">
        <f t="shared" ref="AD135" si="244">AD134*$I133</f>
        <v>0</v>
      </c>
      <c r="AE135" s="6">
        <f t="shared" ref="AE135" si="245">AE134*$I133</f>
        <v>0</v>
      </c>
      <c r="AF135" s="6">
        <f t="shared" ref="AF135" si="246">AF134*$I133</f>
        <v>0</v>
      </c>
      <c r="AG135" s="6">
        <f t="shared" ref="AG135" si="247">AG134*$I133</f>
        <v>0</v>
      </c>
      <c r="AI135" s="6">
        <f t="shared" ref="AI135:AN135" si="248">SUMIF($M$2:$AG$2,AI$2,$M135:$AG135)</f>
        <v>-37747</v>
      </c>
      <c r="AJ135" s="6">
        <f t="shared" si="248"/>
        <v>0</v>
      </c>
      <c r="AK135" s="6">
        <f t="shared" si="248"/>
        <v>0</v>
      </c>
      <c r="AL135" s="6">
        <f t="shared" si="248"/>
        <v>0</v>
      </c>
      <c r="AM135" s="6">
        <f t="shared" si="248"/>
        <v>0</v>
      </c>
      <c r="AN135" s="6">
        <f t="shared" si="248"/>
        <v>0</v>
      </c>
    </row>
    <row r="136" spans="2:40" x14ac:dyDescent="0.25">
      <c r="K136" s="8" t="s">
        <v>204</v>
      </c>
      <c r="L136" s="114">
        <f>SUM(L134:L135)</f>
        <v>37747</v>
      </c>
      <c r="M136" s="114">
        <f>SUM(M134:M135)</f>
        <v>0</v>
      </c>
      <c r="N136" s="16">
        <f t="shared" ref="N136" si="249">SUM(N134:N135)</f>
        <v>0</v>
      </c>
      <c r="O136" s="16">
        <f t="shared" ref="O136" si="250">SUM(O134:O135)</f>
        <v>0</v>
      </c>
      <c r="P136" s="16">
        <f t="shared" ref="P136" si="251">SUM(P134:P135)</f>
        <v>0</v>
      </c>
      <c r="Q136" s="16">
        <f t="shared" ref="Q136" si="252">SUM(Q134:Q135)</f>
        <v>0</v>
      </c>
      <c r="R136" s="16">
        <f t="shared" ref="R136" si="253">SUM(R134:R135)</f>
        <v>0</v>
      </c>
      <c r="S136" s="16">
        <f t="shared" ref="S136" si="254">SUM(S134:S135)</f>
        <v>0</v>
      </c>
      <c r="T136" s="16">
        <f t="shared" ref="T136" si="255">SUM(T134:T135)</f>
        <v>0</v>
      </c>
      <c r="U136" s="16">
        <f t="shared" ref="U136" si="256">SUM(U134:U135)</f>
        <v>0</v>
      </c>
      <c r="V136" s="16">
        <f t="shared" ref="V136" si="257">SUM(V134:V135)</f>
        <v>0</v>
      </c>
      <c r="W136" s="16">
        <f t="shared" ref="W136" si="258">SUM(W134:W135)</f>
        <v>0</v>
      </c>
      <c r="X136" s="16">
        <f t="shared" ref="X136" si="259">SUM(X134:X135)</f>
        <v>0</v>
      </c>
      <c r="Y136" s="16">
        <f t="shared" ref="Y136" si="260">SUM(Y134:Y135)</f>
        <v>0</v>
      </c>
      <c r="Z136" s="16">
        <f t="shared" ref="Z136" si="261">SUM(Z134:Z135)</f>
        <v>0</v>
      </c>
      <c r="AA136" s="16">
        <f t="shared" ref="AA136" si="262">SUM(AA134:AA135)</f>
        <v>0</v>
      </c>
      <c r="AB136" s="16">
        <f t="shared" ref="AB136" si="263">SUM(AB134:AB135)</f>
        <v>0</v>
      </c>
      <c r="AC136" s="16">
        <f t="shared" ref="AC136" si="264">SUM(AC134:AC135)</f>
        <v>0</v>
      </c>
      <c r="AD136" s="16">
        <f t="shared" ref="AD136" si="265">SUM(AD134:AD135)</f>
        <v>0</v>
      </c>
      <c r="AE136" s="16">
        <f t="shared" ref="AE136" si="266">SUM(AE134:AE135)</f>
        <v>0</v>
      </c>
      <c r="AF136" s="16">
        <f t="shared" ref="AF136" si="267">SUM(AF134:AF135)</f>
        <v>0</v>
      </c>
      <c r="AG136" s="16">
        <f t="shared" ref="AG136" si="268">SUM(AG134:AG135)</f>
        <v>0</v>
      </c>
      <c r="AI136" s="16">
        <f t="shared" ref="AI136" si="269">SUM(AI134:AI135)</f>
        <v>0</v>
      </c>
      <c r="AJ136" s="16">
        <f t="shared" ref="AJ136" si="270">SUM(AJ134:AJ135)</f>
        <v>0</v>
      </c>
      <c r="AK136" s="16">
        <f t="shared" ref="AK136" si="271">SUM(AK134:AK135)</f>
        <v>0</v>
      </c>
      <c r="AL136" s="16">
        <f t="shared" ref="AL136" si="272">SUM(AL134:AL135)</f>
        <v>0</v>
      </c>
      <c r="AM136" s="16">
        <f t="shared" ref="AM136" si="273">SUM(AM134:AM135)</f>
        <v>0</v>
      </c>
      <c r="AN136" s="16">
        <f t="shared" ref="AN136" si="274">SUM(AN134:AN135)</f>
        <v>0</v>
      </c>
    </row>
    <row r="139" spans="2:40" x14ac:dyDescent="0.25">
      <c r="B139" s="95">
        <v>8</v>
      </c>
      <c r="D139" s="21" t="s">
        <v>259</v>
      </c>
      <c r="E139" s="21"/>
      <c r="F139" s="21"/>
      <c r="G139" s="21"/>
      <c r="H139" s="21"/>
      <c r="I139" s="21"/>
      <c r="J139" s="19"/>
      <c r="K139" s="19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I139" s="20"/>
      <c r="AJ139" s="20"/>
      <c r="AK139" s="20"/>
      <c r="AL139" s="20"/>
      <c r="AM139" s="20"/>
      <c r="AN139" s="20"/>
    </row>
    <row r="140" spans="2:40" x14ac:dyDescent="0.25">
      <c r="B140" s="116"/>
      <c r="D140" s="96" t="s">
        <v>213</v>
      </c>
      <c r="E140" s="108" t="s">
        <v>238</v>
      </c>
      <c r="F140" s="98" t="s">
        <v>227</v>
      </c>
      <c r="G140" s="98" t="s">
        <v>231</v>
      </c>
      <c r="H140" s="98" t="s">
        <v>228</v>
      </c>
      <c r="I140" s="98" t="s">
        <v>232</v>
      </c>
      <c r="J140" s="96"/>
      <c r="K140" s="96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I140" s="97"/>
      <c r="AJ140" s="97"/>
      <c r="AK140" s="97"/>
      <c r="AL140" s="97"/>
      <c r="AM140" s="97"/>
      <c r="AN140" s="97"/>
    </row>
    <row r="141" spans="2:40" x14ac:dyDescent="0.25">
      <c r="B141" s="116"/>
      <c r="D141" s="2" t="s">
        <v>216</v>
      </c>
      <c r="E141" s="109" t="s">
        <v>254</v>
      </c>
      <c r="F141" s="100">
        <f>AVERAGE('Quarterly Historical Financials'!$D315:$D316)</f>
        <v>5.6778810735852038E-2</v>
      </c>
      <c r="G141" s="100">
        <f>AVERAGE('Quarterly Historical Financials'!$D314:$D316)</f>
        <v>9.790946061174903E-2</v>
      </c>
      <c r="H141" s="100">
        <f>AVERAGE('Quarterly Historical Financials'!$D314:$D315)</f>
        <v>0.13878442471511365</v>
      </c>
      <c r="I141" s="30">
        <f>CHOOSE($G$4,F141,G141,H141)</f>
        <v>5.6778810735852038E-2</v>
      </c>
    </row>
    <row r="142" spans="2:40" x14ac:dyDescent="0.25">
      <c r="B142" s="116"/>
      <c r="D142" s="2" t="s">
        <v>217</v>
      </c>
      <c r="E142" s="109" t="s">
        <v>260</v>
      </c>
      <c r="F142" s="100">
        <f>AVERAGE('Quarterly Historical Financials'!$D322:$D322)</f>
        <v>-4.4685990338164248E-2</v>
      </c>
      <c r="G142" s="100">
        <f>AVERAGE('Quarterly Historical Financials'!$D320:$D322)</f>
        <v>-5.8282952091666708E-2</v>
      </c>
      <c r="H142" s="100">
        <f>AVERAGE('Quarterly Historical Financials'!$D320:$D321)</f>
        <v>-6.5081432968417938E-2</v>
      </c>
      <c r="I142" s="30">
        <f>CHOOSE($G$4,F142,G142,H142)</f>
        <v>-4.4685990338164248E-2</v>
      </c>
      <c r="K142" s="2" t="s">
        <v>214</v>
      </c>
      <c r="L142" s="113">
        <f>'Quarterly Historical Financials'!AB307</f>
        <v>30247</v>
      </c>
      <c r="M142" s="113">
        <f>'Quarterly Historical Financials'!AC307</f>
        <v>33244</v>
      </c>
      <c r="N142" s="6">
        <f t="shared" ref="N142:AG142" si="275">M145</f>
        <v>31109.296999999999</v>
      </c>
      <c r="O142" s="6">
        <f t="shared" si="275"/>
        <v>31406.565092043882</v>
      </c>
      <c r="P142" s="6">
        <f t="shared" si="275"/>
        <v>31706.673759962789</v>
      </c>
      <c r="Q142" s="6">
        <f t="shared" si="275"/>
        <v>32009.650147172113</v>
      </c>
      <c r="R142" s="6">
        <f t="shared" si="275"/>
        <v>32315.521656458928</v>
      </c>
      <c r="S142" s="6">
        <f t="shared" si="275"/>
        <v>32624.315952460482</v>
      </c>
      <c r="T142" s="6">
        <f t="shared" si="275"/>
        <v>32936.060964166296</v>
      </c>
      <c r="U142" s="6">
        <f t="shared" si="275"/>
        <v>33250.784887444235</v>
      </c>
      <c r="V142" s="6">
        <f t="shared" si="275"/>
        <v>33568.516187590685</v>
      </c>
      <c r="W142" s="6">
        <f t="shared" si="275"/>
        <v>33889.283601905103</v>
      </c>
      <c r="X142" s="6">
        <f t="shared" si="275"/>
        <v>34213.11614228916</v>
      </c>
      <c r="Y142" s="6">
        <f t="shared" si="275"/>
        <v>34540.043097870759</v>
      </c>
      <c r="Z142" s="6">
        <f t="shared" si="275"/>
        <v>34870.094037653078</v>
      </c>
      <c r="AA142" s="6">
        <f t="shared" si="275"/>
        <v>35203.298813188951</v>
      </c>
      <c r="AB142" s="6">
        <f t="shared" si="275"/>
        <v>35539.687561280793</v>
      </c>
      <c r="AC142" s="6">
        <f t="shared" si="275"/>
        <v>35879.290706706342</v>
      </c>
      <c r="AD142" s="6">
        <f t="shared" si="275"/>
        <v>36222.138964970436</v>
      </c>
      <c r="AE142" s="6">
        <f t="shared" si="275"/>
        <v>36568.263345083076</v>
      </c>
      <c r="AF142" s="6">
        <f t="shared" si="275"/>
        <v>36917.69515236406</v>
      </c>
      <c r="AG142" s="6">
        <f t="shared" si="275"/>
        <v>37270.465991274395</v>
      </c>
      <c r="AI142" s="6">
        <f t="shared" ref="AI142" si="276">SUMIF($M$4:$AG$4,AI$4,$M142:$AG142)</f>
        <v>33244</v>
      </c>
      <c r="AJ142" s="6">
        <f>AI145</f>
        <v>31109.296999999999</v>
      </c>
      <c r="AK142" s="6">
        <f t="shared" ref="AK142:AN142" si="277">AJ145</f>
        <v>32315.521656458935</v>
      </c>
      <c r="AL142" s="6">
        <f t="shared" si="277"/>
        <v>33568.516187590685</v>
      </c>
      <c r="AM142" s="6">
        <f t="shared" si="277"/>
        <v>34870.094037653085</v>
      </c>
      <c r="AN142" s="6">
        <f t="shared" si="277"/>
        <v>36222.138964970436</v>
      </c>
    </row>
    <row r="143" spans="2:40" x14ac:dyDescent="0.25">
      <c r="B143" s="116"/>
      <c r="E143" s="109"/>
      <c r="I143" s="30"/>
      <c r="K143" s="2" t="s">
        <v>175</v>
      </c>
      <c r="L143" s="113">
        <f>'Quarterly Historical Financials'!AB308</f>
        <v>2946</v>
      </c>
      <c r="M143" s="113">
        <f>'Quarterly Historical Financials'!AC308</f>
        <v>3305.7269999999999</v>
      </c>
      <c r="N143" s="6">
        <f t="shared" ref="N143:AG143" si="278">N142*$I141</f>
        <v>1766.3488864884096</v>
      </c>
      <c r="O143" s="6">
        <f t="shared" si="278"/>
        <v>1783.227415224377</v>
      </c>
      <c r="P143" s="6">
        <f t="shared" si="278"/>
        <v>1800.2672284803332</v>
      </c>
      <c r="Q143" s="6">
        <f t="shared" si="278"/>
        <v>1817.4698674271237</v>
      </c>
      <c r="R143" s="6">
        <f t="shared" si="278"/>
        <v>1834.8368879624093</v>
      </c>
      <c r="S143" s="6">
        <f t="shared" si="278"/>
        <v>1852.3698608513921</v>
      </c>
      <c r="T143" s="6">
        <f t="shared" si="278"/>
        <v>1870.0703718688826</v>
      </c>
      <c r="U143" s="6">
        <f t="shared" si="278"/>
        <v>1887.9400219427255</v>
      </c>
      <c r="V143" s="6">
        <f t="shared" si="278"/>
        <v>1905.9804272985969</v>
      </c>
      <c r="W143" s="6">
        <f t="shared" si="278"/>
        <v>1924.1932196061839</v>
      </c>
      <c r="X143" s="6">
        <f t="shared" si="278"/>
        <v>1942.5800461267604</v>
      </c>
      <c r="Y143" s="6">
        <f t="shared" si="278"/>
        <v>1961.1425698621763</v>
      </c>
      <c r="Z143" s="6">
        <f t="shared" si="278"/>
        <v>1979.8824697052667</v>
      </c>
      <c r="AA143" s="6">
        <f t="shared" si="278"/>
        <v>1998.8014405917002</v>
      </c>
      <c r="AB143" s="6">
        <f t="shared" si="278"/>
        <v>2017.901193653277</v>
      </c>
      <c r="AC143" s="6">
        <f t="shared" si="278"/>
        <v>2037.1834563726943</v>
      </c>
      <c r="AD143" s="6">
        <f t="shared" si="278"/>
        <v>2056.6499727397877</v>
      </c>
      <c r="AE143" s="6">
        <f t="shared" si="278"/>
        <v>2076.3025034092675</v>
      </c>
      <c r="AF143" s="6">
        <f t="shared" si="278"/>
        <v>2096.1428258599612</v>
      </c>
      <c r="AG143" s="6">
        <f t="shared" si="278"/>
        <v>2116.1727345555787</v>
      </c>
      <c r="AI143" s="6">
        <f t="shared" ref="AI143:AN144" si="279">SUMIF($M$2:$AG$2,AI$2,$M143:$AG143)</f>
        <v>3305.7269999999999</v>
      </c>
      <c r="AJ143" s="6">
        <f t="shared" si="279"/>
        <v>7167.3133976202434</v>
      </c>
      <c r="AK143" s="6">
        <f t="shared" si="279"/>
        <v>7445.217142625409</v>
      </c>
      <c r="AL143" s="6">
        <f t="shared" si="279"/>
        <v>7733.8962628937179</v>
      </c>
      <c r="AM143" s="6">
        <f t="shared" si="279"/>
        <v>8033.7685603229384</v>
      </c>
      <c r="AN143" s="6">
        <f t="shared" si="279"/>
        <v>8345.2680365645956</v>
      </c>
    </row>
    <row r="144" spans="2:40" x14ac:dyDescent="0.25">
      <c r="K144" s="2" t="s">
        <v>215</v>
      </c>
      <c r="L144" s="113">
        <f>'Quarterly Historical Financials'!AB309</f>
        <v>51</v>
      </c>
      <c r="M144" s="113">
        <f>'Quarterly Historical Financials'!AC309</f>
        <v>-5440.43</v>
      </c>
      <c r="N144" s="6">
        <f t="shared" ref="N144:AG144" si="280">SUM(N142:N143)*$I142</f>
        <v>-1469.0807944445303</v>
      </c>
      <c r="O144" s="6">
        <f t="shared" si="280"/>
        <v>-1483.1187473054654</v>
      </c>
      <c r="P144" s="6">
        <f t="shared" si="280"/>
        <v>-1497.290841271009</v>
      </c>
      <c r="Q144" s="6">
        <f t="shared" si="280"/>
        <v>-1511.5983581403038</v>
      </c>
      <c r="R144" s="6">
        <f t="shared" si="280"/>
        <v>-1526.0425919608567</v>
      </c>
      <c r="S144" s="6">
        <f t="shared" si="280"/>
        <v>-1540.6248491455788</v>
      </c>
      <c r="T144" s="6">
        <f t="shared" si="280"/>
        <v>-1555.3464485909437</v>
      </c>
      <c r="U144" s="6">
        <f t="shared" si="280"/>
        <v>-1570.2087217962771</v>
      </c>
      <c r="V144" s="6">
        <f t="shared" si="280"/>
        <v>-1585.213012984183</v>
      </c>
      <c r="W144" s="6">
        <f t="shared" si="280"/>
        <v>-1600.3606792221226</v>
      </c>
      <c r="X144" s="6">
        <f t="shared" si="280"/>
        <v>-1615.6530905451557</v>
      </c>
      <c r="Y144" s="6">
        <f t="shared" si="280"/>
        <v>-1631.0916300798533</v>
      </c>
      <c r="Z144" s="6">
        <f t="shared" si="280"/>
        <v>-1646.6776941693947</v>
      </c>
      <c r="AA144" s="6">
        <f t="shared" si="280"/>
        <v>-1662.4126924998598</v>
      </c>
      <c r="AB144" s="6">
        <f t="shared" si="280"/>
        <v>-1678.2980482277301</v>
      </c>
      <c r="AC144" s="6">
        <f t="shared" si="280"/>
        <v>-1694.3351981086043</v>
      </c>
      <c r="AD144" s="6">
        <f t="shared" si="280"/>
        <v>-1710.5255926271477</v>
      </c>
      <c r="AE144" s="6">
        <f t="shared" si="280"/>
        <v>-1726.8706961282808</v>
      </c>
      <c r="AF144" s="6">
        <f t="shared" si="280"/>
        <v>-1743.371986949624</v>
      </c>
      <c r="AG144" s="6">
        <f t="shared" si="280"/>
        <v>-1760.0309575552039</v>
      </c>
      <c r="AI144" s="6">
        <f t="shared" si="279"/>
        <v>-5440.43</v>
      </c>
      <c r="AJ144" s="6">
        <f t="shared" si="279"/>
        <v>-5961.0887411613076</v>
      </c>
      <c r="AK144" s="6">
        <f t="shared" si="279"/>
        <v>-6192.2226114936566</v>
      </c>
      <c r="AL144" s="6">
        <f t="shared" si="279"/>
        <v>-6432.3184128313151</v>
      </c>
      <c r="AM144" s="6">
        <f t="shared" si="279"/>
        <v>-6681.7236330055885</v>
      </c>
      <c r="AN144" s="6">
        <f t="shared" si="279"/>
        <v>-6940.7992332602562</v>
      </c>
    </row>
    <row r="145" spans="2:40" x14ac:dyDescent="0.25">
      <c r="K145" s="8" t="s">
        <v>204</v>
      </c>
      <c r="L145" s="114">
        <f>SUM(L142:L144)</f>
        <v>33244</v>
      </c>
      <c r="M145" s="114">
        <f>SUM(M142:M144)</f>
        <v>31109.296999999999</v>
      </c>
      <c r="N145" s="16">
        <f t="shared" ref="N145" si="281">SUM(N142:N144)</f>
        <v>31406.565092043882</v>
      </c>
      <c r="O145" s="16">
        <f t="shared" ref="O145" si="282">SUM(O142:O144)</f>
        <v>31706.673759962789</v>
      </c>
      <c r="P145" s="16">
        <f t="shared" ref="P145" si="283">SUM(P142:P144)</f>
        <v>32009.650147172113</v>
      </c>
      <c r="Q145" s="16">
        <f t="shared" ref="Q145" si="284">SUM(Q142:Q144)</f>
        <v>32315.521656458928</v>
      </c>
      <c r="R145" s="16">
        <f t="shared" ref="R145" si="285">SUM(R142:R144)</f>
        <v>32624.315952460482</v>
      </c>
      <c r="S145" s="16">
        <f t="shared" ref="S145" si="286">SUM(S142:S144)</f>
        <v>32936.060964166296</v>
      </c>
      <c r="T145" s="16">
        <f t="shared" ref="T145" si="287">SUM(T142:T144)</f>
        <v>33250.784887444235</v>
      </c>
      <c r="U145" s="16">
        <f t="shared" ref="U145" si="288">SUM(U142:U144)</f>
        <v>33568.516187590685</v>
      </c>
      <c r="V145" s="16">
        <f t="shared" ref="V145" si="289">SUM(V142:V144)</f>
        <v>33889.283601905103</v>
      </c>
      <c r="W145" s="16">
        <f t="shared" ref="W145" si="290">SUM(W142:W144)</f>
        <v>34213.11614228916</v>
      </c>
      <c r="X145" s="16">
        <f t="shared" ref="X145" si="291">SUM(X142:X144)</f>
        <v>34540.043097870759</v>
      </c>
      <c r="Y145" s="16">
        <f t="shared" ref="Y145" si="292">SUM(Y142:Y144)</f>
        <v>34870.094037653078</v>
      </c>
      <c r="Z145" s="16">
        <f t="shared" ref="Z145" si="293">SUM(Z142:Z144)</f>
        <v>35203.298813188951</v>
      </c>
      <c r="AA145" s="16">
        <f t="shared" ref="AA145" si="294">SUM(AA142:AA144)</f>
        <v>35539.687561280793</v>
      </c>
      <c r="AB145" s="16">
        <f t="shared" ref="AB145" si="295">SUM(AB142:AB144)</f>
        <v>35879.290706706342</v>
      </c>
      <c r="AC145" s="16">
        <f t="shared" ref="AC145" si="296">SUM(AC142:AC144)</f>
        <v>36222.138964970436</v>
      </c>
      <c r="AD145" s="16">
        <f t="shared" ref="AD145" si="297">SUM(AD142:AD144)</f>
        <v>36568.263345083076</v>
      </c>
      <c r="AE145" s="16">
        <f t="shared" ref="AE145" si="298">SUM(AE142:AE144)</f>
        <v>36917.69515236406</v>
      </c>
      <c r="AF145" s="16">
        <f t="shared" ref="AF145" si="299">SUM(AF142:AF144)</f>
        <v>37270.465991274395</v>
      </c>
      <c r="AG145" s="16">
        <f t="shared" ref="AG145" si="300">SUM(AG142:AG144)</f>
        <v>37626.607768274771</v>
      </c>
      <c r="AI145" s="16">
        <f t="shared" ref="AI145" si="301">SUM(AI142:AI144)</f>
        <v>31109.296999999999</v>
      </c>
      <c r="AJ145" s="16">
        <f t="shared" ref="AJ145" si="302">SUM(AJ142:AJ144)</f>
        <v>32315.521656458935</v>
      </c>
      <c r="AK145" s="16">
        <f t="shared" ref="AK145" si="303">SUM(AK142:AK144)</f>
        <v>33568.516187590685</v>
      </c>
      <c r="AL145" s="16">
        <f t="shared" ref="AL145" si="304">SUM(AL142:AL144)</f>
        <v>34870.094037653085</v>
      </c>
      <c r="AM145" s="16">
        <f t="shared" ref="AM145" si="305">SUM(AM142:AM144)</f>
        <v>36222.138964970436</v>
      </c>
      <c r="AN145" s="16">
        <f t="shared" ref="AN145" si="306">SUM(AN142:AN144)</f>
        <v>37626.607768274771</v>
      </c>
    </row>
    <row r="146" spans="2:40" x14ac:dyDescent="0.25"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8" spans="2:40" x14ac:dyDescent="0.25">
      <c r="B148" s="95">
        <v>9</v>
      </c>
      <c r="D148" s="21" t="s">
        <v>261</v>
      </c>
      <c r="E148" s="21"/>
      <c r="F148" s="21"/>
      <c r="G148" s="21"/>
      <c r="H148" s="21"/>
      <c r="I148" s="21"/>
      <c r="J148" s="19"/>
      <c r="K148" s="19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I148" s="20"/>
      <c r="AJ148" s="20"/>
      <c r="AK148" s="20"/>
      <c r="AL148" s="20"/>
      <c r="AM148" s="20"/>
      <c r="AN148" s="20"/>
    </row>
    <row r="149" spans="2:40" x14ac:dyDescent="0.25">
      <c r="B149" s="116"/>
      <c r="D149" s="96" t="s">
        <v>26</v>
      </c>
      <c r="E149" s="108" t="s">
        <v>238</v>
      </c>
      <c r="F149" s="98" t="s">
        <v>227</v>
      </c>
      <c r="G149" s="98" t="s">
        <v>231</v>
      </c>
      <c r="H149" s="98" t="s">
        <v>228</v>
      </c>
      <c r="I149" s="98" t="s">
        <v>232</v>
      </c>
      <c r="J149" s="96"/>
      <c r="K149" s="96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I149" s="97"/>
      <c r="AJ149" s="97"/>
      <c r="AK149" s="97"/>
      <c r="AL149" s="97"/>
      <c r="AM149" s="97"/>
      <c r="AN149" s="97"/>
    </row>
    <row r="150" spans="2:40" x14ac:dyDescent="0.25">
      <c r="B150" s="116"/>
      <c r="D150" s="2" t="s">
        <v>216</v>
      </c>
      <c r="E150" s="109" t="s">
        <v>254</v>
      </c>
      <c r="F150" s="100">
        <f>AVERAGE('Quarterly Historical Financials'!$D334:$D335)</f>
        <v>1.1860555239075156E-2</v>
      </c>
      <c r="G150" s="100">
        <f>AVERAGE('Quarterly Historical Financials'!$D333:$D335)</f>
        <v>1.5699398873585093E-2</v>
      </c>
      <c r="H150" s="100">
        <f>AVERAGE('Quarterly Historical Financials'!$D332:$D334)</f>
        <v>2.7741694439012091E-2</v>
      </c>
      <c r="I150" s="30">
        <f>CHOOSE($G$4,F150,G150,H150)</f>
        <v>1.1860555239075156E-2</v>
      </c>
    </row>
    <row r="151" spans="2:40" x14ac:dyDescent="0.25">
      <c r="B151" s="116"/>
      <c r="D151" s="2" t="s">
        <v>220</v>
      </c>
      <c r="E151" s="109" t="s">
        <v>260</v>
      </c>
      <c r="F151" s="100">
        <f>AVERAGE('Quarterly Historical Financials'!$D341:$D341)</f>
        <v>-1.0837361747137659E-2</v>
      </c>
      <c r="G151" s="100">
        <f>AVERAGE('Quarterly Historical Financials'!$D339:$D341)</f>
        <v>-1.5499560678726354E-2</v>
      </c>
      <c r="H151" s="100">
        <f>AVERAGE('Quarterly Historical Financials'!$D338:$D341)</f>
        <v>-1.7369116908041084E-2</v>
      </c>
      <c r="I151" s="30">
        <f>CHOOSE($G$4,F151,G151,H151)</f>
        <v>-1.0837361747137659E-2</v>
      </c>
      <c r="K151" s="2" t="s">
        <v>214</v>
      </c>
      <c r="L151" s="113">
        <f>'Quarterly Historical Financials'!AB326</f>
        <v>588736</v>
      </c>
      <c r="M151" s="113">
        <f>'Quarterly Historical Financials'!AC326</f>
        <v>583596</v>
      </c>
      <c r="N151" s="6">
        <f t="shared" ref="N151:AG151" si="307">M154</f>
        <v>568767.63699999999</v>
      </c>
      <c r="O151" s="6">
        <f t="shared" si="307"/>
        <v>569276.48858624406</v>
      </c>
      <c r="P151" s="6">
        <f t="shared" si="307"/>
        <v>569785.79541979823</v>
      </c>
      <c r="Q151" s="6">
        <f t="shared" si="307"/>
        <v>570295.55790795234</v>
      </c>
      <c r="R151" s="6">
        <f t="shared" si="307"/>
        <v>570805.77645836084</v>
      </c>
      <c r="S151" s="6">
        <f t="shared" si="307"/>
        <v>571316.45147904265</v>
      </c>
      <c r="T151" s="6">
        <f t="shared" si="307"/>
        <v>571827.58337838179</v>
      </c>
      <c r="U151" s="6">
        <f t="shared" si="307"/>
        <v>572339.17256512772</v>
      </c>
      <c r="V151" s="6">
        <f t="shared" si="307"/>
        <v>572851.21944839542</v>
      </c>
      <c r="W151" s="6">
        <f t="shared" si="307"/>
        <v>573363.72443766613</v>
      </c>
      <c r="X151" s="6">
        <f t="shared" si="307"/>
        <v>573876.68794278707</v>
      </c>
      <c r="Y151" s="6">
        <f t="shared" si="307"/>
        <v>574390.11037397257</v>
      </c>
      <c r="Z151" s="6">
        <f t="shared" si="307"/>
        <v>574903.99214180373</v>
      </c>
      <c r="AA151" s="6">
        <f t="shared" si="307"/>
        <v>575418.33365722897</v>
      </c>
      <c r="AB151" s="6">
        <f t="shared" si="307"/>
        <v>575933.13533156447</v>
      </c>
      <c r="AC151" s="6">
        <f t="shared" si="307"/>
        <v>576448.39757649426</v>
      </c>
      <c r="AD151" s="6">
        <f t="shared" si="307"/>
        <v>576964.12080407073</v>
      </c>
      <c r="AE151" s="6">
        <f t="shared" si="307"/>
        <v>577480.30542671483</v>
      </c>
      <c r="AF151" s="6">
        <f t="shared" si="307"/>
        <v>577996.95185721689</v>
      </c>
      <c r="AG151" s="6">
        <f t="shared" si="307"/>
        <v>578514.06050873606</v>
      </c>
      <c r="AI151" s="6">
        <f t="shared" ref="AI151" si="308">SUMIF($M$4:$AG$4,AI$4,$M151:$AG151)</f>
        <v>583596</v>
      </c>
      <c r="AJ151" s="6">
        <f>AI154</f>
        <v>568767.63699999999</v>
      </c>
      <c r="AK151" s="6">
        <f t="shared" ref="AK151:AN151" si="309">AJ154</f>
        <v>570805.77645836095</v>
      </c>
      <c r="AL151" s="6">
        <f t="shared" si="309"/>
        <v>572851.21944839554</v>
      </c>
      <c r="AM151" s="6">
        <f t="shared" si="309"/>
        <v>574903.99214180384</v>
      </c>
      <c r="AN151" s="6">
        <f t="shared" si="309"/>
        <v>576964.12080407073</v>
      </c>
    </row>
    <row r="152" spans="2:40" x14ac:dyDescent="0.25">
      <c r="B152" s="116"/>
      <c r="E152" s="109"/>
      <c r="I152" s="30"/>
      <c r="K152" s="2" t="s">
        <v>175</v>
      </c>
      <c r="L152" s="113">
        <f>'Quarterly Historical Financials'!AB327</f>
        <v>10524</v>
      </c>
      <c r="M152" s="113">
        <f>'Quarterly Historical Financials'!AC327</f>
        <v>-1941.704000000027</v>
      </c>
      <c r="N152" s="6">
        <f t="shared" ref="N152" si="310">N151*$I150</f>
        <v>6745.8999768367457</v>
      </c>
      <c r="O152" s="6">
        <f t="shared" ref="O152" si="311">O151*$I150</f>
        <v>6751.9352391838847</v>
      </c>
      <c r="P152" s="6">
        <f t="shared" ref="P152" si="312">P151*$I150</f>
        <v>6757.9759010168927</v>
      </c>
      <c r="Q152" s="6">
        <f t="shared" ref="Q152" si="313">Q151*$I150</f>
        <v>6764.0219671664527</v>
      </c>
      <c r="R152" s="6">
        <f t="shared" ref="R152" si="314">R151*$I150</f>
        <v>6770.0734424675738</v>
      </c>
      <c r="S152" s="6">
        <f t="shared" ref="S152" si="315">S151*$I150</f>
        <v>6776.1303317595866</v>
      </c>
      <c r="T152" s="6">
        <f t="shared" ref="T152" si="316">T151*$I150</f>
        <v>6782.1926398861515</v>
      </c>
      <c r="U152" s="6">
        <f t="shared" ref="U152" si="317">U151*$I150</f>
        <v>6788.2603716952653</v>
      </c>
      <c r="V152" s="6">
        <f t="shared" ref="V152" si="318">V151*$I150</f>
        <v>6794.333532039258</v>
      </c>
      <c r="W152" s="6">
        <f t="shared" ref="W152" si="319">W151*$I150</f>
        <v>6800.4121257748047</v>
      </c>
      <c r="X152" s="6">
        <f t="shared" ref="X152" si="320">X151*$I150</f>
        <v>6806.496157762921</v>
      </c>
      <c r="Y152" s="6">
        <f t="shared" ref="Y152" si="321">Y151*$I150</f>
        <v>6812.585632868977</v>
      </c>
      <c r="Z152" s="6">
        <f t="shared" ref="Z152" si="322">Z151*$I150</f>
        <v>6818.6805559626919</v>
      </c>
      <c r="AA152" s="6">
        <f t="shared" ref="AA152" si="323">AA151*$I150</f>
        <v>6824.7809319181433</v>
      </c>
      <c r="AB152" s="6">
        <f t="shared" ref="AB152" si="324">AB151*$I150</f>
        <v>6830.8867656137672</v>
      </c>
      <c r="AC152" s="6">
        <f t="shared" ref="AC152" si="325">AC151*$I150</f>
        <v>6836.9980619323669</v>
      </c>
      <c r="AD152" s="6">
        <f t="shared" ref="AD152" si="326">AD151*$I150</f>
        <v>6843.1148257611121</v>
      </c>
      <c r="AE152" s="6">
        <f t="shared" ref="AE152" si="327">AE151*$I150</f>
        <v>6849.2370619915437</v>
      </c>
      <c r="AF152" s="6">
        <f t="shared" ref="AF152" si="328">AF151*$I150</f>
        <v>6855.3647755195843</v>
      </c>
      <c r="AG152" s="6">
        <f t="shared" ref="AG152" si="329">AG151*$I150</f>
        <v>6861.4979712455306</v>
      </c>
      <c r="AI152" s="6">
        <f t="shared" ref="AI152:AN153" si="330">SUMIF($M$2:$AG$2,AI$2,$M152:$AG152)</f>
        <v>-1941.704000000027</v>
      </c>
      <c r="AJ152" s="6">
        <f t="shared" si="330"/>
        <v>27019.833084203976</v>
      </c>
      <c r="AK152" s="6">
        <f t="shared" si="330"/>
        <v>27116.656785808576</v>
      </c>
      <c r="AL152" s="6">
        <f t="shared" si="330"/>
        <v>27213.827448445962</v>
      </c>
      <c r="AM152" s="6">
        <f t="shared" si="330"/>
        <v>27311.34631542697</v>
      </c>
      <c r="AN152" s="6">
        <f t="shared" si="330"/>
        <v>27409.214634517772</v>
      </c>
    </row>
    <row r="153" spans="2:40" x14ac:dyDescent="0.25">
      <c r="K153" s="2" t="s">
        <v>218</v>
      </c>
      <c r="L153" s="113">
        <f>'Quarterly Historical Financials'!AB328</f>
        <v>-15664</v>
      </c>
      <c r="M153" s="113">
        <f>'Quarterly Historical Financials'!AC328</f>
        <v>-12886.659</v>
      </c>
      <c r="N153" s="6">
        <f t="shared" ref="N153" si="331">SUM(N151:N152)*$I151</f>
        <v>-6237.0483905926649</v>
      </c>
      <c r="O153" s="6">
        <f t="shared" ref="O153" si="332">SUM(O151:O152)*$I151</f>
        <v>-6242.6284056296909</v>
      </c>
      <c r="P153" s="6">
        <f t="shared" ref="P153" si="333">SUM(P151:P152)*$I151</f>
        <v>-6248.213412862684</v>
      </c>
      <c r="Q153" s="6">
        <f t="shared" ref="Q153" si="334">SUM(Q151:Q152)*$I151</f>
        <v>-6253.8034167579408</v>
      </c>
      <c r="R153" s="6">
        <f t="shared" ref="R153" si="335">SUM(R151:R152)*$I151</f>
        <v>-6259.3984217857605</v>
      </c>
      <c r="S153" s="6">
        <f t="shared" ref="S153" si="336">SUM(S151:S152)*$I151</f>
        <v>-6264.9984324204361</v>
      </c>
      <c r="T153" s="6">
        <f t="shared" ref="T153" si="337">SUM(T151:T152)*$I151</f>
        <v>-6270.6034531402665</v>
      </c>
      <c r="U153" s="6">
        <f t="shared" ref="U153" si="338">SUM(U151:U152)*$I151</f>
        <v>-6276.2134884275556</v>
      </c>
      <c r="V153" s="6">
        <f t="shared" ref="V153" si="339">SUM(V151:V152)*$I151</f>
        <v>-6281.8285427686187</v>
      </c>
      <c r="W153" s="6">
        <f t="shared" ref="W153" si="340">SUM(W151:W152)*$I151</f>
        <v>-6287.4486206537831</v>
      </c>
      <c r="X153" s="6">
        <f t="shared" ref="X153" si="341">SUM(X151:X152)*$I151</f>
        <v>-6293.073726577396</v>
      </c>
      <c r="Y153" s="6">
        <f t="shared" ref="Y153" si="342">SUM(Y151:Y152)*$I151</f>
        <v>-6298.7038650378217</v>
      </c>
      <c r="Z153" s="6">
        <f t="shared" ref="Z153" si="343">SUM(Z151:Z152)*$I151</f>
        <v>-6304.3390405374548</v>
      </c>
      <c r="AA153" s="6">
        <f t="shared" ref="AA153" si="344">SUM(AA151:AA152)*$I151</f>
        <v>-6309.9792575827123</v>
      </c>
      <c r="AB153" s="6">
        <f t="shared" ref="AB153" si="345">SUM(AB151:AB152)*$I151</f>
        <v>-6315.6245206840449</v>
      </c>
      <c r="AC153" s="6">
        <f t="shared" ref="AC153" si="346">SUM(AC151:AC152)*$I151</f>
        <v>-6321.2748343559406</v>
      </c>
      <c r="AD153" s="6">
        <f t="shared" ref="AD153" si="347">SUM(AD151:AD152)*$I151</f>
        <v>-6326.9302031169209</v>
      </c>
      <c r="AE153" s="6">
        <f t="shared" ref="AE153" si="348">SUM(AE151:AE152)*$I151</f>
        <v>-6332.5906314895565</v>
      </c>
      <c r="AF153" s="6">
        <f t="shared" ref="AF153" si="349">SUM(AF151:AF152)*$I151</f>
        <v>-6338.2561240004607</v>
      </c>
      <c r="AG153" s="6">
        <f t="shared" ref="AG153" si="350">SUM(AG151:AG152)*$I151</f>
        <v>-6343.9266851802968</v>
      </c>
      <c r="AI153" s="6">
        <f t="shared" si="330"/>
        <v>-12886.659</v>
      </c>
      <c r="AJ153" s="6">
        <f t="shared" si="330"/>
        <v>-24981.693625842978</v>
      </c>
      <c r="AK153" s="6">
        <f t="shared" si="330"/>
        <v>-25071.213795774016</v>
      </c>
      <c r="AL153" s="6">
        <f t="shared" si="330"/>
        <v>-25161.054755037621</v>
      </c>
      <c r="AM153" s="6">
        <f t="shared" si="330"/>
        <v>-25251.217653160154</v>
      </c>
      <c r="AN153" s="6">
        <f t="shared" si="330"/>
        <v>-25341.703643787234</v>
      </c>
    </row>
    <row r="154" spans="2:40" x14ac:dyDescent="0.25">
      <c r="K154" s="8" t="s">
        <v>204</v>
      </c>
      <c r="L154" s="114">
        <f>SUM(L151:L153)</f>
        <v>583596</v>
      </c>
      <c r="M154" s="114">
        <f>SUM(M151:M153)</f>
        <v>568767.63699999999</v>
      </c>
      <c r="N154" s="16">
        <f t="shared" ref="N154" si="351">SUM(N151:N153)</f>
        <v>569276.48858624406</v>
      </c>
      <c r="O154" s="16">
        <f t="shared" ref="O154" si="352">SUM(O151:O153)</f>
        <v>569785.79541979823</v>
      </c>
      <c r="P154" s="16">
        <f t="shared" ref="P154" si="353">SUM(P151:P153)</f>
        <v>570295.55790795234</v>
      </c>
      <c r="Q154" s="16">
        <f t="shared" ref="Q154" si="354">SUM(Q151:Q153)</f>
        <v>570805.77645836084</v>
      </c>
      <c r="R154" s="16">
        <f t="shared" ref="R154" si="355">SUM(R151:R153)</f>
        <v>571316.45147904265</v>
      </c>
      <c r="S154" s="16">
        <f t="shared" ref="S154" si="356">SUM(S151:S153)</f>
        <v>571827.58337838179</v>
      </c>
      <c r="T154" s="16">
        <f t="shared" ref="T154" si="357">SUM(T151:T153)</f>
        <v>572339.17256512772</v>
      </c>
      <c r="U154" s="16">
        <f t="shared" ref="U154" si="358">SUM(U151:U153)</f>
        <v>572851.21944839542</v>
      </c>
      <c r="V154" s="16">
        <f t="shared" ref="V154" si="359">SUM(V151:V153)</f>
        <v>573363.72443766613</v>
      </c>
      <c r="W154" s="16">
        <f t="shared" ref="W154" si="360">SUM(W151:W153)</f>
        <v>573876.68794278707</v>
      </c>
      <c r="X154" s="16">
        <f t="shared" ref="X154" si="361">SUM(X151:X153)</f>
        <v>574390.11037397257</v>
      </c>
      <c r="Y154" s="16">
        <f t="shared" ref="Y154" si="362">SUM(Y151:Y153)</f>
        <v>574903.99214180373</v>
      </c>
      <c r="Z154" s="16">
        <f t="shared" ref="Z154" si="363">SUM(Z151:Z153)</f>
        <v>575418.33365722897</v>
      </c>
      <c r="AA154" s="16">
        <f t="shared" ref="AA154" si="364">SUM(AA151:AA153)</f>
        <v>575933.13533156447</v>
      </c>
      <c r="AB154" s="16">
        <f t="shared" ref="AB154" si="365">SUM(AB151:AB153)</f>
        <v>576448.39757649426</v>
      </c>
      <c r="AC154" s="16">
        <f t="shared" ref="AC154" si="366">SUM(AC151:AC153)</f>
        <v>576964.12080407073</v>
      </c>
      <c r="AD154" s="16">
        <f t="shared" ref="AD154" si="367">SUM(AD151:AD153)</f>
        <v>577480.30542671483</v>
      </c>
      <c r="AE154" s="16">
        <f t="shared" ref="AE154" si="368">SUM(AE151:AE153)</f>
        <v>577996.95185721689</v>
      </c>
      <c r="AF154" s="16">
        <f t="shared" ref="AF154" si="369">SUM(AF151:AF153)</f>
        <v>578514.06050873606</v>
      </c>
      <c r="AG154" s="16">
        <f t="shared" ref="AG154" si="370">SUM(AG151:AG153)</f>
        <v>579031.63179480133</v>
      </c>
      <c r="AI154" s="16">
        <f t="shared" ref="AI154" si="371">SUM(AI151:AI153)</f>
        <v>568767.63699999999</v>
      </c>
      <c r="AJ154" s="16">
        <f t="shared" ref="AJ154" si="372">SUM(AJ151:AJ153)</f>
        <v>570805.77645836095</v>
      </c>
      <c r="AK154" s="16">
        <f t="shared" ref="AK154" si="373">SUM(AK151:AK153)</f>
        <v>572851.21944839554</v>
      </c>
      <c r="AL154" s="16">
        <f t="shared" ref="AL154" si="374">SUM(AL151:AL153)</f>
        <v>574903.99214180384</v>
      </c>
      <c r="AM154" s="16">
        <f t="shared" ref="AM154" si="375">SUM(AM151:AM153)</f>
        <v>576964.12080407073</v>
      </c>
      <c r="AN154" s="16">
        <f t="shared" ref="AN154" si="376">SUM(AN151:AN153)</f>
        <v>579031.63179480133</v>
      </c>
    </row>
    <row r="155" spans="2:40" x14ac:dyDescent="0.25"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7" spans="2:40" x14ac:dyDescent="0.25">
      <c r="B157" s="95">
        <v>10</v>
      </c>
      <c r="D157" s="21" t="s">
        <v>262</v>
      </c>
      <c r="E157" s="21"/>
      <c r="F157" s="21"/>
      <c r="G157" s="21"/>
      <c r="H157" s="21"/>
      <c r="I157" s="21"/>
      <c r="J157" s="19"/>
      <c r="K157" s="19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I157" s="20"/>
      <c r="AJ157" s="20"/>
      <c r="AK157" s="20"/>
      <c r="AL157" s="20"/>
      <c r="AM157" s="20"/>
      <c r="AN157" s="20"/>
    </row>
    <row r="158" spans="2:40" x14ac:dyDescent="0.25">
      <c r="B158" s="116"/>
      <c r="D158" s="96" t="s">
        <v>64</v>
      </c>
      <c r="E158" s="108" t="s">
        <v>238</v>
      </c>
      <c r="F158" s="98" t="s">
        <v>227</v>
      </c>
      <c r="G158" s="98" t="s">
        <v>231</v>
      </c>
      <c r="H158" s="98" t="s">
        <v>228</v>
      </c>
      <c r="I158" s="98" t="s">
        <v>232</v>
      </c>
      <c r="J158" s="96"/>
      <c r="K158" s="96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I158" s="97"/>
      <c r="AJ158" s="97"/>
      <c r="AK158" s="97"/>
      <c r="AL158" s="97"/>
      <c r="AM158" s="97"/>
      <c r="AN158" s="97"/>
    </row>
    <row r="159" spans="2:40" x14ac:dyDescent="0.25">
      <c r="B159" s="116"/>
      <c r="D159" s="2" t="s">
        <v>216</v>
      </c>
      <c r="E159" s="109" t="s">
        <v>254</v>
      </c>
      <c r="F159" s="100">
        <f>AVERAGE('Quarterly Historical Financials'!$D353:$D353)</f>
        <v>0</v>
      </c>
      <c r="G159" s="100">
        <f>AVERAGE('Quarterly Historical Financials'!$D353:$D354,'Quarterly Historical Financials'!$D351)</f>
        <v>5.2952758864288824E-2</v>
      </c>
      <c r="H159" s="100">
        <f>AVERAGE('Quarterly Historical Financials'!$D353:$D354)</f>
        <v>7.9429138296433235E-2</v>
      </c>
      <c r="I159" s="30">
        <f>CHOOSE($G$4,F159,G159,H159)</f>
        <v>0</v>
      </c>
    </row>
    <row r="160" spans="2:40" x14ac:dyDescent="0.25">
      <c r="B160" s="116"/>
      <c r="D160" s="2" t="s">
        <v>220</v>
      </c>
      <c r="E160" s="109" t="s">
        <v>260</v>
      </c>
      <c r="F160" s="100">
        <f>AVERAGE('Quarterly Historical Financials'!$D359:$D359)</f>
        <v>0</v>
      </c>
      <c r="G160" s="100">
        <f>AVERAGE('Quarterly Historical Financials'!$D360:$D360)</f>
        <v>-2.5172470433639946E-2</v>
      </c>
      <c r="H160" s="100">
        <f>AVERAGE('Quarterly Historical Financials'!$D357:$D357)</f>
        <v>-4.0086536014252994E-2</v>
      </c>
      <c r="I160" s="30">
        <f>CHOOSE($G$4,F160,G160,H160)</f>
        <v>0</v>
      </c>
      <c r="K160" s="2" t="s">
        <v>214</v>
      </c>
      <c r="L160" s="113">
        <f>'Quarterly Historical Financials'!AB345</f>
        <v>22696</v>
      </c>
      <c r="M160" s="113">
        <f>'Quarterly Historical Financials'!AC345</f>
        <v>22696</v>
      </c>
      <c r="N160" s="6">
        <f t="shared" ref="N160:AG160" si="377">M163</f>
        <v>39409.089999999997</v>
      </c>
      <c r="O160" s="6">
        <f t="shared" si="377"/>
        <v>39409.089999999997</v>
      </c>
      <c r="P160" s="6">
        <f t="shared" si="377"/>
        <v>39409.089999999997</v>
      </c>
      <c r="Q160" s="6">
        <f t="shared" si="377"/>
        <v>39409.089999999997</v>
      </c>
      <c r="R160" s="6">
        <f t="shared" si="377"/>
        <v>39409.089999999997</v>
      </c>
      <c r="S160" s="6">
        <f t="shared" si="377"/>
        <v>39409.089999999997</v>
      </c>
      <c r="T160" s="6">
        <f t="shared" si="377"/>
        <v>39409.089999999997</v>
      </c>
      <c r="U160" s="6">
        <f t="shared" si="377"/>
        <v>39409.089999999997</v>
      </c>
      <c r="V160" s="6">
        <f t="shared" si="377"/>
        <v>39409.089999999997</v>
      </c>
      <c r="W160" s="6">
        <f t="shared" si="377"/>
        <v>39409.089999999997</v>
      </c>
      <c r="X160" s="6">
        <f t="shared" si="377"/>
        <v>39409.089999999997</v>
      </c>
      <c r="Y160" s="6">
        <f t="shared" si="377"/>
        <v>39409.089999999997</v>
      </c>
      <c r="Z160" s="6">
        <f t="shared" si="377"/>
        <v>39409.089999999997</v>
      </c>
      <c r="AA160" s="6">
        <f t="shared" si="377"/>
        <v>39409.089999999997</v>
      </c>
      <c r="AB160" s="6">
        <f t="shared" si="377"/>
        <v>39409.089999999997</v>
      </c>
      <c r="AC160" s="6">
        <f t="shared" si="377"/>
        <v>39409.089999999997</v>
      </c>
      <c r="AD160" s="6">
        <f t="shared" si="377"/>
        <v>39409.089999999997</v>
      </c>
      <c r="AE160" s="6">
        <f t="shared" si="377"/>
        <v>39409.089999999997</v>
      </c>
      <c r="AF160" s="6">
        <f t="shared" si="377"/>
        <v>39409.089999999997</v>
      </c>
      <c r="AG160" s="6">
        <f t="shared" si="377"/>
        <v>39409.089999999997</v>
      </c>
      <c r="AI160" s="6">
        <f t="shared" ref="AI160" si="378">SUMIF($M$4:$AG$4,AI$4,$M160:$AG160)</f>
        <v>22696</v>
      </c>
      <c r="AJ160" s="6">
        <f>AI163</f>
        <v>39409.089999999997</v>
      </c>
      <c r="AK160" s="6">
        <f t="shared" ref="AK160:AN160" si="379">AJ163</f>
        <v>39409.089999999997</v>
      </c>
      <c r="AL160" s="6">
        <f t="shared" si="379"/>
        <v>39409.089999999997</v>
      </c>
      <c r="AM160" s="6">
        <f t="shared" si="379"/>
        <v>39409.089999999997</v>
      </c>
      <c r="AN160" s="6">
        <f t="shared" si="379"/>
        <v>39409.089999999997</v>
      </c>
    </row>
    <row r="161" spans="2:40" x14ac:dyDescent="0.25">
      <c r="B161" s="116"/>
      <c r="E161" s="109"/>
      <c r="I161" s="30"/>
      <c r="K161" s="2" t="s">
        <v>175</v>
      </c>
      <c r="L161" s="113">
        <f>'Quarterly Historical Financials'!AB346</f>
        <v>0</v>
      </c>
      <c r="M161" s="113">
        <f>'Quarterly Historical Financials'!AC346</f>
        <v>16713.089999999997</v>
      </c>
      <c r="N161" s="6">
        <f t="shared" ref="N161" si="380">N160*$I159</f>
        <v>0</v>
      </c>
      <c r="O161" s="6">
        <f t="shared" ref="O161" si="381">O160*$I159</f>
        <v>0</v>
      </c>
      <c r="P161" s="6">
        <f t="shared" ref="P161" si="382">P160*$I159</f>
        <v>0</v>
      </c>
      <c r="Q161" s="6">
        <f t="shared" ref="Q161" si="383">Q160*$I159</f>
        <v>0</v>
      </c>
      <c r="R161" s="6">
        <f t="shared" ref="R161" si="384">R160*$I159</f>
        <v>0</v>
      </c>
      <c r="S161" s="6">
        <f t="shared" ref="S161" si="385">S160*$I159</f>
        <v>0</v>
      </c>
      <c r="T161" s="6">
        <f t="shared" ref="T161" si="386">T160*$I159</f>
        <v>0</v>
      </c>
      <c r="U161" s="6">
        <f t="shared" ref="U161" si="387">U160*$I159</f>
        <v>0</v>
      </c>
      <c r="V161" s="6">
        <f t="shared" ref="V161" si="388">V160*$I159</f>
        <v>0</v>
      </c>
      <c r="W161" s="6">
        <f t="shared" ref="W161" si="389">W160*$I159</f>
        <v>0</v>
      </c>
      <c r="X161" s="6">
        <f t="shared" ref="X161" si="390">X160*$I159</f>
        <v>0</v>
      </c>
      <c r="Y161" s="6">
        <f t="shared" ref="Y161" si="391">Y160*$I159</f>
        <v>0</v>
      </c>
      <c r="Z161" s="6">
        <f t="shared" ref="Z161" si="392">Z160*$I159</f>
        <v>0</v>
      </c>
      <c r="AA161" s="6">
        <f t="shared" ref="AA161" si="393">AA160*$I159</f>
        <v>0</v>
      </c>
      <c r="AB161" s="6">
        <f t="shared" ref="AB161" si="394">AB160*$I159</f>
        <v>0</v>
      </c>
      <c r="AC161" s="6">
        <f t="shared" ref="AC161" si="395">AC160*$I159</f>
        <v>0</v>
      </c>
      <c r="AD161" s="6">
        <f t="shared" ref="AD161" si="396">AD160*$I159</f>
        <v>0</v>
      </c>
      <c r="AE161" s="6">
        <f t="shared" ref="AE161" si="397">AE160*$I159</f>
        <v>0</v>
      </c>
      <c r="AF161" s="6">
        <f t="shared" ref="AF161" si="398">AF160*$I159</f>
        <v>0</v>
      </c>
      <c r="AG161" s="6">
        <f t="shared" ref="AG161" si="399">AG160*$I159</f>
        <v>0</v>
      </c>
      <c r="AI161" s="6">
        <f t="shared" ref="AI161:AN162" si="400">SUMIF($M$2:$AG$2,AI$2,$M161:$AG161)</f>
        <v>16713.089999999997</v>
      </c>
      <c r="AJ161" s="6">
        <f t="shared" si="400"/>
        <v>0</v>
      </c>
      <c r="AK161" s="6">
        <f t="shared" si="400"/>
        <v>0</v>
      </c>
      <c r="AL161" s="6">
        <f t="shared" si="400"/>
        <v>0</v>
      </c>
      <c r="AM161" s="6">
        <f t="shared" si="400"/>
        <v>0</v>
      </c>
      <c r="AN161" s="6">
        <f t="shared" si="400"/>
        <v>0</v>
      </c>
    </row>
    <row r="162" spans="2:40" x14ac:dyDescent="0.25">
      <c r="K162" s="2" t="s">
        <v>218</v>
      </c>
      <c r="L162" s="113">
        <f>'Quarterly Historical Financials'!AB347</f>
        <v>0</v>
      </c>
      <c r="M162" s="113">
        <f>'Quarterly Historical Financials'!AC347</f>
        <v>0</v>
      </c>
      <c r="N162" s="6">
        <f t="shared" ref="N162" si="401">SUM(N160:N161)*$I160</f>
        <v>0</v>
      </c>
      <c r="O162" s="6">
        <f t="shared" ref="O162" si="402">SUM(O160:O161)*$I160</f>
        <v>0</v>
      </c>
      <c r="P162" s="6">
        <f t="shared" ref="P162" si="403">SUM(P160:P161)*$I160</f>
        <v>0</v>
      </c>
      <c r="Q162" s="6">
        <f t="shared" ref="Q162" si="404">SUM(Q160:Q161)*$I160</f>
        <v>0</v>
      </c>
      <c r="R162" s="6">
        <f t="shared" ref="R162" si="405">SUM(R160:R161)*$I160</f>
        <v>0</v>
      </c>
      <c r="S162" s="6">
        <f t="shared" ref="S162" si="406">SUM(S160:S161)*$I160</f>
        <v>0</v>
      </c>
      <c r="T162" s="6">
        <f t="shared" ref="T162" si="407">SUM(T160:T161)*$I160</f>
        <v>0</v>
      </c>
      <c r="U162" s="6">
        <f t="shared" ref="U162" si="408">SUM(U160:U161)*$I160</f>
        <v>0</v>
      </c>
      <c r="V162" s="6">
        <f t="shared" ref="V162" si="409">SUM(V160:V161)*$I160</f>
        <v>0</v>
      </c>
      <c r="W162" s="6">
        <f t="shared" ref="W162" si="410">SUM(W160:W161)*$I160</f>
        <v>0</v>
      </c>
      <c r="X162" s="6">
        <f t="shared" ref="X162" si="411">SUM(X160:X161)*$I160</f>
        <v>0</v>
      </c>
      <c r="Y162" s="6">
        <f t="shared" ref="Y162" si="412">SUM(Y160:Y161)*$I160</f>
        <v>0</v>
      </c>
      <c r="Z162" s="6">
        <f t="shared" ref="Z162" si="413">SUM(Z160:Z161)*$I160</f>
        <v>0</v>
      </c>
      <c r="AA162" s="6">
        <f t="shared" ref="AA162" si="414">SUM(AA160:AA161)*$I160</f>
        <v>0</v>
      </c>
      <c r="AB162" s="6">
        <f t="shared" ref="AB162" si="415">SUM(AB160:AB161)*$I160</f>
        <v>0</v>
      </c>
      <c r="AC162" s="6">
        <f t="shared" ref="AC162" si="416">SUM(AC160:AC161)*$I160</f>
        <v>0</v>
      </c>
      <c r="AD162" s="6">
        <f t="shared" ref="AD162" si="417">SUM(AD160:AD161)*$I160</f>
        <v>0</v>
      </c>
      <c r="AE162" s="6">
        <f t="shared" ref="AE162" si="418">SUM(AE160:AE161)*$I160</f>
        <v>0</v>
      </c>
      <c r="AF162" s="6">
        <f t="shared" ref="AF162" si="419">SUM(AF160:AF161)*$I160</f>
        <v>0</v>
      </c>
      <c r="AG162" s="6">
        <f t="shared" ref="AG162" si="420">SUM(AG160:AG161)*$I160</f>
        <v>0</v>
      </c>
      <c r="AI162" s="6">
        <f t="shared" si="400"/>
        <v>0</v>
      </c>
      <c r="AJ162" s="6">
        <f t="shared" si="400"/>
        <v>0</v>
      </c>
      <c r="AK162" s="6">
        <f t="shared" si="400"/>
        <v>0</v>
      </c>
      <c r="AL162" s="6">
        <f t="shared" si="400"/>
        <v>0</v>
      </c>
      <c r="AM162" s="6">
        <f t="shared" si="400"/>
        <v>0</v>
      </c>
      <c r="AN162" s="6">
        <f t="shared" si="400"/>
        <v>0</v>
      </c>
    </row>
    <row r="163" spans="2:40" x14ac:dyDescent="0.25">
      <c r="K163" s="8" t="s">
        <v>204</v>
      </c>
      <c r="L163" s="114">
        <f>SUM(L160:L162)</f>
        <v>22696</v>
      </c>
      <c r="M163" s="114">
        <f>SUM(M160:M162)</f>
        <v>39409.089999999997</v>
      </c>
      <c r="N163" s="16">
        <f t="shared" ref="N163" si="421">SUM(N160:N162)</f>
        <v>39409.089999999997</v>
      </c>
      <c r="O163" s="16">
        <f t="shared" ref="O163" si="422">SUM(O160:O162)</f>
        <v>39409.089999999997</v>
      </c>
      <c r="P163" s="16">
        <f t="shared" ref="P163" si="423">SUM(P160:P162)</f>
        <v>39409.089999999997</v>
      </c>
      <c r="Q163" s="16">
        <f t="shared" ref="Q163" si="424">SUM(Q160:Q162)</f>
        <v>39409.089999999997</v>
      </c>
      <c r="R163" s="16">
        <f t="shared" ref="R163" si="425">SUM(R160:R162)</f>
        <v>39409.089999999997</v>
      </c>
      <c r="S163" s="16">
        <f t="shared" ref="S163" si="426">SUM(S160:S162)</f>
        <v>39409.089999999997</v>
      </c>
      <c r="T163" s="16">
        <f t="shared" ref="T163" si="427">SUM(T160:T162)</f>
        <v>39409.089999999997</v>
      </c>
      <c r="U163" s="16">
        <f t="shared" ref="U163" si="428">SUM(U160:U162)</f>
        <v>39409.089999999997</v>
      </c>
      <c r="V163" s="16">
        <f t="shared" ref="V163" si="429">SUM(V160:V162)</f>
        <v>39409.089999999997</v>
      </c>
      <c r="W163" s="16">
        <f t="shared" ref="W163" si="430">SUM(W160:W162)</f>
        <v>39409.089999999997</v>
      </c>
      <c r="X163" s="16">
        <f t="shared" ref="X163" si="431">SUM(X160:X162)</f>
        <v>39409.089999999997</v>
      </c>
      <c r="Y163" s="16">
        <f t="shared" ref="Y163" si="432">SUM(Y160:Y162)</f>
        <v>39409.089999999997</v>
      </c>
      <c r="Z163" s="16">
        <f t="shared" ref="Z163" si="433">SUM(Z160:Z162)</f>
        <v>39409.089999999997</v>
      </c>
      <c r="AA163" s="16">
        <f t="shared" ref="AA163" si="434">SUM(AA160:AA162)</f>
        <v>39409.089999999997</v>
      </c>
      <c r="AB163" s="16">
        <f t="shared" ref="AB163" si="435">SUM(AB160:AB162)</f>
        <v>39409.089999999997</v>
      </c>
      <c r="AC163" s="16">
        <f t="shared" ref="AC163" si="436">SUM(AC160:AC162)</f>
        <v>39409.089999999997</v>
      </c>
      <c r="AD163" s="16">
        <f t="shared" ref="AD163" si="437">SUM(AD160:AD162)</f>
        <v>39409.089999999997</v>
      </c>
      <c r="AE163" s="16">
        <f t="shared" ref="AE163" si="438">SUM(AE160:AE162)</f>
        <v>39409.089999999997</v>
      </c>
      <c r="AF163" s="16">
        <f t="shared" ref="AF163" si="439">SUM(AF160:AF162)</f>
        <v>39409.089999999997</v>
      </c>
      <c r="AG163" s="16">
        <f t="shared" ref="AG163" si="440">SUM(AG160:AG162)</f>
        <v>39409.089999999997</v>
      </c>
      <c r="AI163" s="16">
        <f t="shared" ref="AI163" si="441">SUM(AI160:AI162)</f>
        <v>39409.089999999997</v>
      </c>
      <c r="AJ163" s="16">
        <f t="shared" ref="AJ163" si="442">SUM(AJ160:AJ162)</f>
        <v>39409.089999999997</v>
      </c>
      <c r="AK163" s="16">
        <f t="shared" ref="AK163" si="443">SUM(AK160:AK162)</f>
        <v>39409.089999999997</v>
      </c>
      <c r="AL163" s="16">
        <f t="shared" ref="AL163" si="444">SUM(AL160:AL162)</f>
        <v>39409.089999999997</v>
      </c>
      <c r="AM163" s="16">
        <f t="shared" ref="AM163" si="445">SUM(AM160:AM162)</f>
        <v>39409.089999999997</v>
      </c>
      <c r="AN163" s="16">
        <f t="shared" ref="AN163" si="446">SUM(AN160:AN162)</f>
        <v>39409.089999999997</v>
      </c>
    </row>
    <row r="164" spans="2:40" x14ac:dyDescent="0.25"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6" spans="2:40" x14ac:dyDescent="0.25">
      <c r="B166" s="95">
        <v>11</v>
      </c>
      <c r="D166" s="21" t="s">
        <v>263</v>
      </c>
      <c r="E166" s="21"/>
      <c r="F166" s="21"/>
      <c r="G166" s="21"/>
      <c r="H166" s="21"/>
      <c r="I166" s="21"/>
      <c r="J166" s="19"/>
      <c r="K166" s="19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I166" s="20"/>
      <c r="AJ166" s="20"/>
      <c r="AK166" s="20"/>
      <c r="AL166" s="20"/>
      <c r="AM166" s="20"/>
      <c r="AN166" s="20"/>
    </row>
    <row r="167" spans="2:40" x14ac:dyDescent="0.25">
      <c r="B167" s="116"/>
      <c r="D167" s="96" t="s">
        <v>91</v>
      </c>
      <c r="E167" s="108" t="s">
        <v>238</v>
      </c>
      <c r="F167" s="98" t="s">
        <v>227</v>
      </c>
      <c r="G167" s="98" t="s">
        <v>231</v>
      </c>
      <c r="H167" s="98" t="s">
        <v>228</v>
      </c>
      <c r="I167" s="98" t="s">
        <v>232</v>
      </c>
      <c r="J167" s="96"/>
      <c r="K167" s="96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I167" s="97"/>
      <c r="AJ167" s="97"/>
      <c r="AK167" s="97"/>
      <c r="AL167" s="97"/>
      <c r="AM167" s="97"/>
      <c r="AN167" s="97"/>
    </row>
    <row r="168" spans="2:40" x14ac:dyDescent="0.25">
      <c r="B168" s="116"/>
      <c r="D168" s="2" t="s">
        <v>221</v>
      </c>
      <c r="E168" s="109" t="s">
        <v>254</v>
      </c>
      <c r="F168" s="100">
        <f>AVERAGE('Quarterly Historical Financials'!$D371:$D372)/3</f>
        <v>1.8984668013023946E-2</v>
      </c>
      <c r="G168" s="100">
        <f>AVERAGE('Quarterly Historical Financials'!$D370:$D372)/3</f>
        <v>2.9242885562189389E-2</v>
      </c>
      <c r="H168" s="100">
        <f>AVERAGE('Quarterly Historical Financials'!$D369:$D372)/3</f>
        <v>3.6089070116137129E-2</v>
      </c>
      <c r="I168" s="30">
        <f>CHOOSE($G$4,F168,G168,H168)</f>
        <v>1.8984668013023946E-2</v>
      </c>
    </row>
    <row r="169" spans="2:40" x14ac:dyDescent="0.25">
      <c r="B169" s="116"/>
      <c r="E169" s="109"/>
      <c r="I169" s="30"/>
      <c r="K169" s="2" t="s">
        <v>214</v>
      </c>
      <c r="L169" s="113">
        <f>'Quarterly Historical Financials'!AB364</f>
        <v>4677349</v>
      </c>
      <c r="M169" s="113">
        <f>'Quarterly Historical Financials'!AC364</f>
        <v>6363787</v>
      </c>
      <c r="N169" s="6">
        <f t="shared" ref="N169:AG169" si="447">M171</f>
        <v>5017670.5980000002</v>
      </c>
      <c r="O169" s="6">
        <f t="shared" si="447"/>
        <v>5112929.4085017415</v>
      </c>
      <c r="P169" s="6">
        <f t="shared" si="447"/>
        <v>5209996.6758961743</v>
      </c>
      <c r="Q169" s="6">
        <f t="shared" si="447"/>
        <v>5308906.7331370218</v>
      </c>
      <c r="R169" s="6">
        <f t="shared" si="447"/>
        <v>5409694.5649777353</v>
      </c>
      <c r="S169" s="6">
        <f t="shared" si="447"/>
        <v>5512395.8203456979</v>
      </c>
      <c r="T169" s="6">
        <f t="shared" si="447"/>
        <v>5617046.8249513414</v>
      </c>
      <c r="U169" s="6">
        <f t="shared" si="447"/>
        <v>5723684.5941366525</v>
      </c>
      <c r="V169" s="6">
        <f t="shared" si="447"/>
        <v>5832346.8459675964</v>
      </c>
      <c r="W169" s="6">
        <f t="shared" si="447"/>
        <v>5943072.0145750986</v>
      </c>
      <c r="X169" s="6">
        <f t="shared" si="447"/>
        <v>6055899.2637493005</v>
      </c>
      <c r="Y169" s="6">
        <f t="shared" si="447"/>
        <v>6170868.5007918971</v>
      </c>
      <c r="Z169" s="6">
        <f t="shared" si="447"/>
        <v>6288020.3906314578</v>
      </c>
      <c r="AA169" s="6">
        <f t="shared" si="447"/>
        <v>6407396.3702067211</v>
      </c>
      <c r="AB169" s="6">
        <f t="shared" si="447"/>
        <v>6529038.6631229501</v>
      </c>
      <c r="AC169" s="6">
        <f t="shared" si="447"/>
        <v>6652990.2945865374</v>
      </c>
      <c r="AD169" s="6">
        <f t="shared" si="447"/>
        <v>6779295.1066231336</v>
      </c>
      <c r="AE169" s="6">
        <f t="shared" si="447"/>
        <v>6907997.7735846918</v>
      </c>
      <c r="AF169" s="6">
        <f t="shared" si="447"/>
        <v>7039143.8179509053</v>
      </c>
      <c r="AG169" s="6">
        <f t="shared" si="447"/>
        <v>7172779.6264306335</v>
      </c>
      <c r="AI169" s="6">
        <f t="shared" ref="AI169" si="448">SUMIF($M$4:$AG$4,AI$4,$M169:$AG169)</f>
        <v>6363787</v>
      </c>
      <c r="AJ169" s="6">
        <f>AI171</f>
        <v>5017670.5980000002</v>
      </c>
      <c r="AK169" s="6">
        <f t="shared" ref="AK169:AN169" si="449">AJ171</f>
        <v>5409694.5649777353</v>
      </c>
      <c r="AL169" s="6">
        <f t="shared" si="449"/>
        <v>5832346.8459675973</v>
      </c>
      <c r="AM169" s="6">
        <f t="shared" si="449"/>
        <v>6288020.3906314587</v>
      </c>
      <c r="AN169" s="6">
        <f t="shared" si="449"/>
        <v>6779295.1066231336</v>
      </c>
    </row>
    <row r="170" spans="2:40" x14ac:dyDescent="0.25">
      <c r="B170" s="116"/>
      <c r="E170" s="109"/>
      <c r="I170" s="30"/>
      <c r="K170" s="2" t="s">
        <v>219</v>
      </c>
      <c r="L170" s="113">
        <f>'Quarterly Historical Financials'!AB365</f>
        <v>1686438</v>
      </c>
      <c r="M170" s="113">
        <f>'Quarterly Historical Financials'!AC365</f>
        <v>-1346116.4019999998</v>
      </c>
      <c r="N170" s="6">
        <f t="shared" ref="N170" si="450">N169*$I168</f>
        <v>95258.810501741347</v>
      </c>
      <c r="O170" s="6">
        <f>O169*$I168</f>
        <v>97067.267394432463</v>
      </c>
      <c r="P170" s="6">
        <f t="shared" ref="P170" si="451">P169*$I168</f>
        <v>98910.057240847193</v>
      </c>
      <c r="Q170" s="6">
        <f t="shared" ref="Q170" si="452">Q169*$I168</f>
        <v>100787.83184071387</v>
      </c>
      <c r="R170" s="6">
        <f t="shared" ref="R170" si="453">R169*$I168</f>
        <v>102701.25536796231</v>
      </c>
      <c r="S170" s="6">
        <f t="shared" ref="S170" si="454">S169*$I168</f>
        <v>104651.00460564387</v>
      </c>
      <c r="T170" s="6">
        <f t="shared" ref="T170" si="455">T169*$I168</f>
        <v>106637.76918531145</v>
      </c>
      <c r="U170" s="6">
        <f t="shared" ref="U170" si="456">U169*$I168</f>
        <v>108662.25183094405</v>
      </c>
      <c r="V170" s="6">
        <f t="shared" ref="V170" si="457">V169*$I168</f>
        <v>110725.16860750213</v>
      </c>
      <c r="W170" s="6">
        <f t="shared" ref="W170" si="458">W169*$I168</f>
        <v>112827.24917420166</v>
      </c>
      <c r="X170" s="6">
        <f t="shared" ref="X170" si="459">X169*$I168</f>
        <v>114969.23704259661</v>
      </c>
      <c r="Y170" s="6">
        <f t="shared" ref="Y170" si="460">Y169*$I168</f>
        <v>117151.88983956096</v>
      </c>
      <c r="Z170" s="6">
        <f t="shared" ref="Z170" si="461">Z169*$I168</f>
        <v>119375.97957526338</v>
      </c>
      <c r="AA170" s="6">
        <f t="shared" ref="AA170" si="462">AA169*$I168</f>
        <v>121642.29291622927</v>
      </c>
      <c r="AB170" s="6">
        <f t="shared" ref="AB170" si="463">AB169*$I168</f>
        <v>123951.63146358691</v>
      </c>
      <c r="AC170" s="6">
        <f t="shared" ref="AC170" si="464">AC169*$I168</f>
        <v>126304.8120365958</v>
      </c>
      <c r="AD170" s="6">
        <f t="shared" ref="AD170" si="465">AD169*$I168</f>
        <v>128702.66696155797</v>
      </c>
      <c r="AE170" s="6">
        <f t="shared" ref="AE170" si="466">AE169*$I168</f>
        <v>131146.04436621393</v>
      </c>
      <c r="AF170" s="6">
        <f t="shared" ref="AF170" si="467">AF169*$I168</f>
        <v>133635.8084797278</v>
      </c>
      <c r="AG170" s="6">
        <f t="shared" ref="AG170" si="468">AG169*$I168</f>
        <v>136172.83993836748</v>
      </c>
      <c r="AI170" s="6">
        <f t="shared" ref="AI170:AN170" si="469">SUMIF($M$2:$AG$2,AI$2,$M170:$AG170)</f>
        <v>-1346116.4019999998</v>
      </c>
      <c r="AJ170" s="6">
        <f t="shared" si="469"/>
        <v>392023.96697773488</v>
      </c>
      <c r="AK170" s="6">
        <f t="shared" si="469"/>
        <v>422652.28098986164</v>
      </c>
      <c r="AL170" s="6">
        <f t="shared" si="469"/>
        <v>455673.54466386134</v>
      </c>
      <c r="AM170" s="6">
        <f t="shared" si="469"/>
        <v>491274.71599167539</v>
      </c>
      <c r="AN170" s="6">
        <f t="shared" si="469"/>
        <v>529657.3597458672</v>
      </c>
    </row>
    <row r="171" spans="2:40" x14ac:dyDescent="0.25">
      <c r="K171" s="8" t="s">
        <v>204</v>
      </c>
      <c r="L171" s="114">
        <f t="shared" ref="L171:AG171" si="470">SUM(L169:L170)</f>
        <v>6363787</v>
      </c>
      <c r="M171" s="114">
        <f t="shared" ref="M171" si="471">SUM(M169:M170)</f>
        <v>5017670.5980000002</v>
      </c>
      <c r="N171" s="16">
        <f t="shared" si="470"/>
        <v>5112929.4085017415</v>
      </c>
      <c r="O171" s="16">
        <f t="shared" si="470"/>
        <v>5209996.6758961743</v>
      </c>
      <c r="P171" s="16">
        <f t="shared" si="470"/>
        <v>5308906.7331370218</v>
      </c>
      <c r="Q171" s="16">
        <f t="shared" si="470"/>
        <v>5409694.5649777353</v>
      </c>
      <c r="R171" s="16">
        <f t="shared" si="470"/>
        <v>5512395.8203456979</v>
      </c>
      <c r="S171" s="16">
        <f t="shared" si="470"/>
        <v>5617046.8249513414</v>
      </c>
      <c r="T171" s="16">
        <f t="shared" si="470"/>
        <v>5723684.5941366525</v>
      </c>
      <c r="U171" s="16">
        <f t="shared" si="470"/>
        <v>5832346.8459675964</v>
      </c>
      <c r="V171" s="16">
        <f t="shared" si="470"/>
        <v>5943072.0145750986</v>
      </c>
      <c r="W171" s="16">
        <f t="shared" si="470"/>
        <v>6055899.2637493005</v>
      </c>
      <c r="X171" s="16">
        <f t="shared" si="470"/>
        <v>6170868.5007918971</v>
      </c>
      <c r="Y171" s="16">
        <f t="shared" si="470"/>
        <v>6288020.3906314578</v>
      </c>
      <c r="Z171" s="16">
        <f t="shared" si="470"/>
        <v>6407396.3702067211</v>
      </c>
      <c r="AA171" s="16">
        <f t="shared" si="470"/>
        <v>6529038.6631229501</v>
      </c>
      <c r="AB171" s="16">
        <f t="shared" si="470"/>
        <v>6652990.2945865374</v>
      </c>
      <c r="AC171" s="16">
        <f t="shared" si="470"/>
        <v>6779295.1066231336</v>
      </c>
      <c r="AD171" s="16">
        <f t="shared" si="470"/>
        <v>6907997.7735846918</v>
      </c>
      <c r="AE171" s="16">
        <f t="shared" si="470"/>
        <v>7039143.8179509053</v>
      </c>
      <c r="AF171" s="16">
        <f t="shared" si="470"/>
        <v>7172779.6264306335</v>
      </c>
      <c r="AG171" s="16">
        <f t="shared" si="470"/>
        <v>7308952.4663690012</v>
      </c>
      <c r="AI171" s="16">
        <f t="shared" ref="AI171:AN171" si="472">SUM(AI169:AI170)</f>
        <v>5017670.5980000002</v>
      </c>
      <c r="AJ171" s="16">
        <f t="shared" si="472"/>
        <v>5409694.5649777353</v>
      </c>
      <c r="AK171" s="16">
        <f t="shared" si="472"/>
        <v>5832346.8459675973</v>
      </c>
      <c r="AL171" s="16">
        <f t="shared" si="472"/>
        <v>6288020.3906314587</v>
      </c>
      <c r="AM171" s="16">
        <f t="shared" si="472"/>
        <v>6779295.1066231336</v>
      </c>
      <c r="AN171" s="16">
        <f t="shared" si="472"/>
        <v>7308952.4663690012</v>
      </c>
    </row>
    <row r="172" spans="2:40" x14ac:dyDescent="0.25"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4" spans="2:40" x14ac:dyDescent="0.25">
      <c r="B174" s="95">
        <v>12</v>
      </c>
      <c r="D174" s="21" t="s">
        <v>269</v>
      </c>
      <c r="E174" s="21"/>
      <c r="F174" s="21"/>
      <c r="G174" s="21"/>
      <c r="H174" s="21"/>
      <c r="I174" s="21"/>
      <c r="J174" s="19"/>
      <c r="K174" s="19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I174" s="20"/>
      <c r="AJ174" s="20"/>
      <c r="AK174" s="20"/>
      <c r="AL174" s="20"/>
      <c r="AM174" s="20"/>
      <c r="AN174" s="20"/>
    </row>
    <row r="175" spans="2:40" x14ac:dyDescent="0.25">
      <c r="B175" s="116"/>
      <c r="D175" s="96" t="s">
        <v>32</v>
      </c>
      <c r="E175" s="108" t="s">
        <v>238</v>
      </c>
      <c r="F175" s="98" t="s">
        <v>227</v>
      </c>
      <c r="G175" s="98" t="s">
        <v>231</v>
      </c>
      <c r="H175" s="98" t="s">
        <v>228</v>
      </c>
      <c r="I175" s="98" t="s">
        <v>232</v>
      </c>
      <c r="J175" s="96"/>
      <c r="K175" s="96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I175" s="97"/>
      <c r="AJ175" s="97"/>
      <c r="AK175" s="97"/>
      <c r="AL175" s="97"/>
      <c r="AM175" s="97"/>
      <c r="AN175" s="97"/>
    </row>
    <row r="176" spans="2:40" x14ac:dyDescent="0.25">
      <c r="B176" s="116"/>
      <c r="D176" s="2" t="s">
        <v>221</v>
      </c>
      <c r="E176" s="109" t="s">
        <v>254</v>
      </c>
      <c r="F176" s="100">
        <f>AVERAGE('Quarterly Historical Financials'!$D383:$D383)</f>
        <v>0</v>
      </c>
      <c r="G176" s="100">
        <f>AVERAGE('Quarterly Historical Financials'!$D383:$D383)</f>
        <v>0</v>
      </c>
      <c r="H176" s="100">
        <f>AVERAGE('Quarterly Historical Financials'!$D383:$D383)</f>
        <v>0</v>
      </c>
      <c r="I176" s="30">
        <f>CHOOSE($G$4,F176,G176,H176)</f>
        <v>0</v>
      </c>
    </row>
    <row r="177" spans="2:40" x14ac:dyDescent="0.25">
      <c r="B177" s="116"/>
      <c r="E177" s="109"/>
      <c r="I177" s="30"/>
      <c r="K177" s="2" t="s">
        <v>214</v>
      </c>
      <c r="L177" s="113">
        <f>'Quarterly Historical Financials'!AB376</f>
        <v>0</v>
      </c>
      <c r="M177" s="113">
        <f>'Quarterly Historical Financials'!AC376</f>
        <v>0</v>
      </c>
      <c r="N177" s="6">
        <f t="shared" ref="N177:AG177" si="473">M179</f>
        <v>173127.59</v>
      </c>
      <c r="O177" s="6">
        <f t="shared" si="473"/>
        <v>173127.59</v>
      </c>
      <c r="P177" s="6">
        <f t="shared" si="473"/>
        <v>173127.59</v>
      </c>
      <c r="Q177" s="6">
        <f t="shared" si="473"/>
        <v>173127.59</v>
      </c>
      <c r="R177" s="6">
        <f t="shared" si="473"/>
        <v>173127.59</v>
      </c>
      <c r="S177" s="6">
        <f t="shared" si="473"/>
        <v>173127.59</v>
      </c>
      <c r="T177" s="6">
        <f t="shared" si="473"/>
        <v>173127.59</v>
      </c>
      <c r="U177" s="6">
        <f t="shared" si="473"/>
        <v>173127.59</v>
      </c>
      <c r="V177" s="6">
        <f t="shared" si="473"/>
        <v>173127.59</v>
      </c>
      <c r="W177" s="6">
        <f t="shared" si="473"/>
        <v>173127.59</v>
      </c>
      <c r="X177" s="6">
        <f t="shared" si="473"/>
        <v>173127.59</v>
      </c>
      <c r="Y177" s="6">
        <f t="shared" si="473"/>
        <v>173127.59</v>
      </c>
      <c r="Z177" s="6">
        <f t="shared" si="473"/>
        <v>173127.59</v>
      </c>
      <c r="AA177" s="6">
        <f t="shared" si="473"/>
        <v>173127.59</v>
      </c>
      <c r="AB177" s="6">
        <f t="shared" si="473"/>
        <v>173127.59</v>
      </c>
      <c r="AC177" s="6">
        <f t="shared" si="473"/>
        <v>173127.59</v>
      </c>
      <c r="AD177" s="6">
        <f t="shared" si="473"/>
        <v>173127.59</v>
      </c>
      <c r="AE177" s="6">
        <f t="shared" si="473"/>
        <v>173127.59</v>
      </c>
      <c r="AF177" s="6">
        <f t="shared" si="473"/>
        <v>173127.59</v>
      </c>
      <c r="AG177" s="6">
        <f t="shared" si="473"/>
        <v>173127.59</v>
      </c>
      <c r="AI177" s="6">
        <f t="shared" ref="AI177" si="474">SUMIF($M$4:$AG$4,AI$4,$M177:$AG177)</f>
        <v>0</v>
      </c>
      <c r="AJ177" s="6">
        <f>AI179</f>
        <v>173127.59</v>
      </c>
      <c r="AK177" s="6">
        <f t="shared" ref="AK177:AN177" si="475">AJ179</f>
        <v>173127.59</v>
      </c>
      <c r="AL177" s="6">
        <f t="shared" si="475"/>
        <v>173127.59</v>
      </c>
      <c r="AM177" s="6">
        <f t="shared" si="475"/>
        <v>173127.59</v>
      </c>
      <c r="AN177" s="6">
        <f t="shared" si="475"/>
        <v>173127.59</v>
      </c>
    </row>
    <row r="178" spans="2:40" x14ac:dyDescent="0.25">
      <c r="B178" s="116"/>
      <c r="E178" s="109"/>
      <c r="I178" s="30"/>
      <c r="K178" s="2" t="s">
        <v>219</v>
      </c>
      <c r="L178" s="113">
        <f>'Quarterly Historical Financials'!AB377</f>
        <v>0</v>
      </c>
      <c r="M178" s="113">
        <f>'Quarterly Historical Financials'!AC377</f>
        <v>173127.59</v>
      </c>
      <c r="N178" s="6">
        <f t="shared" ref="N178" si="476">N177*$I176</f>
        <v>0</v>
      </c>
      <c r="O178" s="6">
        <f>O177*$I176</f>
        <v>0</v>
      </c>
      <c r="P178" s="6">
        <f t="shared" ref="P178" si="477">P177*$I176</f>
        <v>0</v>
      </c>
      <c r="Q178" s="6">
        <f t="shared" ref="Q178" si="478">Q177*$I176</f>
        <v>0</v>
      </c>
      <c r="R178" s="6">
        <f t="shared" ref="R178" si="479">R177*$I176</f>
        <v>0</v>
      </c>
      <c r="S178" s="6">
        <f t="shared" ref="S178" si="480">S177*$I176</f>
        <v>0</v>
      </c>
      <c r="T178" s="6">
        <f t="shared" ref="T178" si="481">T177*$I176</f>
        <v>0</v>
      </c>
      <c r="U178" s="6">
        <f t="shared" ref="U178" si="482">U177*$I176</f>
        <v>0</v>
      </c>
      <c r="V178" s="6">
        <f t="shared" ref="V178" si="483">V177*$I176</f>
        <v>0</v>
      </c>
      <c r="W178" s="6">
        <f t="shared" ref="W178" si="484">W177*$I176</f>
        <v>0</v>
      </c>
      <c r="X178" s="6">
        <f t="shared" ref="X178" si="485">X177*$I176</f>
        <v>0</v>
      </c>
      <c r="Y178" s="6">
        <f t="shared" ref="Y178" si="486">Y177*$I176</f>
        <v>0</v>
      </c>
      <c r="Z178" s="6">
        <f t="shared" ref="Z178" si="487">Z177*$I176</f>
        <v>0</v>
      </c>
      <c r="AA178" s="6">
        <f t="shared" ref="AA178" si="488">AA177*$I176</f>
        <v>0</v>
      </c>
      <c r="AB178" s="6">
        <f t="shared" ref="AB178" si="489">AB177*$I176</f>
        <v>0</v>
      </c>
      <c r="AC178" s="6">
        <f t="shared" ref="AC178" si="490">AC177*$I176</f>
        <v>0</v>
      </c>
      <c r="AD178" s="6">
        <f t="shared" ref="AD178" si="491">AD177*$I176</f>
        <v>0</v>
      </c>
      <c r="AE178" s="6">
        <f t="shared" ref="AE178" si="492">AE177*$I176</f>
        <v>0</v>
      </c>
      <c r="AF178" s="6">
        <f t="shared" ref="AF178" si="493">AF177*$I176</f>
        <v>0</v>
      </c>
      <c r="AG178" s="6">
        <f t="shared" ref="AG178" si="494">AG177*$I176</f>
        <v>0</v>
      </c>
      <c r="AI178" s="6">
        <f t="shared" ref="AI178:AN178" si="495">SUMIF($M$2:$AG$2,AI$2,$M178:$AG178)</f>
        <v>173127.59</v>
      </c>
      <c r="AJ178" s="6">
        <f t="shared" si="495"/>
        <v>0</v>
      </c>
      <c r="AK178" s="6">
        <f t="shared" si="495"/>
        <v>0</v>
      </c>
      <c r="AL178" s="6">
        <f t="shared" si="495"/>
        <v>0</v>
      </c>
      <c r="AM178" s="6">
        <f t="shared" si="495"/>
        <v>0</v>
      </c>
      <c r="AN178" s="6">
        <f t="shared" si="495"/>
        <v>0</v>
      </c>
    </row>
    <row r="179" spans="2:40" x14ac:dyDescent="0.25">
      <c r="K179" s="8" t="s">
        <v>204</v>
      </c>
      <c r="L179" s="114">
        <f t="shared" ref="L179:AG179" si="496">SUM(L177:L178)</f>
        <v>0</v>
      </c>
      <c r="M179" s="114">
        <f t="shared" ref="M179" si="497">SUM(M177:M178)</f>
        <v>173127.59</v>
      </c>
      <c r="N179" s="16">
        <f t="shared" si="496"/>
        <v>173127.59</v>
      </c>
      <c r="O179" s="16">
        <f t="shared" si="496"/>
        <v>173127.59</v>
      </c>
      <c r="P179" s="16">
        <f t="shared" si="496"/>
        <v>173127.59</v>
      </c>
      <c r="Q179" s="16">
        <f t="shared" si="496"/>
        <v>173127.59</v>
      </c>
      <c r="R179" s="16">
        <f t="shared" si="496"/>
        <v>173127.59</v>
      </c>
      <c r="S179" s="16">
        <f t="shared" si="496"/>
        <v>173127.59</v>
      </c>
      <c r="T179" s="16">
        <f t="shared" si="496"/>
        <v>173127.59</v>
      </c>
      <c r="U179" s="16">
        <f t="shared" si="496"/>
        <v>173127.59</v>
      </c>
      <c r="V179" s="16">
        <f t="shared" si="496"/>
        <v>173127.59</v>
      </c>
      <c r="W179" s="16">
        <f t="shared" si="496"/>
        <v>173127.59</v>
      </c>
      <c r="X179" s="16">
        <f t="shared" si="496"/>
        <v>173127.59</v>
      </c>
      <c r="Y179" s="16">
        <f t="shared" si="496"/>
        <v>173127.59</v>
      </c>
      <c r="Z179" s="16">
        <f t="shared" si="496"/>
        <v>173127.59</v>
      </c>
      <c r="AA179" s="16">
        <f t="shared" si="496"/>
        <v>173127.59</v>
      </c>
      <c r="AB179" s="16">
        <f t="shared" si="496"/>
        <v>173127.59</v>
      </c>
      <c r="AC179" s="16">
        <f t="shared" si="496"/>
        <v>173127.59</v>
      </c>
      <c r="AD179" s="16">
        <f t="shared" si="496"/>
        <v>173127.59</v>
      </c>
      <c r="AE179" s="16">
        <f t="shared" si="496"/>
        <v>173127.59</v>
      </c>
      <c r="AF179" s="16">
        <f t="shared" si="496"/>
        <v>173127.59</v>
      </c>
      <c r="AG179" s="16">
        <f t="shared" si="496"/>
        <v>173127.59</v>
      </c>
      <c r="AI179" s="16">
        <f t="shared" ref="AI179:AN179" si="498">SUM(AI177:AI178)</f>
        <v>173127.59</v>
      </c>
      <c r="AJ179" s="16">
        <f t="shared" si="498"/>
        <v>173127.59</v>
      </c>
      <c r="AK179" s="16">
        <f t="shared" si="498"/>
        <v>173127.59</v>
      </c>
      <c r="AL179" s="16">
        <f t="shared" si="498"/>
        <v>173127.59</v>
      </c>
      <c r="AM179" s="16">
        <f t="shared" si="498"/>
        <v>173127.59</v>
      </c>
      <c r="AN179" s="16">
        <f t="shared" si="498"/>
        <v>173127.59</v>
      </c>
    </row>
    <row r="180" spans="2:40" x14ac:dyDescent="0.25"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2:40" x14ac:dyDescent="0.25">
      <c r="D181" s="96" t="s">
        <v>30</v>
      </c>
      <c r="E181" s="108" t="s">
        <v>238</v>
      </c>
      <c r="F181" s="98" t="s">
        <v>227</v>
      </c>
      <c r="G181" s="98" t="s">
        <v>231</v>
      </c>
      <c r="H181" s="98" t="s">
        <v>228</v>
      </c>
      <c r="I181" s="98" t="s">
        <v>232</v>
      </c>
      <c r="J181" s="96"/>
      <c r="K181" s="96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I181" s="97"/>
      <c r="AJ181" s="97"/>
      <c r="AK181" s="97"/>
      <c r="AL181" s="97"/>
      <c r="AM181" s="97"/>
      <c r="AN181" s="97"/>
    </row>
    <row r="182" spans="2:40" x14ac:dyDescent="0.25">
      <c r="D182" s="2" t="s">
        <v>221</v>
      </c>
      <c r="E182" s="109" t="s">
        <v>254</v>
      </c>
      <c r="F182" s="117">
        <v>0</v>
      </c>
      <c r="G182" s="117">
        <v>0</v>
      </c>
      <c r="H182" s="117">
        <v>0</v>
      </c>
      <c r="I182" s="30">
        <f>CHOOSE($G$4,F182,G182,H182)</f>
        <v>0</v>
      </c>
    </row>
    <row r="183" spans="2:40" x14ac:dyDescent="0.25">
      <c r="E183" s="109"/>
      <c r="I183" s="30"/>
      <c r="K183" s="2" t="s">
        <v>214</v>
      </c>
      <c r="L183" s="113">
        <f>'Quarterly Historical Financials'!AA61</f>
        <v>0</v>
      </c>
      <c r="M183" s="113">
        <f>'Quarterly Historical Financials'!AB61</f>
        <v>0</v>
      </c>
      <c r="N183" s="6">
        <f t="shared" ref="N183" si="499">M185</f>
        <v>0</v>
      </c>
      <c r="O183" s="6">
        <f t="shared" ref="O183" si="500">N185</f>
        <v>0</v>
      </c>
      <c r="P183" s="6">
        <f t="shared" ref="P183" si="501">O185</f>
        <v>0</v>
      </c>
      <c r="Q183" s="6">
        <f t="shared" ref="Q183" si="502">P185</f>
        <v>0</v>
      </c>
      <c r="R183" s="6">
        <f t="shared" ref="R183" si="503">Q185</f>
        <v>0</v>
      </c>
      <c r="S183" s="6">
        <f t="shared" ref="S183" si="504">R185</f>
        <v>0</v>
      </c>
      <c r="T183" s="6">
        <f t="shared" ref="T183" si="505">S185</f>
        <v>0</v>
      </c>
      <c r="U183" s="6">
        <f t="shared" ref="U183" si="506">T185</f>
        <v>0</v>
      </c>
      <c r="V183" s="6">
        <f t="shared" ref="V183" si="507">U185</f>
        <v>0</v>
      </c>
      <c r="W183" s="6">
        <f t="shared" ref="W183" si="508">V185</f>
        <v>0</v>
      </c>
      <c r="X183" s="6">
        <f t="shared" ref="X183" si="509">W185</f>
        <v>0</v>
      </c>
      <c r="Y183" s="6">
        <f t="shared" ref="Y183" si="510">X185</f>
        <v>0</v>
      </c>
      <c r="Z183" s="6">
        <f t="shared" ref="Z183" si="511">Y185</f>
        <v>0</v>
      </c>
      <c r="AA183" s="6">
        <f t="shared" ref="AA183" si="512">Z185</f>
        <v>0</v>
      </c>
      <c r="AB183" s="6">
        <f t="shared" ref="AB183" si="513">AA185</f>
        <v>0</v>
      </c>
      <c r="AC183" s="6">
        <f t="shared" ref="AC183" si="514">AB185</f>
        <v>0</v>
      </c>
      <c r="AD183" s="6">
        <f t="shared" ref="AD183" si="515">AC185</f>
        <v>0</v>
      </c>
      <c r="AE183" s="6">
        <f t="shared" ref="AE183" si="516">AD185</f>
        <v>0</v>
      </c>
      <c r="AF183" s="6">
        <f t="shared" ref="AF183" si="517">AE185</f>
        <v>0</v>
      </c>
      <c r="AG183" s="6">
        <f t="shared" ref="AG183" si="518">AF185</f>
        <v>0</v>
      </c>
      <c r="AI183" s="6">
        <f t="shared" ref="AI183" si="519">SUMIF($M$4:$AG$4,AI$4,$M183:$AG183)</f>
        <v>0</v>
      </c>
      <c r="AJ183" s="6">
        <f>AI185</f>
        <v>0</v>
      </c>
      <c r="AK183" s="6">
        <f t="shared" ref="AK183" si="520">AJ185</f>
        <v>0</v>
      </c>
      <c r="AL183" s="6">
        <f t="shared" ref="AL183" si="521">AK185</f>
        <v>0</v>
      </c>
      <c r="AM183" s="6">
        <f t="shared" ref="AM183" si="522">AL185</f>
        <v>0</v>
      </c>
      <c r="AN183" s="6">
        <f t="shared" ref="AN183" si="523">AM185</f>
        <v>0</v>
      </c>
    </row>
    <row r="184" spans="2:40" x14ac:dyDescent="0.25">
      <c r="E184" s="109"/>
      <c r="I184" s="30"/>
      <c r="K184" s="2" t="s">
        <v>219</v>
      </c>
      <c r="L184" s="113">
        <f>L185-L183</f>
        <v>0</v>
      </c>
      <c r="M184" s="113">
        <f>M185-M183</f>
        <v>0</v>
      </c>
      <c r="N184" s="6">
        <f t="shared" ref="N184" si="524">N183*$I182</f>
        <v>0</v>
      </c>
      <c r="O184" s="6">
        <f>O183*$I182</f>
        <v>0</v>
      </c>
      <c r="P184" s="6">
        <f t="shared" ref="P184:AG184" si="525">P183*$I182</f>
        <v>0</v>
      </c>
      <c r="Q184" s="6">
        <f t="shared" si="525"/>
        <v>0</v>
      </c>
      <c r="R184" s="6">
        <f t="shared" si="525"/>
        <v>0</v>
      </c>
      <c r="S184" s="6">
        <f t="shared" si="525"/>
        <v>0</v>
      </c>
      <c r="T184" s="6">
        <f t="shared" si="525"/>
        <v>0</v>
      </c>
      <c r="U184" s="6">
        <f t="shared" si="525"/>
        <v>0</v>
      </c>
      <c r="V184" s="6">
        <f t="shared" si="525"/>
        <v>0</v>
      </c>
      <c r="W184" s="6">
        <f t="shared" si="525"/>
        <v>0</v>
      </c>
      <c r="X184" s="6">
        <f t="shared" si="525"/>
        <v>0</v>
      </c>
      <c r="Y184" s="6">
        <f t="shared" si="525"/>
        <v>0</v>
      </c>
      <c r="Z184" s="6">
        <f t="shared" si="525"/>
        <v>0</v>
      </c>
      <c r="AA184" s="6">
        <f t="shared" si="525"/>
        <v>0</v>
      </c>
      <c r="AB184" s="6">
        <f t="shared" si="525"/>
        <v>0</v>
      </c>
      <c r="AC184" s="6">
        <f t="shared" si="525"/>
        <v>0</v>
      </c>
      <c r="AD184" s="6">
        <f t="shared" si="525"/>
        <v>0</v>
      </c>
      <c r="AE184" s="6">
        <f t="shared" si="525"/>
        <v>0</v>
      </c>
      <c r="AF184" s="6">
        <f t="shared" si="525"/>
        <v>0</v>
      </c>
      <c r="AG184" s="6">
        <f t="shared" si="525"/>
        <v>0</v>
      </c>
      <c r="AI184" s="6">
        <f t="shared" ref="AI184:AN184" si="526">SUMIF($M$2:$AG$2,AI$2,$M184:$AG184)</f>
        <v>0</v>
      </c>
      <c r="AJ184" s="6">
        <f t="shared" si="526"/>
        <v>0</v>
      </c>
      <c r="AK184" s="6">
        <f t="shared" si="526"/>
        <v>0</v>
      </c>
      <c r="AL184" s="6">
        <f t="shared" si="526"/>
        <v>0</v>
      </c>
      <c r="AM184" s="6">
        <f t="shared" si="526"/>
        <v>0</v>
      </c>
      <c r="AN184" s="6">
        <f t="shared" si="526"/>
        <v>0</v>
      </c>
    </row>
    <row r="185" spans="2:40" x14ac:dyDescent="0.25">
      <c r="K185" s="8" t="s">
        <v>204</v>
      </c>
      <c r="L185" s="114">
        <f>'Quarterly Historical Financials'!AB61</f>
        <v>0</v>
      </c>
      <c r="M185" s="114">
        <f>'Quarterly Historical Financials'!AC61</f>
        <v>0</v>
      </c>
      <c r="N185" s="16">
        <f t="shared" ref="N185" si="527">SUM(N183:N184)</f>
        <v>0</v>
      </c>
      <c r="O185" s="16">
        <f t="shared" ref="O185" si="528">SUM(O183:O184)</f>
        <v>0</v>
      </c>
      <c r="P185" s="16">
        <f t="shared" ref="P185" si="529">SUM(P183:P184)</f>
        <v>0</v>
      </c>
      <c r="Q185" s="16">
        <f t="shared" ref="Q185" si="530">SUM(Q183:Q184)</f>
        <v>0</v>
      </c>
      <c r="R185" s="16">
        <f t="shared" ref="R185" si="531">SUM(R183:R184)</f>
        <v>0</v>
      </c>
      <c r="S185" s="16">
        <f t="shared" ref="S185" si="532">SUM(S183:S184)</f>
        <v>0</v>
      </c>
      <c r="T185" s="16">
        <f t="shared" ref="T185" si="533">SUM(T183:T184)</f>
        <v>0</v>
      </c>
      <c r="U185" s="16">
        <f t="shared" ref="U185" si="534">SUM(U183:U184)</f>
        <v>0</v>
      </c>
      <c r="V185" s="16">
        <f t="shared" ref="V185" si="535">SUM(V183:V184)</f>
        <v>0</v>
      </c>
      <c r="W185" s="16">
        <f t="shared" ref="W185" si="536">SUM(W183:W184)</f>
        <v>0</v>
      </c>
      <c r="X185" s="16">
        <f t="shared" ref="X185" si="537">SUM(X183:X184)</f>
        <v>0</v>
      </c>
      <c r="Y185" s="16">
        <f t="shared" ref="Y185" si="538">SUM(Y183:Y184)</f>
        <v>0</v>
      </c>
      <c r="Z185" s="16">
        <f t="shared" ref="Z185" si="539">SUM(Z183:Z184)</f>
        <v>0</v>
      </c>
      <c r="AA185" s="16">
        <f t="shared" ref="AA185" si="540">SUM(AA183:AA184)</f>
        <v>0</v>
      </c>
      <c r="AB185" s="16">
        <f t="shared" ref="AB185" si="541">SUM(AB183:AB184)</f>
        <v>0</v>
      </c>
      <c r="AC185" s="16">
        <f t="shared" ref="AC185" si="542">SUM(AC183:AC184)</f>
        <v>0</v>
      </c>
      <c r="AD185" s="16">
        <f t="shared" ref="AD185" si="543">SUM(AD183:AD184)</f>
        <v>0</v>
      </c>
      <c r="AE185" s="16">
        <f t="shared" ref="AE185" si="544">SUM(AE183:AE184)</f>
        <v>0</v>
      </c>
      <c r="AF185" s="16">
        <f t="shared" ref="AF185" si="545">SUM(AF183:AF184)</f>
        <v>0</v>
      </c>
      <c r="AG185" s="16">
        <f t="shared" ref="AG185" si="546">SUM(AG183:AG184)</f>
        <v>0</v>
      </c>
      <c r="AI185" s="16">
        <f t="shared" ref="AI185" si="547">SUM(AI183:AI184)</f>
        <v>0</v>
      </c>
      <c r="AJ185" s="16">
        <f t="shared" ref="AJ185" si="548">SUM(AJ183:AJ184)</f>
        <v>0</v>
      </c>
      <c r="AK185" s="16">
        <f t="shared" ref="AK185" si="549">SUM(AK183:AK184)</f>
        <v>0</v>
      </c>
      <c r="AL185" s="16">
        <f t="shared" ref="AL185" si="550">SUM(AL183:AL184)</f>
        <v>0</v>
      </c>
      <c r="AM185" s="16">
        <f t="shared" ref="AM185" si="551">SUM(AM183:AM184)</f>
        <v>0</v>
      </c>
      <c r="AN185" s="16">
        <f t="shared" ref="AN185" si="552">SUM(AN183:AN184)</f>
        <v>0</v>
      </c>
    </row>
    <row r="186" spans="2:40" x14ac:dyDescent="0.25"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8" spans="2:40" x14ac:dyDescent="0.25">
      <c r="B188" s="95">
        <v>13</v>
      </c>
      <c r="D188" s="21" t="s">
        <v>264</v>
      </c>
      <c r="E188" s="21"/>
      <c r="F188" s="21"/>
      <c r="G188" s="21"/>
      <c r="H188" s="21"/>
      <c r="I188" s="21"/>
      <c r="J188" s="19"/>
      <c r="K188" s="19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I188" s="20"/>
      <c r="AJ188" s="20"/>
      <c r="AK188" s="20"/>
      <c r="AL188" s="20"/>
      <c r="AM188" s="20"/>
      <c r="AN188" s="20"/>
    </row>
    <row r="189" spans="2:40" x14ac:dyDescent="0.25">
      <c r="B189" s="116"/>
      <c r="D189" s="96" t="s">
        <v>33</v>
      </c>
      <c r="E189" s="108" t="s">
        <v>238</v>
      </c>
      <c r="F189" s="98" t="s">
        <v>227</v>
      </c>
      <c r="G189" s="98" t="s">
        <v>231</v>
      </c>
      <c r="H189" s="98" t="s">
        <v>228</v>
      </c>
      <c r="I189" s="98" t="s">
        <v>232</v>
      </c>
      <c r="J189" s="96"/>
      <c r="K189" s="96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I189" s="97"/>
      <c r="AJ189" s="97"/>
      <c r="AK189" s="97"/>
      <c r="AL189" s="97"/>
      <c r="AM189" s="97"/>
      <c r="AN189" s="97"/>
    </row>
    <row r="190" spans="2:40" x14ac:dyDescent="0.25">
      <c r="B190" s="116"/>
      <c r="D190" s="2" t="s">
        <v>221</v>
      </c>
      <c r="E190" s="109" t="s">
        <v>254</v>
      </c>
      <c r="F190" s="100">
        <f>AVERAGE('Quarterly Historical Financials'!$D394:$D394)</f>
        <v>4.9609155281804825E-2</v>
      </c>
      <c r="G190" s="100">
        <f>AVERAGE('Quarterly Historical Financials'!$D393:$D396)</f>
        <v>7.4187585933364442E-2</v>
      </c>
      <c r="H190" s="100">
        <f>AVERAGE('Quarterly Historical Financials'!$D393:$D395)</f>
        <v>9.5977872714376647E-2</v>
      </c>
      <c r="I190" s="30">
        <f>CHOOSE($G$4,F190,G190,H190)</f>
        <v>4.9609155281804825E-2</v>
      </c>
    </row>
    <row r="191" spans="2:40" x14ac:dyDescent="0.25">
      <c r="B191" s="116"/>
      <c r="E191" s="109"/>
      <c r="I191" s="30"/>
      <c r="K191" s="2" t="s">
        <v>214</v>
      </c>
      <c r="L191" s="113">
        <f>'Quarterly Historical Financials'!AB388</f>
        <v>29986</v>
      </c>
      <c r="M191" s="113">
        <f>'Quarterly Historical Financials'!AC388</f>
        <v>23750</v>
      </c>
      <c r="N191" s="6">
        <f t="shared" ref="N191:AG191" si="553">M193</f>
        <v>121687.18799999999</v>
      </c>
      <c r="O191" s="6">
        <f t="shared" si="553"/>
        <v>127723.98660529817</v>
      </c>
      <c r="P191" s="6">
        <f t="shared" si="553"/>
        <v>134060.26569001155</v>
      </c>
      <c r="Q191" s="6">
        <f t="shared" si="553"/>
        <v>140710.88222774735</v>
      </c>
      <c r="R191" s="6">
        <f t="shared" si="553"/>
        <v>147691.43023402343</v>
      </c>
      <c r="S191" s="6">
        <f t="shared" si="553"/>
        <v>155018.27733029495</v>
      </c>
      <c r="T191" s="6">
        <f t="shared" si="553"/>
        <v>162708.60312189144</v>
      </c>
      <c r="U191" s="6">
        <f t="shared" si="553"/>
        <v>170780.4394798509</v>
      </c>
      <c r="V191" s="6">
        <f t="shared" si="553"/>
        <v>179252.71282110171</v>
      </c>
      <c r="W191" s="6">
        <f t="shared" si="553"/>
        <v>188145.2884861285</v>
      </c>
      <c r="X191" s="6">
        <f t="shared" si="553"/>
        <v>197479.0173181768</v>
      </c>
      <c r="Y191" s="6">
        <f t="shared" si="553"/>
        <v>207275.78455321246</v>
      </c>
      <c r="Z191" s="6">
        <f t="shared" si="553"/>
        <v>217558.56113527069</v>
      </c>
      <c r="AA191" s="6">
        <f t="shared" si="553"/>
        <v>228351.45757751635</v>
      </c>
      <c r="AB191" s="6">
        <f t="shared" si="553"/>
        <v>239679.78049530584</v>
      </c>
      <c r="AC191" s="6">
        <f t="shared" si="553"/>
        <v>251570.09194380636</v>
      </c>
      <c r="AD191" s="6">
        <f t="shared" si="553"/>
        <v>264050.27169930458</v>
      </c>
      <c r="AE191" s="6">
        <f t="shared" si="553"/>
        <v>277149.58263023815</v>
      </c>
      <c r="AF191" s="6">
        <f t="shared" si="553"/>
        <v>290898.73931122903</v>
      </c>
      <c r="AG191" s="6">
        <f t="shared" si="553"/>
        <v>305329.98004100105</v>
      </c>
      <c r="AI191" s="6">
        <f t="shared" ref="AI191" si="554">SUMIF($M$4:$AG$4,AI$4,$M191:$AG191)</f>
        <v>23750</v>
      </c>
      <c r="AJ191" s="6">
        <f>AI193</f>
        <v>121687.18799999999</v>
      </c>
      <c r="AK191" s="6">
        <f t="shared" ref="AK191:AN191" si="555">AJ193</f>
        <v>147691.43023402343</v>
      </c>
      <c r="AL191" s="6">
        <f t="shared" si="555"/>
        <v>179252.71282110168</v>
      </c>
      <c r="AM191" s="6">
        <f t="shared" si="555"/>
        <v>217558.56113527069</v>
      </c>
      <c r="AN191" s="6">
        <f t="shared" si="555"/>
        <v>264050.27169930458</v>
      </c>
    </row>
    <row r="192" spans="2:40" x14ac:dyDescent="0.25">
      <c r="B192" s="116"/>
      <c r="E192" s="109"/>
      <c r="I192" s="30"/>
      <c r="K192" s="2" t="s">
        <v>219</v>
      </c>
      <c r="L192" s="113">
        <f>'Quarterly Historical Financials'!AB389</f>
        <v>-6236</v>
      </c>
      <c r="M192" s="113">
        <f>'Quarterly Historical Financials'!AC389</f>
        <v>97937.187999999995</v>
      </c>
      <c r="N192" s="6">
        <f t="shared" ref="N192" si="556">N191*$I190</f>
        <v>6036.798605298176</v>
      </c>
      <c r="O192" s="6">
        <f>O191*$I190</f>
        <v>6336.2790847133965</v>
      </c>
      <c r="P192" s="6">
        <f t="shared" ref="P192" si="557">P191*$I190</f>
        <v>6650.6165377357947</v>
      </c>
      <c r="Q192" s="6">
        <f t="shared" ref="Q192" si="558">Q191*$I190</f>
        <v>6980.5480062760689</v>
      </c>
      <c r="R192" s="6">
        <f t="shared" ref="R192" si="559">R191*$I190</f>
        <v>7326.8470962715119</v>
      </c>
      <c r="S192" s="6">
        <f t="shared" ref="S192" si="560">S191*$I190</f>
        <v>7690.3257915964869</v>
      </c>
      <c r="T192" s="6">
        <f t="shared" ref="T192" si="561">T191*$I190</f>
        <v>8071.8363579594661</v>
      </c>
      <c r="U192" s="6">
        <f t="shared" ref="U192" si="562">U191*$I190</f>
        <v>8472.2733412507951</v>
      </c>
      <c r="V192" s="6">
        <f t="shared" ref="V192" si="563">V191*$I190</f>
        <v>8892.5756650268013</v>
      </c>
      <c r="W192" s="6">
        <f t="shared" ref="W192" si="564">W191*$I190</f>
        <v>9333.7288320483149</v>
      </c>
      <c r="X192" s="6">
        <f t="shared" ref="X192" si="565">X191*$I190</f>
        <v>9796.767235035657</v>
      </c>
      <c r="Y192" s="6">
        <f t="shared" ref="Y192" si="566">Y191*$I190</f>
        <v>10282.776582058239</v>
      </c>
      <c r="Z192" s="6">
        <f t="shared" ref="Z192" si="567">Z191*$I190</f>
        <v>10792.896442245672</v>
      </c>
      <c r="AA192" s="6">
        <f t="shared" ref="AA192" si="568">AA191*$I190</f>
        <v>11328.322917789475</v>
      </c>
      <c r="AB192" s="6">
        <f t="shared" ref="AB192" si="569">AB191*$I190</f>
        <v>11890.311448500523</v>
      </c>
      <c r="AC192" s="6">
        <f t="shared" ref="AC192" si="570">AC191*$I190</f>
        <v>12480.179755498206</v>
      </c>
      <c r="AD192" s="6">
        <f t="shared" ref="AD192" si="571">AD191*$I190</f>
        <v>13099.310930933554</v>
      </c>
      <c r="AE192" s="6">
        <f t="shared" ref="AE192" si="572">AE191*$I190</f>
        <v>13749.156680990882</v>
      </c>
      <c r="AF192" s="6">
        <f t="shared" ref="AF192" si="573">AF191*$I190</f>
        <v>14431.240729772022</v>
      </c>
      <c r="AG192" s="6">
        <f t="shared" ref="AG192" si="574">AG191*$I190</f>
        <v>15147.162392044389</v>
      </c>
      <c r="AI192" s="6">
        <f t="shared" ref="AI192:AN192" si="575">SUMIF($M$2:$AG$2,AI$2,$M192:$AG192)</f>
        <v>97937.187999999995</v>
      </c>
      <c r="AJ192" s="6">
        <f t="shared" si="575"/>
        <v>26004.242234023437</v>
      </c>
      <c r="AK192" s="6">
        <f t="shared" si="575"/>
        <v>31561.282587078262</v>
      </c>
      <c r="AL192" s="6">
        <f t="shared" si="575"/>
        <v>38305.848314169009</v>
      </c>
      <c r="AM192" s="6">
        <f t="shared" si="575"/>
        <v>46491.71056403387</v>
      </c>
      <c r="AN192" s="6">
        <f t="shared" si="575"/>
        <v>56426.870733740849</v>
      </c>
    </row>
    <row r="193" spans="2:40" x14ac:dyDescent="0.25">
      <c r="K193" s="8" t="s">
        <v>204</v>
      </c>
      <c r="L193" s="114">
        <f t="shared" ref="L193:AG193" si="576">SUM(L191:L192)</f>
        <v>23750</v>
      </c>
      <c r="M193" s="114">
        <f t="shared" ref="M193" si="577">SUM(M191:M192)</f>
        <v>121687.18799999999</v>
      </c>
      <c r="N193" s="16">
        <f t="shared" si="576"/>
        <v>127723.98660529817</v>
      </c>
      <c r="O193" s="16">
        <f t="shared" si="576"/>
        <v>134060.26569001155</v>
      </c>
      <c r="P193" s="16">
        <f t="shared" si="576"/>
        <v>140710.88222774735</v>
      </c>
      <c r="Q193" s="16">
        <f t="shared" si="576"/>
        <v>147691.43023402343</v>
      </c>
      <c r="R193" s="16">
        <f t="shared" si="576"/>
        <v>155018.27733029495</v>
      </c>
      <c r="S193" s="16">
        <f t="shared" si="576"/>
        <v>162708.60312189144</v>
      </c>
      <c r="T193" s="16">
        <f t="shared" si="576"/>
        <v>170780.4394798509</v>
      </c>
      <c r="U193" s="16">
        <f t="shared" si="576"/>
        <v>179252.71282110171</v>
      </c>
      <c r="V193" s="16">
        <f t="shared" si="576"/>
        <v>188145.2884861285</v>
      </c>
      <c r="W193" s="16">
        <f t="shared" si="576"/>
        <v>197479.0173181768</v>
      </c>
      <c r="X193" s="16">
        <f t="shared" si="576"/>
        <v>207275.78455321246</v>
      </c>
      <c r="Y193" s="16">
        <f t="shared" si="576"/>
        <v>217558.56113527069</v>
      </c>
      <c r="Z193" s="16">
        <f t="shared" si="576"/>
        <v>228351.45757751635</v>
      </c>
      <c r="AA193" s="16">
        <f t="shared" si="576"/>
        <v>239679.78049530584</v>
      </c>
      <c r="AB193" s="16">
        <f t="shared" si="576"/>
        <v>251570.09194380636</v>
      </c>
      <c r="AC193" s="16">
        <f t="shared" si="576"/>
        <v>264050.27169930458</v>
      </c>
      <c r="AD193" s="16">
        <f t="shared" si="576"/>
        <v>277149.58263023815</v>
      </c>
      <c r="AE193" s="16">
        <f t="shared" si="576"/>
        <v>290898.73931122903</v>
      </c>
      <c r="AF193" s="16">
        <f t="shared" si="576"/>
        <v>305329.98004100105</v>
      </c>
      <c r="AG193" s="16">
        <f t="shared" si="576"/>
        <v>320477.14243304543</v>
      </c>
      <c r="AI193" s="16">
        <f t="shared" ref="AI193:AN193" si="578">SUM(AI191:AI192)</f>
        <v>121687.18799999999</v>
      </c>
      <c r="AJ193" s="16">
        <f t="shared" si="578"/>
        <v>147691.43023402343</v>
      </c>
      <c r="AK193" s="16">
        <f t="shared" si="578"/>
        <v>179252.71282110168</v>
      </c>
      <c r="AL193" s="16">
        <f t="shared" si="578"/>
        <v>217558.56113527069</v>
      </c>
      <c r="AM193" s="16">
        <f t="shared" si="578"/>
        <v>264050.27169930458</v>
      </c>
      <c r="AN193" s="16">
        <f t="shared" si="578"/>
        <v>320477.14243304543</v>
      </c>
    </row>
    <row r="194" spans="2:40" x14ac:dyDescent="0.25"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6" spans="2:40" x14ac:dyDescent="0.25">
      <c r="B196" s="95">
        <v>14</v>
      </c>
      <c r="D196" s="21" t="s">
        <v>265</v>
      </c>
      <c r="E196" s="21"/>
      <c r="F196" s="21"/>
      <c r="G196" s="21"/>
      <c r="H196" s="21"/>
      <c r="I196" s="21"/>
      <c r="J196" s="19"/>
      <c r="K196" s="19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I196" s="20"/>
      <c r="AJ196" s="20"/>
      <c r="AK196" s="20"/>
      <c r="AL196" s="20"/>
      <c r="AM196" s="20"/>
      <c r="AN196" s="20"/>
    </row>
    <row r="197" spans="2:40" x14ac:dyDescent="0.25">
      <c r="B197" s="116"/>
      <c r="D197" s="96" t="s">
        <v>65</v>
      </c>
      <c r="E197" s="108" t="s">
        <v>238</v>
      </c>
      <c r="F197" s="98" t="s">
        <v>227</v>
      </c>
      <c r="G197" s="98" t="s">
        <v>231</v>
      </c>
      <c r="H197" s="98" t="s">
        <v>228</v>
      </c>
      <c r="I197" s="98" t="s">
        <v>232</v>
      </c>
      <c r="J197" s="96"/>
      <c r="K197" s="96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I197" s="97"/>
      <c r="AJ197" s="97"/>
      <c r="AK197" s="97"/>
      <c r="AL197" s="97"/>
      <c r="AM197" s="97"/>
      <c r="AN197" s="97"/>
    </row>
    <row r="198" spans="2:40" x14ac:dyDescent="0.25">
      <c r="B198" s="116"/>
      <c r="D198" s="2" t="s">
        <v>221</v>
      </c>
      <c r="E198" s="109" t="s">
        <v>254</v>
      </c>
      <c r="F198" s="100">
        <f>AVERAGE('Quarterly Historical Financials'!$D412:$D415)</f>
        <v>9.4592495049075756E-2</v>
      </c>
      <c r="G198" s="100">
        <f>AVERAGE('Quarterly Historical Financials'!$D412:$D413,'Quarterly Historical Financials'!$D412:$D415)</f>
        <v>0.12152058797052816</v>
      </c>
      <c r="H198" s="100">
        <f>AVERAGE('Quarterly Historical Financials'!$D413:$D415)</f>
        <v>0.126123326732101</v>
      </c>
      <c r="I198" s="30">
        <f>CHOOSE($G$4,F198,G198,H198)</f>
        <v>9.4592495049075756E-2</v>
      </c>
    </row>
    <row r="199" spans="2:40" x14ac:dyDescent="0.25">
      <c r="B199" s="116"/>
      <c r="D199" s="2" t="s">
        <v>222</v>
      </c>
      <c r="E199" s="109" t="s">
        <v>260</v>
      </c>
      <c r="F199" s="100">
        <f>AVERAGE('Quarterly Historical Financials'!$D407:$D409)</f>
        <v>-5.1291419287336965E-2</v>
      </c>
      <c r="G199" s="100">
        <f>AVERAGE('Quarterly Historical Financials'!$D406:$D409)</f>
        <v>-0.10376174322894359</v>
      </c>
      <c r="H199" s="100">
        <f>AVERAGE('Quarterly Historical Financials'!$D406:$D408)</f>
        <v>-0.13477250066657828</v>
      </c>
      <c r="I199" s="30">
        <f>CHOOSE($G$4,F199,G199,H199)</f>
        <v>-5.1291419287336965E-2</v>
      </c>
      <c r="K199" s="2" t="s">
        <v>214</v>
      </c>
      <c r="L199" s="113">
        <f>'Quarterly Historical Financials'!AB400</f>
        <v>22156</v>
      </c>
      <c r="M199" s="113">
        <f>'Quarterly Historical Financials'!AC400</f>
        <v>25116</v>
      </c>
      <c r="N199" s="6">
        <f t="shared" ref="N199:AG199" si="579">M201</f>
        <v>38841.150999999998</v>
      </c>
      <c r="O199" s="6">
        <f t="shared" si="579"/>
        <v>42515.232383667899</v>
      </c>
      <c r="P199" s="6">
        <f t="shared" si="579"/>
        <v>46536.854292430311</v>
      </c>
      <c r="Q199" s="6">
        <f t="shared" si="579"/>
        <v>50938.891451686584</v>
      </c>
      <c r="R199" s="6">
        <f t="shared" si="579"/>
        <v>55757.328289135658</v>
      </c>
      <c r="S199" s="6">
        <f t="shared" si="579"/>
        <v>61031.553089275418</v>
      </c>
      <c r="T199" s="6">
        <f t="shared" si="579"/>
        <v>66804.679972710102</v>
      </c>
      <c r="U199" s="6">
        <f t="shared" si="579"/>
        <v>73123.901332283771</v>
      </c>
      <c r="V199" s="6">
        <f t="shared" si="579"/>
        <v>80040.873607026922</v>
      </c>
      <c r="W199" s="6">
        <f t="shared" si="579"/>
        <v>87612.139547423314</v>
      </c>
      <c r="X199" s="6">
        <f t="shared" si="579"/>
        <v>95899.590423801885</v>
      </c>
      <c r="Y199" s="6">
        <f t="shared" si="579"/>
        <v>104970.97195617376</v>
      </c>
      <c r="Z199" s="6">
        <f t="shared" si="579"/>
        <v>114900.43810123479</v>
      </c>
      <c r="AA199" s="6">
        <f t="shared" si="579"/>
        <v>125769.15722346248</v>
      </c>
      <c r="AB199" s="6">
        <f t="shared" si="579"/>
        <v>137665.97560544929</v>
      </c>
      <c r="AC199" s="6">
        <f t="shared" si="579"/>
        <v>150688.14372133394</v>
      </c>
      <c r="AD199" s="6">
        <f t="shared" si="579"/>
        <v>164942.11121024864</v>
      </c>
      <c r="AE199" s="6">
        <f t="shared" si="579"/>
        <v>180544.39704828817</v>
      </c>
      <c r="AF199" s="6">
        <f t="shared" si="579"/>
        <v>197622.54203221673</v>
      </c>
      <c r="AG199" s="6">
        <f t="shared" si="579"/>
        <v>216316.15136098495</v>
      </c>
      <c r="AI199" s="6">
        <f t="shared" ref="AI199" si="580">SUMIF($M$4:$AG$4,AI$4,$M199:$AG199)</f>
        <v>25116</v>
      </c>
      <c r="AJ199" s="6">
        <f>AI201</f>
        <v>38841.150999999998</v>
      </c>
      <c r="AK199" s="6">
        <f t="shared" ref="AK199:AN199" si="581">AJ201</f>
        <v>55757.328289135658</v>
      </c>
      <c r="AL199" s="6">
        <f t="shared" si="581"/>
        <v>80040.873607026937</v>
      </c>
      <c r="AM199" s="6">
        <f t="shared" si="581"/>
        <v>114900.43810123482</v>
      </c>
      <c r="AN199" s="6">
        <f t="shared" si="581"/>
        <v>164942.11121024867</v>
      </c>
    </row>
    <row r="200" spans="2:40" x14ac:dyDescent="0.25">
      <c r="B200" s="116"/>
      <c r="E200" s="109"/>
      <c r="I200" s="30"/>
      <c r="K200" s="2" t="s">
        <v>219</v>
      </c>
      <c r="L200" s="113">
        <f>'Quarterly Historical Financials'!AB401</f>
        <v>2960</v>
      </c>
      <c r="M200" s="113">
        <f>'Quarterly Historical Financials'!AC401</f>
        <v>13725.150999999998</v>
      </c>
      <c r="N200" s="6">
        <f t="shared" ref="N200" si="582">N199*$I198</f>
        <v>3674.0813836679035</v>
      </c>
      <c r="O200" s="6">
        <f>O199*$I198</f>
        <v>4021.6219087624108</v>
      </c>
      <c r="P200" s="6">
        <f t="shared" ref="P200" si="583">P199*$I198</f>
        <v>4402.0371592562742</v>
      </c>
      <c r="Q200" s="6">
        <f t="shared" ref="Q200" si="584">Q199*$I198</f>
        <v>4818.4368374490705</v>
      </c>
      <c r="R200" s="6">
        <f t="shared" ref="R200" si="585">R199*$I198</f>
        <v>5274.2248001397566</v>
      </c>
      <c r="S200" s="6">
        <f t="shared" ref="S200" si="586">S199*$I198</f>
        <v>5773.1268834346893</v>
      </c>
      <c r="T200" s="6">
        <f t="shared" ref="T200" si="587">T199*$I198</f>
        <v>6319.2213595736703</v>
      </c>
      <c r="U200" s="6">
        <f t="shared" ref="U200" si="588">U199*$I198</f>
        <v>6916.972274743157</v>
      </c>
      <c r="V200" s="6">
        <f t="shared" ref="V200" si="589">V199*$I198</f>
        <v>7571.2659403963926</v>
      </c>
      <c r="W200" s="6">
        <f t="shared" ref="W200" si="590">W199*$I198</f>
        <v>8287.4508763785743</v>
      </c>
      <c r="X200" s="6">
        <f t="shared" ref="X200" si="591">X199*$I198</f>
        <v>9071.3815323718718</v>
      </c>
      <c r="Y200" s="6">
        <f t="shared" ref="Y200" si="592">Y199*$I198</f>
        <v>9929.4661450610365</v>
      </c>
      <c r="Z200" s="6">
        <f t="shared" ref="Z200" si="593">Z199*$I198</f>
        <v>10868.719122227687</v>
      </c>
      <c r="AA200" s="6">
        <f t="shared" ref="AA200" si="594">AA199*$I198</f>
        <v>11896.818381986805</v>
      </c>
      <c r="AB200" s="6">
        <f t="shared" ref="AB200" si="595">AB199*$I198</f>
        <v>13022.168115884646</v>
      </c>
      <c r="AC200" s="6">
        <f t="shared" ref="AC200" si="596">AC199*$I198</f>
        <v>14253.967488914697</v>
      </c>
      <c r="AD200" s="6">
        <f t="shared" ref="AD200" si="597">AD199*$I198</f>
        <v>15602.285838039546</v>
      </c>
      <c r="AE200" s="6">
        <f t="shared" ref="AE200" si="598">AE199*$I198</f>
        <v>17078.144983928567</v>
      </c>
      <c r="AF200" s="6">
        <f t="shared" ref="AF200" si="599">AF199*$I198</f>
        <v>18693.609328768227</v>
      </c>
      <c r="AG200" s="6">
        <f t="shared" ref="AG200" si="600">AG199*$I198</f>
        <v>20461.884476649091</v>
      </c>
      <c r="AI200" s="6">
        <f t="shared" ref="AI200:AN203" si="601">SUMIF($M$2:$AG$2,AI$2,$M200:$AG200)</f>
        <v>13725.150999999998</v>
      </c>
      <c r="AJ200" s="6">
        <f t="shared" si="601"/>
        <v>16916.17728913566</v>
      </c>
      <c r="AK200" s="6">
        <f t="shared" si="601"/>
        <v>24283.545317891272</v>
      </c>
      <c r="AL200" s="6">
        <f t="shared" si="601"/>
        <v>34859.564494207872</v>
      </c>
      <c r="AM200" s="6">
        <f t="shared" si="601"/>
        <v>50041.673109013835</v>
      </c>
      <c r="AN200" s="6">
        <f t="shared" si="601"/>
        <v>71835.924627385437</v>
      </c>
    </row>
    <row r="201" spans="2:40" x14ac:dyDescent="0.25">
      <c r="K201" s="8" t="s">
        <v>204</v>
      </c>
      <c r="L201" s="114">
        <f t="shared" ref="L201:AG201" si="602">SUM(L199:L200)</f>
        <v>25116</v>
      </c>
      <c r="M201" s="114">
        <f t="shared" ref="M201" si="603">SUM(M199:M200)</f>
        <v>38841.150999999998</v>
      </c>
      <c r="N201" s="16">
        <f t="shared" si="602"/>
        <v>42515.232383667899</v>
      </c>
      <c r="O201" s="16">
        <f t="shared" si="602"/>
        <v>46536.854292430311</v>
      </c>
      <c r="P201" s="16">
        <f t="shared" si="602"/>
        <v>50938.891451686584</v>
      </c>
      <c r="Q201" s="16">
        <f t="shared" si="602"/>
        <v>55757.328289135658</v>
      </c>
      <c r="R201" s="16">
        <f t="shared" si="602"/>
        <v>61031.553089275418</v>
      </c>
      <c r="S201" s="16">
        <f t="shared" si="602"/>
        <v>66804.679972710102</v>
      </c>
      <c r="T201" s="16">
        <f t="shared" si="602"/>
        <v>73123.901332283771</v>
      </c>
      <c r="U201" s="16">
        <f t="shared" si="602"/>
        <v>80040.873607026922</v>
      </c>
      <c r="V201" s="16">
        <f t="shared" si="602"/>
        <v>87612.139547423314</v>
      </c>
      <c r="W201" s="16">
        <f t="shared" si="602"/>
        <v>95899.590423801885</v>
      </c>
      <c r="X201" s="16">
        <f t="shared" si="602"/>
        <v>104970.97195617376</v>
      </c>
      <c r="Y201" s="16">
        <f t="shared" si="602"/>
        <v>114900.43810123479</v>
      </c>
      <c r="Z201" s="16">
        <f t="shared" si="602"/>
        <v>125769.15722346248</v>
      </c>
      <c r="AA201" s="16">
        <f t="shared" si="602"/>
        <v>137665.97560544929</v>
      </c>
      <c r="AB201" s="16">
        <f t="shared" si="602"/>
        <v>150688.14372133394</v>
      </c>
      <c r="AC201" s="16">
        <f t="shared" si="602"/>
        <v>164942.11121024864</v>
      </c>
      <c r="AD201" s="16">
        <f t="shared" si="602"/>
        <v>180544.39704828817</v>
      </c>
      <c r="AE201" s="16">
        <f t="shared" si="602"/>
        <v>197622.54203221673</v>
      </c>
      <c r="AF201" s="16">
        <f t="shared" si="602"/>
        <v>216316.15136098495</v>
      </c>
      <c r="AG201" s="16">
        <f t="shared" si="602"/>
        <v>236778.03583763403</v>
      </c>
      <c r="AI201" s="16">
        <f t="shared" ref="AI201:AN201" si="604">SUM(AI199:AI200)</f>
        <v>38841.150999999998</v>
      </c>
      <c r="AJ201" s="16">
        <f t="shared" si="604"/>
        <v>55757.328289135658</v>
      </c>
      <c r="AK201" s="16">
        <f t="shared" si="604"/>
        <v>80040.873607026937</v>
      </c>
      <c r="AL201" s="16">
        <f t="shared" si="604"/>
        <v>114900.43810123482</v>
      </c>
      <c r="AM201" s="16">
        <f t="shared" si="604"/>
        <v>164942.11121024867</v>
      </c>
      <c r="AN201" s="16">
        <f t="shared" si="604"/>
        <v>236778.03583763412</v>
      </c>
    </row>
    <row r="202" spans="2:40" x14ac:dyDescent="0.25">
      <c r="K202" s="4"/>
      <c r="L202" s="110"/>
      <c r="M202" s="11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I202" s="90"/>
      <c r="AJ202" s="90"/>
      <c r="AK202" s="90"/>
      <c r="AL202" s="90"/>
      <c r="AM202" s="90"/>
      <c r="AN202" s="90"/>
    </row>
    <row r="203" spans="2:40" x14ac:dyDescent="0.25">
      <c r="K203" s="2" t="s">
        <v>78</v>
      </c>
      <c r="L203" s="113">
        <f>'Quarterly Historical Financials'!AB404</f>
        <v>-3166</v>
      </c>
      <c r="M203" s="113">
        <f>'Quarterly Historical Financials'!AC404</f>
        <v>-416.74499999999989</v>
      </c>
      <c r="N203" s="6">
        <f t="shared" ref="N203:AF203" si="605">N201*$I199</f>
        <v>-2180.6666102892768</v>
      </c>
      <c r="O203" s="6">
        <f t="shared" si="605"/>
        <v>-2386.9413058267501</v>
      </c>
      <c r="P203" s="6">
        <f t="shared" si="605"/>
        <v>-2612.7280394806012</v>
      </c>
      <c r="Q203" s="6">
        <f t="shared" si="605"/>
        <v>-2859.8725036197516</v>
      </c>
      <c r="R203" s="6">
        <f t="shared" si="605"/>
        <v>-3130.3949792593912</v>
      </c>
      <c r="S203" s="6">
        <f t="shared" si="605"/>
        <v>-3426.5068508366362</v>
      </c>
      <c r="T203" s="6">
        <f t="shared" si="605"/>
        <v>-3750.628683160025</v>
      </c>
      <c r="U203" s="6">
        <f t="shared" si="605"/>
        <v>-4105.4100083027606</v>
      </c>
      <c r="V203" s="6">
        <f t="shared" si="605"/>
        <v>-4493.7509841875662</v>
      </c>
      <c r="W203" s="6">
        <f t="shared" si="605"/>
        <v>-4918.8261019111069</v>
      </c>
      <c r="X203" s="6">
        <f t="shared" si="605"/>
        <v>-5384.1101356033987</v>
      </c>
      <c r="Y203" s="6">
        <f t="shared" si="605"/>
        <v>-5893.4065469491406</v>
      </c>
      <c r="Z203" s="6">
        <f t="shared" si="605"/>
        <v>-6450.8785765636185</v>
      </c>
      <c r="AA203" s="6">
        <f t="shared" si="605"/>
        <v>-7061.0832763794015</v>
      </c>
      <c r="AB203" s="6">
        <f t="shared" si="605"/>
        <v>-7729.0087612414318</v>
      </c>
      <c r="AC203" s="6">
        <f t="shared" si="605"/>
        <v>-8460.1149842234263</v>
      </c>
      <c r="AD203" s="6">
        <f t="shared" si="605"/>
        <v>-9260.3783689831907</v>
      </c>
      <c r="AE203" s="6">
        <f t="shared" si="605"/>
        <v>-10136.340664003801</v>
      </c>
      <c r="AF203" s="6">
        <f t="shared" si="605"/>
        <v>-11095.162418079326</v>
      </c>
      <c r="AG203" s="6">
        <f>AG201*$I199</f>
        <v>-12144.681514180185</v>
      </c>
      <c r="AH203" s="2"/>
      <c r="AI203" s="6">
        <f t="shared" si="601"/>
        <v>-416.74499999999989</v>
      </c>
      <c r="AJ203" s="6">
        <f t="shared" si="601"/>
        <v>-10040.208459216379</v>
      </c>
      <c r="AK203" s="6">
        <f t="shared" si="601"/>
        <v>-14412.940521558812</v>
      </c>
      <c r="AL203" s="6">
        <f t="shared" si="601"/>
        <v>-20690.093768651212</v>
      </c>
      <c r="AM203" s="6">
        <f t="shared" si="601"/>
        <v>-29701.085598407877</v>
      </c>
      <c r="AN203" s="6">
        <f t="shared" si="601"/>
        <v>-42636.5629652465</v>
      </c>
    </row>
    <row r="206" spans="2:40" x14ac:dyDescent="0.25">
      <c r="B206" s="95">
        <v>14</v>
      </c>
      <c r="D206" s="21" t="s">
        <v>266</v>
      </c>
      <c r="E206" s="21"/>
      <c r="F206" s="21"/>
      <c r="G206" s="21"/>
      <c r="H206" s="21"/>
      <c r="I206" s="21"/>
      <c r="J206" s="19"/>
      <c r="K206" s="19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I206" s="20"/>
      <c r="AJ206" s="20"/>
      <c r="AK206" s="20"/>
      <c r="AL206" s="20"/>
      <c r="AM206" s="20"/>
      <c r="AN206" s="20"/>
    </row>
    <row r="207" spans="2:40" x14ac:dyDescent="0.25">
      <c r="B207" s="116"/>
      <c r="D207" s="96" t="s">
        <v>36</v>
      </c>
      <c r="E207" s="108" t="s">
        <v>238</v>
      </c>
      <c r="F207" s="98" t="s">
        <v>227</v>
      </c>
      <c r="G207" s="98" t="s">
        <v>231</v>
      </c>
      <c r="H207" s="98" t="s">
        <v>228</v>
      </c>
      <c r="I207" s="98" t="s">
        <v>232</v>
      </c>
      <c r="J207" s="96"/>
      <c r="K207" s="96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I207" s="97"/>
      <c r="AJ207" s="97"/>
      <c r="AK207" s="97"/>
      <c r="AL207" s="97"/>
      <c r="AM207" s="97"/>
      <c r="AN207" s="97"/>
    </row>
    <row r="208" spans="2:40" x14ac:dyDescent="0.25">
      <c r="B208" s="116"/>
      <c r="D208" s="2" t="s">
        <v>221</v>
      </c>
      <c r="E208" s="109" t="s">
        <v>254</v>
      </c>
      <c r="F208" s="100">
        <f>AVERAGE('Quarterly Historical Financials'!$D426:$D427)</f>
        <v>0</v>
      </c>
      <c r="G208" s="100">
        <f>AVERAGE('Quarterly Historical Financials'!$D426:$D427)</f>
        <v>0</v>
      </c>
      <c r="H208" s="100">
        <f>AVERAGE('Quarterly Historical Financials'!$D426:$D427)</f>
        <v>0</v>
      </c>
      <c r="I208" s="30">
        <f>CHOOSE($G$4,F208,G208,H208)</f>
        <v>0</v>
      </c>
    </row>
    <row r="209" spans="2:40" x14ac:dyDescent="0.25">
      <c r="B209" s="116"/>
      <c r="E209" s="109"/>
      <c r="I209" s="30"/>
      <c r="K209" s="2" t="s">
        <v>214</v>
      </c>
      <c r="L209" s="113">
        <f>'Quarterly Historical Financials'!AB419</f>
        <v>520263</v>
      </c>
      <c r="M209" s="113">
        <f>'Quarterly Historical Financials'!AC419</f>
        <v>521733</v>
      </c>
      <c r="N209" s="6">
        <f t="shared" ref="N209:AG209" si="606">M211</f>
        <v>726051.152</v>
      </c>
      <c r="O209" s="6">
        <f t="shared" si="606"/>
        <v>726051.152</v>
      </c>
      <c r="P209" s="6">
        <f t="shared" si="606"/>
        <v>726051.152</v>
      </c>
      <c r="Q209" s="6">
        <f t="shared" si="606"/>
        <v>726051.152</v>
      </c>
      <c r="R209" s="6">
        <f t="shared" si="606"/>
        <v>726051.152</v>
      </c>
      <c r="S209" s="6">
        <f t="shared" si="606"/>
        <v>726051.152</v>
      </c>
      <c r="T209" s="6">
        <f t="shared" si="606"/>
        <v>726051.152</v>
      </c>
      <c r="U209" s="6">
        <f t="shared" si="606"/>
        <v>726051.152</v>
      </c>
      <c r="V209" s="6">
        <f t="shared" si="606"/>
        <v>726051.152</v>
      </c>
      <c r="W209" s="6">
        <f t="shared" si="606"/>
        <v>726051.152</v>
      </c>
      <c r="X209" s="6">
        <f t="shared" si="606"/>
        <v>726051.152</v>
      </c>
      <c r="Y209" s="6">
        <f t="shared" si="606"/>
        <v>726051.152</v>
      </c>
      <c r="Z209" s="6">
        <f t="shared" si="606"/>
        <v>726051.152</v>
      </c>
      <c r="AA209" s="6">
        <f t="shared" si="606"/>
        <v>726051.152</v>
      </c>
      <c r="AB209" s="6">
        <f t="shared" si="606"/>
        <v>726051.152</v>
      </c>
      <c r="AC209" s="6">
        <f t="shared" si="606"/>
        <v>726051.152</v>
      </c>
      <c r="AD209" s="6">
        <f t="shared" si="606"/>
        <v>726051.152</v>
      </c>
      <c r="AE209" s="6">
        <f t="shared" si="606"/>
        <v>726051.152</v>
      </c>
      <c r="AF209" s="6">
        <f t="shared" si="606"/>
        <v>726051.152</v>
      </c>
      <c r="AG209" s="6">
        <f t="shared" si="606"/>
        <v>726051.152</v>
      </c>
      <c r="AI209" s="6">
        <f t="shared" ref="AI209" si="607">SUMIF($M$4:$AG$4,AI$4,$M209:$AG209)</f>
        <v>521733</v>
      </c>
      <c r="AJ209" s="6">
        <f>AI211</f>
        <v>726051.152</v>
      </c>
      <c r="AK209" s="6">
        <f t="shared" ref="AK209:AN209" si="608">AJ211</f>
        <v>726051.152</v>
      </c>
      <c r="AL209" s="6">
        <f t="shared" si="608"/>
        <v>726051.152</v>
      </c>
      <c r="AM209" s="6">
        <f t="shared" si="608"/>
        <v>726051.152</v>
      </c>
      <c r="AN209" s="6">
        <f t="shared" si="608"/>
        <v>726051.152</v>
      </c>
    </row>
    <row r="210" spans="2:40" x14ac:dyDescent="0.25">
      <c r="B210" s="116"/>
      <c r="E210" s="109"/>
      <c r="I210" s="30"/>
      <c r="K210" s="2" t="s">
        <v>219</v>
      </c>
      <c r="L210" s="113">
        <f>'Quarterly Historical Financials'!AB420</f>
        <v>1470</v>
      </c>
      <c r="M210" s="113">
        <f>'Quarterly Historical Financials'!AC420</f>
        <v>204318.152</v>
      </c>
      <c r="N210" s="6">
        <f t="shared" ref="N210" si="609">N209*$I208</f>
        <v>0</v>
      </c>
      <c r="O210" s="6">
        <f>O209*$I208</f>
        <v>0</v>
      </c>
      <c r="P210" s="6">
        <f t="shared" ref="P210" si="610">P209*$I208</f>
        <v>0</v>
      </c>
      <c r="Q210" s="6">
        <f t="shared" ref="Q210" si="611">Q209*$I208</f>
        <v>0</v>
      </c>
      <c r="R210" s="6">
        <f t="shared" ref="R210" si="612">R209*$I208</f>
        <v>0</v>
      </c>
      <c r="S210" s="6">
        <f t="shared" ref="S210" si="613">S209*$I208</f>
        <v>0</v>
      </c>
      <c r="T210" s="6">
        <f t="shared" ref="T210" si="614">T209*$I208</f>
        <v>0</v>
      </c>
      <c r="U210" s="6">
        <f t="shared" ref="U210" si="615">U209*$I208</f>
        <v>0</v>
      </c>
      <c r="V210" s="6">
        <f t="shared" ref="V210" si="616">V209*$I208</f>
        <v>0</v>
      </c>
      <c r="W210" s="6">
        <f t="shared" ref="W210" si="617">W209*$I208</f>
        <v>0</v>
      </c>
      <c r="X210" s="6">
        <f t="shared" ref="X210" si="618">X209*$I208</f>
        <v>0</v>
      </c>
      <c r="Y210" s="6">
        <f t="shared" ref="Y210" si="619">Y209*$I208</f>
        <v>0</v>
      </c>
      <c r="Z210" s="6">
        <f t="shared" ref="Z210" si="620">Z209*$I208</f>
        <v>0</v>
      </c>
      <c r="AA210" s="6">
        <f t="shared" ref="AA210" si="621">AA209*$I208</f>
        <v>0</v>
      </c>
      <c r="AB210" s="6">
        <f t="shared" ref="AB210" si="622">AB209*$I208</f>
        <v>0</v>
      </c>
      <c r="AC210" s="6">
        <f t="shared" ref="AC210" si="623">AC209*$I208</f>
        <v>0</v>
      </c>
      <c r="AD210" s="6">
        <f t="shared" ref="AD210" si="624">AD209*$I208</f>
        <v>0</v>
      </c>
      <c r="AE210" s="6">
        <f t="shared" ref="AE210" si="625">AE209*$I208</f>
        <v>0</v>
      </c>
      <c r="AF210" s="6">
        <f t="shared" ref="AF210" si="626">AF209*$I208</f>
        <v>0</v>
      </c>
      <c r="AG210" s="6">
        <f t="shared" ref="AG210" si="627">AG209*$I208</f>
        <v>0</v>
      </c>
      <c r="AI210" s="6">
        <f t="shared" ref="AI210:AN210" si="628">SUMIF($M$2:$AG$2,AI$2,$M210:$AG210)</f>
        <v>204318.152</v>
      </c>
      <c r="AJ210" s="6">
        <f t="shared" si="628"/>
        <v>0</v>
      </c>
      <c r="AK210" s="6">
        <f t="shared" si="628"/>
        <v>0</v>
      </c>
      <c r="AL210" s="6">
        <f t="shared" si="628"/>
        <v>0</v>
      </c>
      <c r="AM210" s="6">
        <f t="shared" si="628"/>
        <v>0</v>
      </c>
      <c r="AN210" s="6">
        <f t="shared" si="628"/>
        <v>0</v>
      </c>
    </row>
    <row r="211" spans="2:40" x14ac:dyDescent="0.25">
      <c r="K211" s="8" t="s">
        <v>204</v>
      </c>
      <c r="L211" s="114">
        <f t="shared" ref="L211:AG211" si="629">SUM(L209:L210)</f>
        <v>521733</v>
      </c>
      <c r="M211" s="114">
        <f t="shared" ref="M211" si="630">SUM(M209:M210)</f>
        <v>726051.152</v>
      </c>
      <c r="N211" s="16">
        <f t="shared" si="629"/>
        <v>726051.152</v>
      </c>
      <c r="O211" s="16">
        <f t="shared" si="629"/>
        <v>726051.152</v>
      </c>
      <c r="P211" s="16">
        <f t="shared" si="629"/>
        <v>726051.152</v>
      </c>
      <c r="Q211" s="16">
        <f t="shared" si="629"/>
        <v>726051.152</v>
      </c>
      <c r="R211" s="16">
        <f t="shared" si="629"/>
        <v>726051.152</v>
      </c>
      <c r="S211" s="16">
        <f t="shared" si="629"/>
        <v>726051.152</v>
      </c>
      <c r="T211" s="16">
        <f t="shared" si="629"/>
        <v>726051.152</v>
      </c>
      <c r="U211" s="16">
        <f t="shared" si="629"/>
        <v>726051.152</v>
      </c>
      <c r="V211" s="16">
        <f t="shared" si="629"/>
        <v>726051.152</v>
      </c>
      <c r="W211" s="16">
        <f t="shared" si="629"/>
        <v>726051.152</v>
      </c>
      <c r="X211" s="16">
        <f t="shared" si="629"/>
        <v>726051.152</v>
      </c>
      <c r="Y211" s="16">
        <f t="shared" si="629"/>
        <v>726051.152</v>
      </c>
      <c r="Z211" s="16">
        <f t="shared" si="629"/>
        <v>726051.152</v>
      </c>
      <c r="AA211" s="16">
        <f t="shared" si="629"/>
        <v>726051.152</v>
      </c>
      <c r="AB211" s="16">
        <f t="shared" si="629"/>
        <v>726051.152</v>
      </c>
      <c r="AC211" s="16">
        <f t="shared" si="629"/>
        <v>726051.152</v>
      </c>
      <c r="AD211" s="16">
        <f t="shared" si="629"/>
        <v>726051.152</v>
      </c>
      <c r="AE211" s="16">
        <f t="shared" si="629"/>
        <v>726051.152</v>
      </c>
      <c r="AF211" s="16">
        <f t="shared" si="629"/>
        <v>726051.152</v>
      </c>
      <c r="AG211" s="16">
        <f t="shared" si="629"/>
        <v>726051.152</v>
      </c>
      <c r="AI211" s="16">
        <f t="shared" ref="AI211:AN211" si="631">SUM(AI209:AI210)</f>
        <v>726051.152</v>
      </c>
      <c r="AJ211" s="16">
        <f t="shared" si="631"/>
        <v>726051.152</v>
      </c>
      <c r="AK211" s="16">
        <f t="shared" si="631"/>
        <v>726051.152</v>
      </c>
      <c r="AL211" s="16">
        <f t="shared" si="631"/>
        <v>726051.152</v>
      </c>
      <c r="AM211" s="16">
        <f t="shared" si="631"/>
        <v>726051.152</v>
      </c>
      <c r="AN211" s="16">
        <f t="shared" si="631"/>
        <v>726051.152</v>
      </c>
    </row>
    <row r="212" spans="2:40" x14ac:dyDescent="0.25"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2:40" x14ac:dyDescent="0.25">
      <c r="D213" s="96" t="s">
        <v>199</v>
      </c>
      <c r="E213" s="108" t="s">
        <v>238</v>
      </c>
      <c r="F213" s="98" t="s">
        <v>227</v>
      </c>
      <c r="G213" s="98" t="s">
        <v>231</v>
      </c>
      <c r="H213" s="98" t="s">
        <v>228</v>
      </c>
      <c r="I213" s="98" t="s">
        <v>232</v>
      </c>
      <c r="J213" s="96"/>
      <c r="K213" s="96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I213" s="97"/>
      <c r="AJ213" s="97"/>
      <c r="AK213" s="97"/>
      <c r="AL213" s="97"/>
      <c r="AM213" s="97"/>
      <c r="AN213" s="97"/>
    </row>
    <row r="214" spans="2:40" x14ac:dyDescent="0.25">
      <c r="D214" s="2" t="s">
        <v>224</v>
      </c>
      <c r="E214" s="109" t="s">
        <v>267</v>
      </c>
      <c r="F214" s="100">
        <f>AVERAGE('Quarterly Historical Financials'!$D438:$D441)</f>
        <v>-0.26399363552191096</v>
      </c>
      <c r="G214" s="100">
        <f>AVERAGE('Quarterly Historical Financials'!$D438,'Quarterly Historical Financials'!$D440:$D441)</f>
        <v>-0.33732520094466395</v>
      </c>
      <c r="H214" s="100">
        <f>AVERAGE('Quarterly Historical Financials'!$D439:$D441)/1.1</f>
        <v>-0.37709742060327484</v>
      </c>
      <c r="I214" s="30">
        <f>CHOOSE($G$4,F214,G214,H214)</f>
        <v>-0.26399363552191096</v>
      </c>
    </row>
    <row r="215" spans="2:40" x14ac:dyDescent="0.25">
      <c r="E215" s="109"/>
      <c r="I215" s="30"/>
      <c r="K215" s="2" t="s">
        <v>214</v>
      </c>
      <c r="L215" s="113">
        <f>'Quarterly Historical Financials'!AB431</f>
        <v>247837</v>
      </c>
      <c r="M215" s="113">
        <f>'Quarterly Historical Financials'!AC431</f>
        <v>354517</v>
      </c>
      <c r="N215" s="6">
        <f t="shared" ref="N215:AG215" si="632">M218</f>
        <v>454973.94699999999</v>
      </c>
      <c r="O215" s="6">
        <f t="shared" ca="1" si="632"/>
        <v>580970.5341285246</v>
      </c>
      <c r="P215" s="6">
        <f t="shared" ca="1" si="632"/>
        <v>705076.08690577548</v>
      </c>
      <c r="Q215" s="6">
        <f t="shared" ca="1" si="632"/>
        <v>835523.37830165448</v>
      </c>
      <c r="R215" s="6">
        <f t="shared" ca="1" si="632"/>
        <v>972577.78272185219</v>
      </c>
      <c r="S215" s="6">
        <f t="shared" ca="1" si="632"/>
        <v>1116514.5923662896</v>
      </c>
      <c r="T215" s="6">
        <f t="shared" ca="1" si="632"/>
        <v>1267619.3437155427</v>
      </c>
      <c r="U215" s="6">
        <f t="shared" ca="1" si="632"/>
        <v>1426188.151545889</v>
      </c>
      <c r="V215" s="6">
        <f t="shared" ca="1" si="632"/>
        <v>1592528.0503154262</v>
      </c>
      <c r="W215" s="6">
        <f t="shared" ca="1" si="632"/>
        <v>1766957.3427167642</v>
      </c>
      <c r="X215" s="6">
        <f t="shared" ca="1" si="632"/>
        <v>1949805.9551392421</v>
      </c>
      <c r="Y215" s="6">
        <f t="shared" ca="1" si="632"/>
        <v>2141415.7997248662</v>
      </c>
      <c r="Z215" s="6">
        <f t="shared" ca="1" si="632"/>
        <v>2342141.142636599</v>
      </c>
      <c r="AA215" s="6">
        <f t="shared" ca="1" si="632"/>
        <v>2552348.9780845391</v>
      </c>
      <c r="AB215" s="6">
        <f t="shared" ca="1" si="632"/>
        <v>2772419.4075741824</v>
      </c>
      <c r="AC215" s="6">
        <f t="shared" ca="1" si="632"/>
        <v>3002746.0237504821</v>
      </c>
      <c r="AD215" s="6">
        <f t="shared" ca="1" si="632"/>
        <v>3243736.2981109507</v>
      </c>
      <c r="AE215" s="6">
        <f t="shared" ca="1" si="632"/>
        <v>3495811.9717495418</v>
      </c>
      <c r="AF215" s="6">
        <f t="shared" ca="1" si="632"/>
        <v>3759409.4481694307</v>
      </c>
      <c r="AG215" s="6">
        <f t="shared" ca="1" si="632"/>
        <v>4034980.1870658668</v>
      </c>
      <c r="AI215" s="6">
        <f t="shared" ref="AI215" si="633">SUMIF($M$4:$AG$4,AI$4,$M215:$AG215)</f>
        <v>354517</v>
      </c>
      <c r="AJ215" s="6">
        <f>AI218</f>
        <v>454973.94699999999</v>
      </c>
      <c r="AK215" s="6">
        <f t="shared" ref="AK215:AN215" ca="1" si="634">AJ218</f>
        <v>972577.78272185195</v>
      </c>
      <c r="AL215" s="6">
        <f t="shared" ca="1" si="634"/>
        <v>1592528.0503154262</v>
      </c>
      <c r="AM215" s="6">
        <f t="shared" ca="1" si="634"/>
        <v>2342141.142636599</v>
      </c>
      <c r="AN215" s="6">
        <f t="shared" ca="1" si="634"/>
        <v>3243736.2981109503</v>
      </c>
    </row>
    <row r="216" spans="2:40" x14ac:dyDescent="0.25">
      <c r="E216" s="109"/>
      <c r="I216" s="30"/>
      <c r="K216" s="2" t="s">
        <v>112</v>
      </c>
      <c r="L216" s="113">
        <f>'Quarterly Historical Financials'!AB432</f>
        <v>111764</v>
      </c>
      <c r="M216" s="113">
        <f>'Quarterly Historical Financials'!AC432</f>
        <v>230111.06400000022</v>
      </c>
      <c r="N216" s="6">
        <f ca="1">'Quarterly Financial Projections'!G26</f>
        <v>171189.53477782797</v>
      </c>
      <c r="O216" s="6">
        <f ca="1">'Quarterly Financial Projections'!H26</f>
        <v>168620.21684453165</v>
      </c>
      <c r="P216" s="6">
        <f ca="1">'Quarterly Financial Projections'!I26</f>
        <v>177236.63502336797</v>
      </c>
      <c r="Q216" s="6">
        <f ca="1">'Quarterly Financial Projections'!J26</f>
        <v>186213.61313551222</v>
      </c>
      <c r="R216" s="6">
        <f ca="1">'Quarterly Financial Projections'!K26</f>
        <v>195564.62632834009</v>
      </c>
      <c r="S216" s="6">
        <f ca="1">'Quarterly Financial Projections'!L26</f>
        <v>205303.5933410757</v>
      </c>
      <c r="T216" s="6">
        <f ca="1">'Quarterly Financial Projections'!M26</f>
        <v>215444.8867338117</v>
      </c>
      <c r="U216" s="6">
        <f ca="1">'Quarterly Financial Projections'!N26</f>
        <v>226003.34290246366</v>
      </c>
      <c r="V216" s="6">
        <f ca="1">'Quarterly Financial Projections'!O26</f>
        <v>236994.27181588026</v>
      </c>
      <c r="W216" s="6">
        <f ca="1">'Quarterly Financial Projections'!P26</f>
        <v>248433.46640370166</v>
      </c>
      <c r="X216" s="6">
        <f ca="1">'Quarterly Financial Projections'!Q26</f>
        <v>260337.21151514357</v>
      </c>
      <c r="Y216" s="6">
        <f ca="1">'Quarterly Financial Projections'!R26</f>
        <v>272722.29235961742</v>
      </c>
      <c r="Z216" s="6">
        <f ca="1">'Quarterly Financial Projections'!S26</f>
        <v>285606.00232988584</v>
      </c>
      <c r="AA216" s="6">
        <f ca="1">'Quarterly Financial Projections'!T26</f>
        <v>299006.15009721799</v>
      </c>
      <c r="AB216" s="6">
        <f ca="1">'Quarterly Financial Projections'!U26</f>
        <v>312941.06585562887</v>
      </c>
      <c r="AC216" s="6">
        <f ca="1">'Quarterly Financial Projections'!V26</f>
        <v>327429.60657868447</v>
      </c>
      <c r="AD216" s="6">
        <f ca="1">'Quarterly Financial Projections'!W26</f>
        <v>342491.1601373732</v>
      </c>
      <c r="AE216" s="6">
        <f ca="1">'Quarterly Financial Projections'!X26</f>
        <v>358145.64811108471</v>
      </c>
      <c r="AF216" s="6">
        <f ca="1">'Quarterly Financial Projections'!Y26</f>
        <v>374413.52710563375</v>
      </c>
      <c r="AG216" s="6">
        <f ca="1">'Quarterly Financial Projections'!Z26</f>
        <v>391315.78837236826</v>
      </c>
      <c r="AI216" s="6">
        <f t="shared" ref="AI216:AN217" si="635">SUMIF($M$2:$AG$2,AI$2,$M216:$AG216)</f>
        <v>230111.06400000022</v>
      </c>
      <c r="AJ216" s="6">
        <f t="shared" ca="1" si="635"/>
        <v>703259.99978123978</v>
      </c>
      <c r="AK216" s="6">
        <f t="shared" ca="1" si="635"/>
        <v>842316.44930569106</v>
      </c>
      <c r="AL216" s="6">
        <f t="shared" ca="1" si="635"/>
        <v>1018487.2420943429</v>
      </c>
      <c r="AM216" s="6">
        <f t="shared" ca="1" si="635"/>
        <v>1224982.8248614171</v>
      </c>
      <c r="AN216" s="6">
        <f t="shared" ca="1" si="635"/>
        <v>1466366.1237264599</v>
      </c>
    </row>
    <row r="217" spans="2:40" x14ac:dyDescent="0.25">
      <c r="E217" s="109"/>
      <c r="I217" s="30"/>
      <c r="K217" s="2" t="s">
        <v>223</v>
      </c>
      <c r="L217" s="113">
        <f>'Quarterly Historical Financials'!AB433</f>
        <v>-5084</v>
      </c>
      <c r="M217" s="113">
        <f>'Quarterly Historical Financials'!AC433</f>
        <v>-129654.11700000026</v>
      </c>
      <c r="N217" s="6">
        <f t="shared" ref="N217:AG217" ca="1" si="636">N216*$I214</f>
        <v>-45192.947649303416</v>
      </c>
      <c r="O217" s="6">
        <f t="shared" ca="1" si="636"/>
        <v>-44514.664067280879</v>
      </c>
      <c r="P217" s="6">
        <f t="shared" ca="1" si="636"/>
        <v>-46789.343627488961</v>
      </c>
      <c r="Q217" s="6">
        <f t="shared" ca="1" si="636"/>
        <v>-49159.208715314548</v>
      </c>
      <c r="R217" s="6">
        <f t="shared" ca="1" si="636"/>
        <v>-51627.816683902529</v>
      </c>
      <c r="S217" s="6">
        <f t="shared" ca="1" si="636"/>
        <v>-54198.841991822563</v>
      </c>
      <c r="T217" s="6">
        <f t="shared" ca="1" si="636"/>
        <v>-56876.078903465277</v>
      </c>
      <c r="U217" s="6">
        <f t="shared" ca="1" si="636"/>
        <v>-59663.444132926452</v>
      </c>
      <c r="V217" s="6">
        <f t="shared" ca="1" si="636"/>
        <v>-62564.979414542191</v>
      </c>
      <c r="W217" s="6">
        <f t="shared" ca="1" si="636"/>
        <v>-65584.853981223729</v>
      </c>
      <c r="X217" s="6">
        <f t="shared" ca="1" si="636"/>
        <v>-68727.366929519456</v>
      </c>
      <c r="Y217" s="6">
        <f t="shared" ca="1" si="636"/>
        <v>-71996.949447884879</v>
      </c>
      <c r="Z217" s="6">
        <f t="shared" ca="1" si="636"/>
        <v>-75398.16688194593</v>
      </c>
      <c r="AA217" s="6">
        <f t="shared" ca="1" si="636"/>
        <v>-78935.720607574767</v>
      </c>
      <c r="AB217" s="6">
        <f t="shared" ca="1" si="636"/>
        <v>-82614.44967932922</v>
      </c>
      <c r="AC217" s="6">
        <f t="shared" ca="1" si="636"/>
        <v>-86439.332218215932</v>
      </c>
      <c r="AD217" s="6">
        <f t="shared" ca="1" si="636"/>
        <v>-90415.486498782135</v>
      </c>
      <c r="AE217" s="6">
        <f t="shared" ca="1" si="636"/>
        <v>-94548.171691196272</v>
      </c>
      <c r="AF217" s="6">
        <f t="shared" ca="1" si="636"/>
        <v>-98842.78820919781</v>
      </c>
      <c r="AG217" s="6">
        <f t="shared" ca="1" si="636"/>
        <v>-103304.87760954423</v>
      </c>
      <c r="AI217" s="6">
        <f t="shared" si="635"/>
        <v>-129654.11700000026</v>
      </c>
      <c r="AJ217" s="6">
        <f t="shared" ca="1" si="635"/>
        <v>-185656.16405938781</v>
      </c>
      <c r="AK217" s="6">
        <f t="shared" ca="1" si="635"/>
        <v>-222366.18171211681</v>
      </c>
      <c r="AL217" s="6">
        <f t="shared" ca="1" si="635"/>
        <v>-268874.14977317024</v>
      </c>
      <c r="AM217" s="6">
        <f t="shared" ca="1" si="635"/>
        <v>-323387.66938706586</v>
      </c>
      <c r="AN217" s="6">
        <f t="shared" ca="1" si="635"/>
        <v>-387111.32400872046</v>
      </c>
    </row>
    <row r="218" spans="2:40" x14ac:dyDescent="0.25">
      <c r="K218" s="8" t="s">
        <v>204</v>
      </c>
      <c r="L218" s="114">
        <f t="shared" ref="L218:AG218" si="637">SUM(L215:L217)</f>
        <v>354517</v>
      </c>
      <c r="M218" s="114">
        <f t="shared" ref="M218" si="638">SUM(M215:M217)</f>
        <v>454973.94699999999</v>
      </c>
      <c r="N218" s="16">
        <f t="shared" ca="1" si="637"/>
        <v>580970.5341285246</v>
      </c>
      <c r="O218" s="16">
        <f t="shared" ca="1" si="637"/>
        <v>705076.08690577548</v>
      </c>
      <c r="P218" s="16">
        <f t="shared" ca="1" si="637"/>
        <v>835523.37830165448</v>
      </c>
      <c r="Q218" s="16">
        <f t="shared" ca="1" si="637"/>
        <v>972577.78272185219</v>
      </c>
      <c r="R218" s="16">
        <f t="shared" ca="1" si="637"/>
        <v>1116514.5923662896</v>
      </c>
      <c r="S218" s="16">
        <f t="shared" ca="1" si="637"/>
        <v>1267619.3437155427</v>
      </c>
      <c r="T218" s="16">
        <f t="shared" ca="1" si="637"/>
        <v>1426188.151545889</v>
      </c>
      <c r="U218" s="16">
        <f t="shared" ca="1" si="637"/>
        <v>1592528.0503154262</v>
      </c>
      <c r="V218" s="16">
        <f t="shared" ca="1" si="637"/>
        <v>1766957.3427167642</v>
      </c>
      <c r="W218" s="16">
        <f t="shared" ca="1" si="637"/>
        <v>1949805.9551392421</v>
      </c>
      <c r="X218" s="16">
        <f t="shared" ca="1" si="637"/>
        <v>2141415.7997248662</v>
      </c>
      <c r="Y218" s="16">
        <f t="shared" ca="1" si="637"/>
        <v>2342141.142636599</v>
      </c>
      <c r="Z218" s="16">
        <f t="shared" ca="1" si="637"/>
        <v>2552348.9780845391</v>
      </c>
      <c r="AA218" s="16">
        <f t="shared" ca="1" si="637"/>
        <v>2772419.4075741824</v>
      </c>
      <c r="AB218" s="16">
        <f t="shared" ca="1" si="637"/>
        <v>3002746.0237504821</v>
      </c>
      <c r="AC218" s="16">
        <f t="shared" ca="1" si="637"/>
        <v>3243736.2981109507</v>
      </c>
      <c r="AD218" s="16">
        <f t="shared" ca="1" si="637"/>
        <v>3495811.9717495418</v>
      </c>
      <c r="AE218" s="16">
        <f t="shared" ca="1" si="637"/>
        <v>3759409.4481694307</v>
      </c>
      <c r="AF218" s="16">
        <f t="shared" ca="1" si="637"/>
        <v>4034980.1870658668</v>
      </c>
      <c r="AG218" s="16">
        <f t="shared" ca="1" si="637"/>
        <v>4322991.0978286909</v>
      </c>
      <c r="AI218" s="16">
        <f t="shared" ref="AI218:AN218" si="639">SUM(AI215:AI217)</f>
        <v>454973.94699999999</v>
      </c>
      <c r="AJ218" s="16">
        <f t="shared" ca="1" si="639"/>
        <v>972577.78272185195</v>
      </c>
      <c r="AK218" s="16">
        <f t="shared" ca="1" si="639"/>
        <v>1592528.0503154262</v>
      </c>
      <c r="AL218" s="16">
        <f t="shared" ca="1" si="639"/>
        <v>2342141.142636599</v>
      </c>
      <c r="AM218" s="16">
        <f t="shared" ca="1" si="639"/>
        <v>3243736.2981109503</v>
      </c>
      <c r="AN218" s="16">
        <f t="shared" ca="1" si="639"/>
        <v>4322991.09782869</v>
      </c>
    </row>
    <row r="219" spans="2:40" x14ac:dyDescent="0.25"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2:40" x14ac:dyDescent="0.25">
      <c r="D220" s="96" t="s">
        <v>37</v>
      </c>
      <c r="E220" s="108" t="s">
        <v>238</v>
      </c>
      <c r="F220" s="98" t="s">
        <v>227</v>
      </c>
      <c r="G220" s="98" t="s">
        <v>231</v>
      </c>
      <c r="H220" s="98" t="s">
        <v>228</v>
      </c>
      <c r="I220" s="98" t="s">
        <v>232</v>
      </c>
      <c r="J220" s="96"/>
      <c r="K220" s="96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I220" s="97"/>
      <c r="AJ220" s="97"/>
      <c r="AK220" s="97"/>
      <c r="AL220" s="97"/>
      <c r="AM220" s="97"/>
      <c r="AN220" s="97"/>
    </row>
    <row r="221" spans="2:40" x14ac:dyDescent="0.25">
      <c r="D221" s="2" t="s">
        <v>221</v>
      </c>
      <c r="E221" s="109" t="s">
        <v>254</v>
      </c>
      <c r="F221" s="100">
        <f>AVERAGE('Quarterly Historical Financials'!$D452:$D453)</f>
        <v>0</v>
      </c>
      <c r="G221" s="100">
        <f>AVERAGE('Quarterly Historical Financials'!$D452:$D453)</f>
        <v>0</v>
      </c>
      <c r="H221" s="100">
        <f>AVERAGE('Quarterly Historical Financials'!$D452:$D453)</f>
        <v>0</v>
      </c>
      <c r="I221" s="30">
        <f>CHOOSE($G$4,F221,G221,H221)</f>
        <v>0</v>
      </c>
    </row>
    <row r="222" spans="2:40" x14ac:dyDescent="0.25">
      <c r="E222" s="109"/>
      <c r="I222" s="30"/>
      <c r="K222" s="2" t="s">
        <v>214</v>
      </c>
      <c r="L222" s="113">
        <f>'Quarterly Historical Financials'!AB445</f>
        <v>325693</v>
      </c>
      <c r="M222" s="113">
        <f>'Quarterly Historical Financials'!AC445</f>
        <v>325693</v>
      </c>
      <c r="N222" s="6">
        <f t="shared" ref="N222:AG222" si="640">M224</f>
        <v>325693.41399999999</v>
      </c>
      <c r="O222" s="6">
        <f t="shared" si="640"/>
        <v>325693.41399999999</v>
      </c>
      <c r="P222" s="6">
        <f t="shared" si="640"/>
        <v>325693.41399999999</v>
      </c>
      <c r="Q222" s="6">
        <f t="shared" si="640"/>
        <v>325693.41399999999</v>
      </c>
      <c r="R222" s="6">
        <f t="shared" si="640"/>
        <v>325693.41399999999</v>
      </c>
      <c r="S222" s="6">
        <f t="shared" si="640"/>
        <v>325693.41399999999</v>
      </c>
      <c r="T222" s="6">
        <f t="shared" si="640"/>
        <v>325693.41399999999</v>
      </c>
      <c r="U222" s="6">
        <f t="shared" si="640"/>
        <v>325693.41399999999</v>
      </c>
      <c r="V222" s="6">
        <f t="shared" si="640"/>
        <v>325693.41399999999</v>
      </c>
      <c r="W222" s="6">
        <f t="shared" si="640"/>
        <v>325693.41399999999</v>
      </c>
      <c r="X222" s="6">
        <f t="shared" si="640"/>
        <v>325693.41399999999</v>
      </c>
      <c r="Y222" s="6">
        <f t="shared" si="640"/>
        <v>325693.41399999999</v>
      </c>
      <c r="Z222" s="6">
        <f t="shared" si="640"/>
        <v>325693.41399999999</v>
      </c>
      <c r="AA222" s="6">
        <f t="shared" si="640"/>
        <v>325693.41399999999</v>
      </c>
      <c r="AB222" s="6">
        <f t="shared" si="640"/>
        <v>325693.41399999999</v>
      </c>
      <c r="AC222" s="6">
        <f t="shared" si="640"/>
        <v>325693.41399999999</v>
      </c>
      <c r="AD222" s="6">
        <f t="shared" si="640"/>
        <v>325693.41399999999</v>
      </c>
      <c r="AE222" s="6">
        <f t="shared" si="640"/>
        <v>325693.41399999999</v>
      </c>
      <c r="AF222" s="6">
        <f t="shared" si="640"/>
        <v>325693.41399999999</v>
      </c>
      <c r="AG222" s="6">
        <f t="shared" si="640"/>
        <v>325693.41399999999</v>
      </c>
      <c r="AI222" s="6">
        <f>SUMIF($M$4:$AG$4,AI$4,$M222:$AG222)</f>
        <v>325693</v>
      </c>
      <c r="AJ222" s="6">
        <f>AI224</f>
        <v>325693.41399999999</v>
      </c>
      <c r="AK222" s="6">
        <f t="shared" ref="AK222:AN222" si="641">AJ224</f>
        <v>325693.41399999999</v>
      </c>
      <c r="AL222" s="6">
        <f t="shared" si="641"/>
        <v>325693.41399999999</v>
      </c>
      <c r="AM222" s="6">
        <f t="shared" si="641"/>
        <v>325693.41399999999</v>
      </c>
      <c r="AN222" s="6">
        <f t="shared" si="641"/>
        <v>325693.41399999999</v>
      </c>
    </row>
    <row r="223" spans="2:40" x14ac:dyDescent="0.25">
      <c r="E223" s="109"/>
      <c r="I223" s="30"/>
      <c r="K223" s="2" t="s">
        <v>219</v>
      </c>
      <c r="L223" s="113">
        <f>'Quarterly Historical Financials'!AB446</f>
        <v>0</v>
      </c>
      <c r="M223" s="113">
        <f>'Quarterly Historical Financials'!AC446</f>
        <v>0.41399999998975545</v>
      </c>
      <c r="N223" s="6">
        <f t="shared" ref="N223" si="642">N222*$I221</f>
        <v>0</v>
      </c>
      <c r="O223" s="6">
        <f>O222*$I221</f>
        <v>0</v>
      </c>
      <c r="P223" s="6">
        <f t="shared" ref="P223" si="643">P222*$I221</f>
        <v>0</v>
      </c>
      <c r="Q223" s="6">
        <f t="shared" ref="Q223" si="644">Q222*$I221</f>
        <v>0</v>
      </c>
      <c r="R223" s="6">
        <f t="shared" ref="R223" si="645">R222*$I221</f>
        <v>0</v>
      </c>
      <c r="S223" s="6">
        <f t="shared" ref="S223" si="646">S222*$I221</f>
        <v>0</v>
      </c>
      <c r="T223" s="6">
        <f t="shared" ref="T223" si="647">T222*$I221</f>
        <v>0</v>
      </c>
      <c r="U223" s="6">
        <f t="shared" ref="U223" si="648">U222*$I221</f>
        <v>0</v>
      </c>
      <c r="V223" s="6">
        <f t="shared" ref="V223" si="649">V222*$I221</f>
        <v>0</v>
      </c>
      <c r="W223" s="6">
        <f t="shared" ref="W223" si="650">W222*$I221</f>
        <v>0</v>
      </c>
      <c r="X223" s="6">
        <f t="shared" ref="X223" si="651">X222*$I221</f>
        <v>0</v>
      </c>
      <c r="Y223" s="6">
        <f t="shared" ref="Y223" si="652">Y222*$I221</f>
        <v>0</v>
      </c>
      <c r="Z223" s="6">
        <f t="shared" ref="Z223" si="653">Z222*$I221</f>
        <v>0</v>
      </c>
      <c r="AA223" s="6">
        <f t="shared" ref="AA223" si="654">AA222*$I221</f>
        <v>0</v>
      </c>
      <c r="AB223" s="6">
        <f t="shared" ref="AB223" si="655">AB222*$I221</f>
        <v>0</v>
      </c>
      <c r="AC223" s="6">
        <f t="shared" ref="AC223" si="656">AC222*$I221</f>
        <v>0</v>
      </c>
      <c r="AD223" s="6">
        <f t="shared" ref="AD223" si="657">AD222*$I221</f>
        <v>0</v>
      </c>
      <c r="AE223" s="6">
        <f t="shared" ref="AE223" si="658">AE222*$I221</f>
        <v>0</v>
      </c>
      <c r="AF223" s="6">
        <f t="shared" ref="AF223" si="659">AF222*$I221</f>
        <v>0</v>
      </c>
      <c r="AG223" s="6">
        <f t="shared" ref="AG223" si="660">AG222*$I221</f>
        <v>0</v>
      </c>
      <c r="AI223" s="6">
        <f>SUMIF($M$2:$AG$2,AI$2,$M223:$AG223)</f>
        <v>0.41399999998975545</v>
      </c>
      <c r="AJ223" s="6">
        <f t="shared" ref="AJ223:AN223" si="661">SUMIF($M$2:$AG$2,AJ$2,$M223:$AG223)</f>
        <v>0</v>
      </c>
      <c r="AK223" s="6">
        <f t="shared" si="661"/>
        <v>0</v>
      </c>
      <c r="AL223" s="6">
        <f t="shared" si="661"/>
        <v>0</v>
      </c>
      <c r="AM223" s="6">
        <f t="shared" si="661"/>
        <v>0</v>
      </c>
      <c r="AN223" s="6">
        <f t="shared" si="661"/>
        <v>0</v>
      </c>
    </row>
    <row r="224" spans="2:40" x14ac:dyDescent="0.25">
      <c r="K224" s="8" t="s">
        <v>204</v>
      </c>
      <c r="L224" s="114">
        <f t="shared" ref="L224:AG224" si="662">SUM(L222:L223)</f>
        <v>325693</v>
      </c>
      <c r="M224" s="114">
        <f t="shared" ref="M224" si="663">SUM(M222:M223)</f>
        <v>325693.41399999999</v>
      </c>
      <c r="N224" s="16">
        <f t="shared" si="662"/>
        <v>325693.41399999999</v>
      </c>
      <c r="O224" s="16">
        <f t="shared" si="662"/>
        <v>325693.41399999999</v>
      </c>
      <c r="P224" s="16">
        <f t="shared" si="662"/>
        <v>325693.41399999999</v>
      </c>
      <c r="Q224" s="16">
        <f t="shared" si="662"/>
        <v>325693.41399999999</v>
      </c>
      <c r="R224" s="16">
        <f t="shared" si="662"/>
        <v>325693.41399999999</v>
      </c>
      <c r="S224" s="16">
        <f t="shared" si="662"/>
        <v>325693.41399999999</v>
      </c>
      <c r="T224" s="16">
        <f t="shared" si="662"/>
        <v>325693.41399999999</v>
      </c>
      <c r="U224" s="16">
        <f t="shared" si="662"/>
        <v>325693.41399999999</v>
      </c>
      <c r="V224" s="16">
        <f t="shared" si="662"/>
        <v>325693.41399999999</v>
      </c>
      <c r="W224" s="16">
        <f t="shared" si="662"/>
        <v>325693.41399999999</v>
      </c>
      <c r="X224" s="16">
        <f t="shared" si="662"/>
        <v>325693.41399999999</v>
      </c>
      <c r="Y224" s="16">
        <f t="shared" si="662"/>
        <v>325693.41399999999</v>
      </c>
      <c r="Z224" s="16">
        <f t="shared" si="662"/>
        <v>325693.41399999999</v>
      </c>
      <c r="AA224" s="16">
        <f t="shared" si="662"/>
        <v>325693.41399999999</v>
      </c>
      <c r="AB224" s="16">
        <f t="shared" si="662"/>
        <v>325693.41399999999</v>
      </c>
      <c r="AC224" s="16">
        <f t="shared" si="662"/>
        <v>325693.41399999999</v>
      </c>
      <c r="AD224" s="16">
        <f t="shared" si="662"/>
        <v>325693.41399999999</v>
      </c>
      <c r="AE224" s="16">
        <f t="shared" si="662"/>
        <v>325693.41399999999</v>
      </c>
      <c r="AF224" s="16">
        <f t="shared" si="662"/>
        <v>325693.41399999999</v>
      </c>
      <c r="AG224" s="16">
        <f t="shared" si="662"/>
        <v>325693.41399999999</v>
      </c>
      <c r="AI224" s="16">
        <f t="shared" ref="AI224:AN224" si="664">SUM(AI222:AI223)</f>
        <v>325693.41399999999</v>
      </c>
      <c r="AJ224" s="16">
        <f t="shared" si="664"/>
        <v>325693.41399999999</v>
      </c>
      <c r="AK224" s="16">
        <f t="shared" si="664"/>
        <v>325693.41399999999</v>
      </c>
      <c r="AL224" s="16">
        <f t="shared" si="664"/>
        <v>325693.41399999999</v>
      </c>
      <c r="AM224" s="16">
        <f t="shared" si="664"/>
        <v>325693.41399999999</v>
      </c>
      <c r="AN224" s="16">
        <f t="shared" si="664"/>
        <v>325693.41399999999</v>
      </c>
    </row>
    <row r="226" spans="4:40" x14ac:dyDescent="0.25">
      <c r="D226" s="96" t="s">
        <v>38</v>
      </c>
      <c r="E226" s="108" t="s">
        <v>238</v>
      </c>
      <c r="F226" s="98" t="s">
        <v>227</v>
      </c>
      <c r="G226" s="98" t="s">
        <v>231</v>
      </c>
      <c r="H226" s="98" t="s">
        <v>228</v>
      </c>
      <c r="I226" s="98" t="s">
        <v>232</v>
      </c>
      <c r="J226" s="96"/>
      <c r="K226" s="96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I226" s="97"/>
      <c r="AJ226" s="97"/>
      <c r="AK226" s="97"/>
      <c r="AL226" s="97"/>
      <c r="AM226" s="97"/>
      <c r="AN226" s="97"/>
    </row>
    <row r="227" spans="4:40" x14ac:dyDescent="0.25">
      <c r="D227" s="2" t="s">
        <v>221</v>
      </c>
      <c r="E227" s="109" t="s">
        <v>254</v>
      </c>
      <c r="F227" s="100">
        <f>AVERAGE('Quarterly Historical Financials'!$D464)</f>
        <v>0</v>
      </c>
      <c r="G227" s="100">
        <f>AVERAGE('Quarterly Historical Financials'!$D464)</f>
        <v>0</v>
      </c>
      <c r="H227" s="100">
        <f>AVERAGE('Quarterly Historical Financials'!$D464)</f>
        <v>0</v>
      </c>
      <c r="I227" s="30">
        <f>CHOOSE($G$4,F227,G227,H227)</f>
        <v>0</v>
      </c>
    </row>
    <row r="228" spans="4:40" x14ac:dyDescent="0.25">
      <c r="E228" s="109"/>
      <c r="I228" s="30"/>
      <c r="K228" s="2" t="s">
        <v>214</v>
      </c>
      <c r="L228" s="113">
        <f>'Quarterly Historical Financials'!AB457</f>
        <v>382743</v>
      </c>
      <c r="M228" s="113">
        <f>'Quarterly Historical Financials'!AC457</f>
        <v>382743</v>
      </c>
      <c r="N228" s="6">
        <f t="shared" ref="N228:AG228" si="665">M230</f>
        <v>503644.92499999999</v>
      </c>
      <c r="O228" s="6">
        <f t="shared" si="665"/>
        <v>503644.92499999999</v>
      </c>
      <c r="P228" s="6">
        <f t="shared" si="665"/>
        <v>503644.92499999999</v>
      </c>
      <c r="Q228" s="6">
        <f t="shared" si="665"/>
        <v>503644.92499999999</v>
      </c>
      <c r="R228" s="6">
        <f t="shared" si="665"/>
        <v>503644.92499999999</v>
      </c>
      <c r="S228" s="6">
        <f t="shared" si="665"/>
        <v>503644.92499999999</v>
      </c>
      <c r="T228" s="6">
        <f t="shared" si="665"/>
        <v>503644.92499999999</v>
      </c>
      <c r="U228" s="6">
        <f t="shared" si="665"/>
        <v>503644.92499999999</v>
      </c>
      <c r="V228" s="6">
        <f t="shared" si="665"/>
        <v>503644.92499999999</v>
      </c>
      <c r="W228" s="6">
        <f t="shared" si="665"/>
        <v>503644.92499999999</v>
      </c>
      <c r="X228" s="6">
        <f t="shared" si="665"/>
        <v>503644.92499999999</v>
      </c>
      <c r="Y228" s="6">
        <f t="shared" si="665"/>
        <v>503644.92499999999</v>
      </c>
      <c r="Z228" s="6">
        <f t="shared" si="665"/>
        <v>503644.92499999999</v>
      </c>
      <c r="AA228" s="6">
        <f t="shared" si="665"/>
        <v>503644.92499999999</v>
      </c>
      <c r="AB228" s="6">
        <f t="shared" si="665"/>
        <v>503644.92499999999</v>
      </c>
      <c r="AC228" s="6">
        <f t="shared" si="665"/>
        <v>503644.92499999999</v>
      </c>
      <c r="AD228" s="6">
        <f t="shared" si="665"/>
        <v>503644.92499999999</v>
      </c>
      <c r="AE228" s="6">
        <f t="shared" si="665"/>
        <v>503644.92499999999</v>
      </c>
      <c r="AF228" s="6">
        <f t="shared" si="665"/>
        <v>503644.92499999999</v>
      </c>
      <c r="AG228" s="6">
        <f t="shared" si="665"/>
        <v>503644.92499999999</v>
      </c>
      <c r="AI228" s="6">
        <f>SUMIF($M$4:$AG$4,AI$4,$M228:$AG228)</f>
        <v>382743</v>
      </c>
      <c r="AJ228" s="6">
        <f>AI230</f>
        <v>503644.92499999999</v>
      </c>
      <c r="AK228" s="6">
        <f t="shared" ref="AK228:AN228" si="666">AJ230</f>
        <v>503644.92499999999</v>
      </c>
      <c r="AL228" s="6">
        <f t="shared" si="666"/>
        <v>503644.92499999999</v>
      </c>
      <c r="AM228" s="6">
        <f t="shared" si="666"/>
        <v>503644.92499999999</v>
      </c>
      <c r="AN228" s="6">
        <f t="shared" si="666"/>
        <v>503644.92499999999</v>
      </c>
    </row>
    <row r="229" spans="4:40" x14ac:dyDescent="0.25">
      <c r="E229" s="109"/>
      <c r="I229" s="30"/>
      <c r="K229" s="2" t="s">
        <v>219</v>
      </c>
      <c r="L229" s="113">
        <f>'Quarterly Historical Financials'!AB458</f>
        <v>0</v>
      </c>
      <c r="M229" s="113">
        <f>'Quarterly Historical Financials'!AC458</f>
        <v>120901.92499999999</v>
      </c>
      <c r="N229" s="6">
        <f t="shared" ref="N229" si="667">N228*$I227</f>
        <v>0</v>
      </c>
      <c r="O229" s="6">
        <f>O228*$I227</f>
        <v>0</v>
      </c>
      <c r="P229" s="6">
        <f t="shared" ref="P229" si="668">P228*$I227</f>
        <v>0</v>
      </c>
      <c r="Q229" s="6">
        <f t="shared" ref="Q229" si="669">Q228*$I227</f>
        <v>0</v>
      </c>
      <c r="R229" s="6">
        <f t="shared" ref="R229" si="670">R228*$I227</f>
        <v>0</v>
      </c>
      <c r="S229" s="6">
        <f t="shared" ref="S229" si="671">S228*$I227</f>
        <v>0</v>
      </c>
      <c r="T229" s="6">
        <f t="shared" ref="T229" si="672">T228*$I227</f>
        <v>0</v>
      </c>
      <c r="U229" s="6">
        <f t="shared" ref="U229" si="673">U228*$I227</f>
        <v>0</v>
      </c>
      <c r="V229" s="6">
        <f t="shared" ref="V229" si="674">V228*$I227</f>
        <v>0</v>
      </c>
      <c r="W229" s="6">
        <f t="shared" ref="W229" si="675">W228*$I227</f>
        <v>0</v>
      </c>
      <c r="X229" s="6">
        <f t="shared" ref="X229" si="676">X228*$I227</f>
        <v>0</v>
      </c>
      <c r="Y229" s="6">
        <f t="shared" ref="Y229" si="677">Y228*$I227</f>
        <v>0</v>
      </c>
      <c r="Z229" s="6">
        <f t="shared" ref="Z229" si="678">Z228*$I227</f>
        <v>0</v>
      </c>
      <c r="AA229" s="6">
        <f t="shared" ref="AA229" si="679">AA228*$I227</f>
        <v>0</v>
      </c>
      <c r="AB229" s="6">
        <f t="shared" ref="AB229" si="680">AB228*$I227</f>
        <v>0</v>
      </c>
      <c r="AC229" s="6">
        <f t="shared" ref="AC229" si="681">AC228*$I227</f>
        <v>0</v>
      </c>
      <c r="AD229" s="6">
        <f t="shared" ref="AD229" si="682">AD228*$I227</f>
        <v>0</v>
      </c>
      <c r="AE229" s="6">
        <f t="shared" ref="AE229" si="683">AE228*$I227</f>
        <v>0</v>
      </c>
      <c r="AF229" s="6">
        <f t="shared" ref="AF229" si="684">AF228*$I227</f>
        <v>0</v>
      </c>
      <c r="AG229" s="6">
        <f t="shared" ref="AG229" si="685">AG228*$I227</f>
        <v>0</v>
      </c>
      <c r="AI229" s="6">
        <f>SUMIF($M$2:$AG$2,AI$2,$M229:$AG229)</f>
        <v>120901.92499999999</v>
      </c>
      <c r="AJ229" s="6">
        <f t="shared" ref="AJ229:AN229" si="686">SUMIF($M$2:$AG$2,AJ$2,$M229:$AG229)</f>
        <v>0</v>
      </c>
      <c r="AK229" s="6">
        <f t="shared" si="686"/>
        <v>0</v>
      </c>
      <c r="AL229" s="6">
        <f t="shared" si="686"/>
        <v>0</v>
      </c>
      <c r="AM229" s="6">
        <f t="shared" si="686"/>
        <v>0</v>
      </c>
      <c r="AN229" s="6">
        <f t="shared" si="686"/>
        <v>0</v>
      </c>
    </row>
    <row r="230" spans="4:40" x14ac:dyDescent="0.25">
      <c r="K230" s="8" t="s">
        <v>204</v>
      </c>
      <c r="L230" s="114">
        <f t="shared" ref="L230:AG230" si="687">SUM(L228:L229)</f>
        <v>382743</v>
      </c>
      <c r="M230" s="114">
        <f t="shared" ref="M230" si="688">SUM(M228:M229)</f>
        <v>503644.92499999999</v>
      </c>
      <c r="N230" s="16">
        <f t="shared" si="687"/>
        <v>503644.92499999999</v>
      </c>
      <c r="O230" s="16">
        <f t="shared" si="687"/>
        <v>503644.92499999999</v>
      </c>
      <c r="P230" s="16">
        <f t="shared" si="687"/>
        <v>503644.92499999999</v>
      </c>
      <c r="Q230" s="16">
        <f t="shared" si="687"/>
        <v>503644.92499999999</v>
      </c>
      <c r="R230" s="16">
        <f t="shared" si="687"/>
        <v>503644.92499999999</v>
      </c>
      <c r="S230" s="16">
        <f t="shared" si="687"/>
        <v>503644.92499999999</v>
      </c>
      <c r="T230" s="16">
        <f t="shared" si="687"/>
        <v>503644.92499999999</v>
      </c>
      <c r="U230" s="16">
        <f t="shared" si="687"/>
        <v>503644.92499999999</v>
      </c>
      <c r="V230" s="16">
        <f t="shared" si="687"/>
        <v>503644.92499999999</v>
      </c>
      <c r="W230" s="16">
        <f t="shared" si="687"/>
        <v>503644.92499999999</v>
      </c>
      <c r="X230" s="16">
        <f t="shared" si="687"/>
        <v>503644.92499999999</v>
      </c>
      <c r="Y230" s="16">
        <f t="shared" si="687"/>
        <v>503644.92499999999</v>
      </c>
      <c r="Z230" s="16">
        <f t="shared" si="687"/>
        <v>503644.92499999999</v>
      </c>
      <c r="AA230" s="16">
        <f t="shared" si="687"/>
        <v>503644.92499999999</v>
      </c>
      <c r="AB230" s="16">
        <f t="shared" si="687"/>
        <v>503644.92499999999</v>
      </c>
      <c r="AC230" s="16">
        <f t="shared" si="687"/>
        <v>503644.92499999999</v>
      </c>
      <c r="AD230" s="16">
        <f t="shared" si="687"/>
        <v>503644.92499999999</v>
      </c>
      <c r="AE230" s="16">
        <f t="shared" si="687"/>
        <v>503644.92499999999</v>
      </c>
      <c r="AF230" s="16">
        <f t="shared" si="687"/>
        <v>503644.92499999999</v>
      </c>
      <c r="AG230" s="16">
        <f t="shared" si="687"/>
        <v>503644.92499999999</v>
      </c>
      <c r="AI230" s="16">
        <f t="shared" ref="AI230:AN230" si="689">SUM(AI228:AI229)</f>
        <v>503644.92499999999</v>
      </c>
      <c r="AJ230" s="16">
        <f t="shared" si="689"/>
        <v>503644.92499999999</v>
      </c>
      <c r="AK230" s="16">
        <f t="shared" si="689"/>
        <v>503644.92499999999</v>
      </c>
      <c r="AL230" s="16">
        <f t="shared" si="689"/>
        <v>503644.92499999999</v>
      </c>
      <c r="AM230" s="16">
        <f t="shared" si="689"/>
        <v>503644.92499999999</v>
      </c>
      <c r="AN230" s="16">
        <f t="shared" si="689"/>
        <v>503644.92499999999</v>
      </c>
    </row>
    <row r="232" spans="4:40" x14ac:dyDescent="0.25">
      <c r="D232" s="96" t="s">
        <v>39</v>
      </c>
      <c r="E232" s="108" t="s">
        <v>238</v>
      </c>
      <c r="F232" s="98" t="s">
        <v>227</v>
      </c>
      <c r="G232" s="98" t="s">
        <v>231</v>
      </c>
      <c r="H232" s="98" t="s">
        <v>228</v>
      </c>
      <c r="I232" s="98" t="s">
        <v>232</v>
      </c>
      <c r="J232" s="96"/>
      <c r="K232" s="96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97"/>
      <c r="AG232" s="97"/>
      <c r="AI232" s="97"/>
      <c r="AJ232" s="97"/>
      <c r="AK232" s="97"/>
      <c r="AL232" s="97"/>
      <c r="AM232" s="97"/>
      <c r="AN232" s="97"/>
    </row>
    <row r="233" spans="4:40" x14ac:dyDescent="0.25">
      <c r="D233" s="2" t="s">
        <v>221</v>
      </c>
      <c r="E233" s="109" t="s">
        <v>254</v>
      </c>
      <c r="F233" s="117">
        <v>0</v>
      </c>
      <c r="G233" s="117">
        <v>0</v>
      </c>
      <c r="H233" s="117">
        <v>0</v>
      </c>
      <c r="I233" s="30">
        <f>CHOOSE($G$4,F233,G233,H233)</f>
        <v>0</v>
      </c>
    </row>
    <row r="234" spans="4:40" x14ac:dyDescent="0.25">
      <c r="E234" s="109"/>
      <c r="I234" s="30"/>
      <c r="K234" s="2" t="s">
        <v>214</v>
      </c>
      <c r="L234" s="113">
        <f>'Quarterly Historical Financials'!AB469</f>
        <v>186293</v>
      </c>
      <c r="M234" s="113">
        <f>'Quarterly Historical Financials'!AC469</f>
        <v>189906</v>
      </c>
      <c r="N234" s="6">
        <f t="shared" ref="N234:AG234" si="690">M236</f>
        <v>196575.75399999999</v>
      </c>
      <c r="O234" s="6">
        <f t="shared" si="690"/>
        <v>196575.75399999999</v>
      </c>
      <c r="P234" s="6">
        <f t="shared" si="690"/>
        <v>196575.75399999999</v>
      </c>
      <c r="Q234" s="6">
        <f t="shared" si="690"/>
        <v>196575.75399999999</v>
      </c>
      <c r="R234" s="6">
        <f t="shared" si="690"/>
        <v>196575.75399999999</v>
      </c>
      <c r="S234" s="6">
        <f t="shared" si="690"/>
        <v>196575.75399999999</v>
      </c>
      <c r="T234" s="6">
        <f t="shared" si="690"/>
        <v>196575.75399999999</v>
      </c>
      <c r="U234" s="6">
        <f t="shared" si="690"/>
        <v>196575.75399999999</v>
      </c>
      <c r="V234" s="6">
        <f t="shared" si="690"/>
        <v>196575.75399999999</v>
      </c>
      <c r="W234" s="6">
        <f t="shared" si="690"/>
        <v>196575.75399999999</v>
      </c>
      <c r="X234" s="6">
        <f t="shared" si="690"/>
        <v>196575.75399999999</v>
      </c>
      <c r="Y234" s="6">
        <f t="shared" si="690"/>
        <v>196575.75399999999</v>
      </c>
      <c r="Z234" s="6">
        <f t="shared" si="690"/>
        <v>196575.75399999999</v>
      </c>
      <c r="AA234" s="6">
        <f t="shared" si="690"/>
        <v>196575.75399999999</v>
      </c>
      <c r="AB234" s="6">
        <f t="shared" si="690"/>
        <v>196575.75399999999</v>
      </c>
      <c r="AC234" s="6">
        <f t="shared" si="690"/>
        <v>196575.75399999999</v>
      </c>
      <c r="AD234" s="6">
        <f t="shared" si="690"/>
        <v>196575.75399999999</v>
      </c>
      <c r="AE234" s="6">
        <f t="shared" si="690"/>
        <v>196575.75399999999</v>
      </c>
      <c r="AF234" s="6">
        <f t="shared" si="690"/>
        <v>196575.75399999999</v>
      </c>
      <c r="AG234" s="6">
        <f t="shared" si="690"/>
        <v>196575.75399999999</v>
      </c>
      <c r="AI234" s="6">
        <f>SUMIF($M$4:$AG$4,AI$4,$M234:$AG234)</f>
        <v>189906</v>
      </c>
      <c r="AJ234" s="6">
        <f>AI236</f>
        <v>196575.75399999999</v>
      </c>
      <c r="AK234" s="6">
        <f t="shared" ref="AK234:AN234" si="691">AJ236</f>
        <v>196575.75399999999</v>
      </c>
      <c r="AL234" s="6">
        <f t="shared" si="691"/>
        <v>196575.75399999999</v>
      </c>
      <c r="AM234" s="6">
        <f t="shared" si="691"/>
        <v>196575.75399999999</v>
      </c>
      <c r="AN234" s="6">
        <f t="shared" si="691"/>
        <v>196575.75399999999</v>
      </c>
    </row>
    <row r="235" spans="4:40" x14ac:dyDescent="0.25">
      <c r="E235" s="109"/>
      <c r="I235" s="30"/>
      <c r="K235" s="2" t="s">
        <v>219</v>
      </c>
      <c r="L235" s="113">
        <f>'Quarterly Historical Financials'!AB470</f>
        <v>3613</v>
      </c>
      <c r="M235" s="113">
        <f>'Quarterly Historical Financials'!AC470</f>
        <v>6669.7539999999863</v>
      </c>
      <c r="N235" s="6">
        <f t="shared" ref="N235" si="692">N234*$I233</f>
        <v>0</v>
      </c>
      <c r="O235" s="6">
        <f>O234*$I233</f>
        <v>0</v>
      </c>
      <c r="P235" s="6">
        <f t="shared" ref="P235" si="693">P234*$I233</f>
        <v>0</v>
      </c>
      <c r="Q235" s="6">
        <f t="shared" ref="Q235" si="694">Q234*$I233</f>
        <v>0</v>
      </c>
      <c r="R235" s="6">
        <f t="shared" ref="R235" si="695">R234*$I233</f>
        <v>0</v>
      </c>
      <c r="S235" s="6">
        <f t="shared" ref="S235" si="696">S234*$I233</f>
        <v>0</v>
      </c>
      <c r="T235" s="6">
        <f t="shared" ref="T235" si="697">T234*$I233</f>
        <v>0</v>
      </c>
      <c r="U235" s="6">
        <f t="shared" ref="U235" si="698">U234*$I233</f>
        <v>0</v>
      </c>
      <c r="V235" s="6">
        <f t="shared" ref="V235" si="699">V234*$I233</f>
        <v>0</v>
      </c>
      <c r="W235" s="6">
        <f t="shared" ref="W235" si="700">W234*$I233</f>
        <v>0</v>
      </c>
      <c r="X235" s="6">
        <f t="shared" ref="X235" si="701">X234*$I233</f>
        <v>0</v>
      </c>
      <c r="Y235" s="6">
        <f t="shared" ref="Y235" si="702">Y234*$I233</f>
        <v>0</v>
      </c>
      <c r="Z235" s="6">
        <f t="shared" ref="Z235" si="703">Z234*$I233</f>
        <v>0</v>
      </c>
      <c r="AA235" s="6">
        <f t="shared" ref="AA235" si="704">AA234*$I233</f>
        <v>0</v>
      </c>
      <c r="AB235" s="6">
        <f t="shared" ref="AB235" si="705">AB234*$I233</f>
        <v>0</v>
      </c>
      <c r="AC235" s="6">
        <f t="shared" ref="AC235" si="706">AC234*$I233</f>
        <v>0</v>
      </c>
      <c r="AD235" s="6">
        <f t="shared" ref="AD235" si="707">AD234*$I233</f>
        <v>0</v>
      </c>
      <c r="AE235" s="6">
        <f t="shared" ref="AE235" si="708">AE234*$I233</f>
        <v>0</v>
      </c>
      <c r="AF235" s="6">
        <f t="shared" ref="AF235" si="709">AF234*$I233</f>
        <v>0</v>
      </c>
      <c r="AG235" s="6">
        <f t="shared" ref="AG235" si="710">AG234*$I233</f>
        <v>0</v>
      </c>
      <c r="AI235" s="6">
        <f>SUMIF($M$2:$AG$2,AI$2,$M235:$AG235)</f>
        <v>6669.7539999999863</v>
      </c>
      <c r="AJ235" s="6">
        <f t="shared" ref="AJ235:AN235" si="711">SUMIF($M$2:$AG$2,AJ$2,$M235:$AG235)</f>
        <v>0</v>
      </c>
      <c r="AK235" s="6">
        <f t="shared" si="711"/>
        <v>0</v>
      </c>
      <c r="AL235" s="6">
        <f t="shared" si="711"/>
        <v>0</v>
      </c>
      <c r="AM235" s="6">
        <f t="shared" si="711"/>
        <v>0</v>
      </c>
      <c r="AN235" s="6">
        <f t="shared" si="711"/>
        <v>0</v>
      </c>
    </row>
    <row r="236" spans="4:40" x14ac:dyDescent="0.25">
      <c r="K236" s="8" t="s">
        <v>204</v>
      </c>
      <c r="L236" s="114">
        <f t="shared" ref="L236:AG236" si="712">SUM(L234:L235)</f>
        <v>189906</v>
      </c>
      <c r="M236" s="114">
        <f t="shared" ref="M236" si="713">SUM(M234:M235)</f>
        <v>196575.75399999999</v>
      </c>
      <c r="N236" s="16">
        <f t="shared" si="712"/>
        <v>196575.75399999999</v>
      </c>
      <c r="O236" s="16">
        <f t="shared" si="712"/>
        <v>196575.75399999999</v>
      </c>
      <c r="P236" s="16">
        <f t="shared" si="712"/>
        <v>196575.75399999999</v>
      </c>
      <c r="Q236" s="16">
        <f t="shared" si="712"/>
        <v>196575.75399999999</v>
      </c>
      <c r="R236" s="16">
        <f t="shared" si="712"/>
        <v>196575.75399999999</v>
      </c>
      <c r="S236" s="16">
        <f t="shared" si="712"/>
        <v>196575.75399999999</v>
      </c>
      <c r="T236" s="16">
        <f t="shared" si="712"/>
        <v>196575.75399999999</v>
      </c>
      <c r="U236" s="16">
        <f t="shared" si="712"/>
        <v>196575.75399999999</v>
      </c>
      <c r="V236" s="16">
        <f t="shared" si="712"/>
        <v>196575.75399999999</v>
      </c>
      <c r="W236" s="16">
        <f t="shared" si="712"/>
        <v>196575.75399999999</v>
      </c>
      <c r="X236" s="16">
        <f t="shared" si="712"/>
        <v>196575.75399999999</v>
      </c>
      <c r="Y236" s="16">
        <f t="shared" si="712"/>
        <v>196575.75399999999</v>
      </c>
      <c r="Z236" s="16">
        <f t="shared" si="712"/>
        <v>196575.75399999999</v>
      </c>
      <c r="AA236" s="16">
        <f t="shared" si="712"/>
        <v>196575.75399999999</v>
      </c>
      <c r="AB236" s="16">
        <f t="shared" si="712"/>
        <v>196575.75399999999</v>
      </c>
      <c r="AC236" s="16">
        <f t="shared" si="712"/>
        <v>196575.75399999999</v>
      </c>
      <c r="AD236" s="16">
        <f t="shared" si="712"/>
        <v>196575.75399999999</v>
      </c>
      <c r="AE236" s="16">
        <f t="shared" si="712"/>
        <v>196575.75399999999</v>
      </c>
      <c r="AF236" s="16">
        <f t="shared" si="712"/>
        <v>196575.75399999999</v>
      </c>
      <c r="AG236" s="16">
        <f t="shared" si="712"/>
        <v>196575.75399999999</v>
      </c>
      <c r="AI236" s="16">
        <f t="shared" ref="AI236:AN236" si="714">SUM(AI234:AI235)</f>
        <v>196575.75399999999</v>
      </c>
      <c r="AJ236" s="16">
        <f t="shared" si="714"/>
        <v>196575.75399999999</v>
      </c>
      <c r="AK236" s="16">
        <f t="shared" si="714"/>
        <v>196575.75399999999</v>
      </c>
      <c r="AL236" s="16">
        <f t="shared" si="714"/>
        <v>196575.75399999999</v>
      </c>
      <c r="AM236" s="16">
        <f t="shared" si="714"/>
        <v>196575.75399999999</v>
      </c>
      <c r="AN236" s="16">
        <f t="shared" si="714"/>
        <v>196575.75399999999</v>
      </c>
    </row>
    <row r="238" spans="4:40" x14ac:dyDescent="0.25">
      <c r="D238" s="96" t="s">
        <v>40</v>
      </c>
      <c r="E238" s="108" t="s">
        <v>238</v>
      </c>
      <c r="F238" s="98" t="s">
        <v>227</v>
      </c>
      <c r="G238" s="98" t="s">
        <v>231</v>
      </c>
      <c r="H238" s="98" t="s">
        <v>228</v>
      </c>
      <c r="I238" s="98" t="s">
        <v>232</v>
      </c>
      <c r="J238" s="96"/>
      <c r="K238" s="96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  <c r="AG238" s="97"/>
      <c r="AI238" s="97"/>
      <c r="AJ238" s="97"/>
      <c r="AK238" s="97"/>
      <c r="AL238" s="97"/>
      <c r="AM238" s="97"/>
      <c r="AN238" s="97"/>
    </row>
    <row r="239" spans="4:40" x14ac:dyDescent="0.25">
      <c r="D239" s="2" t="s">
        <v>221</v>
      </c>
      <c r="E239" s="109" t="s">
        <v>254</v>
      </c>
      <c r="F239" s="100">
        <f>AVERAGE('Quarterly Historical Financials'!$D488)</f>
        <v>0</v>
      </c>
      <c r="G239" s="100">
        <f>AVERAGE('Quarterly Historical Financials'!$D488)</f>
        <v>0</v>
      </c>
      <c r="H239" s="100">
        <f>AVERAGE('Quarterly Historical Financials'!$D488)</f>
        <v>0</v>
      </c>
      <c r="I239" s="30">
        <f>CHOOSE($G$4,F239,G239,H239)</f>
        <v>0</v>
      </c>
    </row>
    <row r="240" spans="4:40" x14ac:dyDescent="0.25">
      <c r="E240" s="109"/>
      <c r="I240" s="30"/>
      <c r="K240" s="2" t="s">
        <v>214</v>
      </c>
      <c r="L240" s="113">
        <f>'Quarterly Historical Financials'!AB481</f>
        <v>0</v>
      </c>
      <c r="M240" s="113">
        <f>'Quarterly Historical Financials'!AC481</f>
        <v>0</v>
      </c>
      <c r="N240" s="6">
        <f t="shared" ref="N240:AG240" si="715">M242</f>
        <v>0</v>
      </c>
      <c r="O240" s="6">
        <f t="shared" si="715"/>
        <v>0</v>
      </c>
      <c r="P240" s="6">
        <f t="shared" si="715"/>
        <v>0</v>
      </c>
      <c r="Q240" s="6">
        <f t="shared" si="715"/>
        <v>0</v>
      </c>
      <c r="R240" s="6">
        <f t="shared" si="715"/>
        <v>0</v>
      </c>
      <c r="S240" s="6">
        <f t="shared" si="715"/>
        <v>0</v>
      </c>
      <c r="T240" s="6">
        <f t="shared" si="715"/>
        <v>0</v>
      </c>
      <c r="U240" s="6">
        <f t="shared" si="715"/>
        <v>0</v>
      </c>
      <c r="V240" s="6">
        <f t="shared" si="715"/>
        <v>0</v>
      </c>
      <c r="W240" s="6">
        <f t="shared" si="715"/>
        <v>0</v>
      </c>
      <c r="X240" s="6">
        <f t="shared" si="715"/>
        <v>0</v>
      </c>
      <c r="Y240" s="6">
        <f t="shared" si="715"/>
        <v>0</v>
      </c>
      <c r="Z240" s="6">
        <f t="shared" si="715"/>
        <v>0</v>
      </c>
      <c r="AA240" s="6">
        <f t="shared" si="715"/>
        <v>0</v>
      </c>
      <c r="AB240" s="6">
        <f t="shared" si="715"/>
        <v>0</v>
      </c>
      <c r="AC240" s="6">
        <f t="shared" si="715"/>
        <v>0</v>
      </c>
      <c r="AD240" s="6">
        <f t="shared" si="715"/>
        <v>0</v>
      </c>
      <c r="AE240" s="6">
        <f t="shared" si="715"/>
        <v>0</v>
      </c>
      <c r="AF240" s="6">
        <f t="shared" si="715"/>
        <v>0</v>
      </c>
      <c r="AG240" s="6">
        <f t="shared" si="715"/>
        <v>0</v>
      </c>
      <c r="AI240" s="6">
        <f>SUMIF($M$4:$AG$4,AI$4,$M240:$AG240)</f>
        <v>0</v>
      </c>
      <c r="AJ240" s="6">
        <f>AI242</f>
        <v>0</v>
      </c>
      <c r="AK240" s="6">
        <f t="shared" ref="AK240:AN240" si="716">AJ242</f>
        <v>0</v>
      </c>
      <c r="AL240" s="6">
        <f t="shared" si="716"/>
        <v>0</v>
      </c>
      <c r="AM240" s="6">
        <f t="shared" si="716"/>
        <v>0</v>
      </c>
      <c r="AN240" s="6">
        <f t="shared" si="716"/>
        <v>0</v>
      </c>
    </row>
    <row r="241" spans="5:40" x14ac:dyDescent="0.25">
      <c r="E241" s="109"/>
      <c r="I241" s="30"/>
      <c r="K241" s="2" t="s">
        <v>219</v>
      </c>
      <c r="L241" s="113">
        <f>'Quarterly Historical Financials'!AB482</f>
        <v>0</v>
      </c>
      <c r="M241" s="113">
        <f>'Quarterly Historical Financials'!AC482</f>
        <v>0</v>
      </c>
      <c r="N241" s="6">
        <f t="shared" ref="N241" si="717">N240*$I239</f>
        <v>0</v>
      </c>
      <c r="O241" s="6">
        <f>O240*$I239</f>
        <v>0</v>
      </c>
      <c r="P241" s="6">
        <f t="shared" ref="P241" si="718">P240*$I239</f>
        <v>0</v>
      </c>
      <c r="Q241" s="6">
        <f t="shared" ref="Q241" si="719">Q240*$I239</f>
        <v>0</v>
      </c>
      <c r="R241" s="6">
        <f t="shared" ref="R241" si="720">R240*$I239</f>
        <v>0</v>
      </c>
      <c r="S241" s="6">
        <f t="shared" ref="S241" si="721">S240*$I239</f>
        <v>0</v>
      </c>
      <c r="T241" s="6">
        <f t="shared" ref="T241" si="722">T240*$I239</f>
        <v>0</v>
      </c>
      <c r="U241" s="6">
        <f t="shared" ref="U241" si="723">U240*$I239</f>
        <v>0</v>
      </c>
      <c r="V241" s="6">
        <f t="shared" ref="V241" si="724">V240*$I239</f>
        <v>0</v>
      </c>
      <c r="W241" s="6">
        <f t="shared" ref="W241" si="725">W240*$I239</f>
        <v>0</v>
      </c>
      <c r="X241" s="6">
        <f t="shared" ref="X241" si="726">X240*$I239</f>
        <v>0</v>
      </c>
      <c r="Y241" s="6">
        <f t="shared" ref="Y241" si="727">Y240*$I239</f>
        <v>0</v>
      </c>
      <c r="Z241" s="6">
        <f t="shared" ref="Z241" si="728">Z240*$I239</f>
        <v>0</v>
      </c>
      <c r="AA241" s="6">
        <f t="shared" ref="AA241" si="729">AA240*$I239</f>
        <v>0</v>
      </c>
      <c r="AB241" s="6">
        <f t="shared" ref="AB241" si="730">AB240*$I239</f>
        <v>0</v>
      </c>
      <c r="AC241" s="6">
        <f t="shared" ref="AC241" si="731">AC240*$I239</f>
        <v>0</v>
      </c>
      <c r="AD241" s="6">
        <f t="shared" ref="AD241" si="732">AD240*$I239</f>
        <v>0</v>
      </c>
      <c r="AE241" s="6">
        <f t="shared" ref="AE241" si="733">AE240*$I239</f>
        <v>0</v>
      </c>
      <c r="AF241" s="6">
        <f t="shared" ref="AF241" si="734">AF240*$I239</f>
        <v>0</v>
      </c>
      <c r="AG241" s="6">
        <f t="shared" ref="AG241" si="735">AG240*$I239</f>
        <v>0</v>
      </c>
      <c r="AI241" s="6">
        <f>SUMIF($M$2:$AG$2,AI$2,$M241:$AG241)</f>
        <v>0</v>
      </c>
      <c r="AJ241" s="6">
        <f t="shared" ref="AJ241:AN241" si="736">SUMIF($M$2:$AG$2,AJ$2,$M241:$AG241)</f>
        <v>0</v>
      </c>
      <c r="AK241" s="6">
        <f t="shared" si="736"/>
        <v>0</v>
      </c>
      <c r="AL241" s="6">
        <f t="shared" si="736"/>
        <v>0</v>
      </c>
      <c r="AM241" s="6">
        <f t="shared" si="736"/>
        <v>0</v>
      </c>
      <c r="AN241" s="6">
        <f t="shared" si="736"/>
        <v>0</v>
      </c>
    </row>
    <row r="242" spans="5:40" x14ac:dyDescent="0.25">
      <c r="K242" s="8" t="s">
        <v>204</v>
      </c>
      <c r="L242" s="114">
        <f t="shared" ref="L242:AG242" si="737">SUM(L240:L241)</f>
        <v>0</v>
      </c>
      <c r="M242" s="114">
        <f t="shared" ref="M242" si="738">SUM(M240:M241)</f>
        <v>0</v>
      </c>
      <c r="N242" s="16">
        <f t="shared" si="737"/>
        <v>0</v>
      </c>
      <c r="O242" s="16">
        <f t="shared" si="737"/>
        <v>0</v>
      </c>
      <c r="P242" s="16">
        <f t="shared" si="737"/>
        <v>0</v>
      </c>
      <c r="Q242" s="16">
        <f t="shared" si="737"/>
        <v>0</v>
      </c>
      <c r="R242" s="16">
        <f t="shared" si="737"/>
        <v>0</v>
      </c>
      <c r="S242" s="16">
        <f t="shared" si="737"/>
        <v>0</v>
      </c>
      <c r="T242" s="16">
        <f t="shared" si="737"/>
        <v>0</v>
      </c>
      <c r="U242" s="16">
        <f t="shared" si="737"/>
        <v>0</v>
      </c>
      <c r="V242" s="16">
        <f t="shared" si="737"/>
        <v>0</v>
      </c>
      <c r="W242" s="16">
        <f t="shared" si="737"/>
        <v>0</v>
      </c>
      <c r="X242" s="16">
        <f t="shared" si="737"/>
        <v>0</v>
      </c>
      <c r="Y242" s="16">
        <f t="shared" si="737"/>
        <v>0</v>
      </c>
      <c r="Z242" s="16">
        <f t="shared" si="737"/>
        <v>0</v>
      </c>
      <c r="AA242" s="16">
        <f t="shared" si="737"/>
        <v>0</v>
      </c>
      <c r="AB242" s="16">
        <f t="shared" si="737"/>
        <v>0</v>
      </c>
      <c r="AC242" s="16">
        <f t="shared" si="737"/>
        <v>0</v>
      </c>
      <c r="AD242" s="16">
        <f t="shared" si="737"/>
        <v>0</v>
      </c>
      <c r="AE242" s="16">
        <f t="shared" si="737"/>
        <v>0</v>
      </c>
      <c r="AF242" s="16">
        <f t="shared" si="737"/>
        <v>0</v>
      </c>
      <c r="AG242" s="16">
        <f t="shared" si="737"/>
        <v>0</v>
      </c>
      <c r="AI242" s="16">
        <f t="shared" ref="AI242:AN242" si="739">SUM(AI240:AI241)</f>
        <v>0</v>
      </c>
      <c r="AJ242" s="16">
        <f t="shared" si="739"/>
        <v>0</v>
      </c>
      <c r="AK242" s="16">
        <f t="shared" si="739"/>
        <v>0</v>
      </c>
      <c r="AL242" s="16">
        <f t="shared" si="739"/>
        <v>0</v>
      </c>
      <c r="AM242" s="16">
        <f t="shared" si="739"/>
        <v>0</v>
      </c>
      <c r="AN242" s="16">
        <f t="shared" si="739"/>
        <v>0</v>
      </c>
    </row>
  </sheetData>
  <pageMargins left="0.7" right="0.7" top="0.75" bottom="0.75" header="0.3" footer="0.3"/>
  <ignoredErrors>
    <ignoredError sqref="AI201:AN201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4" r:id="rId3" name="Drop Down 8">
              <controlPr defaultSize="0" autoLine="0" autoPict="0">
                <anchor moveWithCells="1">
                  <from>
                    <xdr:col>3</xdr:col>
                    <xdr:colOff>1508760</xdr:colOff>
                    <xdr:row>1</xdr:row>
                    <xdr:rowOff>121920</xdr:rowOff>
                  </from>
                  <to>
                    <xdr:col>3</xdr:col>
                    <xdr:colOff>2461260</xdr:colOff>
                    <xdr:row>3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B95B-E9DD-4E16-A17A-D295EBE7EFE6}">
  <sheetPr>
    <tabColor rgb="FFFFE1FF"/>
  </sheetPr>
  <dimension ref="A1:AZ82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4" sqref="E4"/>
    </sheetView>
  </sheetViews>
  <sheetFormatPr defaultColWidth="0" defaultRowHeight="10.8" x14ac:dyDescent="0.25"/>
  <cols>
    <col min="1" max="1" width="2.6640625" style="2" customWidth="1"/>
    <col min="2" max="2" width="26" style="2" customWidth="1"/>
    <col min="3" max="3" width="10.5546875" style="2" bestFit="1" customWidth="1"/>
    <col min="4" max="4" width="6.44140625" style="2" bestFit="1" customWidth="1"/>
    <col min="5" max="5" width="6.6640625" style="2" bestFit="1" customWidth="1"/>
    <col min="6" max="6" width="8.6640625" style="6" bestFit="1" customWidth="1"/>
    <col min="7" max="13" width="9.109375" style="6" customWidth="1"/>
    <col min="14" max="14" width="9.5546875" style="6" bestFit="1" customWidth="1"/>
    <col min="15" max="15" width="9.109375" style="6" customWidth="1"/>
    <col min="16" max="25" width="9.5546875" style="6" bestFit="1" customWidth="1"/>
    <col min="26" max="27" width="9.109375" style="6" customWidth="1"/>
    <col min="28" max="29" width="9.5546875" style="6" bestFit="1" customWidth="1"/>
    <col min="30" max="31" width="9.109375" style="6" customWidth="1"/>
    <col min="32" max="51" width="9.109375" style="2" customWidth="1"/>
    <col min="52" max="52" width="4.6640625" style="2" customWidth="1"/>
    <col min="53" max="16384" width="9.109375" style="2" hidden="1"/>
  </cols>
  <sheetData>
    <row r="1" spans="2:51" x14ac:dyDescent="0.25">
      <c r="B1" s="7" t="s">
        <v>288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2:51" x14ac:dyDescent="0.25">
      <c r="B2" s="32" t="s">
        <v>107</v>
      </c>
      <c r="C2" s="33" t="s">
        <v>108</v>
      </c>
      <c r="D2" s="34" t="s">
        <v>109</v>
      </c>
      <c r="E2" s="34"/>
      <c r="F2" s="34" t="s">
        <v>104</v>
      </c>
      <c r="G2" s="34"/>
      <c r="H2" s="35" t="s">
        <v>7</v>
      </c>
      <c r="I2" s="36"/>
      <c r="J2" s="34" t="s">
        <v>111</v>
      </c>
      <c r="K2" s="34"/>
      <c r="L2" s="35" t="s">
        <v>112</v>
      </c>
      <c r="M2" s="36"/>
      <c r="N2" s="34" t="s">
        <v>113</v>
      </c>
      <c r="O2" s="34"/>
      <c r="P2" s="35" t="s">
        <v>115</v>
      </c>
      <c r="Q2" s="36"/>
      <c r="R2" s="34" t="s">
        <v>116</v>
      </c>
      <c r="S2" s="34"/>
      <c r="T2" s="35" t="s">
        <v>114</v>
      </c>
      <c r="U2" s="36"/>
      <c r="V2" s="34" t="s">
        <v>27</v>
      </c>
      <c r="W2" s="34"/>
      <c r="X2" s="35" t="s">
        <v>117</v>
      </c>
      <c r="Y2" s="36"/>
      <c r="Z2" s="34" t="s">
        <v>76</v>
      </c>
      <c r="AA2" s="34"/>
      <c r="AB2" s="35" t="s">
        <v>34</v>
      </c>
      <c r="AC2" s="36"/>
      <c r="AD2" s="35" t="s">
        <v>41</v>
      </c>
      <c r="AE2" s="36"/>
      <c r="AF2" s="35" t="s">
        <v>136</v>
      </c>
      <c r="AG2" s="36"/>
      <c r="AH2" s="35" t="s">
        <v>143</v>
      </c>
      <c r="AI2" s="36"/>
      <c r="AJ2" s="35" t="s">
        <v>142</v>
      </c>
      <c r="AK2" s="36"/>
      <c r="AL2" s="35" t="s">
        <v>137</v>
      </c>
      <c r="AM2" s="36"/>
      <c r="AN2" s="35" t="s">
        <v>149</v>
      </c>
      <c r="AO2" s="36"/>
      <c r="AP2" s="35" t="s">
        <v>144</v>
      </c>
      <c r="AQ2" s="36"/>
      <c r="AR2" s="35" t="s">
        <v>145</v>
      </c>
      <c r="AS2" s="36"/>
      <c r="AT2" s="35" t="s">
        <v>146</v>
      </c>
      <c r="AU2" s="36"/>
      <c r="AV2" s="35" t="s">
        <v>147</v>
      </c>
      <c r="AW2" s="36"/>
      <c r="AX2" s="35" t="s">
        <v>148</v>
      </c>
      <c r="AY2" s="37"/>
    </row>
    <row r="3" spans="2:51" x14ac:dyDescent="0.25">
      <c r="B3" s="38"/>
      <c r="C3" s="27"/>
      <c r="D3" s="31">
        <v>2024</v>
      </c>
      <c r="E3" s="31">
        <v>2025</v>
      </c>
      <c r="F3" s="31">
        <v>2024</v>
      </c>
      <c r="G3" s="31" t="s">
        <v>110</v>
      </c>
      <c r="H3" s="28">
        <v>2024</v>
      </c>
      <c r="I3" s="29" t="s">
        <v>110</v>
      </c>
      <c r="J3" s="31">
        <v>2024</v>
      </c>
      <c r="K3" s="31" t="s">
        <v>110</v>
      </c>
      <c r="L3" s="28">
        <v>2024</v>
      </c>
      <c r="M3" s="29" t="s">
        <v>110</v>
      </c>
      <c r="N3" s="31">
        <v>2024</v>
      </c>
      <c r="O3" s="31" t="s">
        <v>110</v>
      </c>
      <c r="P3" s="28">
        <v>2024</v>
      </c>
      <c r="Q3" s="29" t="s">
        <v>110</v>
      </c>
      <c r="R3" s="31">
        <v>2024</v>
      </c>
      <c r="S3" s="31" t="s">
        <v>110</v>
      </c>
      <c r="T3" s="28">
        <v>2024</v>
      </c>
      <c r="U3" s="29" t="s">
        <v>110</v>
      </c>
      <c r="V3" s="31">
        <v>2024</v>
      </c>
      <c r="W3" s="31" t="s">
        <v>110</v>
      </c>
      <c r="X3" s="28">
        <v>2024</v>
      </c>
      <c r="Y3" s="29" t="s">
        <v>110</v>
      </c>
      <c r="Z3" s="31">
        <v>2024</v>
      </c>
      <c r="AA3" s="31" t="s">
        <v>110</v>
      </c>
      <c r="AB3" s="28">
        <v>2024</v>
      </c>
      <c r="AC3" s="29" t="s">
        <v>110</v>
      </c>
      <c r="AD3" s="28">
        <v>2024</v>
      </c>
      <c r="AE3" s="29" t="s">
        <v>110</v>
      </c>
      <c r="AF3" s="28">
        <v>2024</v>
      </c>
      <c r="AG3" s="29" t="s">
        <v>110</v>
      </c>
      <c r="AH3" s="28">
        <v>2024</v>
      </c>
      <c r="AI3" s="29" t="s">
        <v>110</v>
      </c>
      <c r="AJ3" s="28">
        <v>2024</v>
      </c>
      <c r="AK3" s="29" t="s">
        <v>110</v>
      </c>
      <c r="AL3" s="28">
        <v>2024</v>
      </c>
      <c r="AM3" s="29" t="s">
        <v>110</v>
      </c>
      <c r="AN3" s="28">
        <v>2024</v>
      </c>
      <c r="AO3" s="29" t="s">
        <v>110</v>
      </c>
      <c r="AP3" s="28">
        <v>2024</v>
      </c>
      <c r="AQ3" s="29" t="s">
        <v>110</v>
      </c>
      <c r="AR3" s="28">
        <v>2024</v>
      </c>
      <c r="AS3" s="29" t="s">
        <v>110</v>
      </c>
      <c r="AT3" s="28">
        <v>2024</v>
      </c>
      <c r="AU3" s="29" t="s">
        <v>110</v>
      </c>
      <c r="AV3" s="28">
        <v>2024</v>
      </c>
      <c r="AW3" s="29" t="s">
        <v>110</v>
      </c>
      <c r="AX3" s="28">
        <v>2024</v>
      </c>
      <c r="AY3" s="39" t="s">
        <v>110</v>
      </c>
    </row>
    <row r="4" spans="2:51" x14ac:dyDescent="0.25">
      <c r="B4" s="40" t="s">
        <v>118</v>
      </c>
      <c r="C4" s="2" t="s">
        <v>126</v>
      </c>
      <c r="D4" s="223">
        <v>5.2</v>
      </c>
      <c r="E4" s="41">
        <f>C45</f>
        <v>16.2</v>
      </c>
      <c r="F4" s="115">
        <v>173947</v>
      </c>
      <c r="G4" s="115">
        <v>173947</v>
      </c>
      <c r="H4" s="115">
        <v>1967987</v>
      </c>
      <c r="I4" s="115">
        <v>1224917</v>
      </c>
      <c r="J4" s="115">
        <v>959201</v>
      </c>
      <c r="K4" s="115">
        <v>680995</v>
      </c>
      <c r="L4" s="115">
        <v>536912</v>
      </c>
      <c r="M4" s="115">
        <v>442651</v>
      </c>
      <c r="N4" s="6">
        <f>D4*F4</f>
        <v>904524.4</v>
      </c>
      <c r="O4" s="6">
        <f>E4*G4</f>
        <v>2817941.4</v>
      </c>
      <c r="P4" s="115">
        <v>3944691</v>
      </c>
      <c r="Q4" s="115">
        <v>4246012</v>
      </c>
      <c r="R4" s="115">
        <v>5548283</v>
      </c>
      <c r="S4" s="115">
        <v>6208430</v>
      </c>
      <c r="T4" s="115">
        <v>3699019</v>
      </c>
      <c r="U4" s="115">
        <v>3591249</v>
      </c>
      <c r="V4" s="115">
        <v>16561742</v>
      </c>
      <c r="W4" s="115">
        <v>19404182</v>
      </c>
      <c r="X4" s="6">
        <f>115742+13042304</f>
        <v>13158046</v>
      </c>
      <c r="Y4" s="6">
        <f>530328+14015293</f>
        <v>14545621</v>
      </c>
      <c r="Z4" s="115">
        <v>959328</v>
      </c>
      <c r="AA4" s="115">
        <v>916001</v>
      </c>
      <c r="AB4" s="115">
        <v>14804021</v>
      </c>
      <c r="AC4" s="115">
        <v>17267213</v>
      </c>
      <c r="AD4" s="115">
        <v>1757721</v>
      </c>
      <c r="AE4" s="115">
        <v>2136969</v>
      </c>
      <c r="AF4" s="42">
        <f>N4/L4</f>
        <v>1.684679053550675</v>
      </c>
      <c r="AG4" s="42">
        <f>O4/M4</f>
        <v>6.3660567806240129</v>
      </c>
      <c r="AH4" s="43">
        <f>L4/F4</f>
        <v>3.0866413332796769</v>
      </c>
      <c r="AI4" s="43">
        <f>M4/G4</f>
        <v>2.5447463882676908</v>
      </c>
      <c r="AJ4" s="42">
        <f>N4/X4</f>
        <v>6.8743064129734771E-2</v>
      </c>
      <c r="AK4" s="42">
        <f>O4/Y4</f>
        <v>0.19373125423795931</v>
      </c>
      <c r="AL4" s="42">
        <f>N4/AD4</f>
        <v>0.51460066756897138</v>
      </c>
      <c r="AM4" s="42">
        <f>O4/AE4</f>
        <v>1.3186627414810415</v>
      </c>
      <c r="AN4" s="42">
        <f>P4/X4</f>
        <v>0.29979306957887214</v>
      </c>
      <c r="AO4" s="42">
        <f>Q4/Y4</f>
        <v>0.2919099844551154</v>
      </c>
      <c r="AP4" s="42">
        <f t="shared" ref="AP4:AQ11" si="0">R4/X4</f>
        <v>0.4216646605430624</v>
      </c>
      <c r="AQ4" s="42">
        <f t="shared" si="0"/>
        <v>0.42682467802509083</v>
      </c>
      <c r="AR4" s="42">
        <f t="shared" ref="AR4:AS11" si="1">T4/X4</f>
        <v>0.28112221221904832</v>
      </c>
      <c r="AS4" s="42">
        <f t="shared" si="1"/>
        <v>0.24689554333912592</v>
      </c>
      <c r="AT4" s="44">
        <f t="shared" ref="AT4:AU11" si="2">L4/V4</f>
        <v>3.2418811982459335E-2</v>
      </c>
      <c r="AU4" s="44">
        <f t="shared" si="2"/>
        <v>2.2812144309922469E-2</v>
      </c>
      <c r="AV4" s="44">
        <f>M4/AD4</f>
        <v>0.25183234426851586</v>
      </c>
      <c r="AW4" s="44">
        <f>N4/AE4</f>
        <v>0.42327446022848247</v>
      </c>
      <c r="AX4" s="42">
        <f>(H4-J4)/H4</f>
        <v>0.51259789825847424</v>
      </c>
      <c r="AY4" s="45">
        <f>(I4-K4)/I4</f>
        <v>0.44404804570432121</v>
      </c>
    </row>
    <row r="5" spans="2:51" x14ac:dyDescent="0.25">
      <c r="B5" s="40" t="s">
        <v>119</v>
      </c>
      <c r="C5" s="2" t="s">
        <v>128</v>
      </c>
      <c r="D5" s="223">
        <v>5.0599999999999996</v>
      </c>
      <c r="E5" s="41">
        <f>C46</f>
        <v>5.0599999999999996</v>
      </c>
      <c r="F5" s="115">
        <v>1660317.6470588234</v>
      </c>
      <c r="G5" s="6">
        <f>282254/0.17</f>
        <v>1660317.6470588234</v>
      </c>
      <c r="H5" s="115">
        <v>1004751</v>
      </c>
      <c r="I5" s="115">
        <v>1173756</v>
      </c>
      <c r="J5" s="115">
        <v>-255091</v>
      </c>
      <c r="K5" s="115">
        <v>447489</v>
      </c>
      <c r="L5" s="115">
        <v>35061</v>
      </c>
      <c r="M5" s="115">
        <v>282254</v>
      </c>
      <c r="N5" s="6">
        <f>D5*F5</f>
        <v>8401207.2941176463</v>
      </c>
      <c r="O5" s="6">
        <f>E5*G5</f>
        <v>8401207.2941176463</v>
      </c>
      <c r="P5" s="115">
        <v>7176917</v>
      </c>
      <c r="Q5" s="115">
        <v>6465541</v>
      </c>
      <c r="R5" s="115">
        <v>3804236</v>
      </c>
      <c r="S5" s="115">
        <v>6448667</v>
      </c>
      <c r="T5" s="115">
        <v>2574527</v>
      </c>
      <c r="U5" s="115">
        <v>2360188</v>
      </c>
      <c r="V5" s="115">
        <v>14604777</v>
      </c>
      <c r="W5" s="115">
        <v>16222716</v>
      </c>
      <c r="X5" s="115">
        <v>12045885</v>
      </c>
      <c r="Y5" s="115">
        <v>12851137</v>
      </c>
      <c r="Z5" s="115">
        <v>929864</v>
      </c>
      <c r="AA5" s="115">
        <v>1328365</v>
      </c>
      <c r="AB5" s="115">
        <v>13326732</v>
      </c>
      <c r="AC5" s="115">
        <v>14662416</v>
      </c>
      <c r="AD5" s="115">
        <v>1278045</v>
      </c>
      <c r="AE5" s="115">
        <v>1560300</v>
      </c>
      <c r="AF5" s="42">
        <f>N5/L5</f>
        <v>239.61687613352859</v>
      </c>
      <c r="AG5" s="42">
        <f t="shared" ref="AG5:AG11" si="3">O5/M5</f>
        <v>29.764705882352938</v>
      </c>
      <c r="AH5" s="43">
        <f t="shared" ref="AH5:AH13" si="4">L5/F5</f>
        <v>2.1117043513998034E-2</v>
      </c>
      <c r="AI5" s="43">
        <f t="shared" ref="AI5:AI13" si="5">M5/G5</f>
        <v>0.17</v>
      </c>
      <c r="AJ5" s="42">
        <f t="shared" ref="AJ5:AJ13" si="6">N5/X5</f>
        <v>0.69743379536809846</v>
      </c>
      <c r="AK5" s="42">
        <f t="shared" ref="AK5:AK13" si="7">O5/Y5</f>
        <v>0.65373260701505609</v>
      </c>
      <c r="AL5" s="42">
        <f t="shared" ref="AL5:AL11" si="8">N5/AD5</f>
        <v>6.5734831669601981</v>
      </c>
      <c r="AM5" s="42">
        <f t="shared" ref="AM5:AM11" si="9">O5/AE5</f>
        <v>5.3843538384398171</v>
      </c>
      <c r="AN5" s="42">
        <f t="shared" ref="AN5:AN13" si="10">P5/X5</f>
        <v>0.59579823317257308</v>
      </c>
      <c r="AO5" s="42">
        <f t="shared" ref="AO5:AO13" si="11">Q5/Y5</f>
        <v>0.50311042517094018</v>
      </c>
      <c r="AP5" s="42">
        <f t="shared" si="0"/>
        <v>0.3158120802249067</v>
      </c>
      <c r="AQ5" s="42">
        <f t="shared" si="0"/>
        <v>0.50179738960062448</v>
      </c>
      <c r="AR5" s="42">
        <f t="shared" si="1"/>
        <v>0.21372667927678207</v>
      </c>
      <c r="AS5" s="42">
        <f t="shared" si="1"/>
        <v>0.18365596756146946</v>
      </c>
      <c r="AT5" s="44">
        <f t="shared" si="2"/>
        <v>2.4006528822726977E-3</v>
      </c>
      <c r="AU5" s="44">
        <f t="shared" si="2"/>
        <v>1.7398689590571642E-2</v>
      </c>
      <c r="AV5" s="44">
        <f t="shared" ref="AV5:AV13" si="12">M5/AD5</f>
        <v>0.22084824869233868</v>
      </c>
      <c r="AW5" s="44">
        <f t="shared" ref="AW5:AW13" si="13">N5/AE5</f>
        <v>5.3843538384398171</v>
      </c>
      <c r="AX5" s="42">
        <f t="shared" ref="AX5:AX13" si="14">(H5-J5)/H5</f>
        <v>1.2538847933468094</v>
      </c>
      <c r="AY5" s="45">
        <f t="shared" ref="AY5:AY13" si="15">(I5-K5)/I5</f>
        <v>0.61875466451289707</v>
      </c>
    </row>
    <row r="6" spans="2:51" x14ac:dyDescent="0.25">
      <c r="B6" s="40" t="s">
        <v>120</v>
      </c>
      <c r="C6" s="2" t="s">
        <v>129</v>
      </c>
      <c r="D6" s="223">
        <v>0.35</v>
      </c>
      <c r="E6" s="41">
        <f>C52</f>
        <v>0.64</v>
      </c>
      <c r="F6" s="115">
        <v>854075</v>
      </c>
      <c r="G6" s="115">
        <v>854075</v>
      </c>
      <c r="H6" s="115">
        <v>802511</v>
      </c>
      <c r="I6" s="115">
        <v>564814</v>
      </c>
      <c r="J6" s="115">
        <v>414158</v>
      </c>
      <c r="K6" s="115">
        <v>354356</v>
      </c>
      <c r="L6" s="115">
        <v>267720</v>
      </c>
      <c r="M6" s="115">
        <v>223877</v>
      </c>
      <c r="N6" s="6">
        <f t="shared" ref="N6:N11" si="16">D6*F6</f>
        <v>298926.25</v>
      </c>
      <c r="O6" s="6">
        <f t="shared" ref="O6:O11" si="17">E6*G6</f>
        <v>546608</v>
      </c>
      <c r="P6" s="115">
        <v>2808619</v>
      </c>
      <c r="Q6" s="115">
        <v>2217340</v>
      </c>
      <c r="R6" s="115">
        <v>4905669</v>
      </c>
      <c r="S6" s="115">
        <v>5190103</v>
      </c>
      <c r="T6" s="115">
        <v>2101996</v>
      </c>
      <c r="U6" s="115">
        <v>1275992</v>
      </c>
      <c r="V6" s="115">
        <v>11688797</v>
      </c>
      <c r="W6" s="115">
        <v>10894291</v>
      </c>
      <c r="X6" s="6">
        <f>226138+9431527</f>
        <v>9657665</v>
      </c>
      <c r="Y6" s="6">
        <f>190708+8542803</f>
        <v>8733511</v>
      </c>
      <c r="Z6" s="115">
        <v>1537162</v>
      </c>
      <c r="AA6" s="115">
        <v>1356729</v>
      </c>
      <c r="AB6" s="115">
        <v>11416233</v>
      </c>
      <c r="AC6" s="115">
        <v>10397850</v>
      </c>
      <c r="AD6" s="115">
        <v>272564</v>
      </c>
      <c r="AE6" s="115">
        <v>496441</v>
      </c>
      <c r="AF6" s="42">
        <f t="shared" ref="AF6:AF11" si="18">N6/L6</f>
        <v>1.1165630135962947</v>
      </c>
      <c r="AG6" s="42">
        <f t="shared" si="3"/>
        <v>2.4415549609830398</v>
      </c>
      <c r="AH6" s="43">
        <f t="shared" si="4"/>
        <v>0.3134619325000732</v>
      </c>
      <c r="AI6" s="43">
        <f t="shared" si="5"/>
        <v>0.26212803325234901</v>
      </c>
      <c r="AJ6" s="42">
        <f t="shared" si="6"/>
        <v>3.0952228100684792E-2</v>
      </c>
      <c r="AK6" s="42">
        <f t="shared" si="7"/>
        <v>6.2587429041996975E-2</v>
      </c>
      <c r="AL6" s="42">
        <f t="shared" si="8"/>
        <v>1.0967194860656579</v>
      </c>
      <c r="AM6" s="42">
        <f t="shared" si="9"/>
        <v>1.1010532973706846</v>
      </c>
      <c r="AN6" s="42">
        <f t="shared" si="10"/>
        <v>0.29081760446236227</v>
      </c>
      <c r="AO6" s="42">
        <f t="shared" si="11"/>
        <v>0.25388872814152291</v>
      </c>
      <c r="AP6" s="42">
        <f t="shared" si="0"/>
        <v>0.5079560121416512</v>
      </c>
      <c r="AQ6" s="42">
        <f t="shared" si="0"/>
        <v>0.59427451342306659</v>
      </c>
      <c r="AR6" s="42">
        <f t="shared" si="1"/>
        <v>0.21765053975262136</v>
      </c>
      <c r="AS6" s="42">
        <f t="shared" si="1"/>
        <v>0.14610298195078703</v>
      </c>
      <c r="AT6" s="44">
        <f t="shared" si="2"/>
        <v>2.2903982334537935E-2</v>
      </c>
      <c r="AU6" s="44">
        <f t="shared" si="2"/>
        <v>2.054993757739719E-2</v>
      </c>
      <c r="AV6" s="44">
        <f t="shared" si="12"/>
        <v>0.82137406260547985</v>
      </c>
      <c r="AW6" s="44">
        <f t="shared" si="13"/>
        <v>0.60213852199959306</v>
      </c>
      <c r="AX6" s="42">
        <f t="shared" si="14"/>
        <v>0.48392233875921947</v>
      </c>
      <c r="AY6" s="45">
        <f t="shared" si="15"/>
        <v>0.37261470147694642</v>
      </c>
    </row>
    <row r="7" spans="2:51" x14ac:dyDescent="0.25">
      <c r="B7" s="40" t="s">
        <v>121</v>
      </c>
      <c r="C7" s="2" t="s">
        <v>130</v>
      </c>
      <c r="D7" s="223">
        <v>6.5</v>
      </c>
      <c r="E7" s="41">
        <f>C58</f>
        <v>25</v>
      </c>
      <c r="F7" s="115">
        <v>322551</v>
      </c>
      <c r="G7" s="115">
        <v>322551</v>
      </c>
      <c r="H7" s="115">
        <v>5359271</v>
      </c>
      <c r="I7" s="115">
        <v>3751823</v>
      </c>
      <c r="J7" s="115">
        <v>2357827</v>
      </c>
      <c r="K7" s="115">
        <v>2108766</v>
      </c>
      <c r="L7" s="115">
        <v>1699624</v>
      </c>
      <c r="M7" s="115">
        <v>1416058</v>
      </c>
      <c r="N7" s="6">
        <f t="shared" si="16"/>
        <v>2096581.5</v>
      </c>
      <c r="O7" s="6">
        <f t="shared" si="17"/>
        <v>8063775</v>
      </c>
      <c r="P7" s="115">
        <v>20742337</v>
      </c>
      <c r="Q7" s="115">
        <v>19819733</v>
      </c>
      <c r="R7" s="115">
        <v>10481612</v>
      </c>
      <c r="S7" s="115">
        <v>10283270</v>
      </c>
      <c r="T7" s="115">
        <v>10600525</v>
      </c>
      <c r="U7" s="115">
        <v>12118312</v>
      </c>
      <c r="V7" s="115">
        <v>46002475</v>
      </c>
      <c r="W7" s="115">
        <v>49899168</v>
      </c>
      <c r="X7" s="6">
        <f>5998760+32454666</f>
        <v>38453426</v>
      </c>
      <c r="Y7" s="6">
        <f>6116669+34543958</f>
        <v>40660627</v>
      </c>
      <c r="Z7" s="115">
        <v>394001</v>
      </c>
      <c r="AA7" s="115">
        <v>487562</v>
      </c>
      <c r="AB7" s="115">
        <v>40602803</v>
      </c>
      <c r="AC7" s="115">
        <v>43183855</v>
      </c>
      <c r="AD7" s="115">
        <v>5399672</v>
      </c>
      <c r="AE7" s="115">
        <v>6715313</v>
      </c>
      <c r="AF7" s="42">
        <f t="shared" si="18"/>
        <v>1.2335560688717033</v>
      </c>
      <c r="AG7" s="42">
        <f t="shared" si="3"/>
        <v>5.6945231056919985</v>
      </c>
      <c r="AH7" s="43">
        <f t="shared" si="4"/>
        <v>5.26931865038397</v>
      </c>
      <c r="AI7" s="43">
        <f t="shared" si="5"/>
        <v>4.3901832578413957</v>
      </c>
      <c r="AJ7" s="42">
        <f t="shared" si="6"/>
        <v>5.4522619128917149E-2</v>
      </c>
      <c r="AK7" s="42">
        <f t="shared" si="7"/>
        <v>0.19831900280337536</v>
      </c>
      <c r="AL7" s="42">
        <f t="shared" si="8"/>
        <v>0.38827941771277957</v>
      </c>
      <c r="AM7" s="42">
        <f t="shared" si="9"/>
        <v>1.2008040429388771</v>
      </c>
      <c r="AN7" s="42">
        <f t="shared" si="10"/>
        <v>0.53941453747190171</v>
      </c>
      <c r="AO7" s="42">
        <f t="shared" si="11"/>
        <v>0.48744287686463861</v>
      </c>
      <c r="AP7" s="42">
        <f t="shared" si="0"/>
        <v>0.27257940553853383</v>
      </c>
      <c r="AQ7" s="42">
        <f t="shared" si="0"/>
        <v>0.25290485559900489</v>
      </c>
      <c r="AR7" s="42">
        <f t="shared" si="1"/>
        <v>0.27567179579785689</v>
      </c>
      <c r="AS7" s="42">
        <f t="shared" si="1"/>
        <v>0.29803554185231823</v>
      </c>
      <c r="AT7" s="44">
        <f t="shared" si="2"/>
        <v>3.6946359951285229E-2</v>
      </c>
      <c r="AU7" s="44">
        <f t="shared" si="2"/>
        <v>2.837838899438163E-2</v>
      </c>
      <c r="AV7" s="44">
        <f t="shared" si="12"/>
        <v>0.26224889215493091</v>
      </c>
      <c r="AW7" s="44">
        <f t="shared" si="13"/>
        <v>0.31220905116410808</v>
      </c>
      <c r="AX7" s="42">
        <f t="shared" si="14"/>
        <v>0.56004706610283372</v>
      </c>
      <c r="AY7" s="45">
        <f t="shared" si="15"/>
        <v>0.43793563822173914</v>
      </c>
    </row>
    <row r="8" spans="2:51" x14ac:dyDescent="0.25">
      <c r="B8" s="40" t="s">
        <v>122</v>
      </c>
      <c r="C8" s="2" t="s">
        <v>127</v>
      </c>
      <c r="D8" s="223">
        <v>6.37</v>
      </c>
      <c r="E8" s="41">
        <f>C63</f>
        <v>20.11</v>
      </c>
      <c r="F8" s="115">
        <v>265000</v>
      </c>
      <c r="G8" s="115">
        <v>265000</v>
      </c>
      <c r="H8" s="115">
        <v>4476729</v>
      </c>
      <c r="I8" s="115">
        <v>4346527</v>
      </c>
      <c r="J8" s="115">
        <v>1892018</v>
      </c>
      <c r="K8" s="115">
        <v>2023672</v>
      </c>
      <c r="L8" s="115">
        <v>1200872</v>
      </c>
      <c r="M8" s="115">
        <v>1297420</v>
      </c>
      <c r="N8" s="6">
        <f t="shared" si="16"/>
        <v>1688050</v>
      </c>
      <c r="O8" s="6">
        <f t="shared" si="17"/>
        <v>5329150</v>
      </c>
      <c r="P8" s="115">
        <v>14443976</v>
      </c>
      <c r="Q8" s="115">
        <v>11242971</v>
      </c>
      <c r="R8" s="115">
        <v>13473412</v>
      </c>
      <c r="S8" s="115">
        <v>19339862</v>
      </c>
      <c r="T8" s="115">
        <v>10229504</v>
      </c>
      <c r="U8" s="115">
        <v>13768492</v>
      </c>
      <c r="V8" s="115">
        <v>42796072</v>
      </c>
      <c r="W8" s="115">
        <v>50229864</v>
      </c>
      <c r="X8" s="6">
        <f>558181+33970718</f>
        <v>34528899</v>
      </c>
      <c r="Y8" s="6">
        <f>217854+37539455</f>
        <v>37757309</v>
      </c>
      <c r="Z8" s="115">
        <v>2742194</v>
      </c>
      <c r="AA8" s="115">
        <v>5132199</v>
      </c>
      <c r="AB8" s="115">
        <v>38453734</v>
      </c>
      <c r="AC8" s="115">
        <v>44563707</v>
      </c>
      <c r="AD8" s="115">
        <v>4342338</v>
      </c>
      <c r="AE8" s="115">
        <v>5666157</v>
      </c>
      <c r="AF8" s="42">
        <f t="shared" si="18"/>
        <v>1.4056868675429188</v>
      </c>
      <c r="AG8" s="42">
        <f t="shared" si="3"/>
        <v>4.1074979574848545</v>
      </c>
      <c r="AH8" s="43">
        <f t="shared" si="4"/>
        <v>4.5315924528301883</v>
      </c>
      <c r="AI8" s="43">
        <f t="shared" si="5"/>
        <v>4.8959245283018866</v>
      </c>
      <c r="AJ8" s="42">
        <f t="shared" si="6"/>
        <v>4.8888034339003975E-2</v>
      </c>
      <c r="AK8" s="42">
        <f t="shared" si="7"/>
        <v>0.14114220904884933</v>
      </c>
      <c r="AL8" s="42">
        <f t="shared" si="8"/>
        <v>0.38874219372144686</v>
      </c>
      <c r="AM8" s="42">
        <f t="shared" si="9"/>
        <v>0.94052282702367762</v>
      </c>
      <c r="AN8" s="42">
        <f t="shared" si="10"/>
        <v>0.41831556806951764</v>
      </c>
      <c r="AO8" s="42">
        <f t="shared" si="11"/>
        <v>0.29776939347028147</v>
      </c>
      <c r="AP8" s="42">
        <f t="shared" si="0"/>
        <v>0.39020682356538505</v>
      </c>
      <c r="AQ8" s="42">
        <f t="shared" si="0"/>
        <v>0.51221505219029251</v>
      </c>
      <c r="AR8" s="42">
        <f t="shared" si="1"/>
        <v>0.29625920015578833</v>
      </c>
      <c r="AS8" s="42">
        <f t="shared" si="1"/>
        <v>0.36465766138153544</v>
      </c>
      <c r="AT8" s="44">
        <f t="shared" si="2"/>
        <v>2.8060332266007966E-2</v>
      </c>
      <c r="AU8" s="44">
        <f t="shared" si="2"/>
        <v>2.5829653848953284E-2</v>
      </c>
      <c r="AV8" s="44">
        <f t="shared" si="12"/>
        <v>0.29878374276714526</v>
      </c>
      <c r="AW8" s="44">
        <f t="shared" si="13"/>
        <v>0.29791797156344241</v>
      </c>
      <c r="AX8" s="42">
        <f t="shared" si="14"/>
        <v>0.57736597412977197</v>
      </c>
      <c r="AY8" s="45">
        <f t="shared" si="15"/>
        <v>0.53441632825471919</v>
      </c>
    </row>
    <row r="9" spans="2:51" x14ac:dyDescent="0.25">
      <c r="B9" s="40" t="s">
        <v>123</v>
      </c>
      <c r="C9" s="2" t="s">
        <v>131</v>
      </c>
      <c r="D9" s="223">
        <v>0.66</v>
      </c>
      <c r="E9" s="41">
        <f>C73</f>
        <v>1.3</v>
      </c>
      <c r="F9" s="115">
        <v>852000</v>
      </c>
      <c r="G9" s="115">
        <v>852000</v>
      </c>
      <c r="H9" s="115">
        <v>869167</v>
      </c>
      <c r="I9" s="115">
        <v>749789</v>
      </c>
      <c r="J9" s="115">
        <v>329039</v>
      </c>
      <c r="K9" s="115">
        <v>308561</v>
      </c>
      <c r="L9" s="115">
        <v>210679</v>
      </c>
      <c r="M9" s="115">
        <v>202378</v>
      </c>
      <c r="N9" s="6">
        <f t="shared" si="16"/>
        <v>562320</v>
      </c>
      <c r="O9" s="6">
        <f t="shared" si="17"/>
        <v>1107600</v>
      </c>
      <c r="P9" s="115">
        <v>4470758</v>
      </c>
      <c r="Q9" s="115">
        <v>4024490</v>
      </c>
      <c r="R9" s="115">
        <v>1627456</v>
      </c>
      <c r="S9" s="115">
        <v>1790105</v>
      </c>
      <c r="T9" s="115">
        <v>3054049</v>
      </c>
      <c r="U9" s="115">
        <v>3121579</v>
      </c>
      <c r="V9" s="115">
        <v>9593329</v>
      </c>
      <c r="W9" s="115">
        <v>9832466</v>
      </c>
      <c r="X9" s="115">
        <v>6056125</v>
      </c>
      <c r="Y9" s="115">
        <v>6001396</v>
      </c>
      <c r="Z9" s="115">
        <v>1732880</v>
      </c>
      <c r="AA9" s="115">
        <v>1790105</v>
      </c>
      <c r="AB9" s="115">
        <v>8537633</v>
      </c>
      <c r="AC9" s="115">
        <v>8574392</v>
      </c>
      <c r="AD9" s="115">
        <v>1055696</v>
      </c>
      <c r="AE9" s="115">
        <v>1258074</v>
      </c>
      <c r="AF9" s="42">
        <f t="shared" si="18"/>
        <v>2.669084246650117</v>
      </c>
      <c r="AG9" s="42">
        <f t="shared" si="3"/>
        <v>5.4729268991688818</v>
      </c>
      <c r="AH9" s="43">
        <f t="shared" si="4"/>
        <v>0.24727582159624414</v>
      </c>
      <c r="AI9" s="43">
        <f t="shared" si="5"/>
        <v>0.23753286384976527</v>
      </c>
      <c r="AJ9" s="42">
        <f t="shared" si="6"/>
        <v>9.2851452042353816E-2</v>
      </c>
      <c r="AK9" s="42">
        <f t="shared" si="7"/>
        <v>0.18455705972410419</v>
      </c>
      <c r="AL9" s="42">
        <f t="shared" si="8"/>
        <v>0.53265333959776295</v>
      </c>
      <c r="AM9" s="42">
        <f t="shared" si="9"/>
        <v>0.88039336318849293</v>
      </c>
      <c r="AN9" s="42">
        <f t="shared" si="10"/>
        <v>0.73822089207207575</v>
      </c>
      <c r="AO9" s="42">
        <f t="shared" si="11"/>
        <v>0.67059230885613952</v>
      </c>
      <c r="AP9" s="42">
        <f t="shared" si="0"/>
        <v>0.26872893145369359</v>
      </c>
      <c r="AQ9" s="42">
        <f t="shared" si="0"/>
        <v>0.29828143318654526</v>
      </c>
      <c r="AR9" s="42">
        <f t="shared" si="1"/>
        <v>0.50429094511754624</v>
      </c>
      <c r="AS9" s="42">
        <f t="shared" si="1"/>
        <v>0.52014214692714833</v>
      </c>
      <c r="AT9" s="44">
        <f t="shared" si="2"/>
        <v>2.1960989766951596E-2</v>
      </c>
      <c r="AU9" s="44">
        <f t="shared" si="2"/>
        <v>2.0582629016972956E-2</v>
      </c>
      <c r="AV9" s="44">
        <f t="shared" si="12"/>
        <v>0.19170101999060335</v>
      </c>
      <c r="AW9" s="44">
        <f t="shared" si="13"/>
        <v>0.44696893823415795</v>
      </c>
      <c r="AX9" s="42">
        <f t="shared" si="14"/>
        <v>0.62143178468579685</v>
      </c>
      <c r="AY9" s="45">
        <f t="shared" si="15"/>
        <v>0.58846955610178331</v>
      </c>
    </row>
    <row r="10" spans="2:51" x14ac:dyDescent="0.25">
      <c r="B10" s="40" t="s">
        <v>124</v>
      </c>
      <c r="C10" s="2" t="s">
        <v>132</v>
      </c>
      <c r="D10" s="223">
        <v>1.5</v>
      </c>
      <c r="E10" s="41">
        <f>C78</f>
        <v>4.49</v>
      </c>
      <c r="F10" s="115">
        <v>709141.36699999997</v>
      </c>
      <c r="G10" s="115">
        <v>709141.36699999997</v>
      </c>
      <c r="H10" s="115">
        <v>1455550.9439999999</v>
      </c>
      <c r="I10" s="115">
        <v>1035792</v>
      </c>
      <c r="J10" s="115">
        <v>838400.95200000005</v>
      </c>
      <c r="K10" s="115">
        <v>529984</v>
      </c>
      <c r="L10" s="115">
        <v>551299.24699999997</v>
      </c>
      <c r="M10" s="115">
        <v>344303</v>
      </c>
      <c r="N10" s="6">
        <f t="shared" si="16"/>
        <v>1063712.0504999999</v>
      </c>
      <c r="O10" s="6">
        <f t="shared" si="17"/>
        <v>3184044.73783</v>
      </c>
      <c r="P10" s="115">
        <v>3579482.591</v>
      </c>
      <c r="Q10" s="115">
        <v>2592298</v>
      </c>
      <c r="R10" s="115">
        <v>780949.30799999996</v>
      </c>
      <c r="S10" s="115">
        <v>2352500</v>
      </c>
      <c r="T10" s="115">
        <v>5011684.4589999998</v>
      </c>
      <c r="U10" s="115">
        <v>4319635</v>
      </c>
      <c r="V10" s="115">
        <v>10396290.693</v>
      </c>
      <c r="W10" s="115">
        <v>10520259</v>
      </c>
      <c r="X10" s="6">
        <f>30764.48+6219856.675</f>
        <v>6250621.1550000003</v>
      </c>
      <c r="Y10" s="6">
        <f>10357+6254001</f>
        <v>6264358</v>
      </c>
      <c r="Z10" s="115">
        <v>520138.679</v>
      </c>
      <c r="AA10" s="115">
        <v>371418</v>
      </c>
      <c r="AB10" s="115">
        <v>7950408.7699999996</v>
      </c>
      <c r="AC10" s="115">
        <v>7971182</v>
      </c>
      <c r="AD10" s="115">
        <v>2445881.923</v>
      </c>
      <c r="AE10" s="115">
        <v>2549077</v>
      </c>
      <c r="AF10" s="42">
        <f t="shared" si="18"/>
        <v>1.9294640003380958</v>
      </c>
      <c r="AG10" s="42">
        <f t="shared" si="3"/>
        <v>9.247798415436403</v>
      </c>
      <c r="AH10" s="43">
        <f t="shared" si="4"/>
        <v>0.77741797708439142</v>
      </c>
      <c r="AI10" s="43">
        <f t="shared" si="5"/>
        <v>0.48552096383343551</v>
      </c>
      <c r="AJ10" s="42">
        <f t="shared" si="6"/>
        <v>0.17017701507139252</v>
      </c>
      <c r="AK10" s="42">
        <f t="shared" si="7"/>
        <v>0.50827949772825887</v>
      </c>
      <c r="AL10" s="42">
        <f t="shared" si="8"/>
        <v>0.43489918319331716</v>
      </c>
      <c r="AM10" s="42">
        <f t="shared" si="9"/>
        <v>1.2490971194004732</v>
      </c>
      <c r="AN10" s="42">
        <f t="shared" si="10"/>
        <v>0.57266030083053399</v>
      </c>
      <c r="AO10" s="42">
        <f t="shared" si="11"/>
        <v>0.41381702642154233</v>
      </c>
      <c r="AP10" s="42">
        <f t="shared" si="0"/>
        <v>0.12493947219554373</v>
      </c>
      <c r="AQ10" s="42">
        <f t="shared" si="0"/>
        <v>0.37553728570429723</v>
      </c>
      <c r="AR10" s="42">
        <f t="shared" si="1"/>
        <v>0.80178982771833007</v>
      </c>
      <c r="AS10" s="42">
        <f t="shared" si="1"/>
        <v>0.68955749336165018</v>
      </c>
      <c r="AT10" s="44">
        <f t="shared" si="2"/>
        <v>5.3028456329255895E-2</v>
      </c>
      <c r="AU10" s="44">
        <f t="shared" si="2"/>
        <v>3.2727616306784842E-2</v>
      </c>
      <c r="AV10" s="44">
        <f t="shared" si="12"/>
        <v>0.14076844706292879</v>
      </c>
      <c r="AW10" s="44">
        <f t="shared" si="13"/>
        <v>0.41729302429859905</v>
      </c>
      <c r="AX10" s="42">
        <f t="shared" si="14"/>
        <v>0.42399752103764216</v>
      </c>
      <c r="AY10" s="45">
        <f t="shared" si="15"/>
        <v>0.48832970326088637</v>
      </c>
    </row>
    <row r="11" spans="2:51" x14ac:dyDescent="0.25">
      <c r="B11" s="40" t="s">
        <v>125</v>
      </c>
      <c r="C11" s="2" t="s">
        <v>133</v>
      </c>
      <c r="D11" s="223">
        <v>23</v>
      </c>
      <c r="E11" s="41">
        <f>C75</f>
        <v>29.22</v>
      </c>
      <c r="F11" s="115">
        <v>134758</v>
      </c>
      <c r="G11" s="115">
        <v>134758</v>
      </c>
      <c r="H11" s="115">
        <v>1807200</v>
      </c>
      <c r="I11" s="115">
        <v>1389328</v>
      </c>
      <c r="J11" s="115">
        <v>1022155</v>
      </c>
      <c r="K11" s="115">
        <v>793072</v>
      </c>
      <c r="L11" s="115">
        <v>716148</v>
      </c>
      <c r="M11" s="115">
        <v>508571</v>
      </c>
      <c r="N11" s="6">
        <f t="shared" si="16"/>
        <v>3099434</v>
      </c>
      <c r="O11" s="6">
        <f t="shared" si="17"/>
        <v>3937628.76</v>
      </c>
      <c r="P11" s="115">
        <v>4593873</v>
      </c>
      <c r="Q11" s="115">
        <v>5809442</v>
      </c>
      <c r="R11" s="115">
        <v>3680729</v>
      </c>
      <c r="S11" s="115">
        <v>5471846</v>
      </c>
      <c r="T11" s="6">
        <f>2532470+2305886</f>
        <v>4838356</v>
      </c>
      <c r="U11" s="6">
        <f>1652890+2040091</f>
        <v>3692981</v>
      </c>
      <c r="V11" s="115">
        <v>14303463</v>
      </c>
      <c r="W11" s="115">
        <v>16560337</v>
      </c>
      <c r="X11" s="6">
        <f>124582+11308032</f>
        <v>11432614</v>
      </c>
      <c r="Y11" s="6">
        <f>181852+12680660</f>
        <v>12862512</v>
      </c>
      <c r="Z11" s="115">
        <v>0</v>
      </c>
      <c r="AA11" s="115">
        <v>0</v>
      </c>
      <c r="AB11" s="115">
        <v>12250714</v>
      </c>
      <c r="AC11" s="115">
        <v>14140304</v>
      </c>
      <c r="AD11" s="115">
        <v>2052749</v>
      </c>
      <c r="AE11" s="115">
        <v>2420033</v>
      </c>
      <c r="AF11" s="42">
        <f t="shared" si="18"/>
        <v>4.3279238369722464</v>
      </c>
      <c r="AG11" s="42">
        <f t="shared" si="3"/>
        <v>7.7425349852822904</v>
      </c>
      <c r="AH11" s="43">
        <f t="shared" si="4"/>
        <v>5.3143264221790174</v>
      </c>
      <c r="AI11" s="43">
        <f t="shared" si="5"/>
        <v>3.7739577613202928</v>
      </c>
      <c r="AJ11" s="42">
        <f t="shared" si="6"/>
        <v>0.27110457853295844</v>
      </c>
      <c r="AK11" s="42">
        <f t="shared" si="7"/>
        <v>0.30613217387085817</v>
      </c>
      <c r="AL11" s="42">
        <f t="shared" si="8"/>
        <v>1.5098942929700612</v>
      </c>
      <c r="AM11" s="42">
        <f t="shared" si="9"/>
        <v>1.62709713462585</v>
      </c>
      <c r="AN11" s="42">
        <f t="shared" si="10"/>
        <v>0.40182175310038459</v>
      </c>
      <c r="AO11" s="42">
        <f t="shared" si="11"/>
        <v>0.45165687697706325</v>
      </c>
      <c r="AP11" s="42">
        <f t="shared" si="0"/>
        <v>0.32194990576958166</v>
      </c>
      <c r="AQ11" s="42">
        <f t="shared" si="0"/>
        <v>0.42541037085135469</v>
      </c>
      <c r="AR11" s="42">
        <f t="shared" si="1"/>
        <v>0.4232064512980146</v>
      </c>
      <c r="AS11" s="42">
        <f t="shared" si="1"/>
        <v>0.28711195760206093</v>
      </c>
      <c r="AT11" s="44">
        <f t="shared" si="2"/>
        <v>5.0068154823765407E-2</v>
      </c>
      <c r="AU11" s="44">
        <f t="shared" si="2"/>
        <v>3.0710184219077185E-2</v>
      </c>
      <c r="AV11" s="44">
        <f t="shared" si="12"/>
        <v>0.24775118633598164</v>
      </c>
      <c r="AW11" s="44">
        <f t="shared" si="13"/>
        <v>1.280740386598034</v>
      </c>
      <c r="AX11" s="42">
        <f t="shared" si="14"/>
        <v>0.43439851704293936</v>
      </c>
      <c r="AY11" s="45">
        <f t="shared" si="15"/>
        <v>0.42916863404466044</v>
      </c>
    </row>
    <row r="12" spans="2:51" x14ac:dyDescent="0.25">
      <c r="B12" s="40"/>
      <c r="AH12" s="43"/>
      <c r="AI12" s="43"/>
      <c r="AJ12" s="42"/>
      <c r="AK12" s="42"/>
      <c r="AN12" s="42"/>
      <c r="AO12" s="42"/>
      <c r="AP12" s="42"/>
      <c r="AQ12" s="42"/>
      <c r="AR12" s="42"/>
      <c r="AS12" s="42"/>
      <c r="AT12" s="44"/>
      <c r="AU12" s="44"/>
      <c r="AV12" s="44"/>
      <c r="AW12" s="44"/>
      <c r="AX12" s="42"/>
      <c r="AY12" s="45"/>
    </row>
    <row r="13" spans="2:51" x14ac:dyDescent="0.25">
      <c r="B13" s="46" t="s">
        <v>134</v>
      </c>
      <c r="C13" s="47" t="s">
        <v>135</v>
      </c>
      <c r="D13" s="48">
        <f>C61</f>
        <v>7.97</v>
      </c>
      <c r="E13" s="48">
        <f>C61</f>
        <v>7.97</v>
      </c>
      <c r="F13" s="49">
        <f>'Quarterly Historical Financials'!AI34</f>
        <v>334173.89299999998</v>
      </c>
      <c r="G13" s="49">
        <f>'Quarterly Historical Financials'!AJ34</f>
        <v>349617.462</v>
      </c>
      <c r="H13" s="49">
        <f>'Quarterly Historical Financials'!AI17</f>
        <v>1092802</v>
      </c>
      <c r="I13" s="49">
        <f>'Quarterly Historical Financials'!AJ17</f>
        <v>1302415.3860000002</v>
      </c>
      <c r="J13" s="49">
        <f>'Quarterly Historical Financials'!AI27</f>
        <v>539302</v>
      </c>
      <c r="K13" s="49">
        <f>'Quarterly Historical Financials'!AJ27</f>
        <v>702994.45400000026</v>
      </c>
      <c r="L13" s="49">
        <f>'Quarterly Historical Financials'!AI32</f>
        <v>336679</v>
      </c>
      <c r="M13" s="49">
        <f>'Quarterly Historical Financials'!AJ32</f>
        <v>482871.0640000003</v>
      </c>
      <c r="N13" s="49">
        <f t="shared" ref="N13" si="19">D13*F13</f>
        <v>2663365.9272099999</v>
      </c>
      <c r="O13" s="49">
        <f t="shared" ref="O13" si="20">E13*G13</f>
        <v>2786451.1721399999</v>
      </c>
      <c r="P13" s="49">
        <f>'Quarterly Historical Financials'!AI41</f>
        <v>4600045</v>
      </c>
      <c r="Q13" s="49">
        <f>'Quarterly Historical Financials'!AJ41</f>
        <v>8104418.8439999996</v>
      </c>
      <c r="R13" s="49">
        <f>'Quarterly Historical Financials'!AI43</f>
        <v>2647258</v>
      </c>
      <c r="S13" s="49">
        <f>'Quarterly Historical Financials'!AJ43</f>
        <v>3178870.372</v>
      </c>
      <c r="T13" s="49">
        <f>'Quarterly Historical Financials'!AI44</f>
        <v>1927368</v>
      </c>
      <c r="U13" s="49">
        <f>'Quarterly Historical Financials'!AJ44</f>
        <v>1947024.824</v>
      </c>
      <c r="V13" s="49">
        <f>'Quarterly Historical Financials'!AI56</f>
        <v>13323325</v>
      </c>
      <c r="W13" s="49">
        <f>'Quarterly Historical Financials'!AJ56</f>
        <v>19192991.557999998</v>
      </c>
      <c r="X13" s="49">
        <f>'Quarterly Historical Financials'!AI59+'Quarterly Historical Financials'!AI60</f>
        <v>11611039</v>
      </c>
      <c r="Y13" s="49">
        <f>'Quarterly Historical Financials'!AJ59+'Quarterly Historical Financials'!AJ60</f>
        <v>16642449.622</v>
      </c>
      <c r="Z13" s="224">
        <v>0</v>
      </c>
      <c r="AA13" s="224">
        <v>0</v>
      </c>
      <c r="AB13" s="49">
        <f>'Quarterly Historical Financials'!AI66</f>
        <v>11726491</v>
      </c>
      <c r="AC13" s="49">
        <f>'Quarterly Historical Financials'!AJ66</f>
        <v>16984596.894000001</v>
      </c>
      <c r="AD13" s="49">
        <f>'Quarterly Historical Financials'!AI76</f>
        <v>1596834</v>
      </c>
      <c r="AE13" s="49">
        <f>'Quarterly Historical Financials'!AJ76</f>
        <v>2208394.665</v>
      </c>
      <c r="AF13" s="50">
        <f t="shared" ref="AF13" si="21">N13/L13</f>
        <v>7.9106981047525977</v>
      </c>
      <c r="AG13" s="50">
        <f t="shared" ref="AG13" si="22">O13/M13</f>
        <v>5.7705904948158135</v>
      </c>
      <c r="AH13" s="51">
        <f t="shared" si="4"/>
        <v>1.0074964174415624</v>
      </c>
      <c r="AI13" s="51">
        <f t="shared" si="5"/>
        <v>1.3811411513535909</v>
      </c>
      <c r="AJ13" s="50">
        <f t="shared" si="6"/>
        <v>0.22938222214308296</v>
      </c>
      <c r="AK13" s="50">
        <f t="shared" si="7"/>
        <v>0.16743035042488771</v>
      </c>
      <c r="AL13" s="50">
        <f t="shared" ref="AL13" si="23">N13/AD13</f>
        <v>1.6679040696841374</v>
      </c>
      <c r="AM13" s="50">
        <f t="shared" ref="AM13" si="24">O13/AE13</f>
        <v>1.2617541675414254</v>
      </c>
      <c r="AN13" s="50">
        <f t="shared" si="10"/>
        <v>0.39617858487944102</v>
      </c>
      <c r="AO13" s="50">
        <f t="shared" si="11"/>
        <v>0.48697271303658329</v>
      </c>
      <c r="AP13" s="50">
        <f>R13/X13</f>
        <v>0.22799492793022227</v>
      </c>
      <c r="AQ13" s="50">
        <f>S13/Y13</f>
        <v>0.19100976383895946</v>
      </c>
      <c r="AR13" s="50">
        <f>T13/X13</f>
        <v>0.16599444718082507</v>
      </c>
      <c r="AS13" s="50">
        <f>U13/Y13</f>
        <v>0.11699148071484546</v>
      </c>
      <c r="AT13" s="52">
        <f>L13/V13</f>
        <v>2.5269893213593454E-2</v>
      </c>
      <c r="AU13" s="52">
        <f>M13/W13</f>
        <v>2.515871809461254E-2</v>
      </c>
      <c r="AV13" s="52">
        <f t="shared" si="12"/>
        <v>0.30239277470294362</v>
      </c>
      <c r="AW13" s="52">
        <f t="shared" si="13"/>
        <v>1.2060190007794642</v>
      </c>
      <c r="AX13" s="50">
        <f t="shared" si="14"/>
        <v>0.50649614477279503</v>
      </c>
      <c r="AY13" s="53">
        <f t="shared" si="15"/>
        <v>0.46023790753958416</v>
      </c>
    </row>
    <row r="15" spans="2:51" x14ac:dyDescent="0.25">
      <c r="B15" s="54" t="s">
        <v>140</v>
      </c>
      <c r="C15" s="3" t="s">
        <v>150</v>
      </c>
      <c r="D15" s="55">
        <f>MIN(D$4:D$11)</f>
        <v>0.35</v>
      </c>
      <c r="E15" s="55">
        <f t="shared" ref="E15:F15" si="25">MIN(E$4:E$11)</f>
        <v>0.64</v>
      </c>
      <c r="F15" s="15">
        <f t="shared" si="25"/>
        <v>134758</v>
      </c>
      <c r="G15" s="15">
        <f>MIN(G$4:G$11)</f>
        <v>134758</v>
      </c>
      <c r="H15" s="15">
        <f t="shared" ref="H15:AY15" si="26">MIN(H$4:H$11)</f>
        <v>802511</v>
      </c>
      <c r="I15" s="15">
        <f t="shared" si="26"/>
        <v>564814</v>
      </c>
      <c r="J15" s="15">
        <f t="shared" si="26"/>
        <v>-255091</v>
      </c>
      <c r="K15" s="15">
        <f t="shared" si="26"/>
        <v>308561</v>
      </c>
      <c r="L15" s="15">
        <f t="shared" si="26"/>
        <v>35061</v>
      </c>
      <c r="M15" s="15">
        <f t="shared" si="26"/>
        <v>202378</v>
      </c>
      <c r="N15" s="15">
        <f t="shared" si="26"/>
        <v>298926.25</v>
      </c>
      <c r="O15" s="15">
        <f t="shared" si="26"/>
        <v>546608</v>
      </c>
      <c r="P15" s="15">
        <f t="shared" si="26"/>
        <v>2808619</v>
      </c>
      <c r="Q15" s="15">
        <f t="shared" si="26"/>
        <v>2217340</v>
      </c>
      <c r="R15" s="15">
        <f t="shared" si="26"/>
        <v>780949.30799999996</v>
      </c>
      <c r="S15" s="15">
        <f t="shared" si="26"/>
        <v>1790105</v>
      </c>
      <c r="T15" s="15">
        <f t="shared" si="26"/>
        <v>2101996</v>
      </c>
      <c r="U15" s="15">
        <f t="shared" si="26"/>
        <v>1275992</v>
      </c>
      <c r="V15" s="15">
        <f t="shared" si="26"/>
        <v>9593329</v>
      </c>
      <c r="W15" s="15">
        <f t="shared" si="26"/>
        <v>9832466</v>
      </c>
      <c r="X15" s="15">
        <f t="shared" si="26"/>
        <v>6056125</v>
      </c>
      <c r="Y15" s="15">
        <f t="shared" si="26"/>
        <v>6001396</v>
      </c>
      <c r="Z15" s="15">
        <f t="shared" si="26"/>
        <v>0</v>
      </c>
      <c r="AA15" s="15">
        <f t="shared" si="26"/>
        <v>0</v>
      </c>
      <c r="AB15" s="15">
        <f t="shared" si="26"/>
        <v>7950408.7699999996</v>
      </c>
      <c r="AC15" s="15">
        <f t="shared" si="26"/>
        <v>7971182</v>
      </c>
      <c r="AD15" s="15">
        <f t="shared" si="26"/>
        <v>272564</v>
      </c>
      <c r="AE15" s="15">
        <f t="shared" si="26"/>
        <v>496441</v>
      </c>
      <c r="AF15" s="56">
        <f t="shared" si="26"/>
        <v>1.1165630135962947</v>
      </c>
      <c r="AG15" s="56">
        <f t="shared" si="26"/>
        <v>2.4415549609830398</v>
      </c>
      <c r="AH15" s="57">
        <f t="shared" si="26"/>
        <v>2.1117043513998034E-2</v>
      </c>
      <c r="AI15" s="57">
        <f t="shared" si="26"/>
        <v>0.17</v>
      </c>
      <c r="AJ15" s="56">
        <f t="shared" si="26"/>
        <v>3.0952228100684792E-2</v>
      </c>
      <c r="AK15" s="56">
        <f t="shared" si="26"/>
        <v>6.2587429041996975E-2</v>
      </c>
      <c r="AL15" s="56">
        <f t="shared" si="26"/>
        <v>0.38827941771277957</v>
      </c>
      <c r="AM15" s="56">
        <f t="shared" si="26"/>
        <v>0.88039336318849293</v>
      </c>
      <c r="AN15" s="56">
        <f t="shared" si="26"/>
        <v>0.29081760446236227</v>
      </c>
      <c r="AO15" s="56">
        <f t="shared" si="26"/>
        <v>0.25388872814152291</v>
      </c>
      <c r="AP15" s="56">
        <f t="shared" si="26"/>
        <v>0.12493947219554373</v>
      </c>
      <c r="AQ15" s="56">
        <f t="shared" si="26"/>
        <v>0.25290485559900489</v>
      </c>
      <c r="AR15" s="56">
        <f t="shared" si="26"/>
        <v>0.21372667927678207</v>
      </c>
      <c r="AS15" s="56">
        <f t="shared" si="26"/>
        <v>0.14610298195078703</v>
      </c>
      <c r="AT15" s="58">
        <f t="shared" si="26"/>
        <v>2.4006528822726977E-3</v>
      </c>
      <c r="AU15" s="58">
        <f t="shared" si="26"/>
        <v>1.7398689590571642E-2</v>
      </c>
      <c r="AV15" s="58">
        <f t="shared" si="26"/>
        <v>0.14076844706292879</v>
      </c>
      <c r="AW15" s="58">
        <f t="shared" si="26"/>
        <v>0.29791797156344241</v>
      </c>
      <c r="AX15" s="56">
        <f t="shared" si="26"/>
        <v>0.42399752103764216</v>
      </c>
      <c r="AY15" s="59">
        <f t="shared" si="26"/>
        <v>0.37261470147694642</v>
      </c>
    </row>
    <row r="16" spans="2:51" x14ac:dyDescent="0.25">
      <c r="B16" s="40" t="s">
        <v>138</v>
      </c>
      <c r="C16" s="2" t="s">
        <v>151</v>
      </c>
      <c r="D16" s="41">
        <f>AVERAGE(D$4:D$11)</f>
        <v>6.08</v>
      </c>
      <c r="E16" s="41">
        <f t="shared" ref="E16:AY16" si="27">AVERAGE(E$4:E$11)</f>
        <v>12.752499999999998</v>
      </c>
      <c r="F16" s="6">
        <f t="shared" si="27"/>
        <v>621473.75175735285</v>
      </c>
      <c r="G16" s="6">
        <f t="shared" si="27"/>
        <v>621473.75175735285</v>
      </c>
      <c r="H16" s="6">
        <f t="shared" si="27"/>
        <v>2217895.8679999998</v>
      </c>
      <c r="I16" s="6">
        <f t="shared" si="27"/>
        <v>1779593.25</v>
      </c>
      <c r="J16" s="6">
        <f t="shared" si="27"/>
        <v>944713.49399999995</v>
      </c>
      <c r="K16" s="6">
        <f t="shared" si="27"/>
        <v>905861.875</v>
      </c>
      <c r="L16" s="6">
        <f t="shared" si="27"/>
        <v>652289.40587499994</v>
      </c>
      <c r="M16" s="6">
        <f t="shared" si="27"/>
        <v>589689</v>
      </c>
      <c r="N16" s="6">
        <f t="shared" si="27"/>
        <v>2264344.4368272061</v>
      </c>
      <c r="O16" s="6">
        <f t="shared" si="27"/>
        <v>4173494.3989934558</v>
      </c>
      <c r="P16" s="6">
        <f t="shared" si="27"/>
        <v>7720081.6988749998</v>
      </c>
      <c r="Q16" s="6">
        <f t="shared" si="27"/>
        <v>7052228.375</v>
      </c>
      <c r="R16" s="6">
        <f t="shared" si="27"/>
        <v>5537793.2884999998</v>
      </c>
      <c r="S16" s="6">
        <f t="shared" si="27"/>
        <v>7135597.875</v>
      </c>
      <c r="T16" s="6">
        <f t="shared" si="27"/>
        <v>5263707.5573749999</v>
      </c>
      <c r="U16" s="6">
        <f t="shared" si="27"/>
        <v>5531053.5</v>
      </c>
      <c r="V16" s="6">
        <f t="shared" si="27"/>
        <v>20743368.211624999</v>
      </c>
      <c r="W16" s="6">
        <f t="shared" si="27"/>
        <v>22945410.375</v>
      </c>
      <c r="X16" s="6">
        <f t="shared" si="27"/>
        <v>16447910.144375</v>
      </c>
      <c r="Y16" s="6">
        <f t="shared" si="27"/>
        <v>17459558.875</v>
      </c>
      <c r="Z16" s="6">
        <f t="shared" si="27"/>
        <v>1101945.9598749999</v>
      </c>
      <c r="AA16" s="6">
        <f t="shared" si="27"/>
        <v>1422797.375</v>
      </c>
      <c r="AB16" s="6">
        <f t="shared" si="27"/>
        <v>18417784.846250001</v>
      </c>
      <c r="AC16" s="6">
        <f t="shared" si="27"/>
        <v>20095114.875</v>
      </c>
      <c r="AD16" s="6">
        <f t="shared" si="27"/>
        <v>2325583.3653750001</v>
      </c>
      <c r="AE16" s="6">
        <f t="shared" si="27"/>
        <v>2850295.5</v>
      </c>
      <c r="AF16" s="42">
        <f t="shared" si="27"/>
        <v>31.747979152631334</v>
      </c>
      <c r="AG16" s="42">
        <f t="shared" si="27"/>
        <v>8.8546998733780526</v>
      </c>
      <c r="AH16" s="43">
        <f t="shared" si="27"/>
        <v>2.4451439541709448</v>
      </c>
      <c r="AI16" s="43">
        <f t="shared" si="27"/>
        <v>2.094999224583352</v>
      </c>
      <c r="AJ16" s="42">
        <f t="shared" si="27"/>
        <v>0.17933409833914299</v>
      </c>
      <c r="AK16" s="42">
        <f t="shared" si="27"/>
        <v>0.28106015418380731</v>
      </c>
      <c r="AL16" s="42">
        <f t="shared" si="27"/>
        <v>1.4299089684737745</v>
      </c>
      <c r="AM16" s="42">
        <f t="shared" si="27"/>
        <v>1.7127480455586142</v>
      </c>
      <c r="AN16" s="42">
        <f t="shared" si="27"/>
        <v>0.48210524484477768</v>
      </c>
      <c r="AO16" s="42">
        <f t="shared" si="27"/>
        <v>0.42127345254465542</v>
      </c>
      <c r="AP16" s="42">
        <f t="shared" si="27"/>
        <v>0.32797966142904478</v>
      </c>
      <c r="AQ16" s="42">
        <f t="shared" si="27"/>
        <v>0.42340569732253452</v>
      </c>
      <c r="AR16" s="42">
        <f t="shared" si="27"/>
        <v>0.37671470641699845</v>
      </c>
      <c r="AS16" s="42">
        <f t="shared" si="27"/>
        <v>0.34201991174701196</v>
      </c>
      <c r="AT16" s="44">
        <f t="shared" si="27"/>
        <v>3.0973467542067007E-2</v>
      </c>
      <c r="AU16" s="44">
        <f t="shared" si="27"/>
        <v>2.4873655483007649E-2</v>
      </c>
      <c r="AV16" s="44">
        <f t="shared" si="27"/>
        <v>0.30441349298474057</v>
      </c>
      <c r="AW16" s="44">
        <f t="shared" si="27"/>
        <v>1.145612024065779</v>
      </c>
      <c r="AX16" s="42">
        <f t="shared" si="27"/>
        <v>0.60845573667043584</v>
      </c>
      <c r="AY16" s="45">
        <f t="shared" si="27"/>
        <v>0.4892171589472441</v>
      </c>
    </row>
    <row r="17" spans="2:51" x14ac:dyDescent="0.25">
      <c r="B17" s="40" t="s">
        <v>139</v>
      </c>
      <c r="C17" s="2" t="s">
        <v>152</v>
      </c>
      <c r="D17" s="41">
        <f>MEDIAN(D$4:D$11)</f>
        <v>5.13</v>
      </c>
      <c r="E17" s="41">
        <f t="shared" ref="E17:AY17" si="28">MEDIAN(E$4:E$11)</f>
        <v>10.629999999999999</v>
      </c>
      <c r="F17" s="6">
        <f t="shared" si="28"/>
        <v>515846.18349999998</v>
      </c>
      <c r="G17" s="6">
        <f t="shared" si="28"/>
        <v>515846.18349999998</v>
      </c>
      <c r="H17" s="6">
        <f t="shared" si="28"/>
        <v>1631375.4720000001</v>
      </c>
      <c r="I17" s="6">
        <f t="shared" si="28"/>
        <v>1199336.5</v>
      </c>
      <c r="J17" s="6">
        <f t="shared" si="28"/>
        <v>898800.97600000002</v>
      </c>
      <c r="K17" s="6">
        <f t="shared" si="28"/>
        <v>605489.5</v>
      </c>
      <c r="L17" s="6">
        <f t="shared" si="28"/>
        <v>544105.62349999999</v>
      </c>
      <c r="M17" s="6">
        <f t="shared" si="28"/>
        <v>393477</v>
      </c>
      <c r="N17" s="6">
        <f t="shared" si="28"/>
        <v>1375881.0252499999</v>
      </c>
      <c r="O17" s="6">
        <f t="shared" si="28"/>
        <v>3560836.7489149999</v>
      </c>
      <c r="P17" s="6">
        <f t="shared" si="28"/>
        <v>4532315.5</v>
      </c>
      <c r="Q17" s="6">
        <f t="shared" si="28"/>
        <v>5027727</v>
      </c>
      <c r="R17" s="6">
        <f t="shared" si="28"/>
        <v>4354952.5</v>
      </c>
      <c r="S17" s="6">
        <f t="shared" si="28"/>
        <v>5840138</v>
      </c>
      <c r="T17" s="6">
        <f t="shared" si="28"/>
        <v>4268687.5</v>
      </c>
      <c r="U17" s="6">
        <f t="shared" si="28"/>
        <v>3642115</v>
      </c>
      <c r="V17" s="6">
        <f t="shared" si="28"/>
        <v>14454120</v>
      </c>
      <c r="W17" s="6">
        <f t="shared" si="28"/>
        <v>16391526.5</v>
      </c>
      <c r="X17" s="6">
        <f t="shared" si="28"/>
        <v>11739249.5</v>
      </c>
      <c r="Y17" s="6">
        <f t="shared" si="28"/>
        <v>12856824.5</v>
      </c>
      <c r="Z17" s="6">
        <f t="shared" si="28"/>
        <v>944596</v>
      </c>
      <c r="AA17" s="6">
        <f t="shared" si="28"/>
        <v>1122183</v>
      </c>
      <c r="AB17" s="6">
        <f t="shared" si="28"/>
        <v>12788723</v>
      </c>
      <c r="AC17" s="6">
        <f t="shared" si="28"/>
        <v>14401360</v>
      </c>
      <c r="AD17" s="6">
        <f t="shared" si="28"/>
        <v>1905235</v>
      </c>
      <c r="AE17" s="6">
        <f t="shared" si="28"/>
        <v>2278501</v>
      </c>
      <c r="AF17" s="42">
        <f t="shared" si="28"/>
        <v>1.8070715269443856</v>
      </c>
      <c r="AG17" s="42">
        <f t="shared" si="28"/>
        <v>6.0302899431580057</v>
      </c>
      <c r="AH17" s="43">
        <f t="shared" si="28"/>
        <v>1.9320296551820342</v>
      </c>
      <c r="AI17" s="43">
        <f t="shared" si="28"/>
        <v>1.5151336760505631</v>
      </c>
      <c r="AJ17" s="42">
        <f t="shared" si="28"/>
        <v>8.0797258086044293E-2</v>
      </c>
      <c r="AK17" s="42">
        <f t="shared" si="28"/>
        <v>0.19602512852066734</v>
      </c>
      <c r="AL17" s="42">
        <f t="shared" si="28"/>
        <v>0.52362700358336722</v>
      </c>
      <c r="AM17" s="42">
        <f t="shared" si="28"/>
        <v>1.2249505811696753</v>
      </c>
      <c r="AN17" s="42">
        <f t="shared" si="28"/>
        <v>0.47886505277070968</v>
      </c>
      <c r="AO17" s="42">
        <f t="shared" si="28"/>
        <v>0.43273695169930282</v>
      </c>
      <c r="AP17" s="42">
        <f t="shared" si="28"/>
        <v>0.31888099299724415</v>
      </c>
      <c r="AQ17" s="42">
        <f t="shared" si="28"/>
        <v>0.42611752443822276</v>
      </c>
      <c r="AR17" s="42">
        <f t="shared" si="28"/>
        <v>0.28869070618741832</v>
      </c>
      <c r="AS17" s="42">
        <f t="shared" si="28"/>
        <v>0.29257374972718958</v>
      </c>
      <c r="AT17" s="44">
        <f t="shared" si="28"/>
        <v>3.023957212423365E-2</v>
      </c>
      <c r="AU17" s="44">
        <f t="shared" si="28"/>
        <v>2.4320899079437876E-2</v>
      </c>
      <c r="AV17" s="44">
        <f t="shared" si="28"/>
        <v>0.24979176530224875</v>
      </c>
      <c r="AW17" s="44">
        <f t="shared" si="28"/>
        <v>0.43512169923132021</v>
      </c>
      <c r="AX17" s="42">
        <f t="shared" si="28"/>
        <v>0.53632248218065404</v>
      </c>
      <c r="AY17" s="45">
        <f t="shared" si="28"/>
        <v>0.46618887448260382</v>
      </c>
    </row>
    <row r="18" spans="2:51" x14ac:dyDescent="0.25">
      <c r="B18" s="60" t="s">
        <v>141</v>
      </c>
      <c r="C18" s="61" t="s">
        <v>153</v>
      </c>
      <c r="D18" s="62">
        <f>MAX(D$4:D$11)</f>
        <v>23</v>
      </c>
      <c r="E18" s="62">
        <f t="shared" ref="E18:AY18" si="29">MAX(E$4:E$11)</f>
        <v>29.22</v>
      </c>
      <c r="F18" s="63">
        <f t="shared" si="29"/>
        <v>1660317.6470588234</v>
      </c>
      <c r="G18" s="63">
        <f t="shared" si="29"/>
        <v>1660317.6470588234</v>
      </c>
      <c r="H18" s="63">
        <f t="shared" si="29"/>
        <v>5359271</v>
      </c>
      <c r="I18" s="63">
        <f t="shared" si="29"/>
        <v>4346527</v>
      </c>
      <c r="J18" s="63">
        <f t="shared" si="29"/>
        <v>2357827</v>
      </c>
      <c r="K18" s="63">
        <f t="shared" si="29"/>
        <v>2108766</v>
      </c>
      <c r="L18" s="63">
        <f t="shared" si="29"/>
        <v>1699624</v>
      </c>
      <c r="M18" s="63">
        <f t="shared" si="29"/>
        <v>1416058</v>
      </c>
      <c r="N18" s="63">
        <f t="shared" si="29"/>
        <v>8401207.2941176463</v>
      </c>
      <c r="O18" s="63">
        <f t="shared" si="29"/>
        <v>8401207.2941176463</v>
      </c>
      <c r="P18" s="63">
        <f t="shared" si="29"/>
        <v>20742337</v>
      </c>
      <c r="Q18" s="63">
        <f t="shared" si="29"/>
        <v>19819733</v>
      </c>
      <c r="R18" s="63">
        <f t="shared" si="29"/>
        <v>13473412</v>
      </c>
      <c r="S18" s="63">
        <f t="shared" si="29"/>
        <v>19339862</v>
      </c>
      <c r="T18" s="63">
        <f t="shared" si="29"/>
        <v>10600525</v>
      </c>
      <c r="U18" s="63">
        <f t="shared" si="29"/>
        <v>13768492</v>
      </c>
      <c r="V18" s="63">
        <f t="shared" si="29"/>
        <v>46002475</v>
      </c>
      <c r="W18" s="63">
        <f t="shared" si="29"/>
        <v>50229864</v>
      </c>
      <c r="X18" s="63">
        <f t="shared" si="29"/>
        <v>38453426</v>
      </c>
      <c r="Y18" s="63">
        <f t="shared" si="29"/>
        <v>40660627</v>
      </c>
      <c r="Z18" s="63">
        <f t="shared" si="29"/>
        <v>2742194</v>
      </c>
      <c r="AA18" s="63">
        <f t="shared" si="29"/>
        <v>5132199</v>
      </c>
      <c r="AB18" s="63">
        <f t="shared" si="29"/>
        <v>40602803</v>
      </c>
      <c r="AC18" s="63">
        <f t="shared" si="29"/>
        <v>44563707</v>
      </c>
      <c r="AD18" s="63">
        <f t="shared" si="29"/>
        <v>5399672</v>
      </c>
      <c r="AE18" s="63">
        <f t="shared" si="29"/>
        <v>6715313</v>
      </c>
      <c r="AF18" s="64">
        <f t="shared" si="29"/>
        <v>239.61687613352859</v>
      </c>
      <c r="AG18" s="64">
        <f t="shared" si="29"/>
        <v>29.764705882352938</v>
      </c>
      <c r="AH18" s="65">
        <f t="shared" si="29"/>
        <v>5.3143264221790174</v>
      </c>
      <c r="AI18" s="65">
        <f t="shared" si="29"/>
        <v>4.8959245283018866</v>
      </c>
      <c r="AJ18" s="64">
        <f t="shared" si="29"/>
        <v>0.69743379536809846</v>
      </c>
      <c r="AK18" s="64">
        <f t="shared" si="29"/>
        <v>0.65373260701505609</v>
      </c>
      <c r="AL18" s="64">
        <f t="shared" si="29"/>
        <v>6.5734831669601981</v>
      </c>
      <c r="AM18" s="64">
        <f t="shared" si="29"/>
        <v>5.3843538384398171</v>
      </c>
      <c r="AN18" s="64">
        <f t="shared" si="29"/>
        <v>0.73822089207207575</v>
      </c>
      <c r="AO18" s="64">
        <f t="shared" si="29"/>
        <v>0.67059230885613952</v>
      </c>
      <c r="AP18" s="64">
        <f t="shared" si="29"/>
        <v>0.5079560121416512</v>
      </c>
      <c r="AQ18" s="64">
        <f t="shared" si="29"/>
        <v>0.59427451342306659</v>
      </c>
      <c r="AR18" s="64">
        <f t="shared" si="29"/>
        <v>0.80178982771833007</v>
      </c>
      <c r="AS18" s="64">
        <f t="shared" si="29"/>
        <v>0.68955749336165018</v>
      </c>
      <c r="AT18" s="66">
        <f t="shared" si="29"/>
        <v>5.3028456329255895E-2</v>
      </c>
      <c r="AU18" s="66">
        <f t="shared" si="29"/>
        <v>3.2727616306784842E-2</v>
      </c>
      <c r="AV18" s="66">
        <f t="shared" si="29"/>
        <v>0.82137406260547985</v>
      </c>
      <c r="AW18" s="66">
        <f t="shared" si="29"/>
        <v>5.3843538384398171</v>
      </c>
      <c r="AX18" s="64">
        <f t="shared" si="29"/>
        <v>1.2538847933468094</v>
      </c>
      <c r="AY18" s="67">
        <f t="shared" si="29"/>
        <v>0.61875466451289707</v>
      </c>
    </row>
    <row r="21" spans="2:51" x14ac:dyDescent="0.25">
      <c r="C21" s="72" t="s">
        <v>151</v>
      </c>
    </row>
    <row r="23" spans="2:51" x14ac:dyDescent="0.25">
      <c r="B23" s="71" t="s">
        <v>161</v>
      </c>
      <c r="C23" s="71"/>
    </row>
    <row r="24" spans="2:51" x14ac:dyDescent="0.25">
      <c r="B24" s="2" t="s">
        <v>154</v>
      </c>
      <c r="C24" s="68">
        <f>AI13</f>
        <v>1.3811411513535909</v>
      </c>
      <c r="H24" s="71" t="s">
        <v>160</v>
      </c>
      <c r="I24" s="71"/>
    </row>
    <row r="25" spans="2:51" x14ac:dyDescent="0.25">
      <c r="B25" s="2" t="s">
        <v>157</v>
      </c>
      <c r="C25" s="42">
        <f>SUMIF($C$15:$C$18,$C$21,AG15:$AG$18)</f>
        <v>8.8546998733780526</v>
      </c>
      <c r="H25" s="6" t="s">
        <v>109</v>
      </c>
      <c r="I25" s="26">
        <f>AVERAGE(C26,C32,C38)</f>
        <v>12.142444086803188</v>
      </c>
    </row>
    <row r="26" spans="2:51" x14ac:dyDescent="0.25">
      <c r="B26" s="8" t="s">
        <v>155</v>
      </c>
      <c r="C26" s="70">
        <f>C24*C25</f>
        <v>12.22959037800786</v>
      </c>
      <c r="H26" s="7" t="s">
        <v>156</v>
      </c>
      <c r="I26" s="69">
        <f>I25/E13-1</f>
        <v>0.52351870599789074</v>
      </c>
    </row>
    <row r="27" spans="2:51" x14ac:dyDescent="0.25">
      <c r="B27" s="7" t="s">
        <v>156</v>
      </c>
      <c r="C27" s="69">
        <f>C26/E13-1</f>
        <v>0.53445299598592966</v>
      </c>
    </row>
    <row r="29" spans="2:51" x14ac:dyDescent="0.25">
      <c r="B29" s="71" t="s">
        <v>162</v>
      </c>
      <c r="C29" s="71"/>
    </row>
    <row r="30" spans="2:51" x14ac:dyDescent="0.25">
      <c r="B30" s="2" t="s">
        <v>158</v>
      </c>
      <c r="C30" s="68">
        <f>AE13/G13</f>
        <v>6.3166028732283399</v>
      </c>
    </row>
    <row r="31" spans="2:51" x14ac:dyDescent="0.25">
      <c r="B31" s="2" t="s">
        <v>159</v>
      </c>
      <c r="C31" s="42">
        <f>SUMIF($C$15:$C$18,$C$21,AM$15:$AM18)</f>
        <v>1.7127480455586142</v>
      </c>
    </row>
    <row r="32" spans="2:51" x14ac:dyDescent="0.25">
      <c r="B32" s="8" t="s">
        <v>155</v>
      </c>
      <c r="C32" s="70">
        <f>C30*C31</f>
        <v>10.818749225691766</v>
      </c>
    </row>
    <row r="33" spans="2:3" x14ac:dyDescent="0.25">
      <c r="B33" s="7" t="s">
        <v>156</v>
      </c>
      <c r="C33" s="69">
        <f>C32/E13-1</f>
        <v>0.35743403082707226</v>
      </c>
    </row>
    <row r="35" spans="2:3" x14ac:dyDescent="0.25">
      <c r="B35" s="71" t="s">
        <v>163</v>
      </c>
      <c r="C35" s="71"/>
    </row>
    <row r="36" spans="2:3" x14ac:dyDescent="0.25">
      <c r="B36" s="2" t="s">
        <v>164</v>
      </c>
      <c r="C36" s="5">
        <f>Y13/G13</f>
        <v>47.6018832892277</v>
      </c>
    </row>
    <row r="37" spans="2:3" x14ac:dyDescent="0.25">
      <c r="B37" s="2" t="s">
        <v>165</v>
      </c>
      <c r="C37" s="42">
        <f>SUMIF($C$15:$C$18,$C$21,AK$15:$AK18)</f>
        <v>0.28106015418380731</v>
      </c>
    </row>
    <row r="38" spans="2:3" x14ac:dyDescent="0.25">
      <c r="B38" s="8" t="s">
        <v>155</v>
      </c>
      <c r="C38" s="70">
        <f>C36*C37</f>
        <v>13.378992656709938</v>
      </c>
    </row>
    <row r="39" spans="2:3" x14ac:dyDescent="0.25">
      <c r="B39" s="7" t="s">
        <v>156</v>
      </c>
      <c r="C39" s="69">
        <f>C38/E13-1</f>
        <v>0.67866909118066987</v>
      </c>
    </row>
    <row r="44" spans="2:3" x14ac:dyDescent="0.25">
      <c r="B44" s="2" t="s">
        <v>108</v>
      </c>
      <c r="C44" s="2" t="s">
        <v>109</v>
      </c>
    </row>
    <row r="45" spans="2:3" x14ac:dyDescent="0.25">
      <c r="B45" s="2" t="s">
        <v>345</v>
      </c>
      <c r="C45" s="2">
        <v>16.2</v>
      </c>
    </row>
    <row r="46" spans="2:3" x14ac:dyDescent="0.25">
      <c r="B46" s="2" t="s">
        <v>346</v>
      </c>
      <c r="C46" s="2">
        <v>5.0599999999999996</v>
      </c>
    </row>
    <row r="47" spans="2:3" x14ac:dyDescent="0.25">
      <c r="B47" s="2" t="s">
        <v>347</v>
      </c>
      <c r="C47" s="2">
        <v>37</v>
      </c>
    </row>
    <row r="48" spans="2:3" x14ac:dyDescent="0.25">
      <c r="B48" s="2" t="s">
        <v>348</v>
      </c>
      <c r="C48" s="2">
        <v>6.12</v>
      </c>
    </row>
    <row r="49" spans="2:3" x14ac:dyDescent="0.25">
      <c r="B49" s="2" t="s">
        <v>349</v>
      </c>
      <c r="C49" s="2">
        <v>0.1</v>
      </c>
    </row>
    <row r="50" spans="2:3" x14ac:dyDescent="0.25">
      <c r="B50" s="2" t="s">
        <v>350</v>
      </c>
      <c r="C50" s="2">
        <v>8.89</v>
      </c>
    </row>
    <row r="51" spans="2:3" x14ac:dyDescent="0.25">
      <c r="B51" s="2" t="s">
        <v>351</v>
      </c>
      <c r="C51" s="2">
        <v>55.82</v>
      </c>
    </row>
    <row r="52" spans="2:3" x14ac:dyDescent="0.25">
      <c r="B52" s="2" t="s">
        <v>352</v>
      </c>
      <c r="C52" s="2">
        <v>0.64</v>
      </c>
    </row>
    <row r="53" spans="2:3" x14ac:dyDescent="0.25">
      <c r="B53" s="2" t="s">
        <v>353</v>
      </c>
      <c r="C53" s="2">
        <v>0.46</v>
      </c>
    </row>
    <row r="54" spans="2:3" x14ac:dyDescent="0.25">
      <c r="B54" s="2" t="s">
        <v>354</v>
      </c>
      <c r="C54" s="2">
        <v>0.14000000000000001</v>
      </c>
    </row>
    <row r="55" spans="2:3" x14ac:dyDescent="0.25">
      <c r="B55" s="2" t="s">
        <v>355</v>
      </c>
      <c r="C55" s="2">
        <v>0.05</v>
      </c>
    </row>
    <row r="56" spans="2:3" x14ac:dyDescent="0.25">
      <c r="B56" s="2" t="s">
        <v>356</v>
      </c>
      <c r="C56" s="2">
        <v>0.38</v>
      </c>
    </row>
    <row r="57" spans="2:3" x14ac:dyDescent="0.25">
      <c r="B57" s="2" t="s">
        <v>357</v>
      </c>
      <c r="C57" s="2">
        <v>0.09</v>
      </c>
    </row>
    <row r="58" spans="2:3" x14ac:dyDescent="0.25">
      <c r="B58" s="2" t="s">
        <v>358</v>
      </c>
      <c r="C58" s="2">
        <v>25</v>
      </c>
    </row>
    <row r="59" spans="2:3" x14ac:dyDescent="0.25">
      <c r="B59" s="2" t="s">
        <v>359</v>
      </c>
      <c r="C59" s="2">
        <v>3.48</v>
      </c>
    </row>
    <row r="60" spans="2:3" x14ac:dyDescent="0.25">
      <c r="B60" s="2" t="s">
        <v>360</v>
      </c>
      <c r="C60" s="2">
        <v>0.77</v>
      </c>
    </row>
    <row r="61" spans="2:3" x14ac:dyDescent="0.25">
      <c r="B61" s="2" t="s">
        <v>287</v>
      </c>
      <c r="C61" s="2">
        <v>7.97</v>
      </c>
    </row>
    <row r="62" spans="2:3" x14ac:dyDescent="0.25">
      <c r="B62" s="2" t="s">
        <v>361</v>
      </c>
      <c r="C62" s="2">
        <v>8</v>
      </c>
    </row>
    <row r="63" spans="2:3" x14ac:dyDescent="0.25">
      <c r="B63" s="2" t="s">
        <v>362</v>
      </c>
      <c r="C63" s="2">
        <v>20.11</v>
      </c>
    </row>
    <row r="64" spans="2:3" x14ac:dyDescent="0.25">
      <c r="B64" s="2" t="s">
        <v>363</v>
      </c>
      <c r="C64" s="2">
        <v>6.6</v>
      </c>
    </row>
    <row r="65" spans="2:3" x14ac:dyDescent="0.25">
      <c r="B65" s="2" t="s">
        <v>364</v>
      </c>
      <c r="C65" s="2">
        <v>480</v>
      </c>
    </row>
    <row r="66" spans="2:3" x14ac:dyDescent="0.25">
      <c r="B66" s="2" t="s">
        <v>365</v>
      </c>
      <c r="C66" s="2">
        <v>2.96</v>
      </c>
    </row>
    <row r="67" spans="2:3" x14ac:dyDescent="0.25">
      <c r="B67" s="2" t="s">
        <v>366</v>
      </c>
      <c r="C67" s="2">
        <v>0.1</v>
      </c>
    </row>
    <row r="68" spans="2:3" x14ac:dyDescent="0.25">
      <c r="B68" s="2" t="s">
        <v>367</v>
      </c>
      <c r="C68" s="2">
        <v>0.05</v>
      </c>
    </row>
    <row r="69" spans="2:3" x14ac:dyDescent="0.25">
      <c r="B69" s="2" t="s">
        <v>368</v>
      </c>
      <c r="C69" s="2">
        <v>5.2</v>
      </c>
    </row>
    <row r="70" spans="2:3" x14ac:dyDescent="0.25">
      <c r="B70" s="2" t="s">
        <v>369</v>
      </c>
      <c r="C70" s="2">
        <v>0.1</v>
      </c>
    </row>
    <row r="71" spans="2:3" x14ac:dyDescent="0.25">
      <c r="B71" s="2" t="s">
        <v>370</v>
      </c>
      <c r="C71" s="2">
        <v>4.2</v>
      </c>
    </row>
    <row r="72" spans="2:3" x14ac:dyDescent="0.25">
      <c r="B72" s="2" t="s">
        <v>371</v>
      </c>
      <c r="C72" s="2">
        <v>0.02</v>
      </c>
    </row>
    <row r="73" spans="2:3" x14ac:dyDescent="0.25">
      <c r="B73" s="2" t="s">
        <v>372</v>
      </c>
      <c r="C73" s="2">
        <v>1.3</v>
      </c>
    </row>
    <row r="74" spans="2:3" x14ac:dyDescent="0.25">
      <c r="B74" s="2" t="s">
        <v>373</v>
      </c>
      <c r="C74" s="2">
        <v>0.55000000000000004</v>
      </c>
    </row>
    <row r="75" spans="2:3" x14ac:dyDescent="0.25">
      <c r="B75" s="2" t="s">
        <v>374</v>
      </c>
      <c r="C75" s="2">
        <v>29.22</v>
      </c>
    </row>
    <row r="76" spans="2:3" x14ac:dyDescent="0.25">
      <c r="B76" s="2" t="s">
        <v>375</v>
      </c>
      <c r="C76" s="2">
        <v>0.9</v>
      </c>
    </row>
    <row r="77" spans="2:3" x14ac:dyDescent="0.25">
      <c r="B77" s="2" t="s">
        <v>376</v>
      </c>
      <c r="C77" s="2">
        <v>1.2</v>
      </c>
    </row>
    <row r="78" spans="2:3" x14ac:dyDescent="0.25">
      <c r="B78" s="2" t="s">
        <v>377</v>
      </c>
      <c r="C78" s="2">
        <v>4.49</v>
      </c>
    </row>
    <row r="79" spans="2:3" x14ac:dyDescent="0.25">
      <c r="B79" s="2" t="s">
        <v>378</v>
      </c>
      <c r="C79" s="2">
        <v>1.2</v>
      </c>
    </row>
    <row r="80" spans="2:3" x14ac:dyDescent="0.25">
      <c r="B80" s="2" t="s">
        <v>379</v>
      </c>
      <c r="C80" s="2">
        <v>11.92</v>
      </c>
    </row>
    <row r="81" spans="2:3" x14ac:dyDescent="0.25">
      <c r="B81" s="2" t="s">
        <v>380</v>
      </c>
      <c r="C81" s="2">
        <v>40.299999999999997</v>
      </c>
    </row>
    <row r="82" spans="2:3" x14ac:dyDescent="0.25">
      <c r="B82" s="2" t="s">
        <v>381</v>
      </c>
      <c r="C82" s="2">
        <v>19.79</v>
      </c>
    </row>
  </sheetData>
  <conditionalFormatting sqref="C27">
    <cfRule type="cellIs" dxfId="9" priority="7" operator="lessThan">
      <formula>0</formula>
    </cfRule>
    <cfRule type="cellIs" dxfId="8" priority="8" operator="greaterThan">
      <formula>0</formula>
    </cfRule>
  </conditionalFormatting>
  <conditionalFormatting sqref="C33">
    <cfRule type="cellIs" dxfId="7" priority="5" operator="lessThan">
      <formula>0</formula>
    </cfRule>
    <cfRule type="cellIs" dxfId="6" priority="6" operator="greaterThan">
      <formula>0</formula>
    </cfRule>
  </conditionalFormatting>
  <conditionalFormatting sqref="C39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I26">
    <cfRule type="cellIs" dxfId="3" priority="3" operator="lessThan">
      <formula>0</formula>
    </cfRule>
    <cfRule type="cellIs" dxfId="2" priority="4" operator="greaterThan">
      <formula>0</formula>
    </cfRule>
  </conditionalFormatting>
  <dataValidations count="1">
    <dataValidation type="list" allowBlank="1" showInputMessage="1" showErrorMessage="1" sqref="C21" xr:uid="{7A9FDAA4-44D4-4598-930E-593AF042474D}">
      <formula1>$C$15:$C$18</formula1>
    </dataValidation>
  </dataValidations>
  <pageMargins left="0.7" right="0.7" top="0.75" bottom="0.75" header="0.3" footer="0.3"/>
  <ignoredErrors>
    <ignoredError sqref="E10" formula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8581-499E-4F4E-A935-78B35E39D054}">
  <sheetPr>
    <tabColor rgb="FFFFE1FF"/>
  </sheetPr>
  <dimension ref="A1:AK489"/>
  <sheetViews>
    <sheetView showGridLines="0" workbookViewId="0">
      <pane xSplit="3" ySplit="5" topLeftCell="O423" activePane="bottomRight" state="frozen"/>
      <selection pane="topRight" activeCell="D1" sqref="D1"/>
      <selection pane="bottomLeft" activeCell="A6" sqref="A6"/>
      <selection pane="bottomRight" activeCell="AC446" sqref="AC446"/>
    </sheetView>
  </sheetViews>
  <sheetFormatPr defaultColWidth="0" defaultRowHeight="10.8" x14ac:dyDescent="0.25"/>
  <cols>
    <col min="1" max="1" width="2.6640625" style="2" customWidth="1"/>
    <col min="2" max="2" width="39.88671875" style="2" customWidth="1"/>
    <col min="3" max="4" width="9.109375" style="2" customWidth="1"/>
    <col min="5" max="20" width="9.109375" style="6" customWidth="1"/>
    <col min="21" max="29" width="9.5546875" style="6" bestFit="1" customWidth="1"/>
    <col min="30" max="30" width="2.6640625" style="6" customWidth="1"/>
    <col min="31" max="33" width="9.109375" style="6" customWidth="1"/>
    <col min="34" max="36" width="9.5546875" style="6" bestFit="1" customWidth="1"/>
    <col min="37" max="37" width="4.6640625" style="2" customWidth="1"/>
    <col min="38" max="16384" width="9.109375" style="2" hidden="1"/>
  </cols>
  <sheetData>
    <row r="1" spans="2:36" ht="13.8" x14ac:dyDescent="0.3">
      <c r="B1" s="1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2:36" x14ac:dyDescent="0.25">
      <c r="B2" s="14"/>
      <c r="C2" s="11" t="s">
        <v>103</v>
      </c>
      <c r="D2" s="23"/>
      <c r="E2" s="22"/>
      <c r="F2" s="11">
        <f>YEAR(F4)</f>
        <v>2020</v>
      </c>
      <c r="G2" s="11">
        <f t="shared" ref="G2:AJ2" si="0">YEAR(G4)</f>
        <v>2020</v>
      </c>
      <c r="H2" s="11">
        <f t="shared" si="0"/>
        <v>2020</v>
      </c>
      <c r="I2" s="11">
        <f t="shared" si="0"/>
        <v>2020</v>
      </c>
      <c r="J2" s="11">
        <f t="shared" si="0"/>
        <v>2021</v>
      </c>
      <c r="K2" s="11">
        <f t="shared" si="0"/>
        <v>2021</v>
      </c>
      <c r="L2" s="11">
        <f t="shared" si="0"/>
        <v>2021</v>
      </c>
      <c r="M2" s="11">
        <f t="shared" si="0"/>
        <v>2021</v>
      </c>
      <c r="N2" s="11">
        <f t="shared" si="0"/>
        <v>2022</v>
      </c>
      <c r="O2" s="11">
        <f t="shared" si="0"/>
        <v>2022</v>
      </c>
      <c r="P2" s="11">
        <f t="shared" si="0"/>
        <v>2022</v>
      </c>
      <c r="Q2" s="11">
        <f t="shared" si="0"/>
        <v>2022</v>
      </c>
      <c r="R2" s="11">
        <f t="shared" si="0"/>
        <v>2023</v>
      </c>
      <c r="S2" s="11">
        <f t="shared" si="0"/>
        <v>2023</v>
      </c>
      <c r="T2" s="11">
        <f t="shared" si="0"/>
        <v>2023</v>
      </c>
      <c r="U2" s="11">
        <f t="shared" si="0"/>
        <v>2023</v>
      </c>
      <c r="V2" s="11">
        <f t="shared" si="0"/>
        <v>2024</v>
      </c>
      <c r="W2" s="11">
        <f t="shared" si="0"/>
        <v>2024</v>
      </c>
      <c r="X2" s="11">
        <f t="shared" si="0"/>
        <v>2024</v>
      </c>
      <c r="Y2" s="11">
        <f t="shared" si="0"/>
        <v>2024</v>
      </c>
      <c r="Z2" s="11">
        <f t="shared" si="0"/>
        <v>2025</v>
      </c>
      <c r="AA2" s="11">
        <f t="shared" si="0"/>
        <v>2025</v>
      </c>
      <c r="AB2" s="11">
        <f t="shared" si="0"/>
        <v>2025</v>
      </c>
      <c r="AC2" s="11">
        <f t="shared" ref="AC2" si="1">YEAR(AC4)</f>
        <v>2025</v>
      </c>
      <c r="AE2" s="11">
        <f t="shared" si="0"/>
        <v>2020</v>
      </c>
      <c r="AF2" s="11">
        <f t="shared" si="0"/>
        <v>2021</v>
      </c>
      <c r="AG2" s="11">
        <f t="shared" si="0"/>
        <v>2022</v>
      </c>
      <c r="AH2" s="11">
        <f t="shared" si="0"/>
        <v>2023</v>
      </c>
      <c r="AI2" s="11">
        <f t="shared" si="0"/>
        <v>2024</v>
      </c>
      <c r="AJ2" s="11">
        <f t="shared" si="0"/>
        <v>2025</v>
      </c>
    </row>
    <row r="3" spans="2:36" x14ac:dyDescent="0.25">
      <c r="B3" s="13"/>
      <c r="C3" s="11" t="s">
        <v>98</v>
      </c>
      <c r="D3" s="25"/>
      <c r="E3" s="24"/>
      <c r="F3" s="12">
        <f>DATE(2020,1,1)</f>
        <v>43831</v>
      </c>
      <c r="G3" s="12">
        <f>F4+1</f>
        <v>43922</v>
      </c>
      <c r="H3" s="12">
        <f t="shared" ref="H3:AC3" si="2">G4+1</f>
        <v>44013</v>
      </c>
      <c r="I3" s="12">
        <f t="shared" si="2"/>
        <v>44105</v>
      </c>
      <c r="J3" s="12">
        <f t="shared" si="2"/>
        <v>44197</v>
      </c>
      <c r="K3" s="12">
        <f t="shared" si="2"/>
        <v>44287</v>
      </c>
      <c r="L3" s="12">
        <f t="shared" si="2"/>
        <v>44378</v>
      </c>
      <c r="M3" s="12">
        <f t="shared" si="2"/>
        <v>44470</v>
      </c>
      <c r="N3" s="12">
        <f t="shared" si="2"/>
        <v>44562</v>
      </c>
      <c r="O3" s="12">
        <f t="shared" si="2"/>
        <v>44652</v>
      </c>
      <c r="P3" s="12">
        <f t="shared" si="2"/>
        <v>44743</v>
      </c>
      <c r="Q3" s="12">
        <f t="shared" si="2"/>
        <v>44835</v>
      </c>
      <c r="R3" s="12">
        <f t="shared" si="2"/>
        <v>44927</v>
      </c>
      <c r="S3" s="12">
        <f t="shared" si="2"/>
        <v>45017</v>
      </c>
      <c r="T3" s="12">
        <f t="shared" si="2"/>
        <v>45108</v>
      </c>
      <c r="U3" s="12">
        <f t="shared" si="2"/>
        <v>45200</v>
      </c>
      <c r="V3" s="12">
        <f t="shared" si="2"/>
        <v>45292</v>
      </c>
      <c r="W3" s="12">
        <f t="shared" si="2"/>
        <v>45383</v>
      </c>
      <c r="X3" s="12">
        <f>W4+1</f>
        <v>45474</v>
      </c>
      <c r="Y3" s="12">
        <f t="shared" si="2"/>
        <v>45566</v>
      </c>
      <c r="Z3" s="12">
        <f t="shared" si="2"/>
        <v>45658</v>
      </c>
      <c r="AA3" s="12">
        <f t="shared" si="2"/>
        <v>45748</v>
      </c>
      <c r="AB3" s="12">
        <f t="shared" si="2"/>
        <v>45839</v>
      </c>
      <c r="AC3" s="12">
        <f t="shared" si="2"/>
        <v>45931</v>
      </c>
      <c r="AE3" s="12">
        <f>F3</f>
        <v>43831</v>
      </c>
      <c r="AF3" s="12">
        <f>AE4+1</f>
        <v>44197</v>
      </c>
      <c r="AG3" s="12">
        <f t="shared" ref="AG3:AJ3" si="3">AF4+1</f>
        <v>44562</v>
      </c>
      <c r="AH3" s="12">
        <f t="shared" si="3"/>
        <v>44927</v>
      </c>
      <c r="AI3" s="12">
        <f t="shared" si="3"/>
        <v>45292</v>
      </c>
      <c r="AJ3" s="12">
        <f t="shared" si="3"/>
        <v>45658</v>
      </c>
    </row>
    <row r="4" spans="2:36" x14ac:dyDescent="0.25">
      <c r="B4" s="13"/>
      <c r="C4" s="11" t="s">
        <v>99</v>
      </c>
      <c r="D4" s="25"/>
      <c r="E4" s="24"/>
      <c r="F4" s="12">
        <f>EOMONTH(F3,2)</f>
        <v>43921</v>
      </c>
      <c r="G4" s="12">
        <f>EOMONTH(G3,2)</f>
        <v>44012</v>
      </c>
      <c r="H4" s="12">
        <f t="shared" ref="H4:W4" si="4">EOMONTH(H3,2)</f>
        <v>44104</v>
      </c>
      <c r="I4" s="12">
        <f t="shared" si="4"/>
        <v>44196</v>
      </c>
      <c r="J4" s="12">
        <f t="shared" si="4"/>
        <v>44286</v>
      </c>
      <c r="K4" s="12">
        <f t="shared" si="4"/>
        <v>44377</v>
      </c>
      <c r="L4" s="12">
        <f t="shared" si="4"/>
        <v>44469</v>
      </c>
      <c r="M4" s="12">
        <f t="shared" si="4"/>
        <v>44561</v>
      </c>
      <c r="N4" s="12">
        <f t="shared" si="4"/>
        <v>44651</v>
      </c>
      <c r="O4" s="12">
        <f t="shared" si="4"/>
        <v>44742</v>
      </c>
      <c r="P4" s="12">
        <f t="shared" si="4"/>
        <v>44834</v>
      </c>
      <c r="Q4" s="12">
        <f t="shared" si="4"/>
        <v>44926</v>
      </c>
      <c r="R4" s="12">
        <f t="shared" si="4"/>
        <v>45016</v>
      </c>
      <c r="S4" s="12">
        <f t="shared" si="4"/>
        <v>45107</v>
      </c>
      <c r="T4" s="12">
        <f t="shared" si="4"/>
        <v>45199</v>
      </c>
      <c r="U4" s="12">
        <f t="shared" si="4"/>
        <v>45291</v>
      </c>
      <c r="V4" s="12">
        <f t="shared" si="4"/>
        <v>45382</v>
      </c>
      <c r="W4" s="12">
        <f t="shared" si="4"/>
        <v>45473</v>
      </c>
      <c r="X4" s="12">
        <f>EOMONTH(X3,2)</f>
        <v>45565</v>
      </c>
      <c r="Y4" s="12">
        <f t="shared" ref="Y4" si="5">EOMONTH(Y3,2)</f>
        <v>45657</v>
      </c>
      <c r="Z4" s="12">
        <f t="shared" ref="Z4" si="6">EOMONTH(Z3,2)</f>
        <v>45747</v>
      </c>
      <c r="AA4" s="12">
        <f t="shared" ref="AA4" si="7">EOMONTH(AA3,2)</f>
        <v>45838</v>
      </c>
      <c r="AB4" s="12">
        <f t="shared" ref="AB4:AC4" si="8">EOMONTH(AB3,2)</f>
        <v>45930</v>
      </c>
      <c r="AC4" s="12">
        <f t="shared" si="8"/>
        <v>46022</v>
      </c>
      <c r="AE4" s="12">
        <f>EOMONTH(AE3,11)</f>
        <v>44196</v>
      </c>
      <c r="AF4" s="12">
        <f t="shared" ref="AF4:AI4" si="9">EOMONTH(AF3,11)</f>
        <v>44561</v>
      </c>
      <c r="AG4" s="12">
        <f t="shared" si="9"/>
        <v>44926</v>
      </c>
      <c r="AH4" s="12">
        <f t="shared" si="9"/>
        <v>45291</v>
      </c>
      <c r="AI4" s="12">
        <f t="shared" si="9"/>
        <v>45657</v>
      </c>
      <c r="AJ4" s="12">
        <f>EOMONTH(AJ3,11)</f>
        <v>46022</v>
      </c>
    </row>
    <row r="5" spans="2:36" x14ac:dyDescent="0.25">
      <c r="B5" s="123" t="s">
        <v>288</v>
      </c>
      <c r="C5" s="11" t="s">
        <v>100</v>
      </c>
      <c r="D5" s="25"/>
      <c r="E5" s="24"/>
      <c r="F5" s="10">
        <f>F4-F3+1</f>
        <v>91</v>
      </c>
      <c r="G5" s="10">
        <f t="shared" ref="G5:K5" si="10">G4-G3+1</f>
        <v>91</v>
      </c>
      <c r="H5" s="10">
        <f t="shared" si="10"/>
        <v>92</v>
      </c>
      <c r="I5" s="10">
        <f t="shared" si="10"/>
        <v>92</v>
      </c>
      <c r="J5" s="10">
        <f t="shared" si="10"/>
        <v>90</v>
      </c>
      <c r="K5" s="10">
        <f t="shared" si="10"/>
        <v>91</v>
      </c>
      <c r="L5" s="10">
        <f t="shared" ref="L5" si="11">L4-L3+1</f>
        <v>92</v>
      </c>
      <c r="M5" s="10">
        <f t="shared" ref="M5" si="12">M4-M3+1</f>
        <v>92</v>
      </c>
      <c r="N5" s="10">
        <f t="shared" ref="N5" si="13">N4-N3+1</f>
        <v>90</v>
      </c>
      <c r="O5" s="10">
        <f t="shared" ref="O5" si="14">O4-O3+1</f>
        <v>91</v>
      </c>
      <c r="P5" s="10">
        <f t="shared" ref="P5" si="15">P4-P3+1</f>
        <v>92</v>
      </c>
      <c r="Q5" s="10">
        <f t="shared" ref="Q5" si="16">Q4-Q3+1</f>
        <v>92</v>
      </c>
      <c r="R5" s="10">
        <f t="shared" ref="R5" si="17">R4-R3+1</f>
        <v>90</v>
      </c>
      <c r="S5" s="10">
        <f t="shared" ref="S5" si="18">S4-S3+1</f>
        <v>91</v>
      </c>
      <c r="T5" s="10">
        <f t="shared" ref="T5" si="19">T4-T3+1</f>
        <v>92</v>
      </c>
      <c r="U5" s="10">
        <f t="shared" ref="U5" si="20">U4-U3+1</f>
        <v>92</v>
      </c>
      <c r="V5" s="10">
        <f t="shared" ref="V5" si="21">V4-V3+1</f>
        <v>91</v>
      </c>
      <c r="W5" s="10">
        <f t="shared" ref="W5" si="22">W4-W3+1</f>
        <v>91</v>
      </c>
      <c r="X5" s="10">
        <f t="shared" ref="X5" si="23">X4-X3+1</f>
        <v>92</v>
      </c>
      <c r="Y5" s="10">
        <f t="shared" ref="Y5" si="24">Y4-Y3+1</f>
        <v>92</v>
      </c>
      <c r="Z5" s="10">
        <f t="shared" ref="Z5" si="25">Z4-Z3+1</f>
        <v>90</v>
      </c>
      <c r="AA5" s="10">
        <f t="shared" ref="AA5" si="26">AA4-AA3+1</f>
        <v>91</v>
      </c>
      <c r="AB5" s="10">
        <f t="shared" ref="AB5:AC5" si="27">AB4-AB3+1</f>
        <v>92</v>
      </c>
      <c r="AC5" s="10">
        <f t="shared" si="27"/>
        <v>92</v>
      </c>
      <c r="AE5" s="10">
        <f>AE4-AE3+1</f>
        <v>366</v>
      </c>
      <c r="AF5" s="10">
        <f t="shared" ref="AF5:AJ5" si="28">AF4-AF3+1</f>
        <v>365</v>
      </c>
      <c r="AG5" s="10">
        <f t="shared" si="28"/>
        <v>365</v>
      </c>
      <c r="AH5" s="10">
        <f t="shared" si="28"/>
        <v>365</v>
      </c>
      <c r="AI5" s="10">
        <f t="shared" si="28"/>
        <v>366</v>
      </c>
      <c r="AJ5" s="10">
        <f t="shared" si="28"/>
        <v>365</v>
      </c>
    </row>
    <row r="6" spans="2:36" ht="5.0999999999999996" customHeight="1" x14ac:dyDescent="0.25"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2:36" x14ac:dyDescent="0.25">
      <c r="B7" s="21" t="s">
        <v>1</v>
      </c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</row>
    <row r="8" spans="2:36" ht="5.0999999999999996" customHeight="1" x14ac:dyDescent="0.25"/>
    <row r="9" spans="2:36" x14ac:dyDescent="0.25">
      <c r="B9" s="2" t="s">
        <v>2</v>
      </c>
      <c r="F9" s="6">
        <f>'Raw Historical Financials'!C4</f>
        <v>64659</v>
      </c>
      <c r="G9" s="6">
        <f>'Raw Historical Financials'!D4-'Raw Historical Financials'!C4</f>
        <v>67580</v>
      </c>
      <c r="H9" s="6">
        <f>'Raw Historical Financials'!E4-'Raw Historical Financials'!D4</f>
        <v>69390</v>
      </c>
      <c r="I9" s="6">
        <f>'Raw Historical Financials'!F4-'Raw Historical Financials'!E4</f>
        <v>79260</v>
      </c>
      <c r="J9" s="6">
        <f>'Raw Historical Financials'!G4</f>
        <v>74514</v>
      </c>
      <c r="K9" s="6">
        <f>'Raw Historical Financials'!H4-'Raw Historical Financials'!G4</f>
        <v>80826</v>
      </c>
      <c r="L9" s="6">
        <f>'Raw Historical Financials'!I4-'Raw Historical Financials'!H4</f>
        <v>88836</v>
      </c>
      <c r="M9" s="6">
        <f>'Raw Historical Financials'!J4-'Raw Historical Financials'!I4</f>
        <v>141537</v>
      </c>
      <c r="N9" s="6">
        <f>'Raw Historical Financials'!K4</f>
        <v>103740</v>
      </c>
      <c r="O9" s="6">
        <f>'Raw Historical Financials'!L4-'Raw Historical Financials'!K4</f>
        <v>101585</v>
      </c>
      <c r="P9" s="6">
        <f>'Raw Historical Financials'!M4-'Raw Historical Financials'!L4</f>
        <v>152068</v>
      </c>
      <c r="Q9" s="6">
        <f>'Raw Historical Financials'!N4-'Raw Historical Financials'!M4</f>
        <v>214565</v>
      </c>
      <c r="R9" s="6">
        <f>'Raw Historical Financials'!O4</f>
        <v>192749</v>
      </c>
      <c r="S9" s="6">
        <f>'Raw Historical Financials'!P4-'Raw Historical Financials'!O4</f>
        <v>181269</v>
      </c>
      <c r="T9" s="6">
        <f>'Raw Historical Financials'!Q4-'Raw Historical Financials'!P4</f>
        <v>186282</v>
      </c>
      <c r="U9" s="6">
        <f>'Raw Historical Financials'!R4-'Raw Historical Financials'!Q4</f>
        <v>287289</v>
      </c>
      <c r="V9" s="6">
        <f>'Raw Historical Financials'!S4</f>
        <v>196483</v>
      </c>
      <c r="W9" s="6">
        <f>'Raw Historical Financials'!T4-'Raw Historical Financials'!S4</f>
        <v>184644</v>
      </c>
      <c r="X9" s="6">
        <f>'Raw Historical Financials'!U4-'Raw Historical Financials'!T4</f>
        <v>207786</v>
      </c>
      <c r="Y9" s="6">
        <f>'Raw Historical Financials'!V4-'Raw Historical Financials'!U4</f>
        <v>289576</v>
      </c>
      <c r="Z9" s="6">
        <f>'Raw Historical Financials'!W4</f>
        <v>262481</v>
      </c>
      <c r="AA9" s="6">
        <f>'Raw Historical Financials'!X4-'Raw Historical Financials'!W4</f>
        <v>210277</v>
      </c>
      <c r="AB9" s="6">
        <f>'Raw Historical Financials'!Y4-'Raw Historical Financials'!X4</f>
        <v>276147</v>
      </c>
      <c r="AC9" s="6">
        <f>'Raw Historical Financials'!Z4-'Raw Historical Financials'!Y4</f>
        <v>681759.56600000011</v>
      </c>
      <c r="AE9" s="6">
        <f>SUMIF($F$2:$AB$2,AE$2,$F9:$AB9)</f>
        <v>280889</v>
      </c>
      <c r="AF9" s="6">
        <f>SUMIF($F$2:$AB$2,AF$2,$F9:$AB9)</f>
        <v>385713</v>
      </c>
      <c r="AG9" s="6">
        <f t="shared" ref="AF9:AI10" si="29">SUMIF($F$2:$AB$2,AG$2,$F9:$AB9)</f>
        <v>571958</v>
      </c>
      <c r="AH9" s="6">
        <f t="shared" si="29"/>
        <v>847589</v>
      </c>
      <c r="AI9" s="6">
        <f t="shared" si="29"/>
        <v>878489</v>
      </c>
      <c r="AJ9" s="6">
        <f>SUMIF($F$2:$AC$2,AJ$2,$F9:$AC9)</f>
        <v>1430664.5660000001</v>
      </c>
    </row>
    <row r="10" spans="2:36" x14ac:dyDescent="0.25">
      <c r="B10" s="2" t="s">
        <v>3</v>
      </c>
      <c r="F10" s="6">
        <f>'Raw Historical Financials'!C5</f>
        <v>-20899</v>
      </c>
      <c r="G10" s="6">
        <f>'Raw Historical Financials'!D5-'Raw Historical Financials'!C5</f>
        <v>-20237</v>
      </c>
      <c r="H10" s="6">
        <f>'Raw Historical Financials'!E5-'Raw Historical Financials'!D5</f>
        <v>-20666</v>
      </c>
      <c r="I10" s="6">
        <f>'Raw Historical Financials'!F5-'Raw Historical Financials'!E5</f>
        <v>-21443</v>
      </c>
      <c r="J10" s="6">
        <f>'Raw Historical Financials'!G5</f>
        <v>-19112</v>
      </c>
      <c r="K10" s="6">
        <f>'Raw Historical Financials'!H5-'Raw Historical Financials'!G5</f>
        <v>-20071</v>
      </c>
      <c r="L10" s="6">
        <f>'Raw Historical Financials'!I5-'Raw Historical Financials'!H5</f>
        <v>-21214</v>
      </c>
      <c r="M10" s="6">
        <f>'Raw Historical Financials'!J5-'Raw Historical Financials'!I5</f>
        <v>-26565</v>
      </c>
      <c r="N10" s="6">
        <f>'Raw Historical Financials'!K5</f>
        <v>-25345</v>
      </c>
      <c r="O10" s="6">
        <f>'Raw Historical Financials'!L5-'Raw Historical Financials'!K5</f>
        <v>-28249</v>
      </c>
      <c r="P10" s="6">
        <f>'Raw Historical Financials'!M5-'Raw Historical Financials'!L5</f>
        <v>-42337</v>
      </c>
      <c r="Q10" s="6">
        <f>'Raw Historical Financials'!N5-'Raw Historical Financials'!M5</f>
        <v>-63530</v>
      </c>
      <c r="R10" s="6">
        <f>'Raw Historical Financials'!O5</f>
        <v>-54670</v>
      </c>
      <c r="S10" s="6">
        <f>'Raw Historical Financials'!P5-'Raw Historical Financials'!O5</f>
        <v>-44494</v>
      </c>
      <c r="T10" s="6">
        <f>'Raw Historical Financials'!Q5-'Raw Historical Financials'!P5</f>
        <v>-40424</v>
      </c>
      <c r="U10" s="6">
        <f>'Raw Historical Financials'!R5-'Raw Historical Financials'!Q5</f>
        <v>-45415</v>
      </c>
      <c r="V10" s="6">
        <f>'Raw Historical Financials'!S5</f>
        <v>-51822</v>
      </c>
      <c r="W10" s="6">
        <f>'Raw Historical Financials'!T5-'Raw Historical Financials'!S5</f>
        <v>-58526</v>
      </c>
      <c r="X10" s="6">
        <f>'Raw Historical Financials'!U5-'Raw Historical Financials'!T5</f>
        <v>-75926</v>
      </c>
      <c r="Y10" s="6">
        <f>'Raw Historical Financials'!V5-'Raw Historical Financials'!U5</f>
        <v>-116127</v>
      </c>
      <c r="Z10" s="6">
        <f>'Raw Historical Financials'!W5</f>
        <v>-97346</v>
      </c>
      <c r="AA10" s="6">
        <f>'Raw Historical Financials'!X5-'Raw Historical Financials'!W5</f>
        <v>-129608</v>
      </c>
      <c r="AB10" s="6">
        <f>'Raw Historical Financials'!Y5-'Raw Historical Financials'!X5</f>
        <v>-138688</v>
      </c>
      <c r="AC10" s="6">
        <f>'Raw Historical Financials'!Z5-'Raw Historical Financials'!Y5</f>
        <v>-102371.52399999998</v>
      </c>
      <c r="AE10" s="6">
        <f>SUMIF($F$2:$AB$2,AE$2,$F10:$AB10)</f>
        <v>-83245</v>
      </c>
      <c r="AF10" s="6">
        <f t="shared" si="29"/>
        <v>-86962</v>
      </c>
      <c r="AG10" s="6">
        <f t="shared" si="29"/>
        <v>-159461</v>
      </c>
      <c r="AH10" s="6">
        <f t="shared" si="29"/>
        <v>-185003</v>
      </c>
      <c r="AI10" s="6">
        <f t="shared" si="29"/>
        <v>-302401</v>
      </c>
      <c r="AJ10" s="6">
        <f>SUMIF($F$2:$AC$2,AJ$2,$F10:$AC10)</f>
        <v>-468013.52399999998</v>
      </c>
    </row>
    <row r="11" spans="2:36" x14ac:dyDescent="0.25">
      <c r="B11" s="8" t="s">
        <v>4</v>
      </c>
      <c r="C11" s="8"/>
      <c r="D11" s="8"/>
      <c r="E11" s="16"/>
      <c r="F11" s="16">
        <f>SUM(F9:F10)</f>
        <v>43760</v>
      </c>
      <c r="G11" s="16">
        <f>SUM(G9:G10)</f>
        <v>47343</v>
      </c>
      <c r="H11" s="16">
        <f t="shared" ref="H11" si="30">SUM(H9:H10)</f>
        <v>48724</v>
      </c>
      <c r="I11" s="16">
        <f t="shared" ref="I11:K11" si="31">SUM(I9:I10)</f>
        <v>57817</v>
      </c>
      <c r="J11" s="16">
        <f t="shared" ref="J11:Z11" si="32">SUM(J9:J10)</f>
        <v>55402</v>
      </c>
      <c r="K11" s="16">
        <f t="shared" si="31"/>
        <v>60755</v>
      </c>
      <c r="L11" s="16">
        <f t="shared" ref="L11" si="33">SUM(L9:L10)</f>
        <v>67622</v>
      </c>
      <c r="M11" s="16">
        <f t="shared" ref="M11" si="34">SUM(M9:M10)</f>
        <v>114972</v>
      </c>
      <c r="N11" s="16">
        <f t="shared" si="32"/>
        <v>78395</v>
      </c>
      <c r="O11" s="16">
        <f t="shared" ref="O11" si="35">SUM(O9:O10)</f>
        <v>73336</v>
      </c>
      <c r="P11" s="16">
        <f t="shared" ref="P11" si="36">SUM(P9:P10)</f>
        <v>109731</v>
      </c>
      <c r="Q11" s="16">
        <f t="shared" ref="Q11" si="37">SUM(Q9:Q10)</f>
        <v>151035</v>
      </c>
      <c r="R11" s="16">
        <f t="shared" si="32"/>
        <v>138079</v>
      </c>
      <c r="S11" s="16">
        <f t="shared" ref="S11" si="38">SUM(S9:S10)</f>
        <v>136775</v>
      </c>
      <c r="T11" s="16">
        <f t="shared" ref="T11" si="39">SUM(T9:T10)</f>
        <v>145858</v>
      </c>
      <c r="U11" s="16">
        <f t="shared" ref="U11" si="40">SUM(U9:U10)</f>
        <v>241874</v>
      </c>
      <c r="V11" s="16">
        <f t="shared" si="32"/>
        <v>144661</v>
      </c>
      <c r="W11" s="16">
        <f t="shared" ref="W11" si="41">SUM(W9:W10)</f>
        <v>126118</v>
      </c>
      <c r="X11" s="16">
        <f t="shared" ref="X11" si="42">SUM(X9:X10)</f>
        <v>131860</v>
      </c>
      <c r="Y11" s="16">
        <f t="shared" ref="Y11" si="43">SUM(Y9:Y10)</f>
        <v>173449</v>
      </c>
      <c r="Z11" s="16">
        <f t="shared" si="32"/>
        <v>165135</v>
      </c>
      <c r="AA11" s="16">
        <f t="shared" ref="AA11" si="44">SUM(AA9:AA10)</f>
        <v>80669</v>
      </c>
      <c r="AB11" s="16">
        <f t="shared" ref="AB11:AC11" si="45">SUM(AB9:AB10)</f>
        <v>137459</v>
      </c>
      <c r="AC11" s="16">
        <f t="shared" si="45"/>
        <v>579388.04200000013</v>
      </c>
      <c r="AE11" s="16">
        <f t="shared" ref="AE11" si="46">SUM(AE9:AE10)</f>
        <v>197644</v>
      </c>
      <c r="AF11" s="16">
        <f t="shared" ref="AF11" si="47">SUM(AF9:AF10)</f>
        <v>298751</v>
      </c>
      <c r="AG11" s="16">
        <f t="shared" ref="AG11" si="48">SUM(AG9:AG10)</f>
        <v>412497</v>
      </c>
      <c r="AH11" s="16">
        <f t="shared" ref="AH11" si="49">SUM(AH9:AH10)</f>
        <v>662586</v>
      </c>
      <c r="AI11" s="16">
        <f t="shared" ref="AI11" si="50">SUM(AI9:AI10)</f>
        <v>576088</v>
      </c>
      <c r="AJ11" s="16">
        <f t="shared" ref="AJ11" si="51">SUM(AJ9:AJ10)</f>
        <v>962651.04200000013</v>
      </c>
    </row>
    <row r="12" spans="2:36" x14ac:dyDescent="0.25">
      <c r="B12" s="2" t="s">
        <v>5</v>
      </c>
      <c r="F12" s="6">
        <f>'Raw Historical Financials'!C7</f>
        <v>15737</v>
      </c>
      <c r="G12" s="6">
        <f>'Raw Historical Financials'!D7-'Raw Historical Financials'!C7</f>
        <v>16087</v>
      </c>
      <c r="H12" s="6">
        <f>'Raw Historical Financials'!E7-'Raw Historical Financials'!D7</f>
        <v>18152</v>
      </c>
      <c r="I12" s="6">
        <f>'Raw Historical Financials'!F7-'Raw Historical Financials'!E7</f>
        <v>7465</v>
      </c>
      <c r="J12" s="6">
        <f>'Raw Historical Financials'!G7</f>
        <v>15288</v>
      </c>
      <c r="K12" s="6">
        <f>'Raw Historical Financials'!H7-'Raw Historical Financials'!G7</f>
        <v>13214</v>
      </c>
      <c r="L12" s="6">
        <f>'Raw Historical Financials'!I7-'Raw Historical Financials'!H7</f>
        <v>16099</v>
      </c>
      <c r="M12" s="6">
        <f>'Raw Historical Financials'!J7-'Raw Historical Financials'!I7</f>
        <v>36811</v>
      </c>
      <c r="N12" s="6">
        <f>'Raw Historical Financials'!K7</f>
        <v>18434</v>
      </c>
      <c r="O12" s="6">
        <f>'Raw Historical Financials'!L7-'Raw Historical Financials'!K7</f>
        <v>19898</v>
      </c>
      <c r="P12" s="6">
        <f>'Raw Historical Financials'!M7-'Raw Historical Financials'!L7</f>
        <v>23255</v>
      </c>
      <c r="Q12" s="6">
        <f>'Raw Historical Financials'!N7-'Raw Historical Financials'!M7</f>
        <v>75049</v>
      </c>
      <c r="R12" s="6">
        <f>'Raw Historical Financials'!O7</f>
        <v>30857</v>
      </c>
      <c r="S12" s="6">
        <f>'Raw Historical Financials'!P7-'Raw Historical Financials'!O7</f>
        <v>34719</v>
      </c>
      <c r="T12" s="6">
        <f>'Raw Historical Financials'!Q7-'Raw Historical Financials'!P7</f>
        <v>38481</v>
      </c>
      <c r="U12" s="6">
        <f>'Raw Historical Financials'!R7-'Raw Historical Financials'!Q7</f>
        <v>79927</v>
      </c>
      <c r="V12" s="6">
        <f>'Raw Historical Financials'!S7</f>
        <v>32415</v>
      </c>
      <c r="W12" s="6">
        <f>'Raw Historical Financials'!T7-'Raw Historical Financials'!S7</f>
        <v>54359</v>
      </c>
      <c r="X12" s="6">
        <f>'Raw Historical Financials'!U7-'Raw Historical Financials'!T7</f>
        <v>53377</v>
      </c>
      <c r="Y12" s="6">
        <f>'Raw Historical Financials'!V7-'Raw Historical Financials'!U7</f>
        <v>138893</v>
      </c>
      <c r="Z12" s="6">
        <f>'Raw Historical Financials'!W7</f>
        <v>57745</v>
      </c>
      <c r="AA12" s="6">
        <f>'Raw Historical Financials'!X7-'Raw Historical Financials'!W7</f>
        <v>79408</v>
      </c>
      <c r="AB12" s="6">
        <f>'Raw Historical Financials'!Y7-'Raw Historical Financials'!X7</f>
        <v>80299</v>
      </c>
      <c r="AC12" s="6">
        <f>'Raw Historical Financials'!Z7-'Raw Historical Financials'!Y7</f>
        <v>76446.237000000023</v>
      </c>
      <c r="AE12" s="6">
        <f t="shared" ref="AE12:AI13" si="52">SUMIF($F$2:$AB$2,AE$2,$F12:$AB12)</f>
        <v>57441</v>
      </c>
      <c r="AF12" s="6">
        <f t="shared" si="52"/>
        <v>81412</v>
      </c>
      <c r="AG12" s="6">
        <f t="shared" si="52"/>
        <v>136636</v>
      </c>
      <c r="AH12" s="6">
        <f t="shared" si="52"/>
        <v>183984</v>
      </c>
      <c r="AI12" s="6">
        <f t="shared" si="52"/>
        <v>279044</v>
      </c>
      <c r="AJ12" s="6">
        <f t="shared" ref="AJ12:AJ13" si="53">SUMIF($F$2:$AC$2,AJ$2,$F12:$AC12)</f>
        <v>293898.23700000002</v>
      </c>
    </row>
    <row r="13" spans="2:36" x14ac:dyDescent="0.25">
      <c r="B13" s="2" t="s">
        <v>77</v>
      </c>
      <c r="F13" s="6">
        <f>'Raw Historical Financials'!C8</f>
        <v>0</v>
      </c>
      <c r="G13" s="6">
        <f>'Raw Historical Financials'!D8-'Raw Historical Financials'!C8</f>
        <v>0</v>
      </c>
      <c r="H13" s="6">
        <f>'Raw Historical Financials'!E8-'Raw Historical Financials'!D8</f>
        <v>0</v>
      </c>
      <c r="I13" s="6">
        <f>'Raw Historical Financials'!F8-'Raw Historical Financials'!E8</f>
        <v>-12482</v>
      </c>
      <c r="J13" s="6">
        <f>'Raw Historical Financials'!G8</f>
        <v>0</v>
      </c>
      <c r="K13" s="6">
        <f>'Raw Historical Financials'!H8-'Raw Historical Financials'!G8</f>
        <v>0</v>
      </c>
      <c r="L13" s="6">
        <f>'Raw Historical Financials'!I8-'Raw Historical Financials'!H8</f>
        <v>0</v>
      </c>
      <c r="M13" s="6">
        <f>'Raw Historical Financials'!J8-'Raw Historical Financials'!I8</f>
        <v>-24812</v>
      </c>
      <c r="N13" s="6">
        <f>'Raw Historical Financials'!K8</f>
        <v>0</v>
      </c>
      <c r="O13" s="6">
        <f>'Raw Historical Financials'!L8-'Raw Historical Financials'!K8</f>
        <v>0</v>
      </c>
      <c r="P13" s="6">
        <f>'Raw Historical Financials'!M8-'Raw Historical Financials'!L8</f>
        <v>0</v>
      </c>
      <c r="Q13" s="6">
        <f>'Raw Historical Financials'!N8-'Raw Historical Financials'!M8</f>
        <v>-41449</v>
      </c>
      <c r="R13" s="6">
        <f>'Raw Historical Financials'!O8</f>
        <v>0</v>
      </c>
      <c r="S13" s="6">
        <f>'Raw Historical Financials'!P8-'Raw Historical Financials'!O8</f>
        <v>0</v>
      </c>
      <c r="T13" s="6">
        <f>'Raw Historical Financials'!Q8-'Raw Historical Financials'!P8</f>
        <v>0</v>
      </c>
      <c r="U13" s="6">
        <f>'Raw Historical Financials'!R8-'Raw Historical Financials'!Q8</f>
        <v>-60118</v>
      </c>
      <c r="V13" s="6">
        <f>'Raw Historical Financials'!S8</f>
        <v>0</v>
      </c>
      <c r="W13" s="6">
        <f>'Raw Historical Financials'!T8-'Raw Historical Financials'!S8</f>
        <v>0</v>
      </c>
      <c r="X13" s="6">
        <f>'Raw Historical Financials'!U8-'Raw Historical Financials'!T8</f>
        <v>0</v>
      </c>
      <c r="Y13" s="6">
        <f>'Raw Historical Financials'!V8-'Raw Historical Financials'!U8</f>
        <v>-98846</v>
      </c>
      <c r="Z13" s="6">
        <f>'Raw Historical Financials'!W8</f>
        <v>-26840</v>
      </c>
      <c r="AA13" s="6">
        <f>'Raw Historical Financials'!X8-'Raw Historical Financials'!W8</f>
        <v>-38753</v>
      </c>
      <c r="AB13" s="6">
        <f>'Raw Historical Financials'!Y8-'Raw Historical Financials'!X8</f>
        <v>-22529</v>
      </c>
      <c r="AC13" s="6">
        <f>'Raw Historical Financials'!Z8-'Raw Historical Financials'!Y8</f>
        <v>-29426.085000000006</v>
      </c>
      <c r="AE13" s="6">
        <f t="shared" si="52"/>
        <v>-12482</v>
      </c>
      <c r="AF13" s="6">
        <f t="shared" si="52"/>
        <v>-24812</v>
      </c>
      <c r="AG13" s="6">
        <f t="shared" si="52"/>
        <v>-41449</v>
      </c>
      <c r="AH13" s="6">
        <f t="shared" si="52"/>
        <v>-60118</v>
      </c>
      <c r="AI13" s="6">
        <f t="shared" si="52"/>
        <v>-98846</v>
      </c>
      <c r="AJ13" s="6">
        <f t="shared" si="53"/>
        <v>-117548.08500000001</v>
      </c>
    </row>
    <row r="14" spans="2:36" x14ac:dyDescent="0.25">
      <c r="B14" s="8" t="s">
        <v>101</v>
      </c>
      <c r="C14" s="8"/>
      <c r="D14" s="8"/>
      <c r="E14" s="16"/>
      <c r="F14" s="16">
        <f>SUM(F12:F13)</f>
        <v>15737</v>
      </c>
      <c r="G14" s="16">
        <f t="shared" ref="G14:Z14" si="54">SUM(G12:G13)</f>
        <v>16087</v>
      </c>
      <c r="H14" s="16">
        <f t="shared" ref="H14" si="55">SUM(H12:H13)</f>
        <v>18152</v>
      </c>
      <c r="I14" s="16">
        <f t="shared" ref="I14:K14" si="56">SUM(I12:I13)</f>
        <v>-5017</v>
      </c>
      <c r="J14" s="16">
        <f t="shared" si="54"/>
        <v>15288</v>
      </c>
      <c r="K14" s="16">
        <f t="shared" si="56"/>
        <v>13214</v>
      </c>
      <c r="L14" s="16">
        <f t="shared" ref="L14" si="57">SUM(L12:L13)</f>
        <v>16099</v>
      </c>
      <c r="M14" s="16">
        <f t="shared" ref="M14" si="58">SUM(M12:M13)</f>
        <v>11999</v>
      </c>
      <c r="N14" s="16">
        <f t="shared" si="54"/>
        <v>18434</v>
      </c>
      <c r="O14" s="16">
        <f t="shared" ref="O14" si="59">SUM(O12:O13)</f>
        <v>19898</v>
      </c>
      <c r="P14" s="16">
        <f t="shared" ref="P14" si="60">SUM(P12:P13)</f>
        <v>23255</v>
      </c>
      <c r="Q14" s="16">
        <f t="shared" ref="Q14" si="61">SUM(Q12:Q13)</f>
        <v>33600</v>
      </c>
      <c r="R14" s="16">
        <f t="shared" si="54"/>
        <v>30857</v>
      </c>
      <c r="S14" s="16">
        <f t="shared" ref="S14" si="62">SUM(S12:S13)</f>
        <v>34719</v>
      </c>
      <c r="T14" s="16">
        <f t="shared" ref="T14" si="63">SUM(T12:T13)</f>
        <v>38481</v>
      </c>
      <c r="U14" s="16">
        <f t="shared" ref="U14" si="64">SUM(U12:U13)</f>
        <v>19809</v>
      </c>
      <c r="V14" s="16">
        <f t="shared" si="54"/>
        <v>32415</v>
      </c>
      <c r="W14" s="16">
        <f t="shared" ref="W14" si="65">SUM(W12:W13)</f>
        <v>54359</v>
      </c>
      <c r="X14" s="16">
        <f t="shared" ref="X14" si="66">SUM(X12:X13)</f>
        <v>53377</v>
      </c>
      <c r="Y14" s="16">
        <f t="shared" ref="Y14" si="67">SUM(Y12:Y13)</f>
        <v>40047</v>
      </c>
      <c r="Z14" s="16">
        <f t="shared" si="54"/>
        <v>30905</v>
      </c>
      <c r="AA14" s="16">
        <f t="shared" ref="AA14" si="68">SUM(AA12:AA13)</f>
        <v>40655</v>
      </c>
      <c r="AB14" s="16">
        <f t="shared" ref="AB14:AC14" si="69">SUM(AB12:AB13)</f>
        <v>57770</v>
      </c>
      <c r="AC14" s="16">
        <f t="shared" si="69"/>
        <v>47020.152000000016</v>
      </c>
      <c r="AE14" s="16">
        <f t="shared" ref="AE14" si="70">SUM(AE12:AE13)</f>
        <v>44959</v>
      </c>
      <c r="AF14" s="16">
        <f t="shared" ref="AF14" si="71">SUM(AF12:AF13)</f>
        <v>56600</v>
      </c>
      <c r="AG14" s="16">
        <f t="shared" ref="AG14" si="72">SUM(AG12:AG13)</f>
        <v>95187</v>
      </c>
      <c r="AH14" s="16">
        <f t="shared" ref="AH14" si="73">SUM(AH12:AH13)</f>
        <v>123866</v>
      </c>
      <c r="AI14" s="16">
        <f t="shared" ref="AI14" si="74">SUM(AI12:AI13)</f>
        <v>180198</v>
      </c>
      <c r="AJ14" s="16">
        <f t="shared" ref="AJ14" si="75">SUM(AJ12:AJ13)</f>
        <v>176350.152</v>
      </c>
    </row>
    <row r="15" spans="2:36" x14ac:dyDescent="0.25">
      <c r="B15" s="2" t="s">
        <v>6</v>
      </c>
      <c r="F15" s="6">
        <f>'Raw Historical Financials'!C9</f>
        <v>13247</v>
      </c>
      <c r="G15" s="6">
        <f>'Raw Historical Financials'!D9-'Raw Historical Financials'!C9</f>
        <v>12034</v>
      </c>
      <c r="H15" s="6">
        <f>'Raw Historical Financials'!E9-'Raw Historical Financials'!D9</f>
        <v>9062</v>
      </c>
      <c r="I15" s="6">
        <f>'Raw Historical Financials'!F9-'Raw Historical Financials'!E9</f>
        <v>33204</v>
      </c>
      <c r="J15" s="6">
        <f>'Raw Historical Financials'!G9</f>
        <v>7979</v>
      </c>
      <c r="K15" s="6">
        <f>'Raw Historical Financials'!H9-'Raw Historical Financials'!G9</f>
        <v>7593</v>
      </c>
      <c r="L15" s="6">
        <f>'Raw Historical Financials'!I9-'Raw Historical Financials'!H9</f>
        <v>6754</v>
      </c>
      <c r="M15" s="6">
        <f>'Raw Historical Financials'!J9-'Raw Historical Financials'!I9</f>
        <v>11270</v>
      </c>
      <c r="N15" s="6">
        <f>'Raw Historical Financials'!K9</f>
        <v>15985</v>
      </c>
      <c r="O15" s="6">
        <f>'Raw Historical Financials'!L9-'Raw Historical Financials'!K9</f>
        <v>3150</v>
      </c>
      <c r="P15" s="6">
        <f>'Raw Historical Financials'!M9-'Raw Historical Financials'!L9</f>
        <v>-2588</v>
      </c>
      <c r="Q15" s="6">
        <f>'Raw Historical Financials'!N9-'Raw Historical Financials'!M9</f>
        <v>-9700</v>
      </c>
      <c r="R15" s="6">
        <f>'Raw Historical Financials'!O9</f>
        <v>28302</v>
      </c>
      <c r="S15" s="6">
        <f>'Raw Historical Financials'!P9-'Raw Historical Financials'!O9</f>
        <v>21369</v>
      </c>
      <c r="T15" s="6">
        <f>'Raw Historical Financials'!Q9-'Raw Historical Financials'!P9</f>
        <v>16251</v>
      </c>
      <c r="U15" s="6">
        <f>'Raw Historical Financials'!R9-'Raw Historical Financials'!Q9</f>
        <v>188932</v>
      </c>
      <c r="V15" s="6">
        <f>'Raw Historical Financials'!S9</f>
        <v>22827</v>
      </c>
      <c r="W15" s="6">
        <f>'Raw Historical Financials'!T9-'Raw Historical Financials'!S9</f>
        <v>15423</v>
      </c>
      <c r="X15" s="6">
        <f>'Raw Historical Financials'!U9-'Raw Historical Financials'!T9</f>
        <v>19306</v>
      </c>
      <c r="Y15" s="6">
        <f>'Raw Historical Financials'!V9-'Raw Historical Financials'!U9</f>
        <v>278097</v>
      </c>
      <c r="Z15" s="6">
        <f>'Raw Historical Financials'!W9</f>
        <v>13104</v>
      </c>
      <c r="AA15" s="6">
        <f>'Raw Historical Financials'!X9-'Raw Historical Financials'!W9</f>
        <v>72392</v>
      </c>
      <c r="AB15" s="6">
        <f>'Raw Historical Financials'!Y9-'Raw Historical Financials'!X9</f>
        <v>27893</v>
      </c>
      <c r="AC15" s="6">
        <f>'Raw Historical Financials'!Z9-'Raw Historical Financials'!Y9</f>
        <v>46887.804000000004</v>
      </c>
      <c r="AE15" s="6">
        <f t="shared" ref="AE15:AI16" si="76">SUMIF($F$2:$AB$2,AE$2,$F15:$AB15)</f>
        <v>67547</v>
      </c>
      <c r="AF15" s="6">
        <f t="shared" si="76"/>
        <v>33596</v>
      </c>
      <c r="AG15" s="6">
        <f t="shared" si="76"/>
        <v>6847</v>
      </c>
      <c r="AH15" s="6">
        <f t="shared" si="76"/>
        <v>254854</v>
      </c>
      <c r="AI15" s="6">
        <f t="shared" si="76"/>
        <v>335653</v>
      </c>
      <c r="AJ15" s="6">
        <f t="shared" ref="AJ15:AJ16" si="77">SUMIF($F$2:$AC$2,AJ$2,$F15:$AC15)</f>
        <v>160276.804</v>
      </c>
    </row>
    <row r="16" spans="2:36" x14ac:dyDescent="0.25">
      <c r="B16" s="2" t="s">
        <v>63</v>
      </c>
      <c r="F16" s="6">
        <f>'Raw Historical Financials'!C10</f>
        <v>152</v>
      </c>
      <c r="G16" s="6">
        <f>'Raw Historical Financials'!D10-'Raw Historical Financials'!C10</f>
        <v>410</v>
      </c>
      <c r="H16" s="6">
        <f>'Raw Historical Financials'!E10-'Raw Historical Financials'!D10</f>
        <v>1073</v>
      </c>
      <c r="I16" s="6">
        <f>'Raw Historical Financials'!F10-'Raw Historical Financials'!E10</f>
        <v>-7120</v>
      </c>
      <c r="J16" s="6">
        <f>'Raw Historical Financials'!G10</f>
        <v>275</v>
      </c>
      <c r="K16" s="6">
        <f>'Raw Historical Financials'!H10-'Raw Historical Financials'!G10</f>
        <v>292</v>
      </c>
      <c r="L16" s="6">
        <f>'Raw Historical Financials'!I10-'Raw Historical Financials'!H10</f>
        <v>333</v>
      </c>
      <c r="M16" s="6">
        <f>'Raw Historical Financials'!J10-'Raw Historical Financials'!I10</f>
        <v>1097</v>
      </c>
      <c r="N16" s="6">
        <f>'Raw Historical Financials'!K10</f>
        <v>345</v>
      </c>
      <c r="O16" s="6">
        <f>'Raw Historical Financials'!L10-'Raw Historical Financials'!K10</f>
        <v>2149</v>
      </c>
      <c r="P16" s="6">
        <f>'Raw Historical Financials'!M10-'Raw Historical Financials'!L10</f>
        <v>71</v>
      </c>
      <c r="Q16" s="6">
        <f>'Raw Historical Financials'!N10-'Raw Historical Financials'!M10</f>
        <v>-509</v>
      </c>
      <c r="R16" s="6">
        <f>'Raw Historical Financials'!O10</f>
        <v>323</v>
      </c>
      <c r="S16" s="6">
        <f>'Raw Historical Financials'!P10-'Raw Historical Financials'!O10</f>
        <v>0</v>
      </c>
      <c r="T16" s="6">
        <f>'Raw Historical Financials'!Q10-'Raw Historical Financials'!P10</f>
        <v>172</v>
      </c>
      <c r="U16" s="6">
        <f>'Raw Historical Financials'!R10-'Raw Historical Financials'!Q10</f>
        <v>3224</v>
      </c>
      <c r="V16" s="6">
        <f>'Raw Historical Financials'!S10</f>
        <v>530</v>
      </c>
      <c r="W16" s="6">
        <f>'Raw Historical Financials'!T10-'Raw Historical Financials'!S10</f>
        <v>10</v>
      </c>
      <c r="X16" s="6">
        <f>'Raw Historical Financials'!U10-'Raw Historical Financials'!T10</f>
        <v>15</v>
      </c>
      <c r="Y16" s="6">
        <f>'Raw Historical Financials'!V10-'Raw Historical Financials'!U10</f>
        <v>308</v>
      </c>
      <c r="Z16" s="6">
        <f>'Raw Historical Financials'!W10</f>
        <v>2007</v>
      </c>
      <c r="AA16" s="6">
        <f>'Raw Historical Financials'!X10-'Raw Historical Financials'!W10</f>
        <v>131</v>
      </c>
      <c r="AB16" s="6">
        <f>'Raw Historical Financials'!Y10-'Raw Historical Financials'!X10</f>
        <v>673</v>
      </c>
      <c r="AC16" s="6">
        <f>'Raw Historical Financials'!Z10-'Raw Historical Financials'!Y10</f>
        <v>326.38799999999992</v>
      </c>
      <c r="AE16" s="6">
        <f t="shared" si="76"/>
        <v>-5485</v>
      </c>
      <c r="AF16" s="6">
        <f t="shared" si="76"/>
        <v>1997</v>
      </c>
      <c r="AG16" s="6">
        <f t="shared" si="76"/>
        <v>2056</v>
      </c>
      <c r="AH16" s="6">
        <f t="shared" si="76"/>
        <v>3719</v>
      </c>
      <c r="AI16" s="6">
        <f t="shared" si="76"/>
        <v>863</v>
      </c>
      <c r="AJ16" s="6">
        <f t="shared" si="77"/>
        <v>3137.3879999999999</v>
      </c>
    </row>
    <row r="17" spans="2:36" x14ac:dyDescent="0.25">
      <c r="B17" s="8" t="s">
        <v>7</v>
      </c>
      <c r="C17" s="8"/>
      <c r="D17" s="8"/>
      <c r="E17" s="16"/>
      <c r="F17" s="16">
        <f>SUM(F11,F14:F16)</f>
        <v>72896</v>
      </c>
      <c r="G17" s="16">
        <f t="shared" ref="G17:Z17" si="78">SUM(G11,G14:G16)</f>
        <v>75874</v>
      </c>
      <c r="H17" s="16">
        <f t="shared" ref="H17" si="79">SUM(H11,H14:H16)</f>
        <v>77011</v>
      </c>
      <c r="I17" s="16">
        <f t="shared" ref="I17:K17" si="80">SUM(I11,I14:I16)</f>
        <v>78884</v>
      </c>
      <c r="J17" s="16">
        <f t="shared" si="78"/>
        <v>78944</v>
      </c>
      <c r="K17" s="16">
        <f t="shared" si="80"/>
        <v>81854</v>
      </c>
      <c r="L17" s="16">
        <f t="shared" ref="L17" si="81">SUM(L11,L14:L16)</f>
        <v>90808</v>
      </c>
      <c r="M17" s="16">
        <f t="shared" ref="M17" si="82">SUM(M11,M14:M16)</f>
        <v>139338</v>
      </c>
      <c r="N17" s="16">
        <f t="shared" si="78"/>
        <v>113159</v>
      </c>
      <c r="O17" s="16">
        <f t="shared" ref="O17" si="83">SUM(O11,O14:O16)</f>
        <v>98533</v>
      </c>
      <c r="P17" s="16">
        <f t="shared" ref="P17" si="84">SUM(P11,P14:P16)</f>
        <v>130469</v>
      </c>
      <c r="Q17" s="16">
        <f t="shared" ref="Q17" si="85">SUM(Q11,Q14:Q16)</f>
        <v>174426</v>
      </c>
      <c r="R17" s="16">
        <f t="shared" si="78"/>
        <v>197561</v>
      </c>
      <c r="S17" s="16">
        <f t="shared" ref="S17" si="86">SUM(S11,S14:S16)</f>
        <v>192863</v>
      </c>
      <c r="T17" s="16">
        <f t="shared" ref="T17" si="87">SUM(T11,T14:T16)</f>
        <v>200762</v>
      </c>
      <c r="U17" s="16">
        <f t="shared" ref="U17" si="88">SUM(U11,U14:U16)</f>
        <v>453839</v>
      </c>
      <c r="V17" s="16">
        <f t="shared" si="78"/>
        <v>200433</v>
      </c>
      <c r="W17" s="16">
        <f t="shared" ref="W17" si="89">SUM(W11,W14:W16)</f>
        <v>195910</v>
      </c>
      <c r="X17" s="16">
        <f t="shared" ref="X17" si="90">SUM(X11,X14:X16)</f>
        <v>204558</v>
      </c>
      <c r="Y17" s="16">
        <f t="shared" ref="Y17" si="91">SUM(Y11,Y14:Y16)</f>
        <v>491901</v>
      </c>
      <c r="Z17" s="16">
        <f t="shared" si="78"/>
        <v>211151</v>
      </c>
      <c r="AA17" s="16">
        <f t="shared" ref="AA17" si="92">SUM(AA11,AA14:AA16)</f>
        <v>193847</v>
      </c>
      <c r="AB17" s="16">
        <f t="shared" ref="AB17:AC17" si="93">SUM(AB11,AB14:AB16)</f>
        <v>223795</v>
      </c>
      <c r="AC17" s="16">
        <f t="shared" si="93"/>
        <v>673622.38600000017</v>
      </c>
      <c r="AE17" s="16">
        <f t="shared" ref="AE17" si="94">SUM(AE11,AE14:AE16)</f>
        <v>304665</v>
      </c>
      <c r="AF17" s="16">
        <f t="shared" ref="AF17" si="95">SUM(AF11,AF14:AF16)</f>
        <v>390944</v>
      </c>
      <c r="AG17" s="16">
        <f t="shared" ref="AG17" si="96">SUM(AG11,AG14:AG16)</f>
        <v>516587</v>
      </c>
      <c r="AH17" s="16">
        <f t="shared" ref="AH17" si="97">SUM(AH11,AH14:AH16)</f>
        <v>1045025</v>
      </c>
      <c r="AI17" s="16">
        <f t="shared" ref="AI17" si="98">SUM(AI11,AI14:AI16)</f>
        <v>1092802</v>
      </c>
      <c r="AJ17" s="16">
        <f t="shared" ref="AJ17" si="99">SUM(AJ11,AJ14:AJ16)</f>
        <v>1302415.3860000002</v>
      </c>
    </row>
    <row r="18" spans="2:36" x14ac:dyDescent="0.25">
      <c r="B18" s="2" t="s">
        <v>8</v>
      </c>
      <c r="F18" s="6">
        <f>'Raw Historical Financials'!C12</f>
        <v>-7000</v>
      </c>
      <c r="G18" s="6">
        <f>'Raw Historical Financials'!D12-'Raw Historical Financials'!C12</f>
        <v>-9146</v>
      </c>
      <c r="H18" s="6">
        <f>'Raw Historical Financials'!E12-'Raw Historical Financials'!D12</f>
        <v>-8947</v>
      </c>
      <c r="I18" s="6">
        <f>'Raw Historical Financials'!F12-'Raw Historical Financials'!E12</f>
        <v>-7400</v>
      </c>
      <c r="J18" s="6">
        <f>'Raw Historical Financials'!G12</f>
        <v>-7618</v>
      </c>
      <c r="K18" s="6">
        <f>'Raw Historical Financials'!H12-'Raw Historical Financials'!G12</f>
        <v>-588</v>
      </c>
      <c r="L18" s="6">
        <f>'Raw Historical Financials'!I12-'Raw Historical Financials'!H12</f>
        <v>-529</v>
      </c>
      <c r="M18" s="6">
        <f>'Raw Historical Financials'!J12-'Raw Historical Financials'!I12</f>
        <v>-9074</v>
      </c>
      <c r="N18" s="6">
        <f>'Raw Historical Financials'!K12</f>
        <v>-10462</v>
      </c>
      <c r="O18" s="6">
        <f>'Raw Historical Financials'!L12-'Raw Historical Financials'!K12</f>
        <v>-5982</v>
      </c>
      <c r="P18" s="6">
        <f>'Raw Historical Financials'!M12-'Raw Historical Financials'!L12</f>
        <v>-19852</v>
      </c>
      <c r="Q18" s="6">
        <f>'Raw Historical Financials'!N12-'Raw Historical Financials'!M12</f>
        <v>-193528</v>
      </c>
      <c r="R18" s="6">
        <f>'Raw Historical Financials'!O12</f>
        <v>-55740</v>
      </c>
      <c r="S18" s="6">
        <f>'Raw Historical Financials'!P12-'Raw Historical Financials'!O12</f>
        <v>-38035</v>
      </c>
      <c r="T18" s="6">
        <f>'Raw Historical Financials'!Q12-'Raw Historical Financials'!P12</f>
        <v>-50531</v>
      </c>
      <c r="U18" s="6">
        <f>'Raw Historical Financials'!R12-'Raw Historical Financials'!Q12</f>
        <v>66999</v>
      </c>
      <c r="V18" s="6">
        <f>'Raw Historical Financials'!S12</f>
        <v>-10015</v>
      </c>
      <c r="W18" s="6">
        <f>'Raw Historical Financials'!T12-'Raw Historical Financials'!S12</f>
        <v>-15623</v>
      </c>
      <c r="X18" s="6">
        <f>'Raw Historical Financials'!U12-'Raw Historical Financials'!T12</f>
        <v>-75457</v>
      </c>
      <c r="Y18" s="6">
        <f>'Raw Historical Financials'!V12-'Raw Historical Financials'!U12</f>
        <v>62566</v>
      </c>
      <c r="Z18" s="6">
        <f>'Raw Historical Financials'!W12</f>
        <v>25416</v>
      </c>
      <c r="AA18" s="6">
        <f>'Raw Historical Financials'!X12-'Raw Historical Financials'!W12</f>
        <v>26628</v>
      </c>
      <c r="AB18" s="6">
        <f>'Raw Historical Financials'!Y12-'Raw Historical Financials'!X12</f>
        <v>46660</v>
      </c>
      <c r="AC18" s="6">
        <f>'Raw Historical Financials'!Z12-'Raw Historical Financials'!Y12</f>
        <v>-178305.39600000001</v>
      </c>
      <c r="AE18" s="6">
        <f t="shared" ref="AE18:AI24" si="100">SUMIF($F$2:$AB$2,AE$2,$F18:$AB18)</f>
        <v>-32493</v>
      </c>
      <c r="AF18" s="6">
        <f t="shared" si="100"/>
        <v>-17809</v>
      </c>
      <c r="AG18" s="6">
        <f t="shared" si="100"/>
        <v>-229824</v>
      </c>
      <c r="AH18" s="6">
        <f t="shared" si="100"/>
        <v>-77307</v>
      </c>
      <c r="AI18" s="6">
        <f t="shared" si="100"/>
        <v>-38529</v>
      </c>
      <c r="AJ18" s="6">
        <f t="shared" ref="AJ18:AJ24" si="101">SUMIF($F$2:$AC$2,AJ$2,$F18:$AC18)</f>
        <v>-79601.396000000008</v>
      </c>
    </row>
    <row r="19" spans="2:36" x14ac:dyDescent="0.25">
      <c r="B19" s="2" t="s">
        <v>96</v>
      </c>
      <c r="F19" s="6">
        <f>'Raw Historical Financials'!C13</f>
        <v>0</v>
      </c>
      <c r="G19" s="6">
        <f>'Raw Historical Financials'!D13-'Raw Historical Financials'!C13</f>
        <v>0</v>
      </c>
      <c r="H19" s="6">
        <f>'Raw Historical Financials'!E13-'Raw Historical Financials'!D13</f>
        <v>0</v>
      </c>
      <c r="I19" s="6">
        <f>'Raw Historical Financials'!F13-'Raw Historical Financials'!E13</f>
        <v>0</v>
      </c>
      <c r="J19" s="6">
        <f>'Raw Historical Financials'!G13</f>
        <v>0</v>
      </c>
      <c r="K19" s="6">
        <f>'Raw Historical Financials'!H13-'Raw Historical Financials'!G13</f>
        <v>0</v>
      </c>
      <c r="L19" s="6">
        <f>'Raw Historical Financials'!I13-'Raw Historical Financials'!H13</f>
        <v>0</v>
      </c>
      <c r="M19" s="6">
        <f>'Raw Historical Financials'!J13-'Raw Historical Financials'!I13</f>
        <v>0</v>
      </c>
      <c r="N19" s="6">
        <f>'Raw Historical Financials'!K13</f>
        <v>0</v>
      </c>
      <c r="O19" s="6">
        <f>'Raw Historical Financials'!L13-'Raw Historical Financials'!K13</f>
        <v>0</v>
      </c>
      <c r="P19" s="6">
        <f>'Raw Historical Financials'!M13-'Raw Historical Financials'!L13</f>
        <v>0</v>
      </c>
      <c r="Q19" s="6">
        <f>'Raw Historical Financials'!N13-'Raw Historical Financials'!M13</f>
        <v>0</v>
      </c>
      <c r="R19" s="6">
        <f>'Raw Historical Financials'!O13</f>
        <v>0</v>
      </c>
      <c r="S19" s="6">
        <f>'Raw Historical Financials'!P13-'Raw Historical Financials'!O13</f>
        <v>0</v>
      </c>
      <c r="T19" s="6">
        <f>'Raw Historical Financials'!Q13-'Raw Historical Financials'!P13</f>
        <v>0</v>
      </c>
      <c r="U19" s="6">
        <f>'Raw Historical Financials'!R13-'Raw Historical Financials'!Q13</f>
        <v>-289120</v>
      </c>
      <c r="V19" s="6">
        <f>'Raw Historical Financials'!S13</f>
        <v>0</v>
      </c>
      <c r="W19" s="6">
        <f>'Raw Historical Financials'!T13-'Raw Historical Financials'!S13</f>
        <v>0</v>
      </c>
      <c r="X19" s="6">
        <f>'Raw Historical Financials'!U13-'Raw Historical Financials'!T13</f>
        <v>0</v>
      </c>
      <c r="Y19" s="6">
        <f>'Raw Historical Financials'!V13-'Raw Historical Financials'!U13</f>
        <v>0</v>
      </c>
      <c r="Z19" s="6">
        <f>'Raw Historical Financials'!W13</f>
        <v>0</v>
      </c>
      <c r="AA19" s="6">
        <f>'Raw Historical Financials'!X13-'Raw Historical Financials'!W13</f>
        <v>0</v>
      </c>
      <c r="AB19" s="6">
        <f>'Raw Historical Financials'!Y13-'Raw Historical Financials'!X13</f>
        <v>0</v>
      </c>
      <c r="AC19" s="6">
        <f>'Raw Historical Financials'!Z13-'Raw Historical Financials'!Y13</f>
        <v>0</v>
      </c>
      <c r="AE19" s="6">
        <f t="shared" si="100"/>
        <v>0</v>
      </c>
      <c r="AF19" s="6">
        <f t="shared" si="100"/>
        <v>0</v>
      </c>
      <c r="AG19" s="6">
        <f t="shared" si="100"/>
        <v>0</v>
      </c>
      <c r="AH19" s="6">
        <f t="shared" si="100"/>
        <v>-289120</v>
      </c>
      <c r="AI19" s="6">
        <f t="shared" si="100"/>
        <v>0</v>
      </c>
      <c r="AJ19" s="6">
        <f t="shared" si="101"/>
        <v>0</v>
      </c>
    </row>
    <row r="20" spans="2:36" x14ac:dyDescent="0.25">
      <c r="B20" s="2" t="s">
        <v>9</v>
      </c>
      <c r="F20" s="6">
        <f>'Raw Historical Financials'!C14</f>
        <v>-19294</v>
      </c>
      <c r="G20" s="6">
        <f>'Raw Historical Financials'!D14-'Raw Historical Financials'!C14</f>
        <v>-19084</v>
      </c>
      <c r="H20" s="6">
        <f>'Raw Historical Financials'!E14-'Raw Historical Financials'!D14</f>
        <v>-18328</v>
      </c>
      <c r="I20" s="6">
        <f>'Raw Historical Financials'!F14-'Raw Historical Financials'!E14</f>
        <v>-17975</v>
      </c>
      <c r="J20" s="6">
        <f>'Raw Historical Financials'!G14</f>
        <v>-17662</v>
      </c>
      <c r="K20" s="6">
        <f>'Raw Historical Financials'!H14-'Raw Historical Financials'!G14</f>
        <v>-21659</v>
      </c>
      <c r="L20" s="6">
        <f>'Raw Historical Financials'!I14-'Raw Historical Financials'!H14</f>
        <v>-22919</v>
      </c>
      <c r="M20" s="6">
        <f>'Raw Historical Financials'!J14-'Raw Historical Financials'!I14</f>
        <v>-40493</v>
      </c>
      <c r="N20" s="6">
        <f>'Raw Historical Financials'!K14</f>
        <v>-25734</v>
      </c>
      <c r="O20" s="6">
        <f>'Raw Historical Financials'!L14-'Raw Historical Financials'!K14</f>
        <v>-25968</v>
      </c>
      <c r="P20" s="6">
        <f>'Raw Historical Financials'!M14-'Raw Historical Financials'!L14</f>
        <v>-27183</v>
      </c>
      <c r="Q20" s="6">
        <f>'Raw Historical Financials'!N14-'Raw Historical Financials'!M14</f>
        <v>-34062</v>
      </c>
      <c r="R20" s="6">
        <f>'Raw Historical Financials'!O14</f>
        <v>-29760</v>
      </c>
      <c r="S20" s="6">
        <f>'Raw Historical Financials'!P14-'Raw Historical Financials'!O14</f>
        <v>-38219</v>
      </c>
      <c r="T20" s="6">
        <f>'Raw Historical Financials'!Q14-'Raw Historical Financials'!P14</f>
        <v>-32323</v>
      </c>
      <c r="U20" s="6">
        <f>'Raw Historical Financials'!R14-'Raw Historical Financials'!Q14</f>
        <v>-45505</v>
      </c>
      <c r="V20" s="6">
        <f>'Raw Historical Financials'!S14</f>
        <v>-43138</v>
      </c>
      <c r="W20" s="6">
        <f>'Raw Historical Financials'!T14-'Raw Historical Financials'!S14</f>
        <v>-42885</v>
      </c>
      <c r="X20" s="6">
        <f>'Raw Historical Financials'!U14-'Raw Historical Financials'!T14</f>
        <v>-43308</v>
      </c>
      <c r="Y20" s="6">
        <f>'Raw Historical Financials'!V14-'Raw Historical Financials'!U14</f>
        <v>-127280</v>
      </c>
      <c r="Z20" s="6">
        <f>'Raw Historical Financials'!W14</f>
        <v>-46453</v>
      </c>
      <c r="AA20" s="6">
        <f>'Raw Historical Financials'!X14-'Raw Historical Financials'!W14</f>
        <v>-46755</v>
      </c>
      <c r="AB20" s="6">
        <f>'Raw Historical Financials'!Y14-'Raw Historical Financials'!X14</f>
        <v>-46163</v>
      </c>
      <c r="AC20" s="6">
        <f>'Raw Historical Financials'!Z14-'Raw Historical Financials'!Y14</f>
        <v>-119879.86300000001</v>
      </c>
      <c r="AE20" s="6">
        <f t="shared" si="100"/>
        <v>-74681</v>
      </c>
      <c r="AF20" s="6">
        <f t="shared" si="100"/>
        <v>-102733</v>
      </c>
      <c r="AG20" s="6">
        <f>SUMIF($F$2:$AB$2,AG$2,$F20:$AB20)</f>
        <v>-112947</v>
      </c>
      <c r="AH20" s="6">
        <f t="shared" si="100"/>
        <v>-145807</v>
      </c>
      <c r="AI20" s="6">
        <f t="shared" si="100"/>
        <v>-256611</v>
      </c>
      <c r="AJ20" s="6">
        <f t="shared" si="101"/>
        <v>-259250.86300000001</v>
      </c>
    </row>
    <row r="21" spans="2:36" x14ac:dyDescent="0.25">
      <c r="B21" s="2" t="s">
        <v>10</v>
      </c>
      <c r="F21" s="6">
        <f>'Raw Historical Financials'!C15</f>
        <v>-3877</v>
      </c>
      <c r="G21" s="6">
        <f>'Raw Historical Financials'!D15-'Raw Historical Financials'!C15</f>
        <v>-6365</v>
      </c>
      <c r="H21" s="6">
        <f>'Raw Historical Financials'!E15-'Raw Historical Financials'!D15</f>
        <v>-5098</v>
      </c>
      <c r="I21" s="6">
        <f>'Raw Historical Financials'!F15-'Raw Historical Financials'!E15</f>
        <v>-5437</v>
      </c>
      <c r="J21" s="6">
        <f>'Raw Historical Financials'!G15</f>
        <v>-5542</v>
      </c>
      <c r="K21" s="6">
        <f>'Raw Historical Financials'!H15-'Raw Historical Financials'!G15</f>
        <v>-5433</v>
      </c>
      <c r="L21" s="6">
        <f>'Raw Historical Financials'!I15-'Raw Historical Financials'!H15</f>
        <v>-5447</v>
      </c>
      <c r="M21" s="6">
        <f>'Raw Historical Financials'!J15-'Raw Historical Financials'!I15</f>
        <v>-6601</v>
      </c>
      <c r="N21" s="6">
        <f>'Raw Historical Financials'!K15</f>
        <v>-6701</v>
      </c>
      <c r="O21" s="6">
        <f>'Raw Historical Financials'!L15-'Raw Historical Financials'!K15</f>
        <v>-6588</v>
      </c>
      <c r="P21" s="6">
        <f>'Raw Historical Financials'!M15-'Raw Historical Financials'!L15</f>
        <v>-6464</v>
      </c>
      <c r="Q21" s="6">
        <f>'Raw Historical Financials'!N15-'Raw Historical Financials'!M15</f>
        <v>-2540</v>
      </c>
      <c r="R21" s="6">
        <f>'Raw Historical Financials'!O15</f>
        <v>-8291</v>
      </c>
      <c r="S21" s="6">
        <f>'Raw Historical Financials'!P15-'Raw Historical Financials'!O15</f>
        <v>-8426</v>
      </c>
      <c r="T21" s="6">
        <f>'Raw Historical Financials'!Q15-'Raw Historical Financials'!P15</f>
        <v>-8315</v>
      </c>
      <c r="U21" s="6">
        <f>'Raw Historical Financials'!R15-'Raw Historical Financials'!Q15</f>
        <v>-7176</v>
      </c>
      <c r="V21" s="6">
        <f>'Raw Historical Financials'!S15</f>
        <v>-11436</v>
      </c>
      <c r="W21" s="6">
        <f>'Raw Historical Financials'!T15-'Raw Historical Financials'!S15</f>
        <v>-11476</v>
      </c>
      <c r="X21" s="6">
        <f>'Raw Historical Financials'!U15-'Raw Historical Financials'!T15</f>
        <v>-12648</v>
      </c>
      <c r="Y21" s="6">
        <f>'Raw Historical Financials'!V15-'Raw Historical Financials'!U15</f>
        <v>-9828</v>
      </c>
      <c r="Z21" s="6">
        <f>'Raw Historical Financials'!W15</f>
        <v>-10964</v>
      </c>
      <c r="AA21" s="6">
        <f>'Raw Historical Financials'!X15-'Raw Historical Financials'!W15</f>
        <v>-14660</v>
      </c>
      <c r="AB21" s="6">
        <f>'Raw Historical Financials'!Y15-'Raw Historical Financials'!X15</f>
        <v>-15613</v>
      </c>
      <c r="AC21" s="6">
        <f>'Raw Historical Financials'!Z15-'Raw Historical Financials'!Y15</f>
        <v>-18327.089</v>
      </c>
      <c r="AE21" s="6">
        <f t="shared" si="100"/>
        <v>-20777</v>
      </c>
      <c r="AF21" s="6">
        <f t="shared" si="100"/>
        <v>-23023</v>
      </c>
      <c r="AG21" s="6">
        <f t="shared" si="100"/>
        <v>-22293</v>
      </c>
      <c r="AH21" s="6">
        <f t="shared" si="100"/>
        <v>-32208</v>
      </c>
      <c r="AI21" s="6">
        <f t="shared" si="100"/>
        <v>-45388</v>
      </c>
      <c r="AJ21" s="6">
        <f t="shared" si="101"/>
        <v>-59564.089</v>
      </c>
    </row>
    <row r="22" spans="2:36" x14ac:dyDescent="0.25">
      <c r="B22" s="2" t="s">
        <v>11</v>
      </c>
      <c r="F22" s="6">
        <f>'Raw Historical Financials'!C16</f>
        <v>-22054</v>
      </c>
      <c r="G22" s="6">
        <f>'Raw Historical Financials'!D16-'Raw Historical Financials'!C16</f>
        <v>-15064</v>
      </c>
      <c r="H22" s="6">
        <f>'Raw Historical Financials'!E16-'Raw Historical Financials'!D16</f>
        <v>-19233</v>
      </c>
      <c r="I22" s="6">
        <f>'Raw Historical Financials'!F16-'Raw Historical Financials'!E16</f>
        <v>-14494</v>
      </c>
      <c r="J22" s="6">
        <f>'Raw Historical Financials'!G16</f>
        <v>-17027</v>
      </c>
      <c r="K22" s="6">
        <f>'Raw Historical Financials'!H16-'Raw Historical Financials'!G16</f>
        <v>-18787</v>
      </c>
      <c r="L22" s="6">
        <f>'Raw Historical Financials'!I16-'Raw Historical Financials'!H16</f>
        <v>-21074</v>
      </c>
      <c r="M22" s="6">
        <f>'Raw Historical Financials'!J16-'Raw Historical Financials'!I16</f>
        <v>-31158</v>
      </c>
      <c r="N22" s="6">
        <f>'Raw Historical Financials'!K16</f>
        <v>-26503</v>
      </c>
      <c r="O22" s="6">
        <f>'Raw Historical Financials'!L16-'Raw Historical Financials'!K16</f>
        <v>-26430</v>
      </c>
      <c r="P22" s="6">
        <f>'Raw Historical Financials'!M16-'Raw Historical Financials'!L16</f>
        <v>-33317</v>
      </c>
      <c r="Q22" s="6">
        <f>'Raw Historical Financials'!N16-'Raw Historical Financials'!M16</f>
        <v>-40879</v>
      </c>
      <c r="R22" s="6">
        <f>'Raw Historical Financials'!O16</f>
        <v>-33704</v>
      </c>
      <c r="S22" s="6">
        <f>'Raw Historical Financials'!P16-'Raw Historical Financials'!O16</f>
        <v>-38860</v>
      </c>
      <c r="T22" s="6">
        <f>'Raw Historical Financials'!Q16-'Raw Historical Financials'!P16</f>
        <v>-45748</v>
      </c>
      <c r="U22" s="6">
        <f>'Raw Historical Financials'!R16-'Raw Historical Financials'!Q16</f>
        <v>-56795</v>
      </c>
      <c r="V22" s="6">
        <f>'Raw Historical Financials'!S16</f>
        <v>-44770</v>
      </c>
      <c r="W22" s="6">
        <f>'Raw Historical Financials'!T16-'Raw Historical Financials'!S16</f>
        <v>-42271</v>
      </c>
      <c r="X22" s="6">
        <f>'Raw Historical Financials'!U16-'Raw Historical Financials'!T16</f>
        <v>-40200</v>
      </c>
      <c r="Y22" s="6">
        <f>'Raw Historical Financials'!V16-'Raw Historical Financials'!U16</f>
        <v>-79890</v>
      </c>
      <c r="Z22" s="6">
        <f>'Raw Historical Financials'!W16</f>
        <v>-56889</v>
      </c>
      <c r="AA22" s="6">
        <f>'Raw Historical Financials'!X16-'Raw Historical Financials'!W16</f>
        <v>-61772</v>
      </c>
      <c r="AB22" s="6">
        <f>'Raw Historical Financials'!Y16-'Raw Historical Financials'!X16</f>
        <v>-51147</v>
      </c>
      <c r="AC22" s="6">
        <f>'Raw Historical Financials'!Z16-'Raw Historical Financials'!Y16</f>
        <v>-25698.954999999987</v>
      </c>
      <c r="AE22" s="6">
        <f t="shared" si="100"/>
        <v>-70845</v>
      </c>
      <c r="AF22" s="6">
        <f t="shared" si="100"/>
        <v>-88046</v>
      </c>
      <c r="AG22" s="6">
        <f t="shared" si="100"/>
        <v>-127129</v>
      </c>
      <c r="AH22" s="6">
        <f t="shared" si="100"/>
        <v>-175107</v>
      </c>
      <c r="AI22" s="6">
        <f t="shared" si="100"/>
        <v>-207131</v>
      </c>
      <c r="AJ22" s="6">
        <f t="shared" si="101"/>
        <v>-195506.95499999999</v>
      </c>
    </row>
    <row r="23" spans="2:36" x14ac:dyDescent="0.25">
      <c r="B23" s="2" t="s">
        <v>78</v>
      </c>
      <c r="F23" s="6">
        <f>'Raw Historical Financials'!C17</f>
        <v>0</v>
      </c>
      <c r="G23" s="6">
        <f>'Raw Historical Financials'!D17-'Raw Historical Financials'!C17</f>
        <v>0</v>
      </c>
      <c r="H23" s="6">
        <f>'Raw Historical Financials'!E17-'Raw Historical Financials'!D17</f>
        <v>0</v>
      </c>
      <c r="I23" s="6">
        <f>'Raw Historical Financials'!F17-'Raw Historical Financials'!E17</f>
        <v>-3177</v>
      </c>
      <c r="J23" s="6">
        <f>'Raw Historical Financials'!G17</f>
        <v>0</v>
      </c>
      <c r="K23" s="6">
        <f>'Raw Historical Financials'!H17-'Raw Historical Financials'!G17</f>
        <v>0</v>
      </c>
      <c r="L23" s="6">
        <f>'Raw Historical Financials'!I17-'Raw Historical Financials'!H17</f>
        <v>0</v>
      </c>
      <c r="M23" s="6">
        <f>'Raw Historical Financials'!J17-'Raw Historical Financials'!I17</f>
        <v>-3709</v>
      </c>
      <c r="N23" s="6">
        <f>'Raw Historical Financials'!K17</f>
        <v>0</v>
      </c>
      <c r="O23" s="6">
        <f>'Raw Historical Financials'!L17-'Raw Historical Financials'!K17</f>
        <v>0</v>
      </c>
      <c r="P23" s="6">
        <f>'Raw Historical Financials'!M17-'Raw Historical Financials'!L17</f>
        <v>0</v>
      </c>
      <c r="Q23" s="6">
        <f>'Raw Historical Financials'!N17-'Raw Historical Financials'!M17</f>
        <v>-2738</v>
      </c>
      <c r="R23" s="6">
        <f>'Raw Historical Financials'!O17</f>
        <v>0</v>
      </c>
      <c r="S23" s="6">
        <f>'Raw Historical Financials'!P17-'Raw Historical Financials'!O17</f>
        <v>0</v>
      </c>
      <c r="T23" s="6">
        <f>'Raw Historical Financials'!Q17-'Raw Historical Financials'!P17</f>
        <v>0</v>
      </c>
      <c r="U23" s="6">
        <f>'Raw Historical Financials'!R17-'Raw Historical Financials'!Q17</f>
        <v>-2364</v>
      </c>
      <c r="V23" s="6">
        <f>'Raw Historical Financials'!S17</f>
        <v>0</v>
      </c>
      <c r="W23" s="6">
        <f>'Raw Historical Financials'!T17-'Raw Historical Financials'!S17</f>
        <v>0</v>
      </c>
      <c r="X23" s="6">
        <f>'Raw Historical Financials'!U17-'Raw Historical Financials'!T17</f>
        <v>0</v>
      </c>
      <c r="Y23" s="6">
        <f>'Raw Historical Financials'!V17-'Raw Historical Financials'!U17</f>
        <v>-6218</v>
      </c>
      <c r="Z23" s="6">
        <f>'Raw Historical Financials'!W17</f>
        <v>-1464</v>
      </c>
      <c r="AA23" s="6">
        <f>'Raw Historical Financials'!X17-'Raw Historical Financials'!W17</f>
        <v>-1168</v>
      </c>
      <c r="AB23" s="6">
        <f>'Raw Historical Financials'!Y17-'Raw Historical Financials'!X17</f>
        <v>-3166</v>
      </c>
      <c r="AC23" s="6">
        <f>'Raw Historical Financials'!Z17-'Raw Historical Financials'!Y17</f>
        <v>-416.74499999999989</v>
      </c>
      <c r="AE23" s="6">
        <f t="shared" si="100"/>
        <v>-3177</v>
      </c>
      <c r="AF23" s="6">
        <f t="shared" si="100"/>
        <v>-3709</v>
      </c>
      <c r="AG23" s="6">
        <f t="shared" si="100"/>
        <v>-2738</v>
      </c>
      <c r="AH23" s="6">
        <f t="shared" si="100"/>
        <v>-2364</v>
      </c>
      <c r="AI23" s="6">
        <f t="shared" si="100"/>
        <v>-6218</v>
      </c>
      <c r="AJ23" s="6">
        <f t="shared" si="101"/>
        <v>-6214.7449999999999</v>
      </c>
    </row>
    <row r="24" spans="2:36" x14ac:dyDescent="0.25">
      <c r="B24" s="2" t="s">
        <v>12</v>
      </c>
      <c r="F24" s="6">
        <f>'Raw Historical Financials'!C18</f>
        <v>0</v>
      </c>
      <c r="G24" s="6">
        <f>'Raw Historical Financials'!D18-'Raw Historical Financials'!C18</f>
        <v>-1715</v>
      </c>
      <c r="H24" s="6">
        <f>'Raw Historical Financials'!E18-'Raw Historical Financials'!D18</f>
        <v>1715</v>
      </c>
      <c r="I24" s="6">
        <f>'Raw Historical Financials'!F18-'Raw Historical Financials'!E18</f>
        <v>0</v>
      </c>
      <c r="J24" s="6">
        <f>'Raw Historical Financials'!G18</f>
        <v>0</v>
      </c>
      <c r="K24" s="6">
        <f>'Raw Historical Financials'!H18-'Raw Historical Financials'!G18</f>
        <v>0</v>
      </c>
      <c r="L24" s="6">
        <f>'Raw Historical Financials'!I18-'Raw Historical Financials'!H18</f>
        <v>0</v>
      </c>
      <c r="M24" s="6">
        <f>'Raw Historical Financials'!J18-'Raw Historical Financials'!I18</f>
        <v>0</v>
      </c>
      <c r="N24" s="6">
        <f>'Raw Historical Financials'!K18</f>
        <v>0</v>
      </c>
      <c r="O24" s="6">
        <f>'Raw Historical Financials'!L18-'Raw Historical Financials'!K18</f>
        <v>0</v>
      </c>
      <c r="P24" s="6">
        <f>'Raw Historical Financials'!M18-'Raw Historical Financials'!L18</f>
        <v>0</v>
      </c>
      <c r="Q24" s="6">
        <f>'Raw Historical Financials'!N18-'Raw Historical Financials'!M18</f>
        <v>0</v>
      </c>
      <c r="R24" s="6">
        <f>'Raw Historical Financials'!O18</f>
        <v>0</v>
      </c>
      <c r="S24" s="6">
        <f>'Raw Historical Financials'!P18-'Raw Historical Financials'!O18</f>
        <v>0</v>
      </c>
      <c r="T24" s="6">
        <f>'Raw Historical Financials'!Q18-'Raw Historical Financials'!P18</f>
        <v>0</v>
      </c>
      <c r="U24" s="6">
        <f>'Raw Historical Financials'!R18-'Raw Historical Financials'!Q18</f>
        <v>0</v>
      </c>
      <c r="V24" s="6">
        <f>'Raw Historical Financials'!S18</f>
        <v>0</v>
      </c>
      <c r="W24" s="6">
        <f>'Raw Historical Financials'!T18-'Raw Historical Financials'!S18</f>
        <v>0</v>
      </c>
      <c r="X24" s="6">
        <f>'Raw Historical Financials'!U18-'Raw Historical Financials'!T18</f>
        <v>0</v>
      </c>
      <c r="Y24" s="6">
        <f>'Raw Historical Financials'!V18-'Raw Historical Financials'!U18</f>
        <v>0</v>
      </c>
      <c r="Z24" s="6">
        <f>'Raw Historical Financials'!W18</f>
        <v>0</v>
      </c>
      <c r="AA24" s="6">
        <f>'Raw Historical Financials'!X18-'Raw Historical Financials'!W18</f>
        <v>0</v>
      </c>
      <c r="AB24" s="6">
        <f>'Raw Historical Financials'!Y18-'Raw Historical Financials'!X18</f>
        <v>0</v>
      </c>
      <c r="AC24" s="6">
        <f>'Raw Historical Financials'!Z18-'Raw Historical Financials'!Y18</f>
        <v>0</v>
      </c>
      <c r="AE24" s="6">
        <f t="shared" si="100"/>
        <v>0</v>
      </c>
      <c r="AF24" s="6">
        <f t="shared" si="100"/>
        <v>0</v>
      </c>
      <c r="AG24" s="6">
        <f t="shared" si="100"/>
        <v>0</v>
      </c>
      <c r="AH24" s="6">
        <f t="shared" si="100"/>
        <v>0</v>
      </c>
      <c r="AI24" s="6">
        <f t="shared" si="100"/>
        <v>0</v>
      </c>
      <c r="AJ24" s="6">
        <f t="shared" si="101"/>
        <v>0</v>
      </c>
    </row>
    <row r="25" spans="2:36" x14ac:dyDescent="0.25">
      <c r="B25" s="8" t="s">
        <v>102</v>
      </c>
      <c r="C25" s="8"/>
      <c r="D25" s="8"/>
      <c r="E25" s="16"/>
      <c r="F25" s="16">
        <f>SUM(F18:F24)</f>
        <v>-52225</v>
      </c>
      <c r="G25" s="16">
        <f t="shared" ref="G25:Z25" si="102">SUM(G18:G24)</f>
        <v>-51374</v>
      </c>
      <c r="H25" s="16">
        <f t="shared" ref="H25" si="103">SUM(H18:H24)</f>
        <v>-49891</v>
      </c>
      <c r="I25" s="16">
        <f t="shared" ref="I25:K25" si="104">SUM(I18:I24)</f>
        <v>-48483</v>
      </c>
      <c r="J25" s="16">
        <f t="shared" si="102"/>
        <v>-47849</v>
      </c>
      <c r="K25" s="16">
        <f t="shared" si="104"/>
        <v>-46467</v>
      </c>
      <c r="L25" s="16">
        <f t="shared" ref="L25" si="105">SUM(L18:L24)</f>
        <v>-49969</v>
      </c>
      <c r="M25" s="16">
        <f t="shared" ref="M25" si="106">SUM(M18:M24)</f>
        <v>-91035</v>
      </c>
      <c r="N25" s="16">
        <f t="shared" si="102"/>
        <v>-69400</v>
      </c>
      <c r="O25" s="16">
        <f t="shared" ref="O25" si="107">SUM(O18:O24)</f>
        <v>-64968</v>
      </c>
      <c r="P25" s="16">
        <f t="shared" ref="P25" si="108">SUM(P18:P24)</f>
        <v>-86816</v>
      </c>
      <c r="Q25" s="16">
        <f t="shared" ref="Q25" si="109">SUM(Q18:Q24)</f>
        <v>-273747</v>
      </c>
      <c r="R25" s="16">
        <f t="shared" si="102"/>
        <v>-127495</v>
      </c>
      <c r="S25" s="16">
        <f t="shared" ref="S25" si="110">SUM(S18:S24)</f>
        <v>-123540</v>
      </c>
      <c r="T25" s="16">
        <f t="shared" ref="T25" si="111">SUM(T18:T24)</f>
        <v>-136917</v>
      </c>
      <c r="U25" s="16">
        <f t="shared" ref="U25" si="112">SUM(U18:U24)</f>
        <v>-333961</v>
      </c>
      <c r="V25" s="16">
        <f t="shared" si="102"/>
        <v>-109359</v>
      </c>
      <c r="W25" s="16">
        <f t="shared" ref="W25" si="113">SUM(W18:W24)</f>
        <v>-112255</v>
      </c>
      <c r="X25" s="16">
        <f t="shared" ref="X25" si="114">SUM(X18:X24)</f>
        <v>-171613</v>
      </c>
      <c r="Y25" s="16">
        <f t="shared" ref="Y25" si="115">SUM(Y18:Y24)</f>
        <v>-160650</v>
      </c>
      <c r="Z25" s="16">
        <f t="shared" si="102"/>
        <v>-90354</v>
      </c>
      <c r="AA25" s="16">
        <f t="shared" ref="AA25" si="116">SUM(AA18:AA24)</f>
        <v>-97727</v>
      </c>
      <c r="AB25" s="16">
        <f t="shared" ref="AB25:AC25" si="117">SUM(AB18:AB24)</f>
        <v>-69429</v>
      </c>
      <c r="AC25" s="16">
        <f t="shared" si="117"/>
        <v>-342628.04799999995</v>
      </c>
      <c r="AE25" s="16">
        <f t="shared" ref="AE25" si="118">SUM(AE18:AE24)</f>
        <v>-201973</v>
      </c>
      <c r="AF25" s="16">
        <f t="shared" ref="AF25" si="119">SUM(AF18:AF24)</f>
        <v>-235320</v>
      </c>
      <c r="AG25" s="16">
        <f t="shared" ref="AG25" si="120">SUM(AG18:AG24)</f>
        <v>-494931</v>
      </c>
      <c r="AH25" s="16">
        <f t="shared" ref="AH25" si="121">SUM(AH18:AH24)</f>
        <v>-721913</v>
      </c>
      <c r="AI25" s="16">
        <f t="shared" ref="AI25" si="122">SUM(AI18:AI24)</f>
        <v>-553877</v>
      </c>
      <c r="AJ25" s="16">
        <f t="shared" ref="AJ25" si="123">SUM(AJ18:AJ24)</f>
        <v>-600138.04799999995</v>
      </c>
    </row>
    <row r="26" spans="2:36" x14ac:dyDescent="0.25">
      <c r="B26" s="2" t="s">
        <v>84</v>
      </c>
      <c r="F26" s="6">
        <f>'Raw Historical Financials'!C19</f>
        <v>0</v>
      </c>
      <c r="G26" s="6">
        <f>'Raw Historical Financials'!D19-'Raw Historical Financials'!C19</f>
        <v>0</v>
      </c>
      <c r="H26" s="6">
        <f>'Raw Historical Financials'!E19-'Raw Historical Financials'!D19</f>
        <v>0</v>
      </c>
      <c r="I26" s="6">
        <f>'Raw Historical Financials'!F19-'Raw Historical Financials'!E19</f>
        <v>94</v>
      </c>
      <c r="J26" s="6">
        <f>'Raw Historical Financials'!G19</f>
        <v>0</v>
      </c>
      <c r="K26" s="6">
        <f>'Raw Historical Financials'!H19-'Raw Historical Financials'!G19</f>
        <v>0</v>
      </c>
      <c r="L26" s="6">
        <f>'Raw Historical Financials'!I19-'Raw Historical Financials'!H19</f>
        <v>0</v>
      </c>
      <c r="M26" s="6">
        <f>'Raw Historical Financials'!J19-'Raw Historical Financials'!I19</f>
        <v>227</v>
      </c>
      <c r="N26" s="6">
        <f>'Raw Historical Financials'!K19</f>
        <v>0</v>
      </c>
      <c r="O26" s="6">
        <f>'Raw Historical Financials'!L19-'Raw Historical Financials'!K19</f>
        <v>0</v>
      </c>
      <c r="P26" s="6">
        <f>'Raw Historical Financials'!M19-'Raw Historical Financials'!L19</f>
        <v>0</v>
      </c>
      <c r="Q26" s="6">
        <f>'Raw Historical Financials'!N19-'Raw Historical Financials'!M19</f>
        <v>299</v>
      </c>
      <c r="R26" s="6">
        <f>'Raw Historical Financials'!O19</f>
        <v>0</v>
      </c>
      <c r="S26" s="6">
        <f>'Raw Historical Financials'!P19-'Raw Historical Financials'!O19</f>
        <v>0</v>
      </c>
      <c r="T26" s="6">
        <f>'Raw Historical Financials'!Q19-'Raw Historical Financials'!P19</f>
        <v>0</v>
      </c>
      <c r="U26" s="6">
        <f>'Raw Historical Financials'!R19-'Raw Historical Financials'!Q19</f>
        <v>230</v>
      </c>
      <c r="V26" s="6">
        <f>'Raw Historical Financials'!S19</f>
        <v>0</v>
      </c>
      <c r="W26" s="6">
        <f>'Raw Historical Financials'!T19-'Raw Historical Financials'!S19</f>
        <v>0</v>
      </c>
      <c r="X26" s="6">
        <f>'Raw Historical Financials'!U19-'Raw Historical Financials'!T19</f>
        <v>0</v>
      </c>
      <c r="Y26" s="6">
        <f>'Raw Historical Financials'!V19-'Raw Historical Financials'!U19</f>
        <v>377</v>
      </c>
      <c r="Z26" s="6">
        <f>'Raw Historical Financials'!W19</f>
        <v>0</v>
      </c>
      <c r="AA26" s="6">
        <f>'Raw Historical Financials'!X19-'Raw Historical Financials'!W19</f>
        <v>0</v>
      </c>
      <c r="AB26" s="6">
        <f>'Raw Historical Financials'!Y19-'Raw Historical Financials'!X19</f>
        <v>422</v>
      </c>
      <c r="AC26" s="6">
        <f>'Raw Historical Financials'!Z19-'Raw Historical Financials'!Y19</f>
        <v>295.11599999999999</v>
      </c>
      <c r="AE26" s="6">
        <f>SUMIF($F$2:$AB$2,AE$2,$F26:$AB26)</f>
        <v>94</v>
      </c>
      <c r="AF26" s="6">
        <f t="shared" ref="AF26:AI26" si="124">SUMIF($F$2:$AB$2,AF$2,$F26:$AB26)</f>
        <v>227</v>
      </c>
      <c r="AG26" s="6">
        <f t="shared" si="124"/>
        <v>299</v>
      </c>
      <c r="AH26" s="6">
        <f t="shared" si="124"/>
        <v>230</v>
      </c>
      <c r="AI26" s="6">
        <f t="shared" si="124"/>
        <v>377</v>
      </c>
      <c r="AJ26" s="6">
        <f>SUMIF($F$2:$AC$2,AJ$2,$F26:$AC26)</f>
        <v>717.11599999999999</v>
      </c>
    </row>
    <row r="27" spans="2:36" x14ac:dyDescent="0.25">
      <c r="B27" s="8" t="s">
        <v>13</v>
      </c>
      <c r="C27" s="8"/>
      <c r="D27" s="8"/>
      <c r="E27" s="16"/>
      <c r="F27" s="16">
        <f>SUM(F17,F25:F26)</f>
        <v>20671</v>
      </c>
      <c r="G27" s="16">
        <f t="shared" ref="G27:Z27" si="125">SUM(G17,G25:G26)</f>
        <v>24500</v>
      </c>
      <c r="H27" s="16">
        <f t="shared" ref="H27" si="126">SUM(H17,H25:H26)</f>
        <v>27120</v>
      </c>
      <c r="I27" s="16">
        <f t="shared" ref="I27:K27" si="127">SUM(I17,I25:I26)</f>
        <v>30495</v>
      </c>
      <c r="J27" s="16">
        <f t="shared" si="125"/>
        <v>31095</v>
      </c>
      <c r="K27" s="16">
        <f t="shared" si="127"/>
        <v>35387</v>
      </c>
      <c r="L27" s="16">
        <f t="shared" ref="L27" si="128">SUM(L17,L25:L26)</f>
        <v>40839</v>
      </c>
      <c r="M27" s="16">
        <f t="shared" ref="M27" si="129">SUM(M17,M25:M26)</f>
        <v>48530</v>
      </c>
      <c r="N27" s="16">
        <f t="shared" si="125"/>
        <v>43759</v>
      </c>
      <c r="O27" s="16">
        <f t="shared" ref="O27" si="130">SUM(O17,O25:O26)</f>
        <v>33565</v>
      </c>
      <c r="P27" s="16">
        <f t="shared" ref="P27" si="131">SUM(P17,P25:P26)</f>
        <v>43653</v>
      </c>
      <c r="Q27" s="16">
        <f t="shared" ref="Q27" si="132">SUM(Q17,Q25:Q26)</f>
        <v>-99022</v>
      </c>
      <c r="R27" s="16">
        <f t="shared" si="125"/>
        <v>70066</v>
      </c>
      <c r="S27" s="16">
        <f t="shared" ref="S27" si="133">SUM(S17,S25:S26)</f>
        <v>69323</v>
      </c>
      <c r="T27" s="16">
        <f t="shared" ref="T27" si="134">SUM(T17,T25:T26)</f>
        <v>63845</v>
      </c>
      <c r="U27" s="16">
        <f t="shared" ref="U27" si="135">SUM(U17,U25:U26)</f>
        <v>120108</v>
      </c>
      <c r="V27" s="16">
        <f t="shared" si="125"/>
        <v>91074</v>
      </c>
      <c r="W27" s="16">
        <f t="shared" ref="W27" si="136">SUM(W17,W25:W26)</f>
        <v>83655</v>
      </c>
      <c r="X27" s="16">
        <f t="shared" ref="X27" si="137">SUM(X17,X25:X26)</f>
        <v>32945</v>
      </c>
      <c r="Y27" s="16">
        <f t="shared" ref="Y27" si="138">SUM(Y17,Y25:Y26)</f>
        <v>331628</v>
      </c>
      <c r="Z27" s="16">
        <f t="shared" si="125"/>
        <v>120797</v>
      </c>
      <c r="AA27" s="16">
        <f t="shared" ref="AA27" si="139">SUM(AA17,AA25:AA26)</f>
        <v>96120</v>
      </c>
      <c r="AB27" s="16">
        <f t="shared" ref="AB27:AC27" si="140">SUM(AB17,AB25:AB26)</f>
        <v>154788</v>
      </c>
      <c r="AC27" s="16">
        <f t="shared" si="140"/>
        <v>331289.4540000002</v>
      </c>
      <c r="AE27" s="16">
        <f t="shared" ref="AE27" si="141">SUM(AE17,AE25:AE26)</f>
        <v>102786</v>
      </c>
      <c r="AF27" s="16">
        <f t="shared" ref="AF27" si="142">SUM(AF17,AF25:AF26)</f>
        <v>155851</v>
      </c>
      <c r="AG27" s="16">
        <f t="shared" ref="AG27" si="143">SUM(AG17,AG25:AG26)</f>
        <v>21955</v>
      </c>
      <c r="AH27" s="16">
        <f t="shared" ref="AH27" si="144">SUM(AH17,AH25:AH26)</f>
        <v>323342</v>
      </c>
      <c r="AI27" s="16">
        <f t="shared" ref="AI27" si="145">SUM(AI17,AI25:AI26)</f>
        <v>539302</v>
      </c>
      <c r="AJ27" s="16">
        <f t="shared" ref="AJ27" si="146">SUM(AJ17,AJ25:AJ26)</f>
        <v>702994.45400000026</v>
      </c>
    </row>
    <row r="28" spans="2:36" x14ac:dyDescent="0.25">
      <c r="B28" s="2" t="s">
        <v>14</v>
      </c>
      <c r="F28" s="6">
        <f>'Raw Historical Financials'!C21</f>
        <v>-5168</v>
      </c>
      <c r="G28" s="6">
        <f>'Raw Historical Financials'!D21-'Raw Historical Financials'!C21</f>
        <v>-6125</v>
      </c>
      <c r="H28" s="6">
        <f>'Raw Historical Financials'!E21-'Raw Historical Financials'!D21</f>
        <v>-6780</v>
      </c>
      <c r="I28" s="6">
        <f>'Raw Historical Financials'!F21-'Raw Historical Financials'!E21</f>
        <v>6239</v>
      </c>
      <c r="J28" s="6">
        <f>'Raw Historical Financials'!G21</f>
        <v>-7774</v>
      </c>
      <c r="K28" s="6">
        <f>'Raw Historical Financials'!H21-'Raw Historical Financials'!G21</f>
        <v>-8847</v>
      </c>
      <c r="L28" s="6">
        <f>'Raw Historical Financials'!I21-'Raw Historical Financials'!H21</f>
        <v>1930</v>
      </c>
      <c r="M28" s="6">
        <f>'Raw Historical Financials'!J21-'Raw Historical Financials'!I21</f>
        <v>-11165</v>
      </c>
      <c r="N28" s="6">
        <f>'Raw Historical Financials'!K21</f>
        <v>-10187</v>
      </c>
      <c r="O28" s="6">
        <f>'Raw Historical Financials'!L21-'Raw Historical Financials'!K21</f>
        <v>-10494</v>
      </c>
      <c r="P28" s="6">
        <f>'Raw Historical Financials'!M21-'Raw Historical Financials'!L21</f>
        <v>-8757</v>
      </c>
      <c r="Q28" s="6">
        <f>'Raw Historical Financials'!N21-'Raw Historical Financials'!M21</f>
        <v>9492</v>
      </c>
      <c r="R28" s="6">
        <f>'Raw Historical Financials'!O21</f>
        <v>-17362</v>
      </c>
      <c r="S28" s="6">
        <f>'Raw Historical Financials'!P21-'Raw Historical Financials'!O21</f>
        <v>-15246</v>
      </c>
      <c r="T28" s="6">
        <f>'Raw Historical Financials'!Q21-'Raw Historical Financials'!P21</f>
        <v>-19340</v>
      </c>
      <c r="U28" s="6">
        <f>'Raw Historical Financials'!R21-'Raw Historical Financials'!Q21</f>
        <v>51841</v>
      </c>
      <c r="V28" s="6">
        <f>'Raw Historical Financials'!S21</f>
        <v>-24064</v>
      </c>
      <c r="W28" s="6">
        <f>'Raw Historical Financials'!T21-'Raw Historical Financials'!S21</f>
        <v>-20914</v>
      </c>
      <c r="X28" s="6">
        <f>'Raw Historical Financials'!U21-'Raw Historical Financials'!T21</f>
        <v>-8236</v>
      </c>
      <c r="Y28" s="6">
        <f>'Raw Historical Financials'!V21-'Raw Historical Financials'!U21</f>
        <v>-95505</v>
      </c>
      <c r="Z28" s="6">
        <f>'Raw Historical Financials'!W21</f>
        <v>-30199</v>
      </c>
      <c r="AA28" s="6">
        <f>'Raw Historical Financials'!X21-'Raw Historical Financials'!W21</f>
        <v>-24030</v>
      </c>
      <c r="AB28" s="6">
        <f>'Raw Historical Financials'!Y21-'Raw Historical Financials'!X21</f>
        <v>-27546</v>
      </c>
      <c r="AC28" s="6">
        <f>'Raw Historical Financials'!Z21-'Raw Historical Financials'!Y21</f>
        <v>-68002.630999999994</v>
      </c>
      <c r="AE28" s="6">
        <f t="shared" ref="AE28:AI31" si="147">SUMIF($F$2:$AB$2,AE$2,$F28:$AB28)</f>
        <v>-11834</v>
      </c>
      <c r="AF28" s="6">
        <f t="shared" si="147"/>
        <v>-25856</v>
      </c>
      <c r="AG28" s="6">
        <f t="shared" si="147"/>
        <v>-19946</v>
      </c>
      <c r="AH28" s="6">
        <f t="shared" si="147"/>
        <v>-107</v>
      </c>
      <c r="AI28" s="6">
        <f t="shared" si="147"/>
        <v>-148719</v>
      </c>
      <c r="AJ28" s="6">
        <f t="shared" ref="AJ28:AJ31" si="148">SUMIF($F$2:$AC$2,AJ$2,$F28:$AC28)</f>
        <v>-149777.63099999999</v>
      </c>
    </row>
    <row r="29" spans="2:36" x14ac:dyDescent="0.25">
      <c r="B29" s="2" t="s">
        <v>15</v>
      </c>
      <c r="F29" s="6">
        <f>'Raw Historical Financials'!C22</f>
        <v>-1034</v>
      </c>
      <c r="G29" s="6">
        <f>'Raw Historical Financials'!D22-'Raw Historical Financials'!C22</f>
        <v>-1225</v>
      </c>
      <c r="H29" s="6">
        <f>'Raw Historical Financials'!E22-'Raw Historical Financials'!D22</f>
        <v>-1356</v>
      </c>
      <c r="I29" s="6">
        <f>'Raw Historical Financials'!F22-'Raw Historical Financials'!E22</f>
        <v>-1524</v>
      </c>
      <c r="J29" s="6">
        <f>'Raw Historical Financials'!G22</f>
        <v>-1554</v>
      </c>
      <c r="K29" s="6">
        <f>'Raw Historical Financials'!H22-'Raw Historical Financials'!G22</f>
        <v>-1770</v>
      </c>
      <c r="L29" s="6">
        <f>'Raw Historical Financials'!I22-'Raw Historical Financials'!H22</f>
        <v>-2042</v>
      </c>
      <c r="M29" s="6">
        <f>'Raw Historical Financials'!J22-'Raw Historical Financials'!I22</f>
        <v>-2427</v>
      </c>
      <c r="N29" s="6">
        <f>'Raw Historical Financials'!K22</f>
        <v>-1600</v>
      </c>
      <c r="O29" s="6">
        <f>'Raw Historical Financials'!L22-'Raw Historical Financials'!K22</f>
        <v>-1678</v>
      </c>
      <c r="P29" s="6">
        <f>'Raw Historical Financials'!M22-'Raw Historical Financials'!L22</f>
        <v>-2771</v>
      </c>
      <c r="Q29" s="6">
        <f>'Raw Historical Financials'!N22-'Raw Historical Financials'!M22</f>
        <v>6049</v>
      </c>
      <c r="R29" s="6">
        <f>'Raw Historical Financials'!O22</f>
        <v>0</v>
      </c>
      <c r="S29" s="6">
        <f>'Raw Historical Financials'!P22-'Raw Historical Financials'!O22</f>
        <v>0</v>
      </c>
      <c r="T29" s="6">
        <f>'Raw Historical Financials'!Q22-'Raw Historical Financials'!P22</f>
        <v>0</v>
      </c>
      <c r="U29" s="6">
        <f>'Raw Historical Financials'!R22-'Raw Historical Financials'!Q22</f>
        <v>0</v>
      </c>
      <c r="V29" s="6">
        <f>'Raw Historical Financials'!S22</f>
        <v>0</v>
      </c>
      <c r="W29" s="6">
        <f>'Raw Historical Financials'!T22-'Raw Historical Financials'!S22</f>
        <v>0</v>
      </c>
      <c r="X29" s="6">
        <f>'Raw Historical Financials'!U22-'Raw Historical Financials'!T22</f>
        <v>0</v>
      </c>
      <c r="Y29" s="6">
        <f>'Raw Historical Financials'!V22-'Raw Historical Financials'!U22</f>
        <v>0</v>
      </c>
      <c r="Z29" s="6">
        <f>'Raw Historical Financials'!W22</f>
        <v>0</v>
      </c>
      <c r="AA29" s="6">
        <f>'Raw Historical Financials'!X22-'Raw Historical Financials'!W22</f>
        <v>0</v>
      </c>
      <c r="AB29" s="6">
        <f>'Raw Historical Financials'!Y22-'Raw Historical Financials'!X22</f>
        <v>-18585</v>
      </c>
      <c r="AC29" s="6">
        <f>'Raw Historical Financials'!Z22-'Raw Historical Financials'!Y22</f>
        <v>-16564.654999999999</v>
      </c>
      <c r="AE29" s="6">
        <f>SUMIF($F$2:$AB$2,AE$2,$F29:$AB29)</f>
        <v>-5139</v>
      </c>
      <c r="AF29" s="6">
        <f t="shared" si="147"/>
        <v>-7793</v>
      </c>
      <c r="AG29" s="6">
        <f t="shared" si="147"/>
        <v>0</v>
      </c>
      <c r="AH29" s="6">
        <f t="shared" si="147"/>
        <v>0</v>
      </c>
      <c r="AI29" s="6">
        <f t="shared" si="147"/>
        <v>0</v>
      </c>
      <c r="AJ29" s="6">
        <f t="shared" si="148"/>
        <v>-35149.654999999999</v>
      </c>
    </row>
    <row r="30" spans="2:36" x14ac:dyDescent="0.25">
      <c r="B30" s="2" t="s">
        <v>72</v>
      </c>
      <c r="F30" s="6">
        <f>'Raw Historical Financials'!C23</f>
        <v>0</v>
      </c>
      <c r="G30" s="6">
        <f>'Raw Historical Financials'!D23-'Raw Historical Financials'!C23</f>
        <v>0</v>
      </c>
      <c r="H30" s="6">
        <f>'Raw Historical Financials'!E23-'Raw Historical Financials'!D23</f>
        <v>0</v>
      </c>
      <c r="I30" s="6">
        <f>'Raw Historical Financials'!F23-'Raw Historical Financials'!E23</f>
        <v>0</v>
      </c>
      <c r="J30" s="6">
        <f>'Raw Historical Financials'!G23</f>
        <v>0</v>
      </c>
      <c r="K30" s="6">
        <f>'Raw Historical Financials'!H23-'Raw Historical Financials'!G23</f>
        <v>0</v>
      </c>
      <c r="L30" s="6">
        <f>'Raw Historical Financials'!I23-'Raw Historical Financials'!H23</f>
        <v>0</v>
      </c>
      <c r="M30" s="6">
        <f>'Raw Historical Financials'!J23-'Raw Historical Financials'!I23</f>
        <v>0</v>
      </c>
      <c r="N30" s="6">
        <f>'Raw Historical Financials'!K23</f>
        <v>0</v>
      </c>
      <c r="O30" s="6">
        <f>'Raw Historical Financials'!L23-'Raw Historical Financials'!K23</f>
        <v>0</v>
      </c>
      <c r="P30" s="6">
        <f>'Raw Historical Financials'!M23-'Raw Historical Financials'!L23</f>
        <v>0</v>
      </c>
      <c r="Q30" s="6">
        <f>'Raw Historical Financials'!N23-'Raw Historical Financials'!M23</f>
        <v>-1083</v>
      </c>
      <c r="R30" s="6">
        <f>'Raw Historical Financials'!O23</f>
        <v>-3503</v>
      </c>
      <c r="S30" s="6">
        <f>'Raw Historical Financials'!P23-'Raw Historical Financials'!O23</f>
        <v>-3466</v>
      </c>
      <c r="T30" s="6">
        <f>'Raw Historical Financials'!Q23-'Raw Historical Financials'!P23</f>
        <v>-3193</v>
      </c>
      <c r="U30" s="6">
        <f>'Raw Historical Financials'!R23-'Raw Historical Financials'!Q23</f>
        <v>-6005</v>
      </c>
      <c r="V30" s="6">
        <f>'Raw Historical Financials'!S23</f>
        <v>-4554</v>
      </c>
      <c r="W30" s="6">
        <f>'Raw Historical Financials'!T23-'Raw Historical Financials'!S23</f>
        <v>-4182</v>
      </c>
      <c r="X30" s="6">
        <f>'Raw Historical Financials'!U23-'Raw Historical Financials'!T23</f>
        <v>-1648</v>
      </c>
      <c r="Y30" s="6">
        <f>'Raw Historical Financials'!V23-'Raw Historical Financials'!U23</f>
        <v>-16568</v>
      </c>
      <c r="Z30" s="6">
        <f>'Raw Historical Financials'!W23</f>
        <v>-6040</v>
      </c>
      <c r="AA30" s="6">
        <f>'Raw Historical Financials'!X23-'Raw Historical Financials'!W23</f>
        <v>-4806</v>
      </c>
      <c r="AB30" s="6">
        <f>'Raw Historical Financials'!Y23-'Raw Historical Financials'!X23</f>
        <v>10846</v>
      </c>
      <c r="AC30" s="6">
        <f>'Raw Historical Financials'!Z23-'Raw Historical Financials'!Y23</f>
        <v>-35196.103999999999</v>
      </c>
      <c r="AE30" s="6">
        <f t="shared" si="147"/>
        <v>0</v>
      </c>
      <c r="AF30" s="6">
        <f t="shared" si="147"/>
        <v>0</v>
      </c>
      <c r="AG30" s="6">
        <f t="shared" si="147"/>
        <v>-1083</v>
      </c>
      <c r="AH30" s="6">
        <f t="shared" si="147"/>
        <v>-16167</v>
      </c>
      <c r="AI30" s="6">
        <f t="shared" si="147"/>
        <v>-26952</v>
      </c>
      <c r="AJ30" s="6">
        <f t="shared" si="148"/>
        <v>-35196.103999999999</v>
      </c>
    </row>
    <row r="31" spans="2:36" x14ac:dyDescent="0.25">
      <c r="B31" s="2" t="s">
        <v>67</v>
      </c>
      <c r="F31" s="6">
        <f>'Raw Historical Financials'!C24</f>
        <v>0</v>
      </c>
      <c r="G31" s="6">
        <f>'Raw Historical Financials'!D24-'Raw Historical Financials'!C24</f>
        <v>0</v>
      </c>
      <c r="H31" s="6">
        <f>'Raw Historical Financials'!E24-'Raw Historical Financials'!D24</f>
        <v>0</v>
      </c>
      <c r="I31" s="6">
        <f>'Raw Historical Financials'!F24-'Raw Historical Financials'!E24</f>
        <v>0</v>
      </c>
      <c r="J31" s="6">
        <f>'Raw Historical Financials'!G24</f>
        <v>0</v>
      </c>
      <c r="K31" s="6">
        <f>'Raw Historical Financials'!H24-'Raw Historical Financials'!G24</f>
        <v>0</v>
      </c>
      <c r="L31" s="6">
        <f>'Raw Historical Financials'!I24-'Raw Historical Financials'!H24</f>
        <v>-4025</v>
      </c>
      <c r="M31" s="6">
        <f>'Raw Historical Financials'!J24-'Raw Historical Financials'!I24</f>
        <v>-1819</v>
      </c>
      <c r="N31" s="6">
        <f>'Raw Historical Financials'!K24</f>
        <v>-1600</v>
      </c>
      <c r="O31" s="6">
        <f>'Raw Historical Financials'!L24-'Raw Historical Financials'!K24</f>
        <v>-1678</v>
      </c>
      <c r="P31" s="6">
        <f>'Raw Historical Financials'!M24-'Raw Historical Financials'!L24</f>
        <v>-2771</v>
      </c>
      <c r="Q31" s="6">
        <f>'Raw Historical Financials'!N24-'Raw Historical Financials'!M24</f>
        <v>4966</v>
      </c>
      <c r="R31" s="6">
        <f>'Raw Historical Financials'!O24</f>
        <v>-3503</v>
      </c>
      <c r="S31" s="6">
        <f>'Raw Historical Financials'!P24-'Raw Historical Financials'!O24</f>
        <v>-3466</v>
      </c>
      <c r="T31" s="6">
        <f>'Raw Historical Financials'!Q24-'Raw Historical Financials'!P24</f>
        <v>-3193</v>
      </c>
      <c r="U31" s="6">
        <f>'Raw Historical Financials'!R24-'Raw Historical Financials'!Q24</f>
        <v>-6005</v>
      </c>
      <c r="V31" s="6">
        <f>'Raw Historical Financials'!S24</f>
        <v>-4554</v>
      </c>
      <c r="W31" s="6">
        <f>'Raw Historical Financials'!T24-'Raw Historical Financials'!S24</f>
        <v>-4182</v>
      </c>
      <c r="X31" s="6">
        <f>'Raw Historical Financials'!U24-'Raw Historical Financials'!T24</f>
        <v>-1648</v>
      </c>
      <c r="Y31" s="6">
        <f>'Raw Historical Financials'!V24-'Raw Historical Financials'!U24</f>
        <v>-16568</v>
      </c>
      <c r="Z31" s="6">
        <f>'Raw Historical Financials'!W24</f>
        <v>-6040</v>
      </c>
      <c r="AA31" s="6">
        <f>'Raw Historical Financials'!X24-'Raw Historical Financials'!W24</f>
        <v>-4806</v>
      </c>
      <c r="AB31" s="6">
        <f>'Raw Historical Financials'!Y24-'Raw Historical Financials'!X24</f>
        <v>-7739</v>
      </c>
      <c r="AC31" s="6">
        <f>'Raw Historical Financials'!Z24-'Raw Historical Financials'!Y24</f>
        <v>18585</v>
      </c>
      <c r="AE31" s="6">
        <f t="shared" si="147"/>
        <v>0</v>
      </c>
      <c r="AF31" s="6">
        <f t="shared" si="147"/>
        <v>-5844</v>
      </c>
      <c r="AG31" s="6">
        <f t="shared" si="147"/>
        <v>-1083</v>
      </c>
      <c r="AH31" s="6">
        <f t="shared" si="147"/>
        <v>-16167</v>
      </c>
      <c r="AI31" s="6">
        <f t="shared" si="147"/>
        <v>-26952</v>
      </c>
      <c r="AJ31" s="6">
        <f t="shared" si="148"/>
        <v>0</v>
      </c>
    </row>
    <row r="32" spans="2:36" ht="11.4" thickBot="1" x14ac:dyDescent="0.3">
      <c r="B32" s="17" t="s">
        <v>268</v>
      </c>
      <c r="C32" s="17"/>
      <c r="D32" s="17"/>
      <c r="E32" s="18"/>
      <c r="F32" s="18">
        <f>SUM(F27:F31)</f>
        <v>14469</v>
      </c>
      <c r="G32" s="18">
        <f t="shared" ref="G32:Z32" si="149">SUM(G27:G31)</f>
        <v>17150</v>
      </c>
      <c r="H32" s="18">
        <f t="shared" ref="H32" si="150">SUM(H27:H31)</f>
        <v>18984</v>
      </c>
      <c r="I32" s="18">
        <f t="shared" ref="I32:K32" si="151">SUM(I27:I31)</f>
        <v>35210</v>
      </c>
      <c r="J32" s="18">
        <f t="shared" si="149"/>
        <v>21767</v>
      </c>
      <c r="K32" s="18">
        <f t="shared" si="151"/>
        <v>24770</v>
      </c>
      <c r="L32" s="18">
        <f t="shared" ref="L32" si="152">SUM(L27:L31)</f>
        <v>36702</v>
      </c>
      <c r="M32" s="18">
        <f t="shared" ref="M32" si="153">SUM(M27:M31)</f>
        <v>33119</v>
      </c>
      <c r="N32" s="18">
        <f t="shared" si="149"/>
        <v>30372</v>
      </c>
      <c r="O32" s="18">
        <f t="shared" ref="O32" si="154">SUM(O27:O31)</f>
        <v>19715</v>
      </c>
      <c r="P32" s="18">
        <f t="shared" ref="P32" si="155">SUM(P27:P31)</f>
        <v>29354</v>
      </c>
      <c r="Q32" s="18">
        <f t="shared" ref="Q32" si="156">SUM(Q27:Q31)</f>
        <v>-79598</v>
      </c>
      <c r="R32" s="18">
        <f t="shared" si="149"/>
        <v>45698</v>
      </c>
      <c r="S32" s="18">
        <f t="shared" ref="S32" si="157">SUM(S27:S31)</f>
        <v>47145</v>
      </c>
      <c r="T32" s="18">
        <f t="shared" ref="T32" si="158">SUM(T27:T31)</f>
        <v>38119</v>
      </c>
      <c r="U32" s="18">
        <f t="shared" ref="U32" si="159">SUM(U27:U31)</f>
        <v>159939</v>
      </c>
      <c r="V32" s="18">
        <f t="shared" si="149"/>
        <v>57902</v>
      </c>
      <c r="W32" s="18">
        <f t="shared" ref="W32" si="160">SUM(W27:W31)</f>
        <v>54377</v>
      </c>
      <c r="X32" s="18">
        <f t="shared" ref="X32" si="161">SUM(X27:X31)</f>
        <v>21413</v>
      </c>
      <c r="Y32" s="18">
        <f t="shared" ref="Y32" si="162">SUM(Y27:Y31)</f>
        <v>202987</v>
      </c>
      <c r="Z32" s="18">
        <f t="shared" si="149"/>
        <v>78518</v>
      </c>
      <c r="AA32" s="18">
        <f t="shared" ref="AA32" si="163">SUM(AA27:AA31)</f>
        <v>62478</v>
      </c>
      <c r="AB32" s="18">
        <f t="shared" ref="AB32:AC32" si="164">SUM(AB27:AB31)</f>
        <v>111764</v>
      </c>
      <c r="AC32" s="18">
        <f t="shared" si="164"/>
        <v>230111.06400000022</v>
      </c>
      <c r="AE32" s="18">
        <f t="shared" ref="AE32" si="165">SUM(AE27:AE31)</f>
        <v>85813</v>
      </c>
      <c r="AF32" s="18">
        <f t="shared" ref="AF32" si="166">SUM(AF27:AF31)</f>
        <v>116358</v>
      </c>
      <c r="AG32" s="18">
        <f t="shared" ref="AG32" si="167">SUM(AG27:AG31)</f>
        <v>-157</v>
      </c>
      <c r="AH32" s="18">
        <f t="shared" ref="AH32" si="168">SUM(AH27:AH31)</f>
        <v>290901</v>
      </c>
      <c r="AI32" s="18">
        <f t="shared" ref="AI32" si="169">SUM(AI27:AI31)</f>
        <v>336679</v>
      </c>
      <c r="AJ32" s="18">
        <f t="shared" ref="AJ32" si="170">SUM(AJ27:AJ31)</f>
        <v>482871.0640000003</v>
      </c>
    </row>
    <row r="34" spans="2:36" x14ac:dyDescent="0.25">
      <c r="B34" s="2" t="s">
        <v>104</v>
      </c>
      <c r="F34" s="6">
        <v>322291.25199999998</v>
      </c>
      <c r="G34" s="6">
        <v>322291.25199999998</v>
      </c>
      <c r="H34" s="6">
        <v>322291.25199999998</v>
      </c>
      <c r="I34" s="6">
        <v>322291.25199999998</v>
      </c>
      <c r="J34" s="6">
        <v>334173.89299999998</v>
      </c>
      <c r="K34" s="6">
        <v>334173.89299999998</v>
      </c>
      <c r="L34" s="6">
        <v>334173.89299999998</v>
      </c>
      <c r="M34" s="6">
        <v>334173.89299999998</v>
      </c>
      <c r="N34" s="6">
        <v>334173.89299999998</v>
      </c>
      <c r="O34" s="6">
        <v>334173.89299999998</v>
      </c>
      <c r="P34" s="6">
        <v>334173.89299999998</v>
      </c>
      <c r="Q34" s="6">
        <v>334173.89299999998</v>
      </c>
      <c r="R34" s="6">
        <v>334173.89299999998</v>
      </c>
      <c r="S34" s="6">
        <v>334173.89299999998</v>
      </c>
      <c r="T34" s="6">
        <v>334173.89299999998</v>
      </c>
      <c r="U34" s="6">
        <v>334173.89299999998</v>
      </c>
      <c r="V34" s="6">
        <v>334173.89299999998</v>
      </c>
      <c r="W34" s="6">
        <v>334173.89299999998</v>
      </c>
      <c r="X34" s="6">
        <v>334173.89299999998</v>
      </c>
      <c r="Y34" s="6">
        <v>334173.89299999998</v>
      </c>
      <c r="Z34" s="6">
        <v>349617.462</v>
      </c>
      <c r="AA34" s="6">
        <v>349617.462</v>
      </c>
      <c r="AB34" s="6">
        <v>349617.462</v>
      </c>
      <c r="AC34" s="6">
        <v>349618.462</v>
      </c>
      <c r="AE34" s="6">
        <f>I34</f>
        <v>322291.25199999998</v>
      </c>
      <c r="AF34" s="6">
        <f>M34</f>
        <v>334173.89299999998</v>
      </c>
      <c r="AG34" s="6">
        <f>Q34</f>
        <v>334173.89299999998</v>
      </c>
      <c r="AH34" s="6">
        <f>U34</f>
        <v>334173.89299999998</v>
      </c>
      <c r="AI34" s="6">
        <f>Y34</f>
        <v>334173.89299999998</v>
      </c>
      <c r="AJ34" s="6">
        <f>AB34</f>
        <v>349617.462</v>
      </c>
    </row>
    <row r="35" spans="2:36" x14ac:dyDescent="0.25">
      <c r="B35" s="2" t="s">
        <v>94</v>
      </c>
      <c r="F35" s="26">
        <f>F32/F34</f>
        <v>4.4894175408769707E-2</v>
      </c>
      <c r="G35" s="26">
        <f t="shared" ref="G35:AJ35" si="171">G32/G34</f>
        <v>5.3212738147791865E-2</v>
      </c>
      <c r="H35" s="26">
        <f t="shared" si="171"/>
        <v>5.8903243206861855E-2</v>
      </c>
      <c r="I35" s="26">
        <f t="shared" si="171"/>
        <v>0.10924900934016044</v>
      </c>
      <c r="J35" s="26">
        <f t="shared" si="171"/>
        <v>6.5136746035394211E-2</v>
      </c>
      <c r="K35" s="26">
        <f t="shared" si="171"/>
        <v>7.4123085372201719E-2</v>
      </c>
      <c r="L35" s="26">
        <f t="shared" si="171"/>
        <v>0.10982904640010284</v>
      </c>
      <c r="M35" s="26">
        <f t="shared" si="171"/>
        <v>9.9107083748161032E-2</v>
      </c>
      <c r="N35" s="26">
        <f t="shared" si="171"/>
        <v>9.0886812633205916E-2</v>
      </c>
      <c r="O35" s="26">
        <f t="shared" si="171"/>
        <v>5.8996230444608673E-2</v>
      </c>
      <c r="P35" s="26">
        <f t="shared" si="171"/>
        <v>8.7840494469746025E-2</v>
      </c>
      <c r="Q35" s="26">
        <f t="shared" si="171"/>
        <v>-0.23819335282424353</v>
      </c>
      <c r="R35" s="26">
        <f t="shared" si="171"/>
        <v>0.13674916250863439</v>
      </c>
      <c r="S35" s="26">
        <f t="shared" si="171"/>
        <v>0.14107924343449535</v>
      </c>
      <c r="T35" s="26">
        <f t="shared" si="171"/>
        <v>0.11406935370621547</v>
      </c>
      <c r="U35" s="26">
        <f t="shared" si="171"/>
        <v>0.47861009896425394</v>
      </c>
      <c r="V35" s="26">
        <f t="shared" si="171"/>
        <v>0.1732690710222537</v>
      </c>
      <c r="W35" s="26">
        <f t="shared" si="171"/>
        <v>0.1627206707018253</v>
      </c>
      <c r="X35" s="26">
        <f t="shared" si="171"/>
        <v>6.4077417322363966E-2</v>
      </c>
      <c r="Y35" s="26">
        <f t="shared" si="171"/>
        <v>0.60742925839511952</v>
      </c>
      <c r="Z35" s="26">
        <f t="shared" si="171"/>
        <v>0.22458260394327786</v>
      </c>
      <c r="AA35" s="26">
        <f t="shared" si="171"/>
        <v>0.17870388865187747</v>
      </c>
      <c r="AB35" s="26">
        <f t="shared" si="171"/>
        <v>0.31967510821870793</v>
      </c>
      <c r="AC35" s="26">
        <f t="shared" ref="AC35" si="172">AC32/AC34</f>
        <v>0.65817766797452537</v>
      </c>
      <c r="AD35" s="26"/>
      <c r="AE35" s="26">
        <f t="shared" si="171"/>
        <v>0.26625916610358386</v>
      </c>
      <c r="AF35" s="26">
        <f t="shared" si="171"/>
        <v>0.3481959615558598</v>
      </c>
      <c r="AG35" s="26">
        <f t="shared" si="171"/>
        <v>-4.6981527668290955E-4</v>
      </c>
      <c r="AH35" s="26">
        <f t="shared" si="171"/>
        <v>0.87050785861359914</v>
      </c>
      <c r="AI35" s="26">
        <f t="shared" si="171"/>
        <v>1.0074964174415624</v>
      </c>
      <c r="AJ35" s="26">
        <f t="shared" si="171"/>
        <v>1.3811411513535909</v>
      </c>
    </row>
    <row r="38" spans="2:36" x14ac:dyDescent="0.25">
      <c r="B38" s="21" t="s">
        <v>105</v>
      </c>
      <c r="C38" s="19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</row>
    <row r="39" spans="2:36" ht="5.0999999999999996" customHeight="1" x14ac:dyDescent="0.25"/>
    <row r="40" spans="2:36" x14ac:dyDescent="0.25">
      <c r="B40" s="4" t="s">
        <v>20</v>
      </c>
    </row>
    <row r="41" spans="2:36" x14ac:dyDescent="0.25">
      <c r="B41" s="2" t="s">
        <v>21</v>
      </c>
      <c r="F41" s="6">
        <f>'Raw Historical Financials'!C36</f>
        <v>664482</v>
      </c>
      <c r="G41" s="6">
        <f>'Raw Historical Financials'!D36</f>
        <v>553668</v>
      </c>
      <c r="H41" s="6">
        <f>'Raw Historical Financials'!E36</f>
        <v>688100</v>
      </c>
      <c r="I41" s="6">
        <f>'Raw Historical Financials'!F36</f>
        <v>771158</v>
      </c>
      <c r="J41" s="6">
        <f>'Raw Historical Financials'!G36</f>
        <v>702206</v>
      </c>
      <c r="K41" s="6">
        <f>'Raw Historical Financials'!H36</f>
        <v>604605</v>
      </c>
      <c r="L41" s="6">
        <f>'Raw Historical Financials'!I36</f>
        <v>718939</v>
      </c>
      <c r="M41" s="6">
        <f>'Raw Historical Financials'!J36</f>
        <v>961689</v>
      </c>
      <c r="N41" s="6">
        <f>'Raw Historical Financials'!K36</f>
        <v>1167148</v>
      </c>
      <c r="O41" s="6">
        <f>'Raw Historical Financials'!L36</f>
        <v>1596265</v>
      </c>
      <c r="P41" s="6">
        <f>'Raw Historical Financials'!M36</f>
        <v>2089414</v>
      </c>
      <c r="Q41" s="6">
        <f>'Raw Historical Financials'!N36</f>
        <v>1990143</v>
      </c>
      <c r="R41" s="6">
        <f>'Raw Historical Financials'!O36</f>
        <v>1243805</v>
      </c>
      <c r="S41" s="6">
        <f>'Raw Historical Financials'!P36</f>
        <v>2105879</v>
      </c>
      <c r="T41" s="6">
        <f>'Raw Historical Financials'!Q36</f>
        <v>2156478</v>
      </c>
      <c r="U41" s="6">
        <f>'Raw Historical Financials'!R36</f>
        <v>3226881</v>
      </c>
      <c r="V41" s="6">
        <f>'Raw Historical Financials'!S36</f>
        <v>3633851</v>
      </c>
      <c r="W41" s="6">
        <f>'Raw Historical Financials'!T36</f>
        <v>4076923</v>
      </c>
      <c r="X41" s="6">
        <f>'Raw Historical Financials'!U36</f>
        <v>3756035</v>
      </c>
      <c r="Y41" s="6">
        <f>'Raw Historical Financials'!V36</f>
        <v>4600045</v>
      </c>
      <c r="Z41" s="6">
        <f>'Raw Historical Financials'!W36</f>
        <v>4294542</v>
      </c>
      <c r="AA41" s="6">
        <f>'Raw Historical Financials'!X36</f>
        <v>3972659</v>
      </c>
      <c r="AB41" s="6">
        <f>'Raw Historical Financials'!Y36</f>
        <v>3312929</v>
      </c>
      <c r="AC41" s="6">
        <f>'Raw Historical Financials'!Z36</f>
        <v>8104418.8439999996</v>
      </c>
      <c r="AE41" s="6">
        <f>I41</f>
        <v>771158</v>
      </c>
      <c r="AF41" s="6">
        <f>M41</f>
        <v>961689</v>
      </c>
      <c r="AG41" s="6">
        <f>Q41</f>
        <v>1990143</v>
      </c>
      <c r="AH41" s="6">
        <f>U41</f>
        <v>3226881</v>
      </c>
      <c r="AI41" s="6">
        <f>Y41</f>
        <v>4600045</v>
      </c>
      <c r="AJ41" s="6">
        <f>AC41</f>
        <v>8104418.8439999996</v>
      </c>
    </row>
    <row r="42" spans="2:36" x14ac:dyDescent="0.25">
      <c r="B42" s="2" t="str">
        <f>'Raw Historical Financials'!B37</f>
        <v>Placements with banks</v>
      </c>
      <c r="F42" s="6">
        <f>'Raw Historical Financials'!C37</f>
        <v>0</v>
      </c>
      <c r="G42" s="6">
        <f>'Raw Historical Financials'!D37</f>
        <v>0</v>
      </c>
      <c r="H42" s="6">
        <f>'Raw Historical Financials'!E37</f>
        <v>0</v>
      </c>
      <c r="I42" s="6">
        <f>'Raw Historical Financials'!F37</f>
        <v>0</v>
      </c>
      <c r="J42" s="6">
        <f>'Raw Historical Financials'!G37</f>
        <v>0</v>
      </c>
      <c r="K42" s="6">
        <f>'Raw Historical Financials'!H37</f>
        <v>0</v>
      </c>
      <c r="L42" s="6">
        <f>'Raw Historical Financials'!I37</f>
        <v>0</v>
      </c>
      <c r="M42" s="6">
        <f>'Raw Historical Financials'!J37</f>
        <v>0</v>
      </c>
      <c r="N42" s="6">
        <f>'Raw Historical Financials'!K37</f>
        <v>0</v>
      </c>
      <c r="O42" s="6">
        <f>'Raw Historical Financials'!L37</f>
        <v>0</v>
      </c>
      <c r="P42" s="6">
        <f>'Raw Historical Financials'!M37</f>
        <v>0</v>
      </c>
      <c r="Q42" s="6">
        <f>'Raw Historical Financials'!N37</f>
        <v>0</v>
      </c>
      <c r="R42" s="6">
        <f>'Raw Historical Financials'!O37</f>
        <v>0</v>
      </c>
      <c r="S42" s="6">
        <f>'Raw Historical Financials'!P37</f>
        <v>0</v>
      </c>
      <c r="T42" s="6">
        <f>'Raw Historical Financials'!Q37</f>
        <v>0</v>
      </c>
      <c r="U42" s="6">
        <f>'Raw Historical Financials'!R37</f>
        <v>0</v>
      </c>
      <c r="V42" s="6">
        <f>'Raw Historical Financials'!S37</f>
        <v>0</v>
      </c>
      <c r="W42" s="6">
        <f>'Raw Historical Financials'!T37</f>
        <v>0</v>
      </c>
      <c r="X42" s="6">
        <f>'Raw Historical Financials'!U37</f>
        <v>0</v>
      </c>
      <c r="Y42" s="6">
        <f>'Raw Historical Financials'!V37</f>
        <v>0</v>
      </c>
      <c r="Z42" s="6">
        <f>'Raw Historical Financials'!W37</f>
        <v>0</v>
      </c>
      <c r="AA42" s="6">
        <f>'Raw Historical Financials'!X37</f>
        <v>0</v>
      </c>
      <c r="AB42" s="6">
        <f>'Raw Historical Financials'!Y37</f>
        <v>0</v>
      </c>
      <c r="AC42" s="6">
        <f>'Raw Historical Financials'!Z37</f>
        <v>58041.703999999998</v>
      </c>
      <c r="AE42" s="6">
        <f>I42</f>
        <v>0</v>
      </c>
      <c r="AF42" s="6">
        <f>M42</f>
        <v>0</v>
      </c>
      <c r="AG42" s="6">
        <f>Q42</f>
        <v>0</v>
      </c>
      <c r="AH42" s="6">
        <f>U42</f>
        <v>0</v>
      </c>
      <c r="AI42" s="6">
        <f>Y42</f>
        <v>0</v>
      </c>
      <c r="AJ42" s="6">
        <f>AC42</f>
        <v>58041.703999999998</v>
      </c>
    </row>
    <row r="43" spans="2:36" x14ac:dyDescent="0.25">
      <c r="B43" s="2" t="s">
        <v>71</v>
      </c>
      <c r="F43" s="6">
        <f>'Raw Historical Financials'!C38</f>
        <v>841803</v>
      </c>
      <c r="G43" s="6">
        <f>'Raw Historical Financials'!D38</f>
        <v>1121649</v>
      </c>
      <c r="H43" s="6">
        <f>'Raw Historical Financials'!E38</f>
        <v>1085506</v>
      </c>
      <c r="I43" s="6">
        <f>'Raw Historical Financials'!F38</f>
        <v>857232</v>
      </c>
      <c r="J43" s="6">
        <f>'Raw Historical Financials'!G38</f>
        <v>1182364</v>
      </c>
      <c r="K43" s="6">
        <f>'Raw Historical Financials'!H38</f>
        <v>1384113</v>
      </c>
      <c r="L43" s="6">
        <f>'Raw Historical Financials'!I38</f>
        <v>1392672</v>
      </c>
      <c r="M43" s="6">
        <f>'Raw Historical Financials'!J38</f>
        <v>820239</v>
      </c>
      <c r="N43" s="6">
        <f>'Raw Historical Financials'!K38</f>
        <v>1302694</v>
      </c>
      <c r="O43" s="6">
        <f>'Raw Historical Financials'!L38</f>
        <v>1149342</v>
      </c>
      <c r="P43" s="6">
        <f>'Raw Historical Financials'!M38</f>
        <v>1880011</v>
      </c>
      <c r="Q43" s="6">
        <f>'Raw Historical Financials'!N38</f>
        <v>1661135</v>
      </c>
      <c r="R43" s="6">
        <f>'Raw Historical Financials'!O38</f>
        <v>2448633</v>
      </c>
      <c r="S43" s="6">
        <f>'Raw Historical Financials'!P38</f>
        <v>2093026</v>
      </c>
      <c r="T43" s="6">
        <f>'Raw Historical Financials'!Q38</f>
        <v>2304294</v>
      </c>
      <c r="U43" s="6">
        <f>'Raw Historical Financials'!R38</f>
        <v>2059376</v>
      </c>
      <c r="V43" s="6">
        <f>'Raw Historical Financials'!S38</f>
        <v>2366023</v>
      </c>
      <c r="W43" s="6">
        <f>'Raw Historical Financials'!T38</f>
        <v>2099235</v>
      </c>
      <c r="X43" s="6">
        <f>'Raw Historical Financials'!U38</f>
        <v>2403637</v>
      </c>
      <c r="Y43" s="6">
        <f>'Raw Historical Financials'!V38</f>
        <v>2647258</v>
      </c>
      <c r="Z43" s="6">
        <f>'Raw Historical Financials'!W38</f>
        <v>2389898</v>
      </c>
      <c r="AA43" s="6">
        <f>'Raw Historical Financials'!X38</f>
        <v>3217511</v>
      </c>
      <c r="AB43" s="6">
        <f>'Raw Historical Financials'!Y38</f>
        <v>3580300</v>
      </c>
      <c r="AC43" s="6">
        <f>'Raw Historical Financials'!Z38</f>
        <v>3178870.372</v>
      </c>
      <c r="AE43" s="6">
        <f t="shared" ref="AE43:AE55" si="173">I43</f>
        <v>857232</v>
      </c>
      <c r="AF43" s="6">
        <f t="shared" ref="AF43:AF55" si="174">M43</f>
        <v>820239</v>
      </c>
      <c r="AG43" s="6">
        <f t="shared" ref="AG43:AG55" si="175">Q43</f>
        <v>1661135</v>
      </c>
      <c r="AH43" s="6">
        <f t="shared" ref="AH43:AH55" si="176">U43</f>
        <v>2059376</v>
      </c>
      <c r="AI43" s="6">
        <f t="shared" ref="AI43:AI55" si="177">Y43</f>
        <v>2647258</v>
      </c>
      <c r="AJ43" s="6">
        <f t="shared" ref="AJ43:AJ55" si="178">AC43</f>
        <v>3178870.372</v>
      </c>
    </row>
    <row r="44" spans="2:36" x14ac:dyDescent="0.25">
      <c r="B44" s="2" t="s">
        <v>22</v>
      </c>
      <c r="F44" s="6">
        <f>'Raw Historical Financials'!C39</f>
        <v>595758</v>
      </c>
      <c r="G44" s="6">
        <f>'Raw Historical Financials'!D39</f>
        <v>514565</v>
      </c>
      <c r="H44" s="6">
        <f>'Raw Historical Financials'!E39</f>
        <v>622388</v>
      </c>
      <c r="I44" s="6">
        <f>'Raw Historical Financials'!F39</f>
        <v>609414</v>
      </c>
      <c r="J44" s="6">
        <f>'Raw Historical Financials'!G39</f>
        <v>633698</v>
      </c>
      <c r="K44" s="6">
        <f>'Raw Historical Financials'!H39</f>
        <v>574039</v>
      </c>
      <c r="L44" s="6">
        <f>'Raw Historical Financials'!I39</f>
        <v>728616</v>
      </c>
      <c r="M44" s="6">
        <f>'Raw Historical Financials'!J39</f>
        <v>1011135</v>
      </c>
      <c r="N44" s="6">
        <f>'Raw Historical Financials'!K39</f>
        <v>1181132</v>
      </c>
      <c r="O44" s="6">
        <f>'Raw Historical Financials'!L39</f>
        <v>1104448</v>
      </c>
      <c r="P44" s="6">
        <f>'Raw Historical Financials'!M39</f>
        <v>1320685</v>
      </c>
      <c r="Q44" s="6">
        <f>'Raw Historical Financials'!N39</f>
        <v>1486925</v>
      </c>
      <c r="R44" s="6">
        <f>'Raw Historical Financials'!O39</f>
        <v>1687854</v>
      </c>
      <c r="S44" s="6">
        <f>'Raw Historical Financials'!P39</f>
        <v>1768475</v>
      </c>
      <c r="T44" s="6">
        <f>'Raw Historical Financials'!Q39</f>
        <v>1760844</v>
      </c>
      <c r="U44" s="6">
        <f>'Raw Historical Financials'!R39</f>
        <v>1702104</v>
      </c>
      <c r="V44" s="6">
        <f>'Raw Historical Financials'!S39</f>
        <v>1510128</v>
      </c>
      <c r="W44" s="6">
        <f>'Raw Historical Financials'!T39</f>
        <v>1345040</v>
      </c>
      <c r="X44" s="6">
        <f>'Raw Historical Financials'!U39</f>
        <v>1423356</v>
      </c>
      <c r="Y44" s="6">
        <f>'Raw Historical Financials'!V39</f>
        <v>1927368</v>
      </c>
      <c r="Z44" s="6">
        <f>'Raw Historical Financials'!W39</f>
        <v>1560859</v>
      </c>
      <c r="AA44" s="6">
        <f>'Raw Historical Financials'!X39</f>
        <v>1414797</v>
      </c>
      <c r="AB44" s="6">
        <f>'Raw Historical Financials'!Y39</f>
        <v>1516490</v>
      </c>
      <c r="AC44" s="6">
        <f>'Raw Historical Financials'!Z39</f>
        <v>1947024.824</v>
      </c>
      <c r="AE44" s="6">
        <f t="shared" si="173"/>
        <v>609414</v>
      </c>
      <c r="AF44" s="6">
        <f t="shared" si="174"/>
        <v>1011135</v>
      </c>
      <c r="AG44" s="6">
        <f t="shared" si="175"/>
        <v>1486925</v>
      </c>
      <c r="AH44" s="6">
        <f t="shared" si="176"/>
        <v>1702104</v>
      </c>
      <c r="AI44" s="6">
        <f t="shared" si="177"/>
        <v>1927368</v>
      </c>
      <c r="AJ44" s="6">
        <f t="shared" si="178"/>
        <v>1947024.824</v>
      </c>
    </row>
    <row r="45" spans="2:36" x14ac:dyDescent="0.25">
      <c r="B45" s="2" t="s">
        <v>88</v>
      </c>
      <c r="F45" s="6">
        <f>'Raw Historical Financials'!C40</f>
        <v>0</v>
      </c>
      <c r="G45" s="6">
        <f>'Raw Historical Financials'!D40</f>
        <v>0</v>
      </c>
      <c r="H45" s="6">
        <f>'Raw Historical Financials'!E40</f>
        <v>0</v>
      </c>
      <c r="I45" s="6">
        <f>'Raw Historical Financials'!F40</f>
        <v>435577</v>
      </c>
      <c r="J45" s="6">
        <f>'Raw Historical Financials'!G40</f>
        <v>0</v>
      </c>
      <c r="K45" s="6">
        <f>'Raw Historical Financials'!H40</f>
        <v>0</v>
      </c>
      <c r="L45" s="6">
        <f>'Raw Historical Financials'!I40</f>
        <v>0</v>
      </c>
      <c r="M45" s="6">
        <f>'Raw Historical Financials'!J40</f>
        <v>462282</v>
      </c>
      <c r="N45" s="6">
        <f>'Raw Historical Financials'!K40</f>
        <v>0</v>
      </c>
      <c r="O45" s="6">
        <f>'Raw Historical Financials'!L40</f>
        <v>0</v>
      </c>
      <c r="P45" s="6">
        <f>'Raw Historical Financials'!M40</f>
        <v>0</v>
      </c>
      <c r="Q45" s="6">
        <f>'Raw Historical Financials'!N40</f>
        <v>0</v>
      </c>
      <c r="R45" s="6">
        <f>'Raw Historical Financials'!O40</f>
        <v>0</v>
      </c>
      <c r="S45" s="6">
        <f>'Raw Historical Financials'!P40</f>
        <v>0</v>
      </c>
      <c r="T45" s="6">
        <f>'Raw Historical Financials'!Q40</f>
        <v>0</v>
      </c>
      <c r="U45" s="6">
        <f>'Raw Historical Financials'!R40</f>
        <v>8411</v>
      </c>
      <c r="V45" s="6">
        <f>'Raw Historical Financials'!S40</f>
        <v>0</v>
      </c>
      <c r="W45" s="6">
        <f>'Raw Historical Financials'!T40</f>
        <v>0</v>
      </c>
      <c r="X45" s="6">
        <f>'Raw Historical Financials'!U40</f>
        <v>0</v>
      </c>
      <c r="Y45" s="6">
        <f>'Raw Historical Financials'!V40</f>
        <v>0</v>
      </c>
      <c r="Z45" s="6">
        <f>'Raw Historical Financials'!W40</f>
        <v>0</v>
      </c>
      <c r="AA45" s="6">
        <f>'Raw Historical Financials'!X40</f>
        <v>0</v>
      </c>
      <c r="AB45" s="6">
        <f>'Raw Historical Financials'!Y40</f>
        <v>0</v>
      </c>
      <c r="AC45" s="6">
        <f>'Raw Historical Financials'!Z40</f>
        <v>0</v>
      </c>
      <c r="AE45" s="6">
        <f t="shared" si="173"/>
        <v>435577</v>
      </c>
      <c r="AF45" s="6">
        <f t="shared" si="174"/>
        <v>462282</v>
      </c>
      <c r="AG45" s="6">
        <f t="shared" si="175"/>
        <v>0</v>
      </c>
      <c r="AH45" s="6">
        <f t="shared" si="176"/>
        <v>8411</v>
      </c>
      <c r="AI45" s="6">
        <f t="shared" si="177"/>
        <v>0</v>
      </c>
      <c r="AJ45" s="6">
        <f t="shared" si="178"/>
        <v>0</v>
      </c>
    </row>
    <row r="46" spans="2:36" x14ac:dyDescent="0.25">
      <c r="B46" s="2" t="s">
        <v>95</v>
      </c>
      <c r="F46" s="6">
        <f>'Raw Historical Financials'!C41</f>
        <v>0</v>
      </c>
      <c r="G46" s="6">
        <f>'Raw Historical Financials'!D41</f>
        <v>0</v>
      </c>
      <c r="H46" s="6">
        <f>'Raw Historical Financials'!E41</f>
        <v>0</v>
      </c>
      <c r="I46" s="6">
        <f>'Raw Historical Financials'!F41</f>
        <v>15594</v>
      </c>
      <c r="J46" s="6">
        <f>'Raw Historical Financials'!G41</f>
        <v>0</v>
      </c>
      <c r="K46" s="6">
        <f>'Raw Historical Financials'!H41</f>
        <v>0</v>
      </c>
      <c r="L46" s="6">
        <f>'Raw Historical Financials'!I41</f>
        <v>0</v>
      </c>
      <c r="M46" s="6">
        <f>'Raw Historical Financials'!J41</f>
        <v>167867</v>
      </c>
      <c r="N46" s="6">
        <f>'Raw Historical Financials'!K41</f>
        <v>0</v>
      </c>
      <c r="O46" s="6">
        <f>'Raw Historical Financials'!L41</f>
        <v>0</v>
      </c>
      <c r="P46" s="6">
        <f>'Raw Historical Financials'!M41</f>
        <v>0</v>
      </c>
      <c r="Q46" s="6">
        <f>'Raw Historical Financials'!N41</f>
        <v>0</v>
      </c>
      <c r="R46" s="6">
        <f>'Raw Historical Financials'!O41</f>
        <v>0</v>
      </c>
      <c r="S46" s="6">
        <f>'Raw Historical Financials'!P41</f>
        <v>0</v>
      </c>
      <c r="T46" s="6">
        <f>'Raw Historical Financials'!Q41</f>
        <v>0</v>
      </c>
      <c r="U46" s="6">
        <f>'Raw Historical Financials'!R41</f>
        <v>0</v>
      </c>
      <c r="V46" s="6">
        <f>'Raw Historical Financials'!S41</f>
        <v>0</v>
      </c>
      <c r="W46" s="6">
        <f>'Raw Historical Financials'!T41</f>
        <v>0</v>
      </c>
      <c r="X46" s="6">
        <f>'Raw Historical Financials'!U41</f>
        <v>0</v>
      </c>
      <c r="Y46" s="6">
        <f>'Raw Historical Financials'!V41</f>
        <v>0</v>
      </c>
      <c r="Z46" s="6">
        <f>'Raw Historical Financials'!W41</f>
        <v>0</v>
      </c>
      <c r="AA46" s="6">
        <f>'Raw Historical Financials'!X41</f>
        <v>0</v>
      </c>
      <c r="AB46" s="6">
        <f>'Raw Historical Financials'!Y41</f>
        <v>0</v>
      </c>
      <c r="AC46" s="6">
        <f>'Raw Historical Financials'!Z41</f>
        <v>0</v>
      </c>
      <c r="AE46" s="6">
        <f t="shared" si="173"/>
        <v>15594</v>
      </c>
      <c r="AF46" s="6">
        <f t="shared" si="174"/>
        <v>167867</v>
      </c>
      <c r="AG46" s="6">
        <f t="shared" si="175"/>
        <v>0</v>
      </c>
      <c r="AH46" s="6">
        <f t="shared" si="176"/>
        <v>0</v>
      </c>
      <c r="AI46" s="6">
        <f t="shared" si="177"/>
        <v>0</v>
      </c>
      <c r="AJ46" s="6">
        <f t="shared" si="178"/>
        <v>0</v>
      </c>
    </row>
    <row r="47" spans="2:36" x14ac:dyDescent="0.25">
      <c r="B47" s="2" t="s">
        <v>23</v>
      </c>
      <c r="F47" s="6">
        <f>'Raw Historical Financials'!C42</f>
        <v>18877</v>
      </c>
      <c r="G47" s="6">
        <f>'Raw Historical Financials'!D42</f>
        <v>127</v>
      </c>
      <c r="H47" s="6">
        <f>'Raw Historical Financials'!E42</f>
        <v>127</v>
      </c>
      <c r="I47" s="6">
        <f>'Raw Historical Financials'!F42</f>
        <v>449</v>
      </c>
      <c r="J47" s="6">
        <f>'Raw Historical Financials'!G42</f>
        <v>449</v>
      </c>
      <c r="K47" s="6">
        <f>'Raw Historical Financials'!H42</f>
        <v>449</v>
      </c>
      <c r="L47" s="6">
        <f>'Raw Historical Financials'!I42</f>
        <v>449</v>
      </c>
      <c r="M47" s="6">
        <f>'Raw Historical Financials'!J42</f>
        <v>1176</v>
      </c>
      <c r="N47" s="6">
        <f>'Raw Historical Financials'!K42</f>
        <v>1176</v>
      </c>
      <c r="O47" s="6">
        <f>'Raw Historical Financials'!L42</f>
        <v>1176</v>
      </c>
      <c r="P47" s="6">
        <f>'Raw Historical Financials'!M42</f>
        <v>2686</v>
      </c>
      <c r="Q47" s="6">
        <f>'Raw Historical Financials'!N42</f>
        <v>1474</v>
      </c>
      <c r="R47" s="6">
        <f>'Raw Historical Financials'!O42</f>
        <v>1474</v>
      </c>
      <c r="S47" s="6">
        <f>'Raw Historical Financials'!P42</f>
        <v>2834</v>
      </c>
      <c r="T47" s="6">
        <f>'Raw Historical Financials'!Q42</f>
        <v>1704</v>
      </c>
      <c r="U47" s="6">
        <f>'Raw Historical Financials'!R42</f>
        <v>1705</v>
      </c>
      <c r="V47" s="6">
        <f>'Raw Historical Financials'!S42</f>
        <v>1704</v>
      </c>
      <c r="W47" s="6">
        <f>'Raw Historical Financials'!T42</f>
        <v>1704</v>
      </c>
      <c r="X47" s="6">
        <f>'Raw Historical Financials'!U42</f>
        <v>1704</v>
      </c>
      <c r="Y47" s="6">
        <f>'Raw Historical Financials'!V42</f>
        <v>2082</v>
      </c>
      <c r="Z47" s="6">
        <f>'Raw Historical Financials'!W42</f>
        <v>2082</v>
      </c>
      <c r="AA47" s="6">
        <f>'Raw Historical Financials'!X42</f>
        <v>2082</v>
      </c>
      <c r="AB47" s="6">
        <f>'Raw Historical Financials'!Y42</f>
        <v>2505</v>
      </c>
      <c r="AC47" s="6">
        <f>'Raw Historical Financials'!Z42</f>
        <v>2799.3820000000001</v>
      </c>
      <c r="AE47" s="6">
        <f t="shared" si="173"/>
        <v>449</v>
      </c>
      <c r="AF47" s="6">
        <f t="shared" si="174"/>
        <v>1176</v>
      </c>
      <c r="AG47" s="6">
        <f t="shared" si="175"/>
        <v>1474</v>
      </c>
      <c r="AH47" s="6">
        <f t="shared" si="176"/>
        <v>1705</v>
      </c>
      <c r="AI47" s="6">
        <f t="shared" si="177"/>
        <v>2082</v>
      </c>
      <c r="AJ47" s="6">
        <f t="shared" si="178"/>
        <v>2799.3820000000001</v>
      </c>
    </row>
    <row r="48" spans="2:36" x14ac:dyDescent="0.25">
      <c r="B48" s="2" t="s">
        <v>79</v>
      </c>
      <c r="F48" s="6">
        <f>'Raw Historical Financials'!C43</f>
        <v>0</v>
      </c>
      <c r="G48" s="6">
        <f>'Raw Historical Financials'!D43</f>
        <v>0</v>
      </c>
      <c r="H48" s="6">
        <f>'Raw Historical Financials'!E43</f>
        <v>0</v>
      </c>
      <c r="I48" s="6">
        <f>'Raw Historical Financials'!F43</f>
        <v>0</v>
      </c>
      <c r="J48" s="6">
        <f>'Raw Historical Financials'!G43</f>
        <v>0</v>
      </c>
      <c r="K48" s="6">
        <f>'Raw Historical Financials'!H43</f>
        <v>0</v>
      </c>
      <c r="L48" s="6">
        <f>'Raw Historical Financials'!I43</f>
        <v>0</v>
      </c>
      <c r="M48" s="6">
        <f>'Raw Historical Financials'!J43</f>
        <v>0</v>
      </c>
      <c r="N48" s="6">
        <f>'Raw Historical Financials'!K43</f>
        <v>0</v>
      </c>
      <c r="O48" s="6">
        <f>'Raw Historical Financials'!L43</f>
        <v>0</v>
      </c>
      <c r="P48" s="6">
        <f>'Raw Historical Financials'!M43</f>
        <v>0</v>
      </c>
      <c r="Q48" s="6">
        <f>'Raw Historical Financials'!N43</f>
        <v>0</v>
      </c>
      <c r="R48" s="6">
        <f>'Raw Historical Financials'!O43</f>
        <v>0</v>
      </c>
      <c r="S48" s="6">
        <f>'Raw Historical Financials'!P43</f>
        <v>0</v>
      </c>
      <c r="T48" s="6">
        <f>'Raw Historical Financials'!Q43</f>
        <v>0</v>
      </c>
      <c r="U48" s="6">
        <f>'Raw Historical Financials'!R43</f>
        <v>3025</v>
      </c>
      <c r="V48" s="6">
        <f>'Raw Historical Financials'!S43</f>
        <v>0</v>
      </c>
      <c r="W48" s="6">
        <f>'Raw Historical Financials'!T43</f>
        <v>0</v>
      </c>
      <c r="X48" s="6">
        <f>'Raw Historical Financials'!U43</f>
        <v>0</v>
      </c>
      <c r="Y48" s="6">
        <f>'Raw Historical Financials'!V43</f>
        <v>3025</v>
      </c>
      <c r="Z48" s="6">
        <f>'Raw Historical Financials'!W43</f>
        <v>3025</v>
      </c>
      <c r="AA48" s="6">
        <f>'Raw Historical Financials'!X43</f>
        <v>3025</v>
      </c>
      <c r="AB48" s="6">
        <f>'Raw Historical Financials'!Y43</f>
        <v>3025</v>
      </c>
      <c r="AC48" s="6">
        <f>'Raw Historical Financials'!Z43</f>
        <v>0</v>
      </c>
      <c r="AE48" s="6">
        <f t="shared" si="173"/>
        <v>0</v>
      </c>
      <c r="AF48" s="6">
        <f t="shared" si="174"/>
        <v>0</v>
      </c>
      <c r="AG48" s="6">
        <f t="shared" si="175"/>
        <v>0</v>
      </c>
      <c r="AH48" s="6">
        <f t="shared" si="176"/>
        <v>3025</v>
      </c>
      <c r="AI48" s="6">
        <f t="shared" si="177"/>
        <v>3025</v>
      </c>
      <c r="AJ48" s="6">
        <f t="shared" si="178"/>
        <v>0</v>
      </c>
    </row>
    <row r="49" spans="2:36" x14ac:dyDescent="0.25">
      <c r="B49" s="2" t="s">
        <v>24</v>
      </c>
      <c r="F49" s="6">
        <f>'Raw Historical Financials'!C44</f>
        <v>0</v>
      </c>
      <c r="G49" s="6">
        <f>'Raw Historical Financials'!D44</f>
        <v>0</v>
      </c>
      <c r="H49" s="6">
        <f>'Raw Historical Financials'!E44</f>
        <v>0</v>
      </c>
      <c r="I49" s="6">
        <f>'Raw Historical Financials'!F44</f>
        <v>12383</v>
      </c>
      <c r="J49" s="6">
        <f>'Raw Historical Financials'!G44</f>
        <v>9609</v>
      </c>
      <c r="K49" s="6">
        <f>'Raw Historical Financials'!H44</f>
        <v>5762</v>
      </c>
      <c r="L49" s="6">
        <f>'Raw Historical Financials'!I44</f>
        <v>12221</v>
      </c>
      <c r="M49" s="6">
        <f>'Raw Historical Financials'!J44</f>
        <v>13569</v>
      </c>
      <c r="N49" s="6">
        <f>'Raw Historical Financials'!K44</f>
        <v>14962</v>
      </c>
      <c r="O49" s="6">
        <f>'Raw Historical Financials'!L44</f>
        <v>16906</v>
      </c>
      <c r="P49" s="6">
        <f>'Raw Historical Financials'!M44</f>
        <v>21627</v>
      </c>
      <c r="Q49" s="6">
        <f>'Raw Historical Financials'!N44</f>
        <v>9670</v>
      </c>
      <c r="R49" s="6">
        <f>'Raw Historical Financials'!O44</f>
        <v>0</v>
      </c>
      <c r="S49" s="6">
        <f>'Raw Historical Financials'!P44</f>
        <v>0</v>
      </c>
      <c r="T49" s="6">
        <f>'Raw Historical Financials'!Q44</f>
        <v>0</v>
      </c>
      <c r="U49" s="6">
        <f>'Raw Historical Financials'!R44</f>
        <v>64714</v>
      </c>
      <c r="V49" s="6">
        <f>'Raw Historical Financials'!S44</f>
        <v>80744</v>
      </c>
      <c r="W49" s="6">
        <f>'Raw Historical Financials'!T44</f>
        <v>178821</v>
      </c>
      <c r="X49" s="6">
        <f>'Raw Historical Financials'!U44</f>
        <v>158337</v>
      </c>
      <c r="Y49" s="6">
        <f>'Raw Historical Financials'!V44</f>
        <v>59744</v>
      </c>
      <c r="Z49" s="6">
        <f>'Raw Historical Financials'!W44</f>
        <v>161011</v>
      </c>
      <c r="AA49" s="6">
        <f>'Raw Historical Financials'!X44</f>
        <v>188481</v>
      </c>
      <c r="AB49" s="6">
        <f>'Raw Historical Financials'!Y44</f>
        <v>191807</v>
      </c>
      <c r="AC49" s="6">
        <f>'Raw Historical Financials'!Z44</f>
        <v>244879.81</v>
      </c>
      <c r="AE49" s="6">
        <f t="shared" si="173"/>
        <v>12383</v>
      </c>
      <c r="AF49" s="6">
        <f t="shared" si="174"/>
        <v>13569</v>
      </c>
      <c r="AG49" s="6">
        <f t="shared" si="175"/>
        <v>9670</v>
      </c>
      <c r="AH49" s="6">
        <f t="shared" si="176"/>
        <v>64714</v>
      </c>
      <c r="AI49" s="6">
        <f t="shared" si="177"/>
        <v>59744</v>
      </c>
      <c r="AJ49" s="6">
        <f t="shared" si="178"/>
        <v>244879.81</v>
      </c>
    </row>
    <row r="50" spans="2:36" x14ac:dyDescent="0.25">
      <c r="B50" s="2" t="s">
        <v>73</v>
      </c>
      <c r="F50" s="6">
        <f>'Raw Historical Financials'!C45</f>
        <v>0</v>
      </c>
      <c r="G50" s="6">
        <f>'Raw Historical Financials'!D45</f>
        <v>0</v>
      </c>
      <c r="H50" s="6">
        <f>'Raw Historical Financials'!E45</f>
        <v>0</v>
      </c>
      <c r="I50" s="6">
        <f>'Raw Historical Financials'!F45</f>
        <v>0</v>
      </c>
      <c r="J50" s="6">
        <f>'Raw Historical Financials'!G45</f>
        <v>0</v>
      </c>
      <c r="K50" s="6">
        <f>'Raw Historical Financials'!H45</f>
        <v>0</v>
      </c>
      <c r="L50" s="6">
        <f>'Raw Historical Financials'!I45</f>
        <v>0</v>
      </c>
      <c r="M50" s="6">
        <f>'Raw Historical Financials'!J45</f>
        <v>0</v>
      </c>
      <c r="N50" s="6">
        <f>'Raw Historical Financials'!K45</f>
        <v>0</v>
      </c>
      <c r="O50" s="6">
        <f>'Raw Historical Financials'!L45</f>
        <v>0</v>
      </c>
      <c r="P50" s="6">
        <f>'Raw Historical Financials'!M45</f>
        <v>0</v>
      </c>
      <c r="Q50" s="6">
        <f>'Raw Historical Financials'!N45</f>
        <v>0</v>
      </c>
      <c r="R50" s="6">
        <f>'Raw Historical Financials'!O45</f>
        <v>0</v>
      </c>
      <c r="S50" s="6">
        <f>'Raw Historical Financials'!P45</f>
        <v>0</v>
      </c>
      <c r="T50" s="6">
        <f>'Raw Historical Financials'!Q45</f>
        <v>0</v>
      </c>
      <c r="U50" s="6">
        <f>'Raw Historical Financials'!R45</f>
        <v>8954</v>
      </c>
      <c r="V50" s="6">
        <f>'Raw Historical Financials'!S45</f>
        <v>8954</v>
      </c>
      <c r="W50" s="6">
        <f>'Raw Historical Financials'!T45</f>
        <v>8954</v>
      </c>
      <c r="X50" s="6">
        <f>'Raw Historical Financials'!U45</f>
        <v>8954</v>
      </c>
      <c r="Y50" s="6">
        <f>'Raw Historical Financials'!V45</f>
        <v>8827</v>
      </c>
      <c r="Z50" s="6">
        <f>'Raw Historical Financials'!W45</f>
        <v>8827</v>
      </c>
      <c r="AA50" s="6">
        <f>'Raw Historical Financials'!X45</f>
        <v>8827</v>
      </c>
      <c r="AB50" s="6">
        <f>'Raw Historical Financials'!Y45</f>
        <v>8827</v>
      </c>
      <c r="AC50" s="6">
        <f>'Raw Historical Financials'!Z45</f>
        <v>0</v>
      </c>
      <c r="AE50" s="6">
        <f t="shared" si="173"/>
        <v>0</v>
      </c>
      <c r="AF50" s="6">
        <f t="shared" si="174"/>
        <v>0</v>
      </c>
      <c r="AG50" s="6">
        <f t="shared" si="175"/>
        <v>0</v>
      </c>
      <c r="AH50" s="6">
        <f t="shared" si="176"/>
        <v>8954</v>
      </c>
      <c r="AI50" s="6">
        <f t="shared" si="177"/>
        <v>8827</v>
      </c>
      <c r="AJ50" s="6">
        <f t="shared" si="178"/>
        <v>0</v>
      </c>
    </row>
    <row r="51" spans="2:36" x14ac:dyDescent="0.25">
      <c r="B51" s="2" t="s">
        <v>80</v>
      </c>
      <c r="F51" s="6">
        <f>'Raw Historical Financials'!C46</f>
        <v>0</v>
      </c>
      <c r="G51" s="6">
        <f>'Raw Historical Financials'!D46</f>
        <v>0</v>
      </c>
      <c r="H51" s="6">
        <f>'Raw Historical Financials'!E46</f>
        <v>0</v>
      </c>
      <c r="I51" s="6">
        <f>'Raw Historical Financials'!F46</f>
        <v>0</v>
      </c>
      <c r="J51" s="6">
        <f>'Raw Historical Financials'!G46</f>
        <v>0</v>
      </c>
      <c r="K51" s="6">
        <f>'Raw Historical Financials'!H46</f>
        <v>0</v>
      </c>
      <c r="L51" s="6">
        <f>'Raw Historical Financials'!I46</f>
        <v>0</v>
      </c>
      <c r="M51" s="6">
        <f>'Raw Historical Financials'!J46</f>
        <v>0</v>
      </c>
      <c r="N51" s="6">
        <f>'Raw Historical Financials'!K46</f>
        <v>0</v>
      </c>
      <c r="O51" s="6">
        <f>'Raw Historical Financials'!L46</f>
        <v>0</v>
      </c>
      <c r="P51" s="6">
        <f>'Raw Historical Financials'!M46</f>
        <v>0</v>
      </c>
      <c r="Q51" s="6">
        <f>'Raw Historical Financials'!N46</f>
        <v>0</v>
      </c>
      <c r="R51" s="6">
        <f>'Raw Historical Financials'!O46</f>
        <v>0</v>
      </c>
      <c r="S51" s="6">
        <f>'Raw Historical Financials'!P46</f>
        <v>0</v>
      </c>
      <c r="T51" s="6">
        <f>'Raw Historical Financials'!Q46</f>
        <v>0</v>
      </c>
      <c r="U51" s="6">
        <f>'Raw Historical Financials'!R46</f>
        <v>0</v>
      </c>
      <c r="V51" s="6">
        <f>'Raw Historical Financials'!S46</f>
        <v>0</v>
      </c>
      <c r="W51" s="6">
        <f>'Raw Historical Financials'!T46</f>
        <v>0</v>
      </c>
      <c r="X51" s="6">
        <f>'Raw Historical Financials'!U46</f>
        <v>0</v>
      </c>
      <c r="Y51" s="6">
        <f>'Raw Historical Financials'!V46</f>
        <v>1795</v>
      </c>
      <c r="Z51" s="6">
        <f>'Raw Historical Financials'!W46</f>
        <v>21110</v>
      </c>
      <c r="AA51" s="6">
        <f>'Raw Historical Financials'!X46</f>
        <v>27816</v>
      </c>
      <c r="AB51" s="6">
        <f>'Raw Historical Financials'!Y46</f>
        <v>37747</v>
      </c>
      <c r="AC51" s="6">
        <f>'Raw Historical Financials'!Z46</f>
        <v>0</v>
      </c>
      <c r="AE51" s="6">
        <f t="shared" si="173"/>
        <v>0</v>
      </c>
      <c r="AF51" s="6">
        <f t="shared" si="174"/>
        <v>0</v>
      </c>
      <c r="AG51" s="6">
        <f t="shared" si="175"/>
        <v>0</v>
      </c>
      <c r="AH51" s="6">
        <f t="shared" si="176"/>
        <v>0</v>
      </c>
      <c r="AI51" s="6">
        <f t="shared" si="177"/>
        <v>1795</v>
      </c>
      <c r="AJ51" s="6">
        <f t="shared" si="178"/>
        <v>0</v>
      </c>
    </row>
    <row r="52" spans="2:36" x14ac:dyDescent="0.25">
      <c r="B52" s="2" t="s">
        <v>25</v>
      </c>
      <c r="F52" s="6">
        <f>'Raw Historical Financials'!C47</f>
        <v>7080</v>
      </c>
      <c r="G52" s="6">
        <f>'Raw Historical Financials'!D47</f>
        <v>6535</v>
      </c>
      <c r="H52" s="6">
        <f>'Raw Historical Financials'!E47</f>
        <v>6781</v>
      </c>
      <c r="I52" s="6">
        <f>'Raw Historical Financials'!F47</f>
        <v>5074</v>
      </c>
      <c r="J52" s="6">
        <f>'Raw Historical Financials'!G47</f>
        <v>4573</v>
      </c>
      <c r="K52" s="6">
        <f>'Raw Historical Financials'!H47</f>
        <v>4175</v>
      </c>
      <c r="L52" s="6">
        <f>'Raw Historical Financials'!I47</f>
        <v>5136</v>
      </c>
      <c r="M52" s="6">
        <f>'Raw Historical Financials'!J47</f>
        <v>5992</v>
      </c>
      <c r="N52" s="6">
        <f>'Raw Historical Financials'!K47</f>
        <v>5817</v>
      </c>
      <c r="O52" s="6">
        <f>'Raw Historical Financials'!L47</f>
        <v>5429</v>
      </c>
      <c r="P52" s="6">
        <f>'Raw Historical Financials'!M47</f>
        <v>5519</v>
      </c>
      <c r="Q52" s="6">
        <f>'Raw Historical Financials'!N47</f>
        <v>6242</v>
      </c>
      <c r="R52" s="6">
        <f>'Raw Historical Financials'!O47</f>
        <v>5760</v>
      </c>
      <c r="S52" s="6">
        <f>'Raw Historical Financials'!P47</f>
        <v>7005</v>
      </c>
      <c r="T52" s="6">
        <f>'Raw Historical Financials'!Q47</f>
        <v>7036</v>
      </c>
      <c r="U52" s="6">
        <f>'Raw Historical Financials'!R47</f>
        <v>20115</v>
      </c>
      <c r="V52" s="6">
        <f>'Raw Historical Financials'!S47</f>
        <v>22148</v>
      </c>
      <c r="W52" s="6">
        <f>'Raw Historical Financials'!T47</f>
        <v>21127</v>
      </c>
      <c r="X52" s="6">
        <f>'Raw Historical Financials'!U47</f>
        <v>26764</v>
      </c>
      <c r="Y52" s="6">
        <f>'Raw Historical Financials'!V47</f>
        <v>30299</v>
      </c>
      <c r="Z52" s="6">
        <f>'Raw Historical Financials'!W47</f>
        <v>29559</v>
      </c>
      <c r="AA52" s="6">
        <f>'Raw Historical Financials'!X47</f>
        <v>30247</v>
      </c>
      <c r="AB52" s="6">
        <f>'Raw Historical Financials'!Y47</f>
        <v>33244</v>
      </c>
      <c r="AC52" s="6">
        <f>'Raw Historical Financials'!Z47</f>
        <v>31109.296999999999</v>
      </c>
      <c r="AE52" s="6">
        <f t="shared" si="173"/>
        <v>5074</v>
      </c>
      <c r="AF52" s="6">
        <f t="shared" si="174"/>
        <v>5992</v>
      </c>
      <c r="AG52" s="6">
        <f t="shared" si="175"/>
        <v>6242</v>
      </c>
      <c r="AH52" s="6">
        <f t="shared" si="176"/>
        <v>20115</v>
      </c>
      <c r="AI52" s="6">
        <f t="shared" si="177"/>
        <v>30299</v>
      </c>
      <c r="AJ52" s="6">
        <f t="shared" si="178"/>
        <v>31109.296999999999</v>
      </c>
    </row>
    <row r="53" spans="2:36" x14ac:dyDescent="0.25">
      <c r="B53" s="2" t="s">
        <v>91</v>
      </c>
      <c r="F53" s="6">
        <f>'Raw Historical Financials'!C48</f>
        <v>388208</v>
      </c>
      <c r="G53" s="6">
        <f>'Raw Historical Financials'!D48</f>
        <v>410318</v>
      </c>
      <c r="H53" s="6">
        <f>'Raw Historical Financials'!E48</f>
        <v>480024</v>
      </c>
      <c r="I53" s="6">
        <f>'Raw Historical Financials'!F48</f>
        <v>462525</v>
      </c>
      <c r="J53" s="6">
        <f>'Raw Historical Financials'!G48</f>
        <v>634309</v>
      </c>
      <c r="K53" s="6">
        <f>'Raw Historical Financials'!H48</f>
        <v>794049</v>
      </c>
      <c r="L53" s="6">
        <f>'Raw Historical Financials'!I48</f>
        <v>1065110</v>
      </c>
      <c r="M53" s="6">
        <f>'Raw Historical Financials'!J48</f>
        <v>1023488</v>
      </c>
      <c r="N53" s="6">
        <f>'Raw Historical Financials'!K48</f>
        <v>965939</v>
      </c>
      <c r="O53" s="6">
        <f>'Raw Historical Financials'!L48</f>
        <v>966207</v>
      </c>
      <c r="P53" s="6">
        <f>'Raw Historical Financials'!M48</f>
        <v>823969</v>
      </c>
      <c r="Q53" s="6">
        <f>'Raw Historical Financials'!N48</f>
        <v>1699885</v>
      </c>
      <c r="R53" s="6">
        <f>'Raw Historical Financials'!O48</f>
        <v>1524859</v>
      </c>
      <c r="S53" s="6">
        <f>'Raw Historical Financials'!P48</f>
        <v>1776752</v>
      </c>
      <c r="T53" s="6">
        <f>'Raw Historical Financials'!Q48</f>
        <v>1840464</v>
      </c>
      <c r="U53" s="6">
        <f>'Raw Historical Financials'!R48</f>
        <v>2786728</v>
      </c>
      <c r="V53" s="6">
        <f>'Raw Historical Financials'!S48</f>
        <v>2339133</v>
      </c>
      <c r="W53" s="6">
        <f>'Raw Historical Financials'!T48</f>
        <v>2694417</v>
      </c>
      <c r="X53" s="6">
        <f>'Raw Historical Financials'!U48</f>
        <v>3894462</v>
      </c>
      <c r="Y53" s="6">
        <f>'Raw Historical Financials'!V48</f>
        <v>3464563</v>
      </c>
      <c r="Z53" s="6">
        <f>'Raw Historical Financials'!W48</f>
        <v>3298570</v>
      </c>
      <c r="AA53" s="6">
        <f>'Raw Historical Financials'!X48</f>
        <v>4677349</v>
      </c>
      <c r="AB53" s="6">
        <f>'Raw Historical Financials'!Y48</f>
        <v>6363787</v>
      </c>
      <c r="AC53" s="6">
        <f>'Raw Historical Financials'!Z48</f>
        <v>5017670.5980000002</v>
      </c>
      <c r="AE53" s="6">
        <f t="shared" si="173"/>
        <v>462525</v>
      </c>
      <c r="AF53" s="6">
        <f t="shared" si="174"/>
        <v>1023488</v>
      </c>
      <c r="AG53" s="6">
        <f t="shared" si="175"/>
        <v>1699885</v>
      </c>
      <c r="AH53" s="6">
        <f t="shared" si="176"/>
        <v>2786728</v>
      </c>
      <c r="AI53" s="6">
        <f t="shared" si="177"/>
        <v>3464563</v>
      </c>
      <c r="AJ53" s="6">
        <f t="shared" si="178"/>
        <v>5017670.5980000002</v>
      </c>
    </row>
    <row r="54" spans="2:36" x14ac:dyDescent="0.25">
      <c r="B54" s="2" t="s">
        <v>26</v>
      </c>
      <c r="F54" s="6">
        <f>'Raw Historical Financials'!C49</f>
        <v>167975</v>
      </c>
      <c r="G54" s="6">
        <f>'Raw Historical Financials'!D49</f>
        <v>154854</v>
      </c>
      <c r="H54" s="6">
        <f>'Raw Historical Financials'!E49</f>
        <v>183156</v>
      </c>
      <c r="I54" s="6">
        <f>'Raw Historical Financials'!F49</f>
        <v>169866</v>
      </c>
      <c r="J54" s="6">
        <f>'Raw Historical Financials'!G49</f>
        <v>166788</v>
      </c>
      <c r="K54" s="6">
        <f>'Raw Historical Financials'!H49</f>
        <v>167680</v>
      </c>
      <c r="L54" s="6">
        <f>'Raw Historical Financials'!I49</f>
        <v>177552</v>
      </c>
      <c r="M54" s="6">
        <f>'Raw Historical Financials'!J49</f>
        <v>181642</v>
      </c>
      <c r="N54" s="6">
        <f>'Raw Historical Financials'!K49</f>
        <v>178922</v>
      </c>
      <c r="O54" s="6">
        <f>'Raw Historical Financials'!L49</f>
        <v>182088</v>
      </c>
      <c r="P54" s="6">
        <f>'Raw Historical Financials'!M49</f>
        <v>197442</v>
      </c>
      <c r="Q54" s="6">
        <f>'Raw Historical Financials'!N49</f>
        <v>553615</v>
      </c>
      <c r="R54" s="6">
        <f>'Raw Historical Financials'!O49</f>
        <v>550114</v>
      </c>
      <c r="S54" s="6">
        <f>'Raw Historical Financials'!P49</f>
        <v>580617</v>
      </c>
      <c r="T54" s="6">
        <f>'Raw Historical Financials'!Q49</f>
        <v>566144</v>
      </c>
      <c r="U54" s="6">
        <f>'Raw Historical Financials'!R49</f>
        <v>559232</v>
      </c>
      <c r="V54" s="6">
        <f>'Raw Historical Financials'!S49</f>
        <v>542949</v>
      </c>
      <c r="W54" s="6">
        <f>'Raw Historical Financials'!T49</f>
        <v>537294</v>
      </c>
      <c r="X54" s="6">
        <f>'Raw Historical Financials'!U49</f>
        <v>568602</v>
      </c>
      <c r="Y54" s="6">
        <f>'Raw Historical Financials'!V49</f>
        <v>552619</v>
      </c>
      <c r="Z54" s="6">
        <f>'Raw Historical Financials'!W49</f>
        <v>596405</v>
      </c>
      <c r="AA54" s="6">
        <f>'Raw Historical Financials'!X49</f>
        <v>588736</v>
      </c>
      <c r="AB54" s="6">
        <f>'Raw Historical Financials'!Y49</f>
        <v>583596</v>
      </c>
      <c r="AC54" s="6">
        <f>'Raw Historical Financials'!Z49</f>
        <v>568767.63699999999</v>
      </c>
      <c r="AE54" s="6">
        <f t="shared" si="173"/>
        <v>169866</v>
      </c>
      <c r="AF54" s="6">
        <f t="shared" si="174"/>
        <v>181642</v>
      </c>
      <c r="AG54" s="6">
        <f t="shared" si="175"/>
        <v>553615</v>
      </c>
      <c r="AH54" s="6">
        <f t="shared" si="176"/>
        <v>559232</v>
      </c>
      <c r="AI54" s="6">
        <f t="shared" si="177"/>
        <v>552619</v>
      </c>
      <c r="AJ54" s="6">
        <f t="shared" si="178"/>
        <v>568767.63699999999</v>
      </c>
    </row>
    <row r="55" spans="2:36" x14ac:dyDescent="0.25">
      <c r="B55" s="2" t="s">
        <v>64</v>
      </c>
      <c r="F55" s="6">
        <f>'Raw Historical Financials'!C50</f>
        <v>0</v>
      </c>
      <c r="G55" s="6">
        <f>'Raw Historical Financials'!D50</f>
        <v>28038</v>
      </c>
      <c r="H55" s="6">
        <f>'Raw Historical Financials'!E50</f>
        <v>0</v>
      </c>
      <c r="I55" s="6">
        <f>'Raw Historical Financials'!F50</f>
        <v>23875</v>
      </c>
      <c r="J55" s="6">
        <f>'Raw Historical Financials'!G50</f>
        <v>23875</v>
      </c>
      <c r="K55" s="6">
        <f>'Raw Historical Financials'!H50</f>
        <v>21537</v>
      </c>
      <c r="L55" s="6">
        <f>'Raw Historical Financials'!I50</f>
        <v>20337</v>
      </c>
      <c r="M55" s="6">
        <f>'Raw Historical Financials'!J50</f>
        <v>25921</v>
      </c>
      <c r="N55" s="6">
        <f>'Raw Historical Financials'!K50</f>
        <v>24529</v>
      </c>
      <c r="O55" s="6">
        <f>'Raw Historical Financials'!L50</f>
        <v>23574</v>
      </c>
      <c r="P55" s="6">
        <f>'Raw Historical Financials'!M50</f>
        <v>22629</v>
      </c>
      <c r="Q55" s="6">
        <f>'Raw Historical Financials'!N50</f>
        <v>19202</v>
      </c>
      <c r="R55" s="6">
        <f>'Raw Historical Financials'!O50</f>
        <v>23875</v>
      </c>
      <c r="S55" s="6">
        <f>'Raw Historical Financials'!P50</f>
        <v>23875</v>
      </c>
      <c r="T55" s="6">
        <f>'Raw Historical Financials'!Q50</f>
        <v>16369</v>
      </c>
      <c r="U55" s="6">
        <f>'Raw Historical Financials'!R50</f>
        <v>25014</v>
      </c>
      <c r="V55" s="6">
        <f>'Raw Historical Financials'!S50</f>
        <v>24352</v>
      </c>
      <c r="W55" s="6">
        <f>'Raw Historical Financials'!T50</f>
        <v>23739</v>
      </c>
      <c r="X55" s="6">
        <f>'Raw Historical Financials'!U50</f>
        <v>22177</v>
      </c>
      <c r="Y55" s="6">
        <f>'Raw Historical Financials'!V50</f>
        <v>25700</v>
      </c>
      <c r="Z55" s="6">
        <f>'Raw Historical Financials'!W50</f>
        <v>23459</v>
      </c>
      <c r="AA55" s="6">
        <f>'Raw Historical Financials'!X50</f>
        <v>22696</v>
      </c>
      <c r="AB55" s="6">
        <f>'Raw Historical Financials'!Y50</f>
        <v>22696</v>
      </c>
      <c r="AC55" s="6">
        <f>'Raw Historical Financials'!Z50</f>
        <v>39409.089999999997</v>
      </c>
      <c r="AE55" s="6">
        <f t="shared" si="173"/>
        <v>23875</v>
      </c>
      <c r="AF55" s="6">
        <f t="shared" si="174"/>
        <v>25921</v>
      </c>
      <c r="AG55" s="6">
        <f t="shared" si="175"/>
        <v>19202</v>
      </c>
      <c r="AH55" s="6">
        <f t="shared" si="176"/>
        <v>25014</v>
      </c>
      <c r="AI55" s="6">
        <f t="shared" si="177"/>
        <v>25700</v>
      </c>
      <c r="AJ55" s="6">
        <f t="shared" si="178"/>
        <v>39409.089999999997</v>
      </c>
    </row>
    <row r="56" spans="2:36" ht="11.4" thickBot="1" x14ac:dyDescent="0.3">
      <c r="B56" s="17" t="s">
        <v>27</v>
      </c>
      <c r="C56" s="17"/>
      <c r="D56" s="17"/>
      <c r="E56" s="18"/>
      <c r="F56" s="18">
        <f>SUM(F41:F55)</f>
        <v>2684183</v>
      </c>
      <c r="G56" s="18">
        <f>SUM(G41:G55)</f>
        <v>2789754</v>
      </c>
      <c r="H56" s="18">
        <f t="shared" ref="H56:AB56" si="179">SUM(H41:H55)</f>
        <v>3066082</v>
      </c>
      <c r="I56" s="18">
        <f t="shared" si="179"/>
        <v>3363147</v>
      </c>
      <c r="J56" s="18">
        <f t="shared" si="179"/>
        <v>3357871</v>
      </c>
      <c r="K56" s="18">
        <f t="shared" si="179"/>
        <v>3556409</v>
      </c>
      <c r="L56" s="18">
        <f t="shared" si="179"/>
        <v>4121032</v>
      </c>
      <c r="M56" s="18">
        <f t="shared" si="179"/>
        <v>4675000</v>
      </c>
      <c r="N56" s="18">
        <f t="shared" si="179"/>
        <v>4842319</v>
      </c>
      <c r="O56" s="18">
        <f t="shared" si="179"/>
        <v>5045435</v>
      </c>
      <c r="P56" s="18">
        <f t="shared" si="179"/>
        <v>6363982</v>
      </c>
      <c r="Q56" s="18">
        <f t="shared" si="179"/>
        <v>7428291</v>
      </c>
      <c r="R56" s="18">
        <f t="shared" si="179"/>
        <v>7486374</v>
      </c>
      <c r="S56" s="18">
        <f t="shared" si="179"/>
        <v>8358463</v>
      </c>
      <c r="T56" s="18">
        <f t="shared" si="179"/>
        <v>8653333</v>
      </c>
      <c r="U56" s="18">
        <f t="shared" si="179"/>
        <v>10466259</v>
      </c>
      <c r="V56" s="18">
        <f t="shared" si="179"/>
        <v>10529986</v>
      </c>
      <c r="W56" s="18">
        <f t="shared" si="179"/>
        <v>10987254</v>
      </c>
      <c r="X56" s="18">
        <f t="shared" si="179"/>
        <v>12264028</v>
      </c>
      <c r="Y56" s="18">
        <f t="shared" si="179"/>
        <v>13323325</v>
      </c>
      <c r="Z56" s="18">
        <f t="shared" si="179"/>
        <v>12389347</v>
      </c>
      <c r="AA56" s="18">
        <f t="shared" si="179"/>
        <v>14154226</v>
      </c>
      <c r="AB56" s="18">
        <f t="shared" si="179"/>
        <v>15656953</v>
      </c>
      <c r="AC56" s="18">
        <f t="shared" ref="AC56" si="180">SUM(AC41:AC55)</f>
        <v>19192991.557999998</v>
      </c>
      <c r="AE56" s="18">
        <f t="shared" ref="AE56" si="181">SUM(AE41:AE55)</f>
        <v>3363147</v>
      </c>
      <c r="AF56" s="18">
        <f t="shared" ref="AF56" si="182">SUM(AF41:AF55)</f>
        <v>4675000</v>
      </c>
      <c r="AG56" s="18">
        <f t="shared" ref="AG56" si="183">SUM(AG41:AG55)</f>
        <v>7428291</v>
      </c>
      <c r="AH56" s="18">
        <f t="shared" ref="AH56" si="184">SUM(AH41:AH55)</f>
        <v>10466259</v>
      </c>
      <c r="AI56" s="18">
        <f t="shared" ref="AI56" si="185">SUM(AI41:AI55)</f>
        <v>13323325</v>
      </c>
      <c r="AJ56" s="18">
        <f t="shared" ref="AJ56" si="186">SUM(AJ41:AJ55)</f>
        <v>19192991.557999998</v>
      </c>
    </row>
    <row r="58" spans="2:36" x14ac:dyDescent="0.25">
      <c r="B58" s="4" t="s">
        <v>31</v>
      </c>
    </row>
    <row r="59" spans="2:36" x14ac:dyDescent="0.25">
      <c r="B59" s="2" t="s">
        <v>28</v>
      </c>
      <c r="F59" s="6">
        <f>'Raw Historical Financials'!C54</f>
        <v>33762</v>
      </c>
      <c r="G59" s="6">
        <f>'Raw Historical Financials'!D54</f>
        <v>30684</v>
      </c>
      <c r="H59" s="6">
        <f>'Raw Historical Financials'!E54</f>
        <v>31354</v>
      </c>
      <c r="I59" s="6">
        <f>'Raw Historical Financials'!F54</f>
        <v>42370</v>
      </c>
      <c r="J59" s="6">
        <f>'Raw Historical Financials'!G54</f>
        <v>0</v>
      </c>
      <c r="K59" s="6">
        <f>'Raw Historical Financials'!H54</f>
        <v>28816</v>
      </c>
      <c r="L59" s="6">
        <f>'Raw Historical Financials'!I54</f>
        <v>10194</v>
      </c>
      <c r="M59" s="6">
        <f>'Raw Historical Financials'!J54</f>
        <v>88726</v>
      </c>
      <c r="N59" s="6">
        <f>'Raw Historical Financials'!K54</f>
        <v>59407</v>
      </c>
      <c r="O59" s="6">
        <f>'Raw Historical Financials'!L54</f>
        <v>96009</v>
      </c>
      <c r="P59" s="6">
        <f>'Raw Historical Financials'!M54</f>
        <v>893054</v>
      </c>
      <c r="Q59" s="6">
        <f>'Raw Historical Financials'!N54</f>
        <v>189415</v>
      </c>
      <c r="R59" s="6">
        <f>'Raw Historical Financials'!O54</f>
        <v>0</v>
      </c>
      <c r="S59" s="6">
        <f>'Raw Historical Financials'!P54</f>
        <v>0</v>
      </c>
      <c r="T59" s="6">
        <f>'Raw Historical Financials'!Q54</f>
        <v>0</v>
      </c>
      <c r="U59" s="6">
        <f>'Raw Historical Financials'!R54</f>
        <v>150377</v>
      </c>
      <c r="V59" s="6">
        <f>'Raw Historical Financials'!S54</f>
        <v>0</v>
      </c>
      <c r="W59" s="6">
        <f>'Raw Historical Financials'!T54</f>
        <v>0</v>
      </c>
      <c r="X59" s="6">
        <f>'Raw Historical Financials'!U54</f>
        <v>47571</v>
      </c>
      <c r="Y59" s="6">
        <f>'Raw Historical Financials'!V54</f>
        <v>0</v>
      </c>
      <c r="Z59" s="6">
        <f>'Raw Historical Financials'!W54</f>
        <v>0</v>
      </c>
      <c r="AA59" s="6">
        <f>'Raw Historical Financials'!X54</f>
        <v>0</v>
      </c>
      <c r="AB59" s="6">
        <f>'Raw Historical Financials'!Y54</f>
        <v>0</v>
      </c>
      <c r="AC59" s="6">
        <f>'Raw Historical Financials'!Z54</f>
        <v>0</v>
      </c>
      <c r="AE59" s="6">
        <f t="shared" ref="AE59:AE65" si="187">I59</f>
        <v>42370</v>
      </c>
      <c r="AF59" s="6">
        <f t="shared" ref="AF59:AF65" si="188">M59</f>
        <v>88726</v>
      </c>
      <c r="AG59" s="6">
        <f t="shared" ref="AG59:AG65" si="189">Q59</f>
        <v>189415</v>
      </c>
      <c r="AH59" s="6">
        <f t="shared" ref="AH59:AH65" si="190">U59</f>
        <v>150377</v>
      </c>
      <c r="AI59" s="6">
        <f t="shared" ref="AI59:AI65" si="191">Y59</f>
        <v>0</v>
      </c>
      <c r="AJ59" s="6">
        <f t="shared" ref="AJ59:AJ65" si="192">AC59</f>
        <v>0</v>
      </c>
    </row>
    <row r="60" spans="2:36" x14ac:dyDescent="0.25">
      <c r="B60" s="2" t="s">
        <v>29</v>
      </c>
      <c r="F60" s="6">
        <f>'Raw Historical Financials'!C55</f>
        <v>2026215</v>
      </c>
      <c r="G60" s="6">
        <f>'Raw Historical Financials'!D55</f>
        <v>2098575</v>
      </c>
      <c r="H60" s="6">
        <f>'Raw Historical Financials'!E55</f>
        <v>2331723</v>
      </c>
      <c r="I60" s="6">
        <f>'Raw Historical Financials'!F55</f>
        <v>2649300</v>
      </c>
      <c r="J60" s="6">
        <f>'Raw Historical Financials'!G55</f>
        <v>2671829</v>
      </c>
      <c r="K60" s="6">
        <f>'Raw Historical Financials'!H55</f>
        <v>2828833</v>
      </c>
      <c r="L60" s="6">
        <f>'Raw Historical Financials'!I55</f>
        <v>3378721</v>
      </c>
      <c r="M60" s="6">
        <f>'Raw Historical Financials'!J55</f>
        <v>3772886</v>
      </c>
      <c r="N60" s="6">
        <f>'Raw Historical Financials'!K55</f>
        <v>3946225</v>
      </c>
      <c r="O60" s="6">
        <f>'Raw Historical Financials'!L55</f>
        <v>4095234</v>
      </c>
      <c r="P60" s="6">
        <f>'Raw Historical Financials'!M55</f>
        <v>4600430</v>
      </c>
      <c r="Q60" s="6">
        <f>'Raw Historical Financials'!N55</f>
        <v>6119100</v>
      </c>
      <c r="R60" s="6">
        <f>'Raw Historical Financials'!O55</f>
        <v>6284012</v>
      </c>
      <c r="S60" s="6">
        <f>'Raw Historical Financials'!P55</f>
        <v>7171690</v>
      </c>
      <c r="T60" s="6">
        <f>'Raw Historical Financials'!Q55</f>
        <v>7438764</v>
      </c>
      <c r="U60" s="6">
        <f>'Raw Historical Financials'!R55</f>
        <v>8972969</v>
      </c>
      <c r="V60" s="6">
        <f>'Raw Historical Financials'!S55</f>
        <v>9113288</v>
      </c>
      <c r="W60" s="6">
        <f>'Raw Historical Financials'!T55</f>
        <v>9597536</v>
      </c>
      <c r="X60" s="6">
        <f>'Raw Historical Financials'!U55</f>
        <v>10697303</v>
      </c>
      <c r="Y60" s="6">
        <f>'Raw Historical Financials'!V55</f>
        <v>11611039</v>
      </c>
      <c r="Z60" s="6">
        <f>'Raw Historical Financials'!W55</f>
        <v>10600590</v>
      </c>
      <c r="AA60" s="6">
        <f>'Raw Historical Financials'!X55</f>
        <v>12439255</v>
      </c>
      <c r="AB60" s="6">
        <f>'Raw Historical Financials'!Y55</f>
        <v>13833495</v>
      </c>
      <c r="AC60" s="6">
        <f>'Raw Historical Financials'!Z55</f>
        <v>16642449.622</v>
      </c>
      <c r="AE60" s="6">
        <f t="shared" si="187"/>
        <v>2649300</v>
      </c>
      <c r="AF60" s="6">
        <f t="shared" si="188"/>
        <v>3772886</v>
      </c>
      <c r="AG60" s="6">
        <f t="shared" si="189"/>
        <v>6119100</v>
      </c>
      <c r="AH60" s="6">
        <f t="shared" si="190"/>
        <v>8972969</v>
      </c>
      <c r="AI60" s="6">
        <f t="shared" si="191"/>
        <v>11611039</v>
      </c>
      <c r="AJ60" s="6">
        <f t="shared" si="192"/>
        <v>16642449.622</v>
      </c>
    </row>
    <row r="61" spans="2:36" x14ac:dyDescent="0.25">
      <c r="B61" s="2" t="s">
        <v>30</v>
      </c>
      <c r="F61" s="6">
        <f>'Raw Historical Financials'!C56</f>
        <v>1023</v>
      </c>
      <c r="G61" s="6">
        <f>'Raw Historical Financials'!D56</f>
        <v>5518</v>
      </c>
      <c r="H61" s="6">
        <f>'Raw Historical Financials'!E56</f>
        <v>6477</v>
      </c>
      <c r="I61" s="6">
        <f>'Raw Historical Financials'!F56</f>
        <v>0</v>
      </c>
      <c r="J61" s="6">
        <f>'Raw Historical Financials'!G56</f>
        <v>0</v>
      </c>
      <c r="K61" s="6">
        <f>'Raw Historical Financials'!H56</f>
        <v>0</v>
      </c>
      <c r="L61" s="6">
        <f>'Raw Historical Financials'!I56</f>
        <v>0</v>
      </c>
      <c r="M61" s="6">
        <f>'Raw Historical Financials'!J56</f>
        <v>0</v>
      </c>
      <c r="N61" s="6">
        <f>'Raw Historical Financials'!K56</f>
        <v>0</v>
      </c>
      <c r="O61" s="6">
        <f>'Raw Historical Financials'!L56</f>
        <v>0</v>
      </c>
      <c r="P61" s="6">
        <f>'Raw Historical Financials'!M56</f>
        <v>0</v>
      </c>
      <c r="Q61" s="6">
        <f>'Raw Historical Financials'!N56</f>
        <v>0</v>
      </c>
      <c r="R61" s="6">
        <f>'Raw Historical Financials'!O56</f>
        <v>1153</v>
      </c>
      <c r="S61" s="6">
        <f>'Raw Historical Financials'!P56</f>
        <v>2221</v>
      </c>
      <c r="T61" s="6">
        <f>'Raw Historical Financials'!Q56</f>
        <v>12162</v>
      </c>
      <c r="U61" s="6">
        <f>'Raw Historical Financials'!R56</f>
        <v>0</v>
      </c>
      <c r="V61" s="6">
        <f>'Raw Historical Financials'!S56</f>
        <v>0</v>
      </c>
      <c r="W61" s="6">
        <f>'Raw Historical Financials'!T56</f>
        <v>0</v>
      </c>
      <c r="X61" s="6">
        <f>'Raw Historical Financials'!U56</f>
        <v>0</v>
      </c>
      <c r="Y61" s="6">
        <f>'Raw Historical Financials'!V56</f>
        <v>0</v>
      </c>
      <c r="Z61" s="6">
        <f>'Raw Historical Financials'!W56</f>
        <v>0</v>
      </c>
      <c r="AA61" s="6">
        <f>'Raw Historical Financials'!X56</f>
        <v>0</v>
      </c>
      <c r="AB61" s="6">
        <f>'Raw Historical Financials'!Y56</f>
        <v>0</v>
      </c>
      <c r="AC61" s="6">
        <f>'Raw Historical Financials'!Z56</f>
        <v>0</v>
      </c>
      <c r="AE61" s="6">
        <f t="shared" si="187"/>
        <v>0</v>
      </c>
      <c r="AF61" s="6">
        <f t="shared" si="188"/>
        <v>0</v>
      </c>
      <c r="AG61" s="6">
        <f t="shared" si="189"/>
        <v>0</v>
      </c>
      <c r="AH61" s="6">
        <f t="shared" si="190"/>
        <v>0</v>
      </c>
      <c r="AI61" s="6">
        <f t="shared" si="191"/>
        <v>0</v>
      </c>
      <c r="AJ61" s="6">
        <f t="shared" si="192"/>
        <v>0</v>
      </c>
    </row>
    <row r="62" spans="2:36" x14ac:dyDescent="0.25">
      <c r="B62" s="2" t="str">
        <f>'Raw Historical Financials'!B57</f>
        <v>National Fiscal Stability Levy Liability</v>
      </c>
      <c r="F62" s="6">
        <f>'Raw Historical Financials'!C57</f>
        <v>0</v>
      </c>
      <c r="G62" s="6">
        <f>'Raw Historical Financials'!D57</f>
        <v>0</v>
      </c>
      <c r="H62" s="6">
        <f>'Raw Historical Financials'!E57</f>
        <v>0</v>
      </c>
      <c r="I62" s="6">
        <f>'Raw Historical Financials'!F57</f>
        <v>0</v>
      </c>
      <c r="J62" s="6">
        <f>'Raw Historical Financials'!G57</f>
        <v>0</v>
      </c>
      <c r="K62" s="6">
        <f>'Raw Historical Financials'!H57</f>
        <v>0</v>
      </c>
      <c r="L62" s="6">
        <f>'Raw Historical Financials'!I57</f>
        <v>0</v>
      </c>
      <c r="M62" s="6">
        <f>'Raw Historical Financials'!J57</f>
        <v>0</v>
      </c>
      <c r="N62" s="6">
        <f>'Raw Historical Financials'!K57</f>
        <v>0</v>
      </c>
      <c r="O62" s="6">
        <f>'Raw Historical Financials'!L57</f>
        <v>0</v>
      </c>
      <c r="P62" s="6">
        <f>'Raw Historical Financials'!M57</f>
        <v>0</v>
      </c>
      <c r="Q62" s="6">
        <f>'Raw Historical Financials'!N57</f>
        <v>0</v>
      </c>
      <c r="R62" s="6">
        <f>'Raw Historical Financials'!O57</f>
        <v>0</v>
      </c>
      <c r="S62" s="6">
        <f>'Raw Historical Financials'!P57</f>
        <v>0</v>
      </c>
      <c r="T62" s="6">
        <f>'Raw Historical Financials'!Q57</f>
        <v>0</v>
      </c>
      <c r="U62" s="6">
        <f>'Raw Historical Financials'!R57</f>
        <v>0</v>
      </c>
      <c r="V62" s="6">
        <f>'Raw Historical Financials'!S57</f>
        <v>0</v>
      </c>
      <c r="W62" s="6">
        <f>'Raw Historical Financials'!T57</f>
        <v>0</v>
      </c>
      <c r="X62" s="6">
        <f>'Raw Historical Financials'!U57</f>
        <v>0</v>
      </c>
      <c r="Y62" s="6">
        <f>'Raw Historical Financials'!V57</f>
        <v>0</v>
      </c>
      <c r="Z62" s="6">
        <f>'Raw Historical Financials'!W57</f>
        <v>0</v>
      </c>
      <c r="AA62" s="6">
        <f>'Raw Historical Financials'!X57</f>
        <v>0</v>
      </c>
      <c r="AB62" s="6">
        <f>'Raw Historical Financials'!Y57</f>
        <v>0</v>
      </c>
      <c r="AC62" s="6">
        <f>'Raw Historical Financials'!Z57</f>
        <v>8491.3430000000008</v>
      </c>
      <c r="AE62" s="6">
        <f t="shared" ref="AE62" si="193">I62</f>
        <v>0</v>
      </c>
      <c r="AF62" s="6">
        <f t="shared" ref="AF62" si="194">M62</f>
        <v>0</v>
      </c>
      <c r="AG62" s="6">
        <f t="shared" ref="AG62" si="195">Q62</f>
        <v>0</v>
      </c>
      <c r="AH62" s="6">
        <f t="shared" ref="AH62" si="196">U62</f>
        <v>0</v>
      </c>
      <c r="AI62" s="6">
        <f t="shared" ref="AI62" si="197">Y62</f>
        <v>0</v>
      </c>
      <c r="AJ62" s="6">
        <f t="shared" ref="AJ62" si="198">AC62</f>
        <v>8491.3430000000008</v>
      </c>
    </row>
    <row r="63" spans="2:36" x14ac:dyDescent="0.25">
      <c r="B63" s="2" t="s">
        <v>32</v>
      </c>
      <c r="F63" s="6">
        <f>'Raw Historical Financials'!C58</f>
        <v>17828</v>
      </c>
      <c r="G63" s="6">
        <f>'Raw Historical Financials'!D58</f>
        <v>18214</v>
      </c>
      <c r="H63" s="6">
        <f>'Raw Historical Financials'!E58</f>
        <v>16086</v>
      </c>
      <c r="I63" s="6">
        <f>'Raw Historical Financials'!F58</f>
        <v>10250</v>
      </c>
      <c r="J63" s="6">
        <f>'Raw Historical Financials'!G58</f>
        <v>10250</v>
      </c>
      <c r="K63" s="6">
        <f>'Raw Historical Financials'!H58</f>
        <v>10250</v>
      </c>
      <c r="L63" s="6">
        <f>'Raw Historical Financials'!I58</f>
        <v>10250</v>
      </c>
      <c r="M63" s="6">
        <f>'Raw Historical Financials'!J58</f>
        <v>11219</v>
      </c>
      <c r="N63" s="6">
        <f>'Raw Historical Financials'!K58</f>
        <v>11219</v>
      </c>
      <c r="O63" s="6">
        <f>'Raw Historical Financials'!L58</f>
        <v>11219</v>
      </c>
      <c r="P63" s="6">
        <f>'Raw Historical Financials'!M58</f>
        <v>11219</v>
      </c>
      <c r="Q63" s="6">
        <f>'Raw Historical Financials'!N58</f>
        <v>55272</v>
      </c>
      <c r="R63" s="6">
        <f>'Raw Historical Financials'!O58</f>
        <v>55272</v>
      </c>
      <c r="S63" s="6">
        <f>'Raw Historical Financials'!P58</f>
        <v>55272</v>
      </c>
      <c r="T63" s="6">
        <f>'Raw Historical Financials'!Q58</f>
        <v>55272</v>
      </c>
      <c r="U63" s="6">
        <f>'Raw Historical Financials'!R58</f>
        <v>0</v>
      </c>
      <c r="V63" s="6">
        <f>'Raw Historical Financials'!S58</f>
        <v>0</v>
      </c>
      <c r="W63" s="6">
        <f>'Raw Historical Financials'!T58</f>
        <v>0</v>
      </c>
      <c r="X63" s="6">
        <f>'Raw Historical Financials'!U58</f>
        <v>0</v>
      </c>
      <c r="Y63" s="6">
        <f>'Raw Historical Financials'!V58</f>
        <v>0</v>
      </c>
      <c r="Z63" s="6">
        <f>'Raw Historical Financials'!W58</f>
        <v>0</v>
      </c>
      <c r="AA63" s="6">
        <f>'Raw Historical Financials'!X58</f>
        <v>0</v>
      </c>
      <c r="AB63" s="6">
        <f>'Raw Historical Financials'!Y58</f>
        <v>0</v>
      </c>
      <c r="AC63" s="6">
        <f>'Raw Historical Financials'!Z58</f>
        <v>173127.59</v>
      </c>
      <c r="AE63" s="6">
        <f t="shared" si="187"/>
        <v>10250</v>
      </c>
      <c r="AF63" s="6">
        <f t="shared" si="188"/>
        <v>11219</v>
      </c>
      <c r="AG63" s="6">
        <f t="shared" si="189"/>
        <v>55272</v>
      </c>
      <c r="AH63" s="6">
        <f t="shared" si="190"/>
        <v>0</v>
      </c>
      <c r="AI63" s="6">
        <f t="shared" si="191"/>
        <v>0</v>
      </c>
      <c r="AJ63" s="6">
        <f t="shared" si="192"/>
        <v>173127.59</v>
      </c>
    </row>
    <row r="64" spans="2:36" x14ac:dyDescent="0.25">
      <c r="B64" s="2" t="s">
        <v>33</v>
      </c>
      <c r="F64" s="6">
        <f>'Raw Historical Financials'!C59</f>
        <v>41298</v>
      </c>
      <c r="G64" s="6">
        <f>'Raw Historical Financials'!D59</f>
        <v>50261</v>
      </c>
      <c r="H64" s="6">
        <f>'Raw Historical Financials'!E59</f>
        <v>104226</v>
      </c>
      <c r="I64" s="6">
        <f>'Raw Historical Financials'!F59</f>
        <v>42315</v>
      </c>
      <c r="J64" s="6">
        <f>'Raw Historical Financials'!G59</f>
        <v>35113</v>
      </c>
      <c r="K64" s="6">
        <f>'Raw Historical Financials'!H59</f>
        <v>24326</v>
      </c>
      <c r="L64" s="6">
        <f>'Raw Historical Financials'!I59</f>
        <v>22564</v>
      </c>
      <c r="M64" s="6">
        <f>'Raw Historical Financials'!J59</f>
        <v>68609</v>
      </c>
      <c r="N64" s="6">
        <f>'Raw Historical Financials'!K59</f>
        <v>61013</v>
      </c>
      <c r="O64" s="6">
        <f>'Raw Historical Financials'!L59</f>
        <v>59534</v>
      </c>
      <c r="P64" s="6">
        <f>'Raw Historical Financials'!M59</f>
        <v>60894</v>
      </c>
      <c r="Q64" s="6">
        <f>'Raw Historical Financials'!N59</f>
        <v>81908</v>
      </c>
      <c r="R64" s="6">
        <f>'Raw Historical Financials'!O59</f>
        <v>110861</v>
      </c>
      <c r="S64" s="6">
        <f>'Raw Historical Financials'!P59</f>
        <v>55875</v>
      </c>
      <c r="T64" s="6">
        <f>'Raw Historical Financials'!Q59</f>
        <v>38269</v>
      </c>
      <c r="U64" s="6">
        <f>'Raw Historical Financials'!R59</f>
        <v>71129</v>
      </c>
      <c r="V64" s="6">
        <f>'Raw Historical Financials'!S59</f>
        <v>89805</v>
      </c>
      <c r="W64" s="6">
        <f>'Raw Historical Financials'!T59</f>
        <v>7705</v>
      </c>
      <c r="X64" s="6">
        <f>'Raw Historical Financials'!U59</f>
        <v>122735</v>
      </c>
      <c r="Y64" s="6">
        <f>'Raw Historical Financials'!V59</f>
        <v>91644</v>
      </c>
      <c r="Z64" s="6">
        <f>'Raw Historical Financials'!W59</f>
        <v>92452</v>
      </c>
      <c r="AA64" s="6">
        <f>'Raw Historical Financials'!X59</f>
        <v>29986</v>
      </c>
      <c r="AB64" s="6">
        <f>'Raw Historical Financials'!Y59</f>
        <v>23750</v>
      </c>
      <c r="AC64" s="6">
        <f>'Raw Historical Financials'!Z59</f>
        <v>121687.18799999999</v>
      </c>
      <c r="AE64" s="6">
        <f t="shared" si="187"/>
        <v>42315</v>
      </c>
      <c r="AF64" s="6">
        <f t="shared" si="188"/>
        <v>68609</v>
      </c>
      <c r="AG64" s="6">
        <f t="shared" si="189"/>
        <v>81908</v>
      </c>
      <c r="AH64" s="6">
        <f t="shared" si="190"/>
        <v>71129</v>
      </c>
      <c r="AI64" s="6">
        <f t="shared" si="191"/>
        <v>91644</v>
      </c>
      <c r="AJ64" s="6">
        <f t="shared" si="192"/>
        <v>121687.18799999999</v>
      </c>
    </row>
    <row r="65" spans="2:36" x14ac:dyDescent="0.25">
      <c r="B65" s="2" t="s">
        <v>65</v>
      </c>
      <c r="F65" s="6">
        <f>'Raw Historical Financials'!C60</f>
        <v>0</v>
      </c>
      <c r="G65" s="6">
        <f>'Raw Historical Financials'!D60</f>
        <v>22885</v>
      </c>
      <c r="H65" s="6">
        <f>'Raw Historical Financials'!E60</f>
        <v>0</v>
      </c>
      <c r="I65" s="6">
        <f>'Raw Historical Financials'!F60</f>
        <v>20125</v>
      </c>
      <c r="J65" s="6">
        <f>'Raw Historical Financials'!G60</f>
        <v>20125</v>
      </c>
      <c r="K65" s="6">
        <f>'Raw Historical Financials'!H60</f>
        <v>18860</v>
      </c>
      <c r="L65" s="6">
        <f>'Raw Historical Financials'!I60</f>
        <v>17277</v>
      </c>
      <c r="M65" s="6">
        <f>'Raw Historical Financials'!J60</f>
        <v>18415</v>
      </c>
      <c r="N65" s="6">
        <f>'Raw Historical Financials'!K60</f>
        <v>18938</v>
      </c>
      <c r="O65" s="6">
        <f>'Raw Historical Financials'!L60</f>
        <v>18207</v>
      </c>
      <c r="P65" s="6">
        <f>'Raw Historical Financials'!M60</f>
        <v>18799</v>
      </c>
      <c r="Q65" s="6">
        <f>'Raw Historical Financials'!N60</f>
        <v>13343</v>
      </c>
      <c r="R65" s="6">
        <f>'Raw Historical Financials'!O60</f>
        <v>20125</v>
      </c>
      <c r="S65" s="6">
        <f>'Raw Historical Financials'!P60</f>
        <v>11309</v>
      </c>
      <c r="T65" s="6">
        <f>'Raw Historical Financials'!Q60</f>
        <v>8651</v>
      </c>
      <c r="U65" s="6">
        <f>'Raw Historical Financials'!R60</f>
        <v>11629</v>
      </c>
      <c r="V65" s="6">
        <f>'Raw Historical Financials'!S60</f>
        <v>8836</v>
      </c>
      <c r="W65" s="6">
        <f>'Raw Historical Financials'!T60</f>
        <v>9580</v>
      </c>
      <c r="X65" s="6">
        <f>'Raw Historical Financials'!U60</f>
        <v>2573</v>
      </c>
      <c r="Y65" s="6">
        <f>'Raw Historical Financials'!V60</f>
        <v>23808</v>
      </c>
      <c r="Z65" s="6">
        <f>'Raw Historical Financials'!W60</f>
        <v>20954</v>
      </c>
      <c r="AA65" s="6">
        <f>'Raw Historical Financials'!X60</f>
        <v>22156</v>
      </c>
      <c r="AB65" s="6">
        <f>'Raw Historical Financials'!Y60</f>
        <v>25116</v>
      </c>
      <c r="AC65" s="6">
        <f>'Raw Historical Financials'!Z60</f>
        <v>38841.150999999998</v>
      </c>
      <c r="AE65" s="6">
        <f t="shared" si="187"/>
        <v>20125</v>
      </c>
      <c r="AF65" s="6">
        <f t="shared" si="188"/>
        <v>18415</v>
      </c>
      <c r="AG65" s="6">
        <f t="shared" si="189"/>
        <v>13343</v>
      </c>
      <c r="AH65" s="6">
        <f t="shared" si="190"/>
        <v>11629</v>
      </c>
      <c r="AI65" s="6">
        <f t="shared" si="191"/>
        <v>23808</v>
      </c>
      <c r="AJ65" s="6">
        <f t="shared" si="192"/>
        <v>38841.150999999998</v>
      </c>
    </row>
    <row r="66" spans="2:36" x14ac:dyDescent="0.25">
      <c r="B66" s="8" t="s">
        <v>34</v>
      </c>
      <c r="C66" s="8"/>
      <c r="D66" s="8"/>
      <c r="E66" s="16"/>
      <c r="F66" s="16">
        <f>SUM(F59:F65)</f>
        <v>2120126</v>
      </c>
      <c r="G66" s="16">
        <f t="shared" ref="G66:AB66" si="199">SUM(G59:G65)</f>
        <v>2226137</v>
      </c>
      <c r="H66" s="16">
        <f t="shared" si="199"/>
        <v>2489866</v>
      </c>
      <c r="I66" s="16">
        <f t="shared" si="199"/>
        <v>2764360</v>
      </c>
      <c r="J66" s="16">
        <f t="shared" si="199"/>
        <v>2737317</v>
      </c>
      <c r="K66" s="16">
        <f t="shared" si="199"/>
        <v>2911085</v>
      </c>
      <c r="L66" s="16">
        <f t="shared" si="199"/>
        <v>3439006</v>
      </c>
      <c r="M66" s="16">
        <f t="shared" si="199"/>
        <v>3959855</v>
      </c>
      <c r="N66" s="16">
        <f t="shared" si="199"/>
        <v>4096802</v>
      </c>
      <c r="O66" s="16">
        <f t="shared" si="199"/>
        <v>4280203</v>
      </c>
      <c r="P66" s="16">
        <f t="shared" si="199"/>
        <v>5584396</v>
      </c>
      <c r="Q66" s="16">
        <f t="shared" si="199"/>
        <v>6459038</v>
      </c>
      <c r="R66" s="16">
        <f t="shared" si="199"/>
        <v>6471423</v>
      </c>
      <c r="S66" s="16">
        <f t="shared" si="199"/>
        <v>7296367</v>
      </c>
      <c r="T66" s="16">
        <f t="shared" si="199"/>
        <v>7553118</v>
      </c>
      <c r="U66" s="16">
        <f t="shared" si="199"/>
        <v>9206104</v>
      </c>
      <c r="V66" s="16">
        <f t="shared" si="199"/>
        <v>9211929</v>
      </c>
      <c r="W66" s="16">
        <f t="shared" si="199"/>
        <v>9614821</v>
      </c>
      <c r="X66" s="16">
        <f t="shared" si="199"/>
        <v>10870182</v>
      </c>
      <c r="Y66" s="16">
        <f t="shared" si="199"/>
        <v>11726491</v>
      </c>
      <c r="Z66" s="16">
        <f t="shared" si="199"/>
        <v>10713996</v>
      </c>
      <c r="AA66" s="16">
        <f t="shared" si="199"/>
        <v>12491397</v>
      </c>
      <c r="AB66" s="16">
        <f t="shared" si="199"/>
        <v>13882361</v>
      </c>
      <c r="AC66" s="16">
        <f t="shared" ref="AC66" si="200">SUM(AC59:AC65)</f>
        <v>16984596.894000001</v>
      </c>
      <c r="AE66" s="16">
        <f t="shared" ref="AE66" si="201">SUM(AE59:AE65)</f>
        <v>2764360</v>
      </c>
      <c r="AF66" s="16">
        <f t="shared" ref="AF66" si="202">SUM(AF59:AF65)</f>
        <v>3959855</v>
      </c>
      <c r="AG66" s="16">
        <f t="shared" ref="AG66" si="203">SUM(AG59:AG65)</f>
        <v>6459038</v>
      </c>
      <c r="AH66" s="16">
        <f t="shared" ref="AH66" si="204">SUM(AH59:AH65)</f>
        <v>9206104</v>
      </c>
      <c r="AI66" s="16">
        <f t="shared" ref="AI66" si="205">SUM(AI59:AI65)</f>
        <v>11726491</v>
      </c>
      <c r="AJ66" s="16">
        <f t="shared" ref="AJ66" si="206">SUM(AJ59:AJ65)</f>
        <v>16984596.894000001</v>
      </c>
    </row>
    <row r="68" spans="2:36" x14ac:dyDescent="0.25">
      <c r="B68" s="4" t="s">
        <v>35</v>
      </c>
    </row>
    <row r="69" spans="2:36" x14ac:dyDescent="0.25">
      <c r="B69" s="2" t="s">
        <v>36</v>
      </c>
      <c r="F69" s="6">
        <f>'Raw Historical Financials'!C64</f>
        <v>403745</v>
      </c>
      <c r="G69" s="6">
        <f>'Raw Historical Financials'!D64</f>
        <v>403745</v>
      </c>
      <c r="H69" s="6">
        <f>'Raw Historical Financials'!E64</f>
        <v>403745</v>
      </c>
      <c r="I69" s="6">
        <f>'Raw Historical Financials'!F64</f>
        <v>404570</v>
      </c>
      <c r="J69" s="6">
        <f>'Raw Historical Financials'!G64</f>
        <v>404570</v>
      </c>
      <c r="K69" s="6">
        <f>'Raw Historical Financials'!H64</f>
        <v>404570</v>
      </c>
      <c r="L69" s="6">
        <f>'Raw Historical Financials'!I64</f>
        <v>404570</v>
      </c>
      <c r="M69" s="6">
        <f>'Raw Historical Financials'!J64</f>
        <v>404570</v>
      </c>
      <c r="N69" s="6">
        <f>'Raw Historical Financials'!K64</f>
        <v>404570</v>
      </c>
      <c r="O69" s="6">
        <f>'Raw Historical Financials'!L64</f>
        <v>404570</v>
      </c>
      <c r="P69" s="6">
        <f>'Raw Historical Financials'!M64</f>
        <v>404570</v>
      </c>
      <c r="Q69" s="6">
        <f>'Raw Historical Financials'!N64</f>
        <v>404570</v>
      </c>
      <c r="R69" s="6">
        <f>'Raw Historical Financials'!O64</f>
        <v>404570</v>
      </c>
      <c r="S69" s="6">
        <f>'Raw Historical Financials'!P64</f>
        <v>404570</v>
      </c>
      <c r="T69" s="6">
        <f>'Raw Historical Financials'!Q64</f>
        <v>404570</v>
      </c>
      <c r="U69" s="6">
        <f>'Raw Historical Financials'!R64</f>
        <v>404570</v>
      </c>
      <c r="V69" s="6">
        <f>'Raw Historical Financials'!S64</f>
        <v>404570</v>
      </c>
      <c r="W69" s="6">
        <f>'Raw Historical Financials'!T64</f>
        <v>404570</v>
      </c>
      <c r="X69" s="6">
        <f>'Raw Historical Financials'!U64</f>
        <v>404570</v>
      </c>
      <c r="Y69" s="6">
        <f>'Raw Historical Financials'!V64</f>
        <v>404570</v>
      </c>
      <c r="Z69" s="6">
        <f>'Raw Historical Financials'!W64</f>
        <v>404570</v>
      </c>
      <c r="AA69" s="6">
        <f>'Raw Historical Financials'!X64</f>
        <v>520263</v>
      </c>
      <c r="AB69" s="6">
        <f>'Raw Historical Financials'!Y64</f>
        <v>521733</v>
      </c>
      <c r="AC69" s="6">
        <f>'Raw Historical Financials'!Z64</f>
        <v>726051.152</v>
      </c>
      <c r="AE69" s="6">
        <f t="shared" ref="AE69:AE75" si="207">I69</f>
        <v>404570</v>
      </c>
      <c r="AF69" s="6">
        <f t="shared" ref="AF69:AF75" si="208">M69</f>
        <v>404570</v>
      </c>
      <c r="AG69" s="6">
        <f t="shared" ref="AG69:AG75" si="209">Q69</f>
        <v>404570</v>
      </c>
      <c r="AH69" s="6">
        <f t="shared" ref="AH69:AH75" si="210">U69</f>
        <v>404570</v>
      </c>
      <c r="AI69" s="6">
        <f t="shared" ref="AI69:AI75" si="211">Y69</f>
        <v>404570</v>
      </c>
      <c r="AJ69" s="6">
        <f t="shared" ref="AJ69:AJ75" si="212">AC69</f>
        <v>726051.152</v>
      </c>
    </row>
    <row r="70" spans="2:36" x14ac:dyDescent="0.25">
      <c r="B70" s="2" t="s">
        <v>199</v>
      </c>
      <c r="F70" s="6">
        <f>'Raw Historical Financials'!C65</f>
        <v>26541</v>
      </c>
      <c r="G70" s="6">
        <f>'Raw Historical Financials'!D65</f>
        <v>27975</v>
      </c>
      <c r="H70" s="6">
        <f>'Raw Historical Financials'!E65</f>
        <v>48135</v>
      </c>
      <c r="I70" s="6">
        <f>'Raw Historical Financials'!F65</f>
        <v>-12456</v>
      </c>
      <c r="J70" s="6">
        <f>'Raw Historical Financials'!G65</f>
        <v>17131</v>
      </c>
      <c r="K70" s="6">
        <f>'Raw Historical Financials'!H65</f>
        <v>36254</v>
      </c>
      <c r="L70" s="6">
        <f>'Raw Historical Financials'!I65</f>
        <v>81799</v>
      </c>
      <c r="M70" s="6">
        <f>'Raw Historical Financials'!J65</f>
        <v>44625</v>
      </c>
      <c r="N70" s="6">
        <f>'Raw Historical Financials'!K65</f>
        <v>79748</v>
      </c>
      <c r="O70" s="6">
        <f>'Raw Historical Financials'!L65</f>
        <v>101387</v>
      </c>
      <c r="P70" s="6">
        <f>'Raw Historical Financials'!M65</f>
        <v>104955</v>
      </c>
      <c r="Q70" s="6">
        <f>'Raw Historical Financials'!N65</f>
        <v>35689</v>
      </c>
      <c r="R70" s="6">
        <f>'Raw Historical Financials'!O65</f>
        <v>79689</v>
      </c>
      <c r="S70" s="6">
        <f>'Raw Historical Financials'!P65</f>
        <v>100645</v>
      </c>
      <c r="T70" s="6">
        <f>'Raw Historical Financials'!Q65</f>
        <v>155697</v>
      </c>
      <c r="U70" s="6">
        <f>'Raw Historical Financials'!R65</f>
        <v>87941</v>
      </c>
      <c r="V70" s="6">
        <f>'Raw Historical Financials'!S65</f>
        <v>118379</v>
      </c>
      <c r="W70" s="6">
        <f>'Raw Historical Financials'!T65</f>
        <v>184572</v>
      </c>
      <c r="X70" s="6">
        <f>'Raw Historical Financials'!U65</f>
        <v>226880</v>
      </c>
      <c r="Y70" s="6">
        <f>'Raw Historical Financials'!V65</f>
        <v>291090</v>
      </c>
      <c r="Z70" s="6">
        <f>'Raw Historical Financials'!W65</f>
        <v>368840</v>
      </c>
      <c r="AA70" s="6">
        <f>'Raw Historical Financials'!X65</f>
        <v>247837</v>
      </c>
      <c r="AB70" s="6">
        <f>'Raw Historical Financials'!Y65</f>
        <v>354517</v>
      </c>
      <c r="AC70" s="6">
        <f>'Raw Historical Financials'!Z65</f>
        <v>454973.94699999999</v>
      </c>
      <c r="AE70" s="6">
        <f t="shared" si="207"/>
        <v>-12456</v>
      </c>
      <c r="AF70" s="6">
        <f t="shared" si="208"/>
        <v>44625</v>
      </c>
      <c r="AG70" s="6">
        <f t="shared" si="209"/>
        <v>35689</v>
      </c>
      <c r="AH70" s="6">
        <f t="shared" si="210"/>
        <v>87941</v>
      </c>
      <c r="AI70" s="6">
        <f t="shared" si="211"/>
        <v>291090</v>
      </c>
      <c r="AJ70" s="6">
        <f t="shared" si="212"/>
        <v>454973.94699999999</v>
      </c>
    </row>
    <row r="71" spans="2:36" x14ac:dyDescent="0.25">
      <c r="B71" s="2" t="s">
        <v>37</v>
      </c>
      <c r="F71" s="6">
        <f>'Raw Historical Financials'!C66</f>
        <v>50765</v>
      </c>
      <c r="G71" s="6">
        <f>'Raw Historical Financials'!D66</f>
        <v>50765</v>
      </c>
      <c r="H71" s="6">
        <f>'Raw Historical Financials'!E66</f>
        <v>50765</v>
      </c>
      <c r="I71" s="6">
        <f>'Raw Historical Financials'!F66</f>
        <v>56427</v>
      </c>
      <c r="J71" s="6">
        <f>'Raw Historical Financials'!G66</f>
        <v>56427</v>
      </c>
      <c r="K71" s="6">
        <f>'Raw Historical Financials'!H66</f>
        <v>56427</v>
      </c>
      <c r="L71" s="6">
        <f>'Raw Historical Financials'!I66</f>
        <v>56427</v>
      </c>
      <c r="M71" s="6">
        <f>'Raw Historical Financials'!J66</f>
        <v>56427</v>
      </c>
      <c r="N71" s="6">
        <f>'Raw Historical Financials'!K66</f>
        <v>56427</v>
      </c>
      <c r="O71" s="6">
        <f>'Raw Historical Financials'!L66</f>
        <v>56427</v>
      </c>
      <c r="P71" s="6">
        <f>'Raw Historical Financials'!M66</f>
        <v>56427</v>
      </c>
      <c r="Q71" s="6">
        <f>'Raw Historical Financials'!N66</f>
        <v>325693</v>
      </c>
      <c r="R71" s="6">
        <f>'Raw Historical Financials'!O66</f>
        <v>325693</v>
      </c>
      <c r="S71" s="6">
        <f>'Raw Historical Financials'!P66</f>
        <v>325693</v>
      </c>
      <c r="T71" s="6">
        <f>'Raw Historical Financials'!Q66</f>
        <v>325693</v>
      </c>
      <c r="U71" s="6">
        <f>'Raw Historical Financials'!R66</f>
        <v>325693</v>
      </c>
      <c r="V71" s="6">
        <f>'Raw Historical Financials'!S66</f>
        <v>325693</v>
      </c>
      <c r="W71" s="6">
        <f>'Raw Historical Financials'!T66</f>
        <v>325693</v>
      </c>
      <c r="X71" s="6">
        <f>'Raw Historical Financials'!U66</f>
        <v>325693</v>
      </c>
      <c r="Y71" s="6">
        <f>'Raw Historical Financials'!V66</f>
        <v>325693</v>
      </c>
      <c r="Z71" s="6">
        <f>'Raw Historical Financials'!W66</f>
        <v>325693</v>
      </c>
      <c r="AA71" s="6">
        <f>'Raw Historical Financials'!X66</f>
        <v>325693</v>
      </c>
      <c r="AB71" s="6">
        <f>'Raw Historical Financials'!Y66</f>
        <v>325693</v>
      </c>
      <c r="AC71" s="6">
        <f>'Raw Historical Financials'!Z66</f>
        <v>325693.41399999999</v>
      </c>
      <c r="AE71" s="6">
        <f t="shared" si="207"/>
        <v>56427</v>
      </c>
      <c r="AF71" s="6">
        <f t="shared" si="208"/>
        <v>56427</v>
      </c>
      <c r="AG71" s="6">
        <f t="shared" si="209"/>
        <v>325693</v>
      </c>
      <c r="AH71" s="6">
        <f t="shared" si="210"/>
        <v>325693</v>
      </c>
      <c r="AI71" s="6">
        <f t="shared" si="211"/>
        <v>325693</v>
      </c>
      <c r="AJ71" s="6">
        <f t="shared" si="212"/>
        <v>325693.41399999999</v>
      </c>
    </row>
    <row r="72" spans="2:36" x14ac:dyDescent="0.25">
      <c r="B72" s="2" t="str">
        <f>'Raw Historical Financials'!B67</f>
        <v>Non-Controlling interest</v>
      </c>
      <c r="F72" s="6">
        <f>'Raw Historical Financials'!C67</f>
        <v>0</v>
      </c>
      <c r="G72" s="6">
        <f>'Raw Historical Financials'!D67</f>
        <v>0</v>
      </c>
      <c r="H72" s="6">
        <f>'Raw Historical Financials'!E67</f>
        <v>0</v>
      </c>
      <c r="I72" s="6">
        <f>'Raw Historical Financials'!F67</f>
        <v>0</v>
      </c>
      <c r="J72" s="6">
        <f>'Raw Historical Financials'!G67</f>
        <v>0</v>
      </c>
      <c r="K72" s="6">
        <f>'Raw Historical Financials'!H67</f>
        <v>0</v>
      </c>
      <c r="L72" s="6">
        <f>'Raw Historical Financials'!I67</f>
        <v>0</v>
      </c>
      <c r="M72" s="6">
        <f>'Raw Historical Financials'!J67</f>
        <v>0</v>
      </c>
      <c r="N72" s="6">
        <f>'Raw Historical Financials'!K67</f>
        <v>0</v>
      </c>
      <c r="O72" s="6">
        <f>'Raw Historical Financials'!L67</f>
        <v>0</v>
      </c>
      <c r="P72" s="6">
        <f>'Raw Historical Financials'!M67</f>
        <v>0</v>
      </c>
      <c r="Q72" s="6">
        <f>'Raw Historical Financials'!N67</f>
        <v>0</v>
      </c>
      <c r="R72" s="6">
        <f>'Raw Historical Financials'!O67</f>
        <v>0</v>
      </c>
      <c r="S72" s="6">
        <f>'Raw Historical Financials'!P67</f>
        <v>0</v>
      </c>
      <c r="T72" s="6">
        <f>'Raw Historical Financials'!Q67</f>
        <v>0</v>
      </c>
      <c r="U72" s="6">
        <f>'Raw Historical Financials'!R67</f>
        <v>0</v>
      </c>
      <c r="V72" s="6">
        <f>'Raw Historical Financials'!S67</f>
        <v>0</v>
      </c>
      <c r="W72" s="6">
        <f>'Raw Historical Financials'!T67</f>
        <v>0</v>
      </c>
      <c r="X72" s="6">
        <f>'Raw Historical Financials'!U67</f>
        <v>0</v>
      </c>
      <c r="Y72" s="6">
        <f>'Raw Historical Financials'!V67</f>
        <v>0</v>
      </c>
      <c r="Z72" s="6">
        <f>'Raw Historical Financials'!W67</f>
        <v>0</v>
      </c>
      <c r="AA72" s="6">
        <f>'Raw Historical Financials'!X67</f>
        <v>0</v>
      </c>
      <c r="AB72" s="6">
        <f>'Raw Historical Financials'!Y67</f>
        <v>0</v>
      </c>
      <c r="AC72" s="6">
        <f>'Raw Historical Financials'!Z67</f>
        <v>1455.473</v>
      </c>
      <c r="AE72" s="6">
        <f t="shared" ref="AE72" si="213">I72</f>
        <v>0</v>
      </c>
      <c r="AF72" s="6">
        <f t="shared" ref="AF72" si="214">M72</f>
        <v>0</v>
      </c>
      <c r="AG72" s="6">
        <f t="shared" ref="AG72" si="215">Q72</f>
        <v>0</v>
      </c>
      <c r="AH72" s="6">
        <f t="shared" ref="AH72" si="216">U72</f>
        <v>0</v>
      </c>
      <c r="AI72" s="6">
        <f t="shared" ref="AI72" si="217">Y72</f>
        <v>0</v>
      </c>
      <c r="AJ72" s="6">
        <f t="shared" ref="AJ72" si="218">AC72</f>
        <v>1455.473</v>
      </c>
    </row>
    <row r="73" spans="2:36" x14ac:dyDescent="0.25">
      <c r="B73" s="2" t="s">
        <v>38</v>
      </c>
      <c r="F73" s="6">
        <f>'Raw Historical Financials'!C68</f>
        <v>51313</v>
      </c>
      <c r="G73" s="6">
        <f>'Raw Historical Financials'!D68</f>
        <v>51313</v>
      </c>
      <c r="H73" s="6">
        <f>'Raw Historical Financials'!E68</f>
        <v>51313</v>
      </c>
      <c r="I73" s="6">
        <f>'Raw Historical Financials'!F68</f>
        <v>94947</v>
      </c>
      <c r="J73" s="6">
        <f>'Raw Historical Financials'!G68</f>
        <v>94947</v>
      </c>
      <c r="K73" s="6">
        <f>'Raw Historical Financials'!H68</f>
        <v>94947</v>
      </c>
      <c r="L73" s="6">
        <f>'Raw Historical Financials'!I68</f>
        <v>94947</v>
      </c>
      <c r="M73" s="6">
        <f>'Raw Historical Financials'!J68</f>
        <v>153126</v>
      </c>
      <c r="N73" s="6">
        <f>'Raw Historical Financials'!K68</f>
        <v>153126</v>
      </c>
      <c r="O73" s="6">
        <f>'Raw Historical Financials'!L68</f>
        <v>153127</v>
      </c>
      <c r="P73" s="6">
        <f>'Raw Historical Financials'!M68</f>
        <v>153126</v>
      </c>
      <c r="Q73" s="6">
        <f>'Raw Historical Financials'!N68</f>
        <v>153126</v>
      </c>
      <c r="R73" s="6">
        <f>'Raw Historical Financials'!O68</f>
        <v>153126</v>
      </c>
      <c r="S73" s="6">
        <f>'Raw Historical Financials'!P68</f>
        <v>153126</v>
      </c>
      <c r="T73" s="6">
        <f>'Raw Historical Financials'!Q68</f>
        <v>153126</v>
      </c>
      <c r="U73" s="6">
        <f>'Raw Historical Financials'!R68</f>
        <v>298577</v>
      </c>
      <c r="V73" s="6">
        <f>'Raw Historical Financials'!S68</f>
        <v>298577</v>
      </c>
      <c r="W73" s="6">
        <f>'Raw Historical Financials'!T68</f>
        <v>298577</v>
      </c>
      <c r="X73" s="6">
        <f>'Raw Historical Financials'!U68</f>
        <v>298577</v>
      </c>
      <c r="Y73" s="6">
        <f>'Raw Historical Financials'!V68</f>
        <v>382743</v>
      </c>
      <c r="Z73" s="6">
        <f>'Raw Historical Financials'!W68</f>
        <v>382743</v>
      </c>
      <c r="AA73" s="6">
        <f>'Raw Historical Financials'!X68</f>
        <v>382743</v>
      </c>
      <c r="AB73" s="6">
        <f>'Raw Historical Financials'!Y68</f>
        <v>382743</v>
      </c>
      <c r="AC73" s="6">
        <f>'Raw Historical Financials'!Z68</f>
        <v>503644.92499999999</v>
      </c>
      <c r="AE73" s="6">
        <f t="shared" si="207"/>
        <v>94947</v>
      </c>
      <c r="AF73" s="6">
        <f t="shared" si="208"/>
        <v>153126</v>
      </c>
      <c r="AG73" s="6">
        <f t="shared" si="209"/>
        <v>153126</v>
      </c>
      <c r="AH73" s="6">
        <f t="shared" si="210"/>
        <v>298577</v>
      </c>
      <c r="AI73" s="6">
        <f t="shared" si="211"/>
        <v>382743</v>
      </c>
      <c r="AJ73" s="6">
        <f t="shared" si="212"/>
        <v>503644.92499999999</v>
      </c>
    </row>
    <row r="74" spans="2:36" x14ac:dyDescent="0.25">
      <c r="B74" s="2" t="s">
        <v>39</v>
      </c>
      <c r="F74" s="6">
        <f>'Raw Historical Financials'!C69</f>
        <v>30221</v>
      </c>
      <c r="G74" s="6">
        <f>'Raw Historical Financials'!D69</f>
        <v>27187</v>
      </c>
      <c r="H74" s="6">
        <f>'Raw Historical Financials'!E69</f>
        <v>26011</v>
      </c>
      <c r="I74" s="6">
        <f>'Raw Historical Financials'!F69</f>
        <v>55299</v>
      </c>
      <c r="J74" s="6">
        <f>'Raw Historical Financials'!G69</f>
        <v>47479</v>
      </c>
      <c r="K74" s="6">
        <f>'Raw Historical Financials'!H69</f>
        <v>53126</v>
      </c>
      <c r="L74" s="6">
        <f>'Raw Historical Financials'!I69</f>
        <v>44283</v>
      </c>
      <c r="M74" s="6">
        <f>'Raw Historical Financials'!J69</f>
        <v>56397</v>
      </c>
      <c r="N74" s="6">
        <f>'Raw Historical Financials'!K69</f>
        <v>51646</v>
      </c>
      <c r="O74" s="6">
        <f>'Raw Historical Financials'!L69</f>
        <v>49721</v>
      </c>
      <c r="P74" s="6">
        <f>'Raw Historical Financials'!M69</f>
        <v>60508</v>
      </c>
      <c r="Q74" s="6">
        <f>'Raw Historical Financials'!N69</f>
        <v>50175</v>
      </c>
      <c r="R74" s="6">
        <f>'Raw Historical Financials'!O69</f>
        <v>51873</v>
      </c>
      <c r="S74" s="6">
        <f>'Raw Historical Financials'!P69</f>
        <v>78062</v>
      </c>
      <c r="T74" s="6">
        <f>'Raw Historical Financials'!Q69</f>
        <v>61129</v>
      </c>
      <c r="U74" s="6">
        <f>'Raw Historical Financials'!R69</f>
        <v>143374</v>
      </c>
      <c r="V74" s="6">
        <f>'Raw Historical Financials'!S69</f>
        <v>170838</v>
      </c>
      <c r="W74" s="6">
        <f>'Raw Historical Financials'!T69</f>
        <v>159021</v>
      </c>
      <c r="X74" s="6">
        <f>'Raw Historical Financials'!U69</f>
        <v>138126</v>
      </c>
      <c r="Y74" s="6">
        <f>'Raw Historical Financials'!V69</f>
        <v>192738</v>
      </c>
      <c r="Z74" s="6">
        <f>'Raw Historical Financials'!W69</f>
        <v>193505</v>
      </c>
      <c r="AA74" s="6">
        <f>'Raw Historical Financials'!X69</f>
        <v>186293</v>
      </c>
      <c r="AB74" s="6">
        <f>'Raw Historical Financials'!Y69</f>
        <v>189906</v>
      </c>
      <c r="AC74" s="6">
        <f>'Raw Historical Financials'!Z69</f>
        <v>196575.75399999999</v>
      </c>
      <c r="AE74" s="6">
        <f t="shared" si="207"/>
        <v>55299</v>
      </c>
      <c r="AF74" s="6">
        <f t="shared" si="208"/>
        <v>56397</v>
      </c>
      <c r="AG74" s="6">
        <f t="shared" si="209"/>
        <v>50175</v>
      </c>
      <c r="AH74" s="6">
        <f t="shared" si="210"/>
        <v>143374</v>
      </c>
      <c r="AI74" s="6">
        <f t="shared" si="211"/>
        <v>192738</v>
      </c>
      <c r="AJ74" s="6">
        <f t="shared" si="212"/>
        <v>196575.75399999999</v>
      </c>
    </row>
    <row r="75" spans="2:36" x14ac:dyDescent="0.25">
      <c r="B75" s="2" t="s">
        <v>40</v>
      </c>
      <c r="F75" s="6">
        <f>'Raw Historical Financials'!C70</f>
        <v>1472</v>
      </c>
      <c r="G75" s="6">
        <f>'Raw Historical Financials'!D70</f>
        <v>2630</v>
      </c>
      <c r="H75" s="6">
        <f>'Raw Historical Financials'!E70</f>
        <v>-3753</v>
      </c>
      <c r="I75" s="6">
        <f>'Raw Historical Financials'!F70</f>
        <v>0</v>
      </c>
      <c r="J75" s="6">
        <f>'Raw Historical Financials'!G70</f>
        <v>0</v>
      </c>
      <c r="K75" s="6">
        <f>'Raw Historical Financials'!H70</f>
        <v>0</v>
      </c>
      <c r="L75" s="6">
        <f>'Raw Historical Financials'!I70</f>
        <v>0</v>
      </c>
      <c r="M75" s="6">
        <f>'Raw Historical Financials'!J70</f>
        <v>0</v>
      </c>
      <c r="N75" s="6">
        <f>'Raw Historical Financials'!K70</f>
        <v>0</v>
      </c>
      <c r="O75" s="6">
        <f>'Raw Historical Financials'!L70</f>
        <v>0</v>
      </c>
      <c r="P75" s="6">
        <f>'Raw Historical Financials'!M70</f>
        <v>0</v>
      </c>
      <c r="Q75" s="6">
        <f>'Raw Historical Financials'!N70</f>
        <v>0</v>
      </c>
      <c r="R75" s="6">
        <f>'Raw Historical Financials'!O70</f>
        <v>0</v>
      </c>
      <c r="S75" s="6">
        <f>'Raw Historical Financials'!P70</f>
        <v>0</v>
      </c>
      <c r="T75" s="6">
        <f>'Raw Historical Financials'!Q70</f>
        <v>0</v>
      </c>
      <c r="U75" s="6">
        <f>'Raw Historical Financials'!R70</f>
        <v>0</v>
      </c>
      <c r="V75" s="6">
        <f>'Raw Historical Financials'!S70</f>
        <v>0</v>
      </c>
      <c r="W75" s="6">
        <f>'Raw Historical Financials'!T70</f>
        <v>0</v>
      </c>
      <c r="X75" s="6">
        <f>'Raw Historical Financials'!U70</f>
        <v>0</v>
      </c>
      <c r="Y75" s="6">
        <f>'Raw Historical Financials'!V70</f>
        <v>0</v>
      </c>
      <c r="Z75" s="6">
        <f>'Raw Historical Financials'!W70</f>
        <v>0</v>
      </c>
      <c r="AA75" s="6">
        <f>'Raw Historical Financials'!X70</f>
        <v>0</v>
      </c>
      <c r="AB75" s="6">
        <f>'Raw Historical Financials'!Y70</f>
        <v>0</v>
      </c>
      <c r="AC75" s="6">
        <f>'Raw Historical Financials'!Z70</f>
        <v>0</v>
      </c>
      <c r="AE75" s="6">
        <f t="shared" si="207"/>
        <v>0</v>
      </c>
      <c r="AF75" s="6">
        <f t="shared" si="208"/>
        <v>0</v>
      </c>
      <c r="AG75" s="6">
        <f t="shared" si="209"/>
        <v>0</v>
      </c>
      <c r="AH75" s="6">
        <f t="shared" si="210"/>
        <v>0</v>
      </c>
      <c r="AI75" s="6">
        <f t="shared" si="211"/>
        <v>0</v>
      </c>
      <c r="AJ75" s="6">
        <f t="shared" si="212"/>
        <v>0</v>
      </c>
    </row>
    <row r="76" spans="2:36" x14ac:dyDescent="0.25">
      <c r="B76" s="8" t="s">
        <v>41</v>
      </c>
      <c r="C76" s="8"/>
      <c r="D76" s="8"/>
      <c r="E76" s="16"/>
      <c r="F76" s="16">
        <f>SUM(F69:F75)</f>
        <v>564057</v>
      </c>
      <c r="G76" s="16">
        <f t="shared" ref="G76:AB76" si="219">SUM(G69:G75)</f>
        <v>563615</v>
      </c>
      <c r="H76" s="16">
        <f t="shared" si="219"/>
        <v>576216</v>
      </c>
      <c r="I76" s="16">
        <f t="shared" si="219"/>
        <v>598787</v>
      </c>
      <c r="J76" s="16">
        <f t="shared" si="219"/>
        <v>620554</v>
      </c>
      <c r="K76" s="16">
        <f t="shared" si="219"/>
        <v>645324</v>
      </c>
      <c r="L76" s="16">
        <f t="shared" si="219"/>
        <v>682026</v>
      </c>
      <c r="M76" s="16">
        <f t="shared" si="219"/>
        <v>715145</v>
      </c>
      <c r="N76" s="16">
        <f t="shared" si="219"/>
        <v>745517</v>
      </c>
      <c r="O76" s="16">
        <f t="shared" si="219"/>
        <v>765232</v>
      </c>
      <c r="P76" s="16">
        <f t="shared" si="219"/>
        <v>779586</v>
      </c>
      <c r="Q76" s="16">
        <f t="shared" si="219"/>
        <v>969253</v>
      </c>
      <c r="R76" s="16">
        <f t="shared" si="219"/>
        <v>1014951</v>
      </c>
      <c r="S76" s="16">
        <f t="shared" si="219"/>
        <v>1062096</v>
      </c>
      <c r="T76" s="16">
        <f t="shared" si="219"/>
        <v>1100215</v>
      </c>
      <c r="U76" s="16">
        <f t="shared" si="219"/>
        <v>1260155</v>
      </c>
      <c r="V76" s="16">
        <f t="shared" si="219"/>
        <v>1318057</v>
      </c>
      <c r="W76" s="16">
        <f t="shared" si="219"/>
        <v>1372433</v>
      </c>
      <c r="X76" s="16">
        <f t="shared" si="219"/>
        <v>1393846</v>
      </c>
      <c r="Y76" s="16">
        <f t="shared" si="219"/>
        <v>1596834</v>
      </c>
      <c r="Z76" s="16">
        <f t="shared" si="219"/>
        <v>1675351</v>
      </c>
      <c r="AA76" s="16">
        <f t="shared" si="219"/>
        <v>1662829</v>
      </c>
      <c r="AB76" s="16">
        <f t="shared" si="219"/>
        <v>1774592</v>
      </c>
      <c r="AC76" s="16">
        <f t="shared" ref="AC76" si="220">SUM(AC69:AC75)</f>
        <v>2208394.665</v>
      </c>
      <c r="AE76" s="16">
        <f t="shared" ref="AE76" si="221">SUM(AE69:AE75)</f>
        <v>598787</v>
      </c>
      <c r="AF76" s="16">
        <f t="shared" ref="AF76" si="222">SUM(AF69:AF75)</f>
        <v>715145</v>
      </c>
      <c r="AG76" s="16">
        <f t="shared" ref="AG76" si="223">SUM(AG69:AG75)</f>
        <v>969253</v>
      </c>
      <c r="AH76" s="16">
        <f t="shared" ref="AH76" si="224">SUM(AH69:AH75)</f>
        <v>1260155</v>
      </c>
      <c r="AI76" s="16">
        <f t="shared" ref="AI76" si="225">SUM(AI69:AI75)</f>
        <v>1596834</v>
      </c>
      <c r="AJ76" s="16">
        <f t="shared" ref="AJ76" si="226">SUM(AJ69:AJ75)</f>
        <v>2208394.665</v>
      </c>
    </row>
    <row r="77" spans="2:36" ht="11.4" thickBot="1" x14ac:dyDescent="0.3">
      <c r="B77" s="17" t="s">
        <v>42</v>
      </c>
      <c r="C77" s="17"/>
      <c r="D77" s="17"/>
      <c r="E77" s="18"/>
      <c r="F77" s="18">
        <f>F66+F76</f>
        <v>2684183</v>
      </c>
      <c r="G77" s="18">
        <f t="shared" ref="G77:AB77" si="227">G66+G76</f>
        <v>2789752</v>
      </c>
      <c r="H77" s="18">
        <f t="shared" si="227"/>
        <v>3066082</v>
      </c>
      <c r="I77" s="18">
        <f t="shared" si="227"/>
        <v>3363147</v>
      </c>
      <c r="J77" s="18">
        <f t="shared" si="227"/>
        <v>3357871</v>
      </c>
      <c r="K77" s="18">
        <f t="shared" si="227"/>
        <v>3556409</v>
      </c>
      <c r="L77" s="18">
        <f t="shared" si="227"/>
        <v>4121032</v>
      </c>
      <c r="M77" s="18">
        <f t="shared" si="227"/>
        <v>4675000</v>
      </c>
      <c r="N77" s="18">
        <f t="shared" si="227"/>
        <v>4842319</v>
      </c>
      <c r="O77" s="18">
        <f t="shared" si="227"/>
        <v>5045435</v>
      </c>
      <c r="P77" s="18">
        <f t="shared" si="227"/>
        <v>6363982</v>
      </c>
      <c r="Q77" s="18">
        <f t="shared" si="227"/>
        <v>7428291</v>
      </c>
      <c r="R77" s="18">
        <f t="shared" si="227"/>
        <v>7486374</v>
      </c>
      <c r="S77" s="18">
        <f t="shared" si="227"/>
        <v>8358463</v>
      </c>
      <c r="T77" s="18">
        <f t="shared" si="227"/>
        <v>8653333</v>
      </c>
      <c r="U77" s="18">
        <f t="shared" si="227"/>
        <v>10466259</v>
      </c>
      <c r="V77" s="18">
        <f t="shared" si="227"/>
        <v>10529986</v>
      </c>
      <c r="W77" s="18">
        <f t="shared" si="227"/>
        <v>10987254</v>
      </c>
      <c r="X77" s="18">
        <f t="shared" si="227"/>
        <v>12264028</v>
      </c>
      <c r="Y77" s="18">
        <f t="shared" si="227"/>
        <v>13323325</v>
      </c>
      <c r="Z77" s="18">
        <f t="shared" si="227"/>
        <v>12389347</v>
      </c>
      <c r="AA77" s="18">
        <f t="shared" si="227"/>
        <v>14154226</v>
      </c>
      <c r="AB77" s="18">
        <f t="shared" si="227"/>
        <v>15656953</v>
      </c>
      <c r="AC77" s="18">
        <f t="shared" ref="AC77" si="228">AC66+AC76</f>
        <v>19192991.559</v>
      </c>
      <c r="AE77" s="18">
        <f t="shared" ref="AE77" si="229">AE66+AE76</f>
        <v>3363147</v>
      </c>
      <c r="AF77" s="18">
        <f t="shared" ref="AF77" si="230">AF66+AF76</f>
        <v>4675000</v>
      </c>
      <c r="AG77" s="18">
        <f t="shared" ref="AG77" si="231">AG66+AG76</f>
        <v>7428291</v>
      </c>
      <c r="AH77" s="18">
        <f t="shared" ref="AH77" si="232">AH66+AH76</f>
        <v>10466259</v>
      </c>
      <c r="AI77" s="18">
        <f t="shared" ref="AI77" si="233">AI66+AI76</f>
        <v>13323325</v>
      </c>
      <c r="AJ77" s="18">
        <f t="shared" ref="AJ77" si="234">AJ66+AJ76</f>
        <v>19192991.559</v>
      </c>
    </row>
    <row r="78" spans="2:36" x14ac:dyDescent="0.25">
      <c r="B78" s="2" t="s">
        <v>106</v>
      </c>
      <c r="F78" s="6">
        <f>F56-F77</f>
        <v>0</v>
      </c>
      <c r="G78" s="6">
        <f t="shared" ref="G78:AB78" si="235">G56-G77</f>
        <v>2</v>
      </c>
      <c r="H78" s="6">
        <f t="shared" si="235"/>
        <v>0</v>
      </c>
      <c r="I78" s="6">
        <f t="shared" si="235"/>
        <v>0</v>
      </c>
      <c r="J78" s="6">
        <f t="shared" si="235"/>
        <v>0</v>
      </c>
      <c r="K78" s="6">
        <f t="shared" si="235"/>
        <v>0</v>
      </c>
      <c r="L78" s="6">
        <f t="shared" si="235"/>
        <v>0</v>
      </c>
      <c r="M78" s="6">
        <f t="shared" si="235"/>
        <v>0</v>
      </c>
      <c r="N78" s="6">
        <f t="shared" si="235"/>
        <v>0</v>
      </c>
      <c r="O78" s="6">
        <f t="shared" si="235"/>
        <v>0</v>
      </c>
      <c r="P78" s="6">
        <f t="shared" si="235"/>
        <v>0</v>
      </c>
      <c r="Q78" s="6">
        <f t="shared" si="235"/>
        <v>0</v>
      </c>
      <c r="R78" s="6">
        <f t="shared" si="235"/>
        <v>0</v>
      </c>
      <c r="S78" s="6">
        <f t="shared" si="235"/>
        <v>0</v>
      </c>
      <c r="T78" s="6">
        <f t="shared" si="235"/>
        <v>0</v>
      </c>
      <c r="U78" s="6">
        <f t="shared" si="235"/>
        <v>0</v>
      </c>
      <c r="V78" s="6">
        <f t="shared" si="235"/>
        <v>0</v>
      </c>
      <c r="W78" s="6">
        <f t="shared" si="235"/>
        <v>0</v>
      </c>
      <c r="X78" s="6">
        <f t="shared" si="235"/>
        <v>0</v>
      </c>
      <c r="Y78" s="6">
        <f t="shared" si="235"/>
        <v>0</v>
      </c>
      <c r="Z78" s="6">
        <f t="shared" si="235"/>
        <v>0</v>
      </c>
      <c r="AA78" s="6">
        <f t="shared" si="235"/>
        <v>0</v>
      </c>
      <c r="AB78" s="6">
        <f t="shared" si="235"/>
        <v>0</v>
      </c>
      <c r="AC78" s="6">
        <f t="shared" ref="AC78" si="236">AC56-AC77</f>
        <v>-1.0000020265579224E-3</v>
      </c>
      <c r="AE78" s="6">
        <f t="shared" ref="AE78" si="237">AE56-AE77</f>
        <v>0</v>
      </c>
      <c r="AF78" s="6">
        <f t="shared" ref="AF78" si="238">AF56-AF77</f>
        <v>0</v>
      </c>
      <c r="AG78" s="6">
        <f t="shared" ref="AG78" si="239">AG56-AG77</f>
        <v>0</v>
      </c>
      <c r="AH78" s="6">
        <f t="shared" ref="AH78" si="240">AH56-AH77</f>
        <v>0</v>
      </c>
      <c r="AI78" s="6">
        <f t="shared" ref="AI78" si="241">AI56-AI77</f>
        <v>0</v>
      </c>
      <c r="AJ78" s="6">
        <f t="shared" ref="AJ78" si="242">AJ56-AJ77</f>
        <v>-1.0000020265579224E-3</v>
      </c>
    </row>
    <row r="82" spans="2:36" x14ac:dyDescent="0.25">
      <c r="B82" s="21" t="s">
        <v>166</v>
      </c>
      <c r="C82" s="19"/>
      <c r="D82" s="19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</row>
    <row r="83" spans="2:36" ht="5.0999999999999996" customHeight="1" x14ac:dyDescent="0.25"/>
    <row r="84" spans="2:36" x14ac:dyDescent="0.25">
      <c r="B84" s="73" t="s">
        <v>167</v>
      </c>
      <c r="C84" s="74"/>
      <c r="D84" s="74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</row>
    <row r="85" spans="2:36" x14ac:dyDescent="0.25">
      <c r="B85" s="2" t="s">
        <v>21</v>
      </c>
      <c r="F85" s="6">
        <f t="shared" ref="F85:AB85" si="243">F41</f>
        <v>664482</v>
      </c>
      <c r="G85" s="6">
        <f t="shared" si="243"/>
        <v>553668</v>
      </c>
      <c r="H85" s="6">
        <f t="shared" si="243"/>
        <v>688100</v>
      </c>
      <c r="I85" s="6">
        <f t="shared" si="243"/>
        <v>771158</v>
      </c>
      <c r="J85" s="6">
        <f t="shared" si="243"/>
        <v>702206</v>
      </c>
      <c r="K85" s="6">
        <f t="shared" si="243"/>
        <v>604605</v>
      </c>
      <c r="L85" s="6">
        <f t="shared" si="243"/>
        <v>718939</v>
      </c>
      <c r="M85" s="6">
        <f t="shared" si="243"/>
        <v>961689</v>
      </c>
      <c r="N85" s="6">
        <f t="shared" si="243"/>
        <v>1167148</v>
      </c>
      <c r="O85" s="6">
        <f t="shared" si="243"/>
        <v>1596265</v>
      </c>
      <c r="P85" s="6">
        <f t="shared" si="243"/>
        <v>2089414</v>
      </c>
      <c r="Q85" s="6">
        <f t="shared" si="243"/>
        <v>1990143</v>
      </c>
      <c r="R85" s="6">
        <f t="shared" si="243"/>
        <v>1243805</v>
      </c>
      <c r="S85" s="6">
        <f t="shared" si="243"/>
        <v>2105879</v>
      </c>
      <c r="T85" s="6">
        <f t="shared" si="243"/>
        <v>2156478</v>
      </c>
      <c r="U85" s="6">
        <f t="shared" si="243"/>
        <v>3226881</v>
      </c>
      <c r="V85" s="6">
        <f t="shared" si="243"/>
        <v>3633851</v>
      </c>
      <c r="W85" s="6">
        <f t="shared" si="243"/>
        <v>4076923</v>
      </c>
      <c r="X85" s="6">
        <f t="shared" si="243"/>
        <v>3756035</v>
      </c>
      <c r="Y85" s="6">
        <f t="shared" si="243"/>
        <v>4600045</v>
      </c>
      <c r="Z85" s="6">
        <f t="shared" si="243"/>
        <v>4294542</v>
      </c>
      <c r="AA85" s="6">
        <f t="shared" si="243"/>
        <v>3972659</v>
      </c>
      <c r="AB85" s="6">
        <f t="shared" si="243"/>
        <v>3312929</v>
      </c>
      <c r="AC85" s="6">
        <f t="shared" ref="AC85" si="244">AC41</f>
        <v>8104418.8439999996</v>
      </c>
      <c r="AE85" s="6">
        <f t="shared" ref="AE85:AJ85" si="245">AE41</f>
        <v>771158</v>
      </c>
      <c r="AF85" s="6">
        <f t="shared" si="245"/>
        <v>961689</v>
      </c>
      <c r="AG85" s="6">
        <f t="shared" si="245"/>
        <v>1990143</v>
      </c>
      <c r="AH85" s="6">
        <f t="shared" si="245"/>
        <v>3226881</v>
      </c>
      <c r="AI85" s="6">
        <f t="shared" si="245"/>
        <v>4600045</v>
      </c>
      <c r="AJ85" s="6">
        <f t="shared" si="245"/>
        <v>8104418.8439999996</v>
      </c>
    </row>
    <row r="86" spans="2:36" x14ac:dyDescent="0.25">
      <c r="B86" s="2" t="s">
        <v>71</v>
      </c>
      <c r="F86" s="6">
        <f t="shared" ref="F86:AB86" si="246">F43</f>
        <v>841803</v>
      </c>
      <c r="G86" s="6">
        <f t="shared" si="246"/>
        <v>1121649</v>
      </c>
      <c r="H86" s="6">
        <f t="shared" si="246"/>
        <v>1085506</v>
      </c>
      <c r="I86" s="6">
        <f t="shared" si="246"/>
        <v>857232</v>
      </c>
      <c r="J86" s="6">
        <f t="shared" si="246"/>
        <v>1182364</v>
      </c>
      <c r="K86" s="6">
        <f t="shared" si="246"/>
        <v>1384113</v>
      </c>
      <c r="L86" s="6">
        <f t="shared" si="246"/>
        <v>1392672</v>
      </c>
      <c r="M86" s="6">
        <f t="shared" si="246"/>
        <v>820239</v>
      </c>
      <c r="N86" s="6">
        <f t="shared" si="246"/>
        <v>1302694</v>
      </c>
      <c r="O86" s="6">
        <f t="shared" si="246"/>
        <v>1149342</v>
      </c>
      <c r="P86" s="6">
        <f t="shared" si="246"/>
        <v>1880011</v>
      </c>
      <c r="Q86" s="6">
        <f t="shared" si="246"/>
        <v>1661135</v>
      </c>
      <c r="R86" s="6">
        <f t="shared" si="246"/>
        <v>2448633</v>
      </c>
      <c r="S86" s="6">
        <f t="shared" si="246"/>
        <v>2093026</v>
      </c>
      <c r="T86" s="6">
        <f t="shared" si="246"/>
        <v>2304294</v>
      </c>
      <c r="U86" s="6">
        <f t="shared" si="246"/>
        <v>2059376</v>
      </c>
      <c r="V86" s="6">
        <f t="shared" si="246"/>
        <v>2366023</v>
      </c>
      <c r="W86" s="6">
        <f t="shared" si="246"/>
        <v>2099235</v>
      </c>
      <c r="X86" s="6">
        <f t="shared" si="246"/>
        <v>2403637</v>
      </c>
      <c r="Y86" s="6">
        <f t="shared" si="246"/>
        <v>2647258</v>
      </c>
      <c r="Z86" s="6">
        <f t="shared" si="246"/>
        <v>2389898</v>
      </c>
      <c r="AA86" s="6">
        <f t="shared" si="246"/>
        <v>3217511</v>
      </c>
      <c r="AB86" s="6">
        <f t="shared" si="246"/>
        <v>3580300</v>
      </c>
      <c r="AC86" s="6">
        <f t="shared" ref="AC86" si="247">AC43</f>
        <v>3178870.372</v>
      </c>
      <c r="AE86" s="6">
        <f t="shared" ref="AE86:AJ87" si="248">AE43</f>
        <v>857232</v>
      </c>
      <c r="AF86" s="6">
        <f t="shared" si="248"/>
        <v>820239</v>
      </c>
      <c r="AG86" s="6">
        <f t="shared" si="248"/>
        <v>1661135</v>
      </c>
      <c r="AH86" s="6">
        <f t="shared" si="248"/>
        <v>2059376</v>
      </c>
      <c r="AI86" s="6">
        <f t="shared" si="248"/>
        <v>2647258</v>
      </c>
      <c r="AJ86" s="6">
        <f t="shared" si="248"/>
        <v>3178870.372</v>
      </c>
    </row>
    <row r="87" spans="2:36" x14ac:dyDescent="0.25">
      <c r="B87" s="2" t="s">
        <v>22</v>
      </c>
      <c r="F87" s="6">
        <f t="shared" ref="F87:AB87" si="249">F44</f>
        <v>595758</v>
      </c>
      <c r="G87" s="6">
        <f t="shared" si="249"/>
        <v>514565</v>
      </c>
      <c r="H87" s="6">
        <f t="shared" si="249"/>
        <v>622388</v>
      </c>
      <c r="I87" s="6">
        <f t="shared" si="249"/>
        <v>609414</v>
      </c>
      <c r="J87" s="6">
        <f t="shared" si="249"/>
        <v>633698</v>
      </c>
      <c r="K87" s="6">
        <f t="shared" si="249"/>
        <v>574039</v>
      </c>
      <c r="L87" s="6">
        <f t="shared" si="249"/>
        <v>728616</v>
      </c>
      <c r="M87" s="6">
        <f t="shared" si="249"/>
        <v>1011135</v>
      </c>
      <c r="N87" s="6">
        <f t="shared" si="249"/>
        <v>1181132</v>
      </c>
      <c r="O87" s="6">
        <f t="shared" si="249"/>
        <v>1104448</v>
      </c>
      <c r="P87" s="6">
        <f t="shared" si="249"/>
        <v>1320685</v>
      </c>
      <c r="Q87" s="6">
        <f t="shared" si="249"/>
        <v>1486925</v>
      </c>
      <c r="R87" s="6">
        <f t="shared" si="249"/>
        <v>1687854</v>
      </c>
      <c r="S87" s="6">
        <f t="shared" si="249"/>
        <v>1768475</v>
      </c>
      <c r="T87" s="6">
        <f t="shared" si="249"/>
        <v>1760844</v>
      </c>
      <c r="U87" s="6">
        <f t="shared" si="249"/>
        <v>1702104</v>
      </c>
      <c r="V87" s="6">
        <f t="shared" si="249"/>
        <v>1510128</v>
      </c>
      <c r="W87" s="6">
        <f t="shared" si="249"/>
        <v>1345040</v>
      </c>
      <c r="X87" s="6">
        <f t="shared" si="249"/>
        <v>1423356</v>
      </c>
      <c r="Y87" s="6">
        <f t="shared" si="249"/>
        <v>1927368</v>
      </c>
      <c r="Z87" s="6">
        <f t="shared" si="249"/>
        <v>1560859</v>
      </c>
      <c r="AA87" s="6">
        <f t="shared" si="249"/>
        <v>1414797</v>
      </c>
      <c r="AB87" s="6">
        <f t="shared" si="249"/>
        <v>1516490</v>
      </c>
      <c r="AC87" s="6">
        <f t="shared" ref="AC87" si="250">AC44</f>
        <v>1947024.824</v>
      </c>
      <c r="AE87" s="6">
        <f t="shared" si="248"/>
        <v>609414</v>
      </c>
      <c r="AF87" s="6">
        <f t="shared" si="248"/>
        <v>1011135</v>
      </c>
      <c r="AG87" s="6">
        <f t="shared" si="248"/>
        <v>1486925</v>
      </c>
      <c r="AH87" s="6">
        <f t="shared" si="248"/>
        <v>1702104</v>
      </c>
      <c r="AI87" s="6">
        <f t="shared" si="248"/>
        <v>1927368</v>
      </c>
      <c r="AJ87" s="6">
        <f t="shared" si="248"/>
        <v>1947024.824</v>
      </c>
    </row>
    <row r="88" spans="2:36" x14ac:dyDescent="0.25">
      <c r="B88" s="8" t="s">
        <v>168</v>
      </c>
      <c r="C88" s="8"/>
      <c r="D88" s="8"/>
      <c r="E88" s="16"/>
      <c r="F88" s="16">
        <f t="shared" ref="F88:AB88" si="251">SUM(F85:F87)</f>
        <v>2102043</v>
      </c>
      <c r="G88" s="16">
        <f t="shared" si="251"/>
        <v>2189882</v>
      </c>
      <c r="H88" s="16">
        <f t="shared" si="251"/>
        <v>2395994</v>
      </c>
      <c r="I88" s="16">
        <f t="shared" si="251"/>
        <v>2237804</v>
      </c>
      <c r="J88" s="16">
        <f t="shared" si="251"/>
        <v>2518268</v>
      </c>
      <c r="K88" s="16">
        <f t="shared" si="251"/>
        <v>2562757</v>
      </c>
      <c r="L88" s="16">
        <f t="shared" si="251"/>
        <v>2840227</v>
      </c>
      <c r="M88" s="16">
        <f t="shared" si="251"/>
        <v>2793063</v>
      </c>
      <c r="N88" s="16">
        <f t="shared" si="251"/>
        <v>3650974</v>
      </c>
      <c r="O88" s="16">
        <f t="shared" si="251"/>
        <v>3850055</v>
      </c>
      <c r="P88" s="16">
        <f t="shared" si="251"/>
        <v>5290110</v>
      </c>
      <c r="Q88" s="16">
        <f t="shared" si="251"/>
        <v>5138203</v>
      </c>
      <c r="R88" s="16">
        <f t="shared" si="251"/>
        <v>5380292</v>
      </c>
      <c r="S88" s="16">
        <f t="shared" si="251"/>
        <v>5967380</v>
      </c>
      <c r="T88" s="16">
        <f t="shared" si="251"/>
        <v>6221616</v>
      </c>
      <c r="U88" s="16">
        <f t="shared" si="251"/>
        <v>6988361</v>
      </c>
      <c r="V88" s="16">
        <f t="shared" si="251"/>
        <v>7510002</v>
      </c>
      <c r="W88" s="16">
        <f t="shared" si="251"/>
        <v>7521198</v>
      </c>
      <c r="X88" s="16">
        <f t="shared" si="251"/>
        <v>7583028</v>
      </c>
      <c r="Y88" s="16">
        <f t="shared" si="251"/>
        <v>9174671</v>
      </c>
      <c r="Z88" s="16">
        <f t="shared" si="251"/>
        <v>8245299</v>
      </c>
      <c r="AA88" s="16">
        <f t="shared" si="251"/>
        <v>8604967</v>
      </c>
      <c r="AB88" s="16">
        <f t="shared" si="251"/>
        <v>8409719</v>
      </c>
      <c r="AC88" s="16">
        <f t="shared" ref="AC88" si="252">SUM(AC85:AC87)</f>
        <v>13230314.039999999</v>
      </c>
      <c r="AE88" s="16">
        <f t="shared" ref="AE88:AJ88" si="253">SUM(AE85:AE87)</f>
        <v>2237804</v>
      </c>
      <c r="AF88" s="16">
        <f t="shared" si="253"/>
        <v>2793063</v>
      </c>
      <c r="AG88" s="16">
        <f t="shared" si="253"/>
        <v>5138203</v>
      </c>
      <c r="AH88" s="16">
        <f t="shared" si="253"/>
        <v>6988361</v>
      </c>
      <c r="AI88" s="16">
        <f t="shared" si="253"/>
        <v>9174671</v>
      </c>
      <c r="AJ88" s="16">
        <f t="shared" si="253"/>
        <v>13230314.039999999</v>
      </c>
    </row>
    <row r="90" spans="2:36" x14ac:dyDescent="0.25">
      <c r="B90" s="2" t="s">
        <v>2</v>
      </c>
      <c r="F90" s="6">
        <f t="shared" ref="F90:AB90" si="254">F9</f>
        <v>64659</v>
      </c>
      <c r="G90" s="6">
        <f t="shared" si="254"/>
        <v>67580</v>
      </c>
      <c r="H90" s="6">
        <f t="shared" si="254"/>
        <v>69390</v>
      </c>
      <c r="I90" s="6">
        <f t="shared" si="254"/>
        <v>79260</v>
      </c>
      <c r="J90" s="6">
        <f t="shared" si="254"/>
        <v>74514</v>
      </c>
      <c r="K90" s="6">
        <f t="shared" si="254"/>
        <v>80826</v>
      </c>
      <c r="L90" s="6">
        <f t="shared" si="254"/>
        <v>88836</v>
      </c>
      <c r="M90" s="6">
        <f t="shared" si="254"/>
        <v>141537</v>
      </c>
      <c r="N90" s="6">
        <f t="shared" si="254"/>
        <v>103740</v>
      </c>
      <c r="O90" s="6">
        <f t="shared" si="254"/>
        <v>101585</v>
      </c>
      <c r="P90" s="6">
        <f t="shared" si="254"/>
        <v>152068</v>
      </c>
      <c r="Q90" s="6">
        <f t="shared" si="254"/>
        <v>214565</v>
      </c>
      <c r="R90" s="6">
        <f t="shared" si="254"/>
        <v>192749</v>
      </c>
      <c r="S90" s="6">
        <f t="shared" si="254"/>
        <v>181269</v>
      </c>
      <c r="T90" s="6">
        <f t="shared" si="254"/>
        <v>186282</v>
      </c>
      <c r="U90" s="6">
        <f t="shared" si="254"/>
        <v>287289</v>
      </c>
      <c r="V90" s="6">
        <f t="shared" si="254"/>
        <v>196483</v>
      </c>
      <c r="W90" s="6">
        <f t="shared" si="254"/>
        <v>184644</v>
      </c>
      <c r="X90" s="6">
        <f t="shared" si="254"/>
        <v>207786</v>
      </c>
      <c r="Y90" s="6">
        <f t="shared" si="254"/>
        <v>289576</v>
      </c>
      <c r="Z90" s="6">
        <f t="shared" si="254"/>
        <v>262481</v>
      </c>
      <c r="AA90" s="6">
        <f t="shared" si="254"/>
        <v>210277</v>
      </c>
      <c r="AB90" s="6">
        <f t="shared" si="254"/>
        <v>276147</v>
      </c>
      <c r="AC90" s="6">
        <f t="shared" ref="AC90" si="255">AC9</f>
        <v>681759.56600000011</v>
      </c>
      <c r="AE90" s="6">
        <f t="shared" ref="AE90:AJ90" si="256">AE9</f>
        <v>280889</v>
      </c>
      <c r="AF90" s="6">
        <f t="shared" si="256"/>
        <v>385713</v>
      </c>
      <c r="AG90" s="6">
        <f t="shared" si="256"/>
        <v>571958</v>
      </c>
      <c r="AH90" s="6">
        <f t="shared" si="256"/>
        <v>847589</v>
      </c>
      <c r="AI90" s="6">
        <f t="shared" si="256"/>
        <v>878489</v>
      </c>
      <c r="AJ90" s="6">
        <f t="shared" si="256"/>
        <v>1430664.5660000001</v>
      </c>
    </row>
    <row r="91" spans="2:36" x14ac:dyDescent="0.25">
      <c r="B91" s="2" t="s">
        <v>181</v>
      </c>
      <c r="F91" s="30">
        <f>F90/F88</f>
        <v>3.0760074841475651E-2</v>
      </c>
      <c r="G91" s="30">
        <f t="shared" ref="G91:AJ91" si="257">G90/G88</f>
        <v>3.0860110270781713E-2</v>
      </c>
      <c r="H91" s="30">
        <f t="shared" si="257"/>
        <v>2.8960840469550424E-2</v>
      </c>
      <c r="I91" s="30">
        <f t="shared" si="257"/>
        <v>3.5418651499416393E-2</v>
      </c>
      <c r="J91" s="30">
        <f t="shared" si="257"/>
        <v>2.9589384449947343E-2</v>
      </c>
      <c r="K91" s="30">
        <f t="shared" si="257"/>
        <v>3.1538690558644458E-2</v>
      </c>
      <c r="L91" s="30">
        <f t="shared" si="257"/>
        <v>3.1277781670267901E-2</v>
      </c>
      <c r="M91" s="30">
        <f t="shared" si="257"/>
        <v>5.0674474582205989E-2</v>
      </c>
      <c r="N91" s="30">
        <f t="shared" si="257"/>
        <v>2.8414335462262946E-2</v>
      </c>
      <c r="O91" s="30">
        <f t="shared" si="257"/>
        <v>2.6385337352323537E-2</v>
      </c>
      <c r="P91" s="30">
        <f t="shared" si="257"/>
        <v>2.8745716062614956E-2</v>
      </c>
      <c r="Q91" s="30">
        <f t="shared" si="257"/>
        <v>4.1758762742538591E-2</v>
      </c>
      <c r="R91" s="30">
        <f t="shared" si="257"/>
        <v>3.5825007267263564E-2</v>
      </c>
      <c r="S91" s="30">
        <f t="shared" si="257"/>
        <v>3.0376647708039373E-2</v>
      </c>
      <c r="T91" s="30">
        <f t="shared" si="257"/>
        <v>2.9941095689608618E-2</v>
      </c>
      <c r="U91" s="30">
        <f t="shared" si="257"/>
        <v>4.1109639298828438E-2</v>
      </c>
      <c r="V91" s="30">
        <f t="shared" si="257"/>
        <v>2.6162842566486665E-2</v>
      </c>
      <c r="W91" s="30">
        <f t="shared" si="257"/>
        <v>2.4549812410203799E-2</v>
      </c>
      <c r="X91" s="30">
        <f t="shared" si="257"/>
        <v>2.7401454933306327E-2</v>
      </c>
      <c r="Y91" s="30">
        <f t="shared" si="257"/>
        <v>3.1562548673407471E-2</v>
      </c>
      <c r="Z91" s="30">
        <f t="shared" si="257"/>
        <v>3.1834018390357946E-2</v>
      </c>
      <c r="AA91" s="30">
        <f t="shared" si="257"/>
        <v>2.4436700338304609E-2</v>
      </c>
      <c r="AB91" s="30">
        <f t="shared" si="257"/>
        <v>3.2836650071185497E-2</v>
      </c>
      <c r="AC91" s="30">
        <f t="shared" ref="AC91" si="258">AC90/AC88</f>
        <v>5.1530112130278666E-2</v>
      </c>
      <c r="AE91" s="30">
        <f t="shared" si="257"/>
        <v>0.12551992935931833</v>
      </c>
      <c r="AF91" s="30">
        <f t="shared" si="257"/>
        <v>0.13809677762370559</v>
      </c>
      <c r="AG91" s="30">
        <f t="shared" si="257"/>
        <v>0.11131479235055525</v>
      </c>
      <c r="AH91" s="30">
        <f t="shared" si="257"/>
        <v>0.12128580650026523</v>
      </c>
      <c r="AI91" s="30">
        <f t="shared" si="257"/>
        <v>9.5751553379952267E-2</v>
      </c>
      <c r="AJ91" s="30">
        <f t="shared" si="257"/>
        <v>0.10813534445777979</v>
      </c>
    </row>
    <row r="92" spans="2:36" x14ac:dyDescent="0.25">
      <c r="B92" s="76" t="s">
        <v>141</v>
      </c>
      <c r="C92" s="77"/>
      <c r="D92" s="78">
        <f>MAX($F$91:$AC$91)</f>
        <v>5.1530112130278666E-2</v>
      </c>
    </row>
    <row r="93" spans="2:36" x14ac:dyDescent="0.25">
      <c r="B93" s="79" t="s">
        <v>169</v>
      </c>
      <c r="C93" s="80"/>
      <c r="D93" s="81">
        <f>AVERAGE($F$91:$AC$91)</f>
        <v>3.258127872663754E-2</v>
      </c>
    </row>
    <row r="94" spans="2:36" x14ac:dyDescent="0.25">
      <c r="B94" s="79" t="s">
        <v>139</v>
      </c>
      <c r="C94" s="80"/>
      <c r="D94" s="81">
        <f>MEDIAN($F$91:$AC$91)</f>
        <v>3.0810092556128682E-2</v>
      </c>
    </row>
    <row r="95" spans="2:36" x14ac:dyDescent="0.25">
      <c r="B95" s="82" t="s">
        <v>140</v>
      </c>
      <c r="C95" s="83"/>
      <c r="D95" s="84">
        <f>MIN($F$91:$AC$91)</f>
        <v>2.4436700338304609E-2</v>
      </c>
    </row>
    <row r="98" spans="2:36" x14ac:dyDescent="0.25">
      <c r="B98" s="73" t="s">
        <v>170</v>
      </c>
      <c r="C98" s="74"/>
      <c r="D98" s="74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</row>
    <row r="99" spans="2:36" x14ac:dyDescent="0.25">
      <c r="B99" s="2" t="s">
        <v>28</v>
      </c>
      <c r="F99" s="6">
        <f t="shared" ref="F99:AB99" si="259">F59</f>
        <v>33762</v>
      </c>
      <c r="G99" s="6">
        <f t="shared" si="259"/>
        <v>30684</v>
      </c>
      <c r="H99" s="6">
        <f t="shared" si="259"/>
        <v>31354</v>
      </c>
      <c r="I99" s="6">
        <f t="shared" si="259"/>
        <v>42370</v>
      </c>
      <c r="J99" s="6">
        <f t="shared" si="259"/>
        <v>0</v>
      </c>
      <c r="K99" s="6">
        <f t="shared" si="259"/>
        <v>28816</v>
      </c>
      <c r="L99" s="6">
        <f t="shared" si="259"/>
        <v>10194</v>
      </c>
      <c r="M99" s="6">
        <f t="shared" si="259"/>
        <v>88726</v>
      </c>
      <c r="N99" s="6">
        <f t="shared" si="259"/>
        <v>59407</v>
      </c>
      <c r="O99" s="6">
        <f t="shared" si="259"/>
        <v>96009</v>
      </c>
      <c r="P99" s="6">
        <f t="shared" si="259"/>
        <v>893054</v>
      </c>
      <c r="Q99" s="6">
        <f t="shared" si="259"/>
        <v>189415</v>
      </c>
      <c r="R99" s="6">
        <f t="shared" si="259"/>
        <v>0</v>
      </c>
      <c r="S99" s="6">
        <f t="shared" si="259"/>
        <v>0</v>
      </c>
      <c r="T99" s="6">
        <f t="shared" si="259"/>
        <v>0</v>
      </c>
      <c r="U99" s="6">
        <f t="shared" si="259"/>
        <v>150377</v>
      </c>
      <c r="V99" s="6">
        <f t="shared" si="259"/>
        <v>0</v>
      </c>
      <c r="W99" s="6">
        <f t="shared" si="259"/>
        <v>0</v>
      </c>
      <c r="X99" s="6">
        <f t="shared" si="259"/>
        <v>47571</v>
      </c>
      <c r="Y99" s="6">
        <f t="shared" si="259"/>
        <v>0</v>
      </c>
      <c r="Z99" s="6">
        <f t="shared" si="259"/>
        <v>0</v>
      </c>
      <c r="AA99" s="6">
        <f t="shared" si="259"/>
        <v>0</v>
      </c>
      <c r="AB99" s="6">
        <f t="shared" si="259"/>
        <v>0</v>
      </c>
      <c r="AC99" s="6">
        <f t="shared" ref="AC99" si="260">AC59</f>
        <v>0</v>
      </c>
      <c r="AE99" s="6">
        <f t="shared" ref="AE99:AJ100" si="261">AE59</f>
        <v>42370</v>
      </c>
      <c r="AF99" s="6">
        <f t="shared" si="261"/>
        <v>88726</v>
      </c>
      <c r="AG99" s="6">
        <f t="shared" si="261"/>
        <v>189415</v>
      </c>
      <c r="AH99" s="6">
        <f t="shared" si="261"/>
        <v>150377</v>
      </c>
      <c r="AI99" s="6">
        <f t="shared" si="261"/>
        <v>0</v>
      </c>
      <c r="AJ99" s="6">
        <f t="shared" si="261"/>
        <v>0</v>
      </c>
    </row>
    <row r="100" spans="2:36" x14ac:dyDescent="0.25">
      <c r="B100" s="2" t="s">
        <v>29</v>
      </c>
      <c r="F100" s="6">
        <f t="shared" ref="F100:AB100" si="262">F60</f>
        <v>2026215</v>
      </c>
      <c r="G100" s="6">
        <f t="shared" si="262"/>
        <v>2098575</v>
      </c>
      <c r="H100" s="6">
        <f t="shared" si="262"/>
        <v>2331723</v>
      </c>
      <c r="I100" s="6">
        <f t="shared" si="262"/>
        <v>2649300</v>
      </c>
      <c r="J100" s="6">
        <f t="shared" si="262"/>
        <v>2671829</v>
      </c>
      <c r="K100" s="6">
        <f t="shared" si="262"/>
        <v>2828833</v>
      </c>
      <c r="L100" s="6">
        <f t="shared" si="262"/>
        <v>3378721</v>
      </c>
      <c r="M100" s="6">
        <f t="shared" si="262"/>
        <v>3772886</v>
      </c>
      <c r="N100" s="6">
        <f t="shared" si="262"/>
        <v>3946225</v>
      </c>
      <c r="O100" s="6">
        <f t="shared" si="262"/>
        <v>4095234</v>
      </c>
      <c r="P100" s="6">
        <f t="shared" si="262"/>
        <v>4600430</v>
      </c>
      <c r="Q100" s="6">
        <f t="shared" si="262"/>
        <v>6119100</v>
      </c>
      <c r="R100" s="6">
        <f t="shared" si="262"/>
        <v>6284012</v>
      </c>
      <c r="S100" s="6">
        <f t="shared" si="262"/>
        <v>7171690</v>
      </c>
      <c r="T100" s="6">
        <f t="shared" si="262"/>
        <v>7438764</v>
      </c>
      <c r="U100" s="6">
        <f t="shared" si="262"/>
        <v>8972969</v>
      </c>
      <c r="V100" s="6">
        <f t="shared" si="262"/>
        <v>9113288</v>
      </c>
      <c r="W100" s="6">
        <f t="shared" si="262"/>
        <v>9597536</v>
      </c>
      <c r="X100" s="6">
        <f t="shared" si="262"/>
        <v>10697303</v>
      </c>
      <c r="Y100" s="6">
        <f t="shared" si="262"/>
        <v>11611039</v>
      </c>
      <c r="Z100" s="6">
        <f t="shared" si="262"/>
        <v>10600590</v>
      </c>
      <c r="AA100" s="6">
        <f t="shared" si="262"/>
        <v>12439255</v>
      </c>
      <c r="AB100" s="6">
        <f t="shared" si="262"/>
        <v>13833495</v>
      </c>
      <c r="AC100" s="6">
        <f t="shared" ref="AC100" si="263">AC60</f>
        <v>16642449.622</v>
      </c>
      <c r="AE100" s="6">
        <f t="shared" si="261"/>
        <v>2649300</v>
      </c>
      <c r="AF100" s="6">
        <f t="shared" si="261"/>
        <v>3772886</v>
      </c>
      <c r="AG100" s="6">
        <f t="shared" si="261"/>
        <v>6119100</v>
      </c>
      <c r="AH100" s="6">
        <f t="shared" si="261"/>
        <v>8972969</v>
      </c>
      <c r="AI100" s="6">
        <f t="shared" si="261"/>
        <v>11611039</v>
      </c>
      <c r="AJ100" s="6">
        <f t="shared" si="261"/>
        <v>16642449.622</v>
      </c>
    </row>
    <row r="101" spans="2:36" x14ac:dyDescent="0.25">
      <c r="B101" s="8" t="s">
        <v>233</v>
      </c>
      <c r="C101" s="8"/>
      <c r="D101" s="8"/>
      <c r="E101" s="16"/>
      <c r="F101" s="16">
        <f t="shared" ref="F101:AB101" si="264">SUM(F99:F100)</f>
        <v>2059977</v>
      </c>
      <c r="G101" s="16">
        <f t="shared" si="264"/>
        <v>2129259</v>
      </c>
      <c r="H101" s="16">
        <f t="shared" si="264"/>
        <v>2363077</v>
      </c>
      <c r="I101" s="16">
        <f t="shared" si="264"/>
        <v>2691670</v>
      </c>
      <c r="J101" s="16">
        <f t="shared" si="264"/>
        <v>2671829</v>
      </c>
      <c r="K101" s="16">
        <f t="shared" si="264"/>
        <v>2857649</v>
      </c>
      <c r="L101" s="16">
        <f t="shared" si="264"/>
        <v>3388915</v>
      </c>
      <c r="M101" s="16">
        <f t="shared" si="264"/>
        <v>3861612</v>
      </c>
      <c r="N101" s="16">
        <f t="shared" si="264"/>
        <v>4005632</v>
      </c>
      <c r="O101" s="16">
        <f t="shared" si="264"/>
        <v>4191243</v>
      </c>
      <c r="P101" s="16">
        <f t="shared" si="264"/>
        <v>5493484</v>
      </c>
      <c r="Q101" s="16">
        <f t="shared" si="264"/>
        <v>6308515</v>
      </c>
      <c r="R101" s="16">
        <f t="shared" si="264"/>
        <v>6284012</v>
      </c>
      <c r="S101" s="16">
        <f t="shared" si="264"/>
        <v>7171690</v>
      </c>
      <c r="T101" s="16">
        <f t="shared" si="264"/>
        <v>7438764</v>
      </c>
      <c r="U101" s="16">
        <f t="shared" si="264"/>
        <v>9123346</v>
      </c>
      <c r="V101" s="16">
        <f t="shared" si="264"/>
        <v>9113288</v>
      </c>
      <c r="W101" s="16">
        <f t="shared" si="264"/>
        <v>9597536</v>
      </c>
      <c r="X101" s="16">
        <f t="shared" si="264"/>
        <v>10744874</v>
      </c>
      <c r="Y101" s="16">
        <f t="shared" si="264"/>
        <v>11611039</v>
      </c>
      <c r="Z101" s="16">
        <f t="shared" si="264"/>
        <v>10600590</v>
      </c>
      <c r="AA101" s="16">
        <f t="shared" si="264"/>
        <v>12439255</v>
      </c>
      <c r="AB101" s="16">
        <f t="shared" si="264"/>
        <v>13833495</v>
      </c>
      <c r="AC101" s="16">
        <f t="shared" ref="AC101" si="265">SUM(AC99:AC100)</f>
        <v>16642449.622</v>
      </c>
      <c r="AE101" s="16">
        <f t="shared" ref="AE101:AJ101" si="266">SUM(AE99:AE100)</f>
        <v>2691670</v>
      </c>
      <c r="AF101" s="16">
        <f t="shared" si="266"/>
        <v>3861612</v>
      </c>
      <c r="AG101" s="16">
        <f t="shared" si="266"/>
        <v>6308515</v>
      </c>
      <c r="AH101" s="16">
        <f t="shared" si="266"/>
        <v>9123346</v>
      </c>
      <c r="AI101" s="16">
        <f t="shared" si="266"/>
        <v>11611039</v>
      </c>
      <c r="AJ101" s="16">
        <f t="shared" si="266"/>
        <v>16642449.622</v>
      </c>
    </row>
    <row r="103" spans="2:36" x14ac:dyDescent="0.25">
      <c r="B103" s="2" t="s">
        <v>3</v>
      </c>
      <c r="F103" s="6">
        <f t="shared" ref="F103:AB103" si="267">F10</f>
        <v>-20899</v>
      </c>
      <c r="G103" s="6">
        <f t="shared" si="267"/>
        <v>-20237</v>
      </c>
      <c r="H103" s="6">
        <f t="shared" si="267"/>
        <v>-20666</v>
      </c>
      <c r="I103" s="6">
        <f t="shared" si="267"/>
        <v>-21443</v>
      </c>
      <c r="J103" s="6">
        <f t="shared" si="267"/>
        <v>-19112</v>
      </c>
      <c r="K103" s="6">
        <f t="shared" si="267"/>
        <v>-20071</v>
      </c>
      <c r="L103" s="6">
        <f t="shared" si="267"/>
        <v>-21214</v>
      </c>
      <c r="M103" s="6">
        <f t="shared" si="267"/>
        <v>-26565</v>
      </c>
      <c r="N103" s="6">
        <f t="shared" si="267"/>
        <v>-25345</v>
      </c>
      <c r="O103" s="6">
        <f t="shared" si="267"/>
        <v>-28249</v>
      </c>
      <c r="P103" s="6">
        <f t="shared" si="267"/>
        <v>-42337</v>
      </c>
      <c r="Q103" s="6">
        <f t="shared" si="267"/>
        <v>-63530</v>
      </c>
      <c r="R103" s="6">
        <f t="shared" si="267"/>
        <v>-54670</v>
      </c>
      <c r="S103" s="6">
        <f t="shared" si="267"/>
        <v>-44494</v>
      </c>
      <c r="T103" s="6">
        <f t="shared" si="267"/>
        <v>-40424</v>
      </c>
      <c r="U103" s="6">
        <f t="shared" si="267"/>
        <v>-45415</v>
      </c>
      <c r="V103" s="6">
        <f t="shared" si="267"/>
        <v>-51822</v>
      </c>
      <c r="W103" s="6">
        <f t="shared" si="267"/>
        <v>-58526</v>
      </c>
      <c r="X103" s="6">
        <f t="shared" si="267"/>
        <v>-75926</v>
      </c>
      <c r="Y103" s="6">
        <f t="shared" si="267"/>
        <v>-116127</v>
      </c>
      <c r="Z103" s="6">
        <f t="shared" si="267"/>
        <v>-97346</v>
      </c>
      <c r="AA103" s="6">
        <f t="shared" si="267"/>
        <v>-129608</v>
      </c>
      <c r="AB103" s="6">
        <f t="shared" si="267"/>
        <v>-138688</v>
      </c>
      <c r="AC103" s="6">
        <f t="shared" ref="AC103" si="268">AC10</f>
        <v>-102371.52399999998</v>
      </c>
      <c r="AE103" s="6">
        <f t="shared" ref="AE103:AJ103" si="269">AE10</f>
        <v>-83245</v>
      </c>
      <c r="AF103" s="6">
        <f t="shared" si="269"/>
        <v>-86962</v>
      </c>
      <c r="AG103" s="6">
        <f t="shared" si="269"/>
        <v>-159461</v>
      </c>
      <c r="AH103" s="6">
        <f t="shared" si="269"/>
        <v>-185003</v>
      </c>
      <c r="AI103" s="6">
        <f t="shared" si="269"/>
        <v>-302401</v>
      </c>
      <c r="AJ103" s="6">
        <f t="shared" si="269"/>
        <v>-468013.52399999998</v>
      </c>
    </row>
    <row r="104" spans="2:36" x14ac:dyDescent="0.25">
      <c r="B104" s="2" t="s">
        <v>180</v>
      </c>
      <c r="F104" s="30">
        <f>F103/F101</f>
        <v>-1.0145258903376106E-2</v>
      </c>
      <c r="G104" s="30">
        <f t="shared" ref="G104" si="270">G103/G101</f>
        <v>-9.5042453736252849E-3</v>
      </c>
      <c r="H104" s="30">
        <f t="shared" ref="H104" si="271">H103/H101</f>
        <v>-8.7453773194864151E-3</v>
      </c>
      <c r="I104" s="30">
        <f t="shared" ref="I104" si="272">I103/I101</f>
        <v>-7.966429762935278E-3</v>
      </c>
      <c r="J104" s="30">
        <f t="shared" ref="J104" si="273">J103/J101</f>
        <v>-7.1531523911148509E-3</v>
      </c>
      <c r="K104" s="30">
        <f t="shared" ref="K104" si="274">K103/K101</f>
        <v>-7.0236057682381567E-3</v>
      </c>
      <c r="L104" s="30">
        <f t="shared" ref="L104" si="275">L103/L101</f>
        <v>-6.2598206210542316E-3</v>
      </c>
      <c r="M104" s="30">
        <f t="shared" ref="M104" si="276">M103/M101</f>
        <v>-6.8792514628605878E-3</v>
      </c>
      <c r="N104" s="30">
        <f t="shared" ref="N104" si="277">N103/N101</f>
        <v>-6.3273411037259543E-3</v>
      </c>
      <c r="O104" s="30">
        <f t="shared" ref="O104" si="278">O103/O101</f>
        <v>-6.7400052919861725E-3</v>
      </c>
      <c r="P104" s="30">
        <f t="shared" ref="P104" si="279">P103/P101</f>
        <v>-7.7067667804256827E-3</v>
      </c>
      <c r="Q104" s="30">
        <f t="shared" ref="Q104" si="280">Q103/Q101</f>
        <v>-1.0070515802847421E-2</v>
      </c>
      <c r="R104" s="30">
        <f t="shared" ref="R104" si="281">R103/R101</f>
        <v>-8.6998560792054501E-3</v>
      </c>
      <c r="S104" s="30">
        <f t="shared" ref="S104" si="282">S103/S101</f>
        <v>-6.2041164634835024E-3</v>
      </c>
      <c r="T104" s="30">
        <f t="shared" ref="T104" si="283">T103/T101</f>
        <v>-5.4342361177206321E-3</v>
      </c>
      <c r="U104" s="30">
        <f t="shared" ref="U104" si="284">U103/U101</f>
        <v>-4.9778885948203655E-3</v>
      </c>
      <c r="V104" s="30">
        <f t="shared" ref="V104" si="285">V103/V101</f>
        <v>-5.6864218490625994E-3</v>
      </c>
      <c r="W104" s="30">
        <f t="shared" ref="W104" si="286">W103/W101</f>
        <v>-6.0980234926964584E-3</v>
      </c>
      <c r="X104" s="30">
        <f t="shared" ref="X104" si="287">X103/X101</f>
        <v>-7.0662531733736477E-3</v>
      </c>
      <c r="Y104" s="30">
        <f t="shared" ref="Y104" si="288">Y103/Y101</f>
        <v>-1.0001430535200166E-2</v>
      </c>
      <c r="Z104" s="30">
        <f t="shared" ref="Z104" si="289">Z103/Z101</f>
        <v>-9.1830737723088991E-3</v>
      </c>
      <c r="AA104" s="30">
        <f t="shared" ref="AA104" si="290">AA103/AA101</f>
        <v>-1.0419273501507929E-2</v>
      </c>
      <c r="AB104" s="30">
        <f t="shared" ref="AB104:AC104" si="291">AB103/AB101</f>
        <v>-1.0025521388484978E-2</v>
      </c>
      <c r="AC104" s="30">
        <f t="shared" si="291"/>
        <v>-6.1512293157055999E-3</v>
      </c>
      <c r="AE104" s="30">
        <f t="shared" ref="AE104" si="292">AE103/AE101</f>
        <v>-3.0926896684957666E-2</v>
      </c>
      <c r="AF104" s="30">
        <f t="shared" ref="AF104" si="293">AF103/AF101</f>
        <v>-2.2519610981113585E-2</v>
      </c>
      <c r="AG104" s="30">
        <f t="shared" ref="AG104" si="294">AG103/AG101</f>
        <v>-2.5277105626284473E-2</v>
      </c>
      <c r="AH104" s="30">
        <f t="shared" ref="AH104" si="295">AH103/AH101</f>
        <v>-2.027797696152267E-2</v>
      </c>
      <c r="AI104" s="30">
        <f t="shared" ref="AI104" si="296">AI103/AI101</f>
        <v>-2.6044267011763548E-2</v>
      </c>
      <c r="AJ104" s="30">
        <f t="shared" ref="AJ104" si="297">AJ103/AJ101</f>
        <v>-2.8121672868477436E-2</v>
      </c>
    </row>
    <row r="105" spans="2:36" x14ac:dyDescent="0.25">
      <c r="B105" s="76" t="s">
        <v>141</v>
      </c>
      <c r="C105" s="77"/>
      <c r="D105" s="78">
        <f>MIN($F$104:$AC$104)</f>
        <v>-1.0419273501507929E-2</v>
      </c>
      <c r="F105" s="30"/>
    </row>
    <row r="106" spans="2:36" x14ac:dyDescent="0.25">
      <c r="B106" s="79" t="s">
        <v>169</v>
      </c>
      <c r="C106" s="80"/>
      <c r="D106" s="81">
        <f>AVERAGE($F$104:$AC$104)</f>
        <v>-7.6862122860519308E-3</v>
      </c>
      <c r="F106" s="30"/>
    </row>
    <row r="107" spans="2:36" x14ac:dyDescent="0.25">
      <c r="B107" s="79" t="s">
        <v>139</v>
      </c>
      <c r="C107" s="80"/>
      <c r="D107" s="81">
        <f>MEDIAN($F$104:$AC$104)</f>
        <v>-7.1097027822442493E-3</v>
      </c>
      <c r="F107" s="30"/>
    </row>
    <row r="108" spans="2:36" x14ac:dyDescent="0.25">
      <c r="B108" s="82" t="s">
        <v>140</v>
      </c>
      <c r="C108" s="83"/>
      <c r="D108" s="84">
        <f>MAX($F$104:$AC$104)</f>
        <v>-4.9778885948203655E-3</v>
      </c>
      <c r="F108" s="30"/>
    </row>
    <row r="111" spans="2:36" x14ac:dyDescent="0.25">
      <c r="B111" s="73" t="s">
        <v>171</v>
      </c>
      <c r="C111" s="74"/>
      <c r="D111" s="74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</row>
    <row r="112" spans="2:36" x14ac:dyDescent="0.25">
      <c r="B112" s="4" t="s">
        <v>172</v>
      </c>
    </row>
    <row r="113" spans="2:36" x14ac:dyDescent="0.25">
      <c r="B113" s="2" t="s">
        <v>173</v>
      </c>
      <c r="G113" s="6">
        <f>F116</f>
        <v>595758</v>
      </c>
      <c r="H113" s="6">
        <f t="shared" ref="H113:AJ113" si="298">G116</f>
        <v>514565</v>
      </c>
      <c r="I113" s="6">
        <f t="shared" si="298"/>
        <v>622388</v>
      </c>
      <c r="J113" s="6">
        <f t="shared" si="298"/>
        <v>609414</v>
      </c>
      <c r="K113" s="6">
        <f t="shared" si="298"/>
        <v>633698</v>
      </c>
      <c r="L113" s="6">
        <f t="shared" si="298"/>
        <v>574039</v>
      </c>
      <c r="M113" s="6">
        <f t="shared" si="298"/>
        <v>728616</v>
      </c>
      <c r="N113" s="6">
        <f t="shared" si="298"/>
        <v>1011135</v>
      </c>
      <c r="O113" s="6">
        <f t="shared" si="298"/>
        <v>1181132</v>
      </c>
      <c r="P113" s="6">
        <f t="shared" si="298"/>
        <v>1104448</v>
      </c>
      <c r="Q113" s="6">
        <f t="shared" si="298"/>
        <v>1320685</v>
      </c>
      <c r="R113" s="6">
        <f t="shared" si="298"/>
        <v>1486925</v>
      </c>
      <c r="S113" s="6">
        <f t="shared" si="298"/>
        <v>1687854</v>
      </c>
      <c r="T113" s="6">
        <f t="shared" si="298"/>
        <v>1768475</v>
      </c>
      <c r="U113" s="6">
        <f t="shared" si="298"/>
        <v>1760844</v>
      </c>
      <c r="V113" s="6">
        <f t="shared" si="298"/>
        <v>1702104</v>
      </c>
      <c r="W113" s="6">
        <f t="shared" si="298"/>
        <v>1510128</v>
      </c>
      <c r="X113" s="6">
        <f t="shared" si="298"/>
        <v>1345040</v>
      </c>
      <c r="Y113" s="6">
        <f t="shared" si="298"/>
        <v>1423356</v>
      </c>
      <c r="Z113" s="6">
        <f t="shared" si="298"/>
        <v>1927368</v>
      </c>
      <c r="AA113" s="6">
        <f t="shared" si="298"/>
        <v>1560859</v>
      </c>
      <c r="AB113" s="6">
        <f t="shared" si="298"/>
        <v>1414797</v>
      </c>
      <c r="AC113" s="6">
        <f t="shared" si="298"/>
        <v>1516490</v>
      </c>
      <c r="AF113" s="6">
        <f t="shared" si="298"/>
        <v>609414</v>
      </c>
      <c r="AG113" s="6">
        <f t="shared" si="298"/>
        <v>1011135</v>
      </c>
      <c r="AH113" s="6">
        <f t="shared" si="298"/>
        <v>1486925</v>
      </c>
      <c r="AI113" s="6">
        <f t="shared" si="298"/>
        <v>1702104</v>
      </c>
      <c r="AJ113" s="6">
        <f t="shared" si="298"/>
        <v>1927368</v>
      </c>
    </row>
    <row r="114" spans="2:36" x14ac:dyDescent="0.25">
      <c r="B114" s="2" t="s">
        <v>174</v>
      </c>
      <c r="G114" s="6">
        <f t="shared" ref="G114:AB114" si="299">G18</f>
        <v>-9146</v>
      </c>
      <c r="H114" s="6">
        <f t="shared" si="299"/>
        <v>-8947</v>
      </c>
      <c r="I114" s="6">
        <f t="shared" si="299"/>
        <v>-7400</v>
      </c>
      <c r="J114" s="6">
        <f t="shared" si="299"/>
        <v>-7618</v>
      </c>
      <c r="K114" s="6">
        <f t="shared" si="299"/>
        <v>-588</v>
      </c>
      <c r="L114" s="6">
        <f t="shared" si="299"/>
        <v>-529</v>
      </c>
      <c r="M114" s="6">
        <f t="shared" si="299"/>
        <v>-9074</v>
      </c>
      <c r="N114" s="6">
        <f t="shared" si="299"/>
        <v>-10462</v>
      </c>
      <c r="O114" s="6">
        <f t="shared" si="299"/>
        <v>-5982</v>
      </c>
      <c r="P114" s="6">
        <f t="shared" si="299"/>
        <v>-19852</v>
      </c>
      <c r="Q114" s="6">
        <f t="shared" si="299"/>
        <v>-193528</v>
      </c>
      <c r="R114" s="6">
        <f t="shared" si="299"/>
        <v>-55740</v>
      </c>
      <c r="S114" s="6">
        <f t="shared" si="299"/>
        <v>-38035</v>
      </c>
      <c r="T114" s="6">
        <f t="shared" si="299"/>
        <v>-50531</v>
      </c>
      <c r="U114" s="6">
        <f t="shared" si="299"/>
        <v>66999</v>
      </c>
      <c r="V114" s="6">
        <f t="shared" si="299"/>
        <v>-10015</v>
      </c>
      <c r="W114" s="6">
        <f t="shared" si="299"/>
        <v>-15623</v>
      </c>
      <c r="X114" s="6">
        <f t="shared" si="299"/>
        <v>-75457</v>
      </c>
      <c r="Y114" s="6">
        <f t="shared" si="299"/>
        <v>62566</v>
      </c>
      <c r="Z114" s="6">
        <f t="shared" si="299"/>
        <v>25416</v>
      </c>
      <c r="AA114" s="6">
        <f t="shared" si="299"/>
        <v>26628</v>
      </c>
      <c r="AB114" s="6">
        <f t="shared" si="299"/>
        <v>46660</v>
      </c>
      <c r="AC114" s="6">
        <f t="shared" ref="AC114" si="300">AC18</f>
        <v>-178305.39600000001</v>
      </c>
      <c r="AF114" s="6">
        <f>AF18</f>
        <v>-17809</v>
      </c>
      <c r="AG114" s="6">
        <f>AG18</f>
        <v>-229824</v>
      </c>
      <c r="AH114" s="6">
        <f>AH18</f>
        <v>-77307</v>
      </c>
      <c r="AI114" s="6">
        <f>AI18</f>
        <v>-38529</v>
      </c>
      <c r="AJ114" s="6">
        <f>AJ18</f>
        <v>-79601.396000000008</v>
      </c>
    </row>
    <row r="115" spans="2:36" x14ac:dyDescent="0.25">
      <c r="B115" s="2" t="s">
        <v>175</v>
      </c>
      <c r="G115" s="6">
        <f>G116-SUM(G113:G114)</f>
        <v>-72047</v>
      </c>
      <c r="H115" s="6">
        <f t="shared" ref="H115:AJ115" si="301">H116-SUM(H113:H114)</f>
        <v>116770</v>
      </c>
      <c r="I115" s="6">
        <f t="shared" si="301"/>
        <v>-5574</v>
      </c>
      <c r="J115" s="6">
        <f t="shared" si="301"/>
        <v>31902</v>
      </c>
      <c r="K115" s="6">
        <f t="shared" si="301"/>
        <v>-59071</v>
      </c>
      <c r="L115" s="6">
        <f t="shared" si="301"/>
        <v>155106</v>
      </c>
      <c r="M115" s="6">
        <f t="shared" si="301"/>
        <v>291593</v>
      </c>
      <c r="N115" s="6">
        <f t="shared" si="301"/>
        <v>180459</v>
      </c>
      <c r="O115" s="6">
        <f t="shared" si="301"/>
        <v>-70702</v>
      </c>
      <c r="P115" s="6">
        <f t="shared" si="301"/>
        <v>236089</v>
      </c>
      <c r="Q115" s="6">
        <f t="shared" si="301"/>
        <v>359768</v>
      </c>
      <c r="R115" s="6">
        <f t="shared" si="301"/>
        <v>256669</v>
      </c>
      <c r="S115" s="6">
        <f t="shared" si="301"/>
        <v>118656</v>
      </c>
      <c r="T115" s="6">
        <f t="shared" si="301"/>
        <v>42900</v>
      </c>
      <c r="U115" s="6">
        <f t="shared" si="301"/>
        <v>-125739</v>
      </c>
      <c r="V115" s="6">
        <f t="shared" si="301"/>
        <v>-181961</v>
      </c>
      <c r="W115" s="6">
        <f t="shared" si="301"/>
        <v>-149465</v>
      </c>
      <c r="X115" s="6">
        <f t="shared" si="301"/>
        <v>153773</v>
      </c>
      <c r="Y115" s="6">
        <f t="shared" si="301"/>
        <v>441446</v>
      </c>
      <c r="Z115" s="6">
        <f t="shared" si="301"/>
        <v>-391925</v>
      </c>
      <c r="AA115" s="6">
        <f t="shared" si="301"/>
        <v>-172690</v>
      </c>
      <c r="AB115" s="6">
        <f t="shared" si="301"/>
        <v>55033</v>
      </c>
      <c r="AC115" s="6">
        <f t="shared" ref="AC115" si="302">AC116-SUM(AC113:AC114)</f>
        <v>608840.22</v>
      </c>
      <c r="AF115" s="6">
        <f t="shared" si="301"/>
        <v>419530</v>
      </c>
      <c r="AG115" s="6">
        <f t="shared" si="301"/>
        <v>705614</v>
      </c>
      <c r="AH115" s="6">
        <f t="shared" si="301"/>
        <v>292486</v>
      </c>
      <c r="AI115" s="6">
        <f t="shared" si="301"/>
        <v>263793</v>
      </c>
      <c r="AJ115" s="6">
        <f t="shared" si="301"/>
        <v>99258.219999999972</v>
      </c>
    </row>
    <row r="116" spans="2:36" x14ac:dyDescent="0.25">
      <c r="B116" s="8" t="s">
        <v>176</v>
      </c>
      <c r="C116" s="8"/>
      <c r="D116" s="8"/>
      <c r="E116" s="16"/>
      <c r="F116" s="16">
        <f t="shared" ref="F116:AB116" si="303">F87</f>
        <v>595758</v>
      </c>
      <c r="G116" s="16">
        <f t="shared" si="303"/>
        <v>514565</v>
      </c>
      <c r="H116" s="16">
        <f t="shared" si="303"/>
        <v>622388</v>
      </c>
      <c r="I116" s="16">
        <f t="shared" si="303"/>
        <v>609414</v>
      </c>
      <c r="J116" s="16">
        <f t="shared" si="303"/>
        <v>633698</v>
      </c>
      <c r="K116" s="16">
        <f t="shared" si="303"/>
        <v>574039</v>
      </c>
      <c r="L116" s="16">
        <f t="shared" si="303"/>
        <v>728616</v>
      </c>
      <c r="M116" s="16">
        <f t="shared" si="303"/>
        <v>1011135</v>
      </c>
      <c r="N116" s="16">
        <f t="shared" si="303"/>
        <v>1181132</v>
      </c>
      <c r="O116" s="16">
        <f t="shared" si="303"/>
        <v>1104448</v>
      </c>
      <c r="P116" s="16">
        <f t="shared" si="303"/>
        <v>1320685</v>
      </c>
      <c r="Q116" s="16">
        <f t="shared" si="303"/>
        <v>1486925</v>
      </c>
      <c r="R116" s="16">
        <f t="shared" si="303"/>
        <v>1687854</v>
      </c>
      <c r="S116" s="16">
        <f t="shared" si="303"/>
        <v>1768475</v>
      </c>
      <c r="T116" s="16">
        <f t="shared" si="303"/>
        <v>1760844</v>
      </c>
      <c r="U116" s="16">
        <f t="shared" si="303"/>
        <v>1702104</v>
      </c>
      <c r="V116" s="16">
        <f t="shared" si="303"/>
        <v>1510128</v>
      </c>
      <c r="W116" s="16">
        <f t="shared" si="303"/>
        <v>1345040</v>
      </c>
      <c r="X116" s="16">
        <f t="shared" si="303"/>
        <v>1423356</v>
      </c>
      <c r="Y116" s="16">
        <f t="shared" si="303"/>
        <v>1927368</v>
      </c>
      <c r="Z116" s="16">
        <f t="shared" si="303"/>
        <v>1560859</v>
      </c>
      <c r="AA116" s="16">
        <f t="shared" si="303"/>
        <v>1414797</v>
      </c>
      <c r="AB116" s="16">
        <f t="shared" si="303"/>
        <v>1516490</v>
      </c>
      <c r="AC116" s="16">
        <f t="shared" ref="AC116" si="304">AC87</f>
        <v>1947024.824</v>
      </c>
      <c r="AE116" s="16">
        <f t="shared" ref="AE116:AJ116" si="305">AE87</f>
        <v>609414</v>
      </c>
      <c r="AF116" s="16">
        <f t="shared" si="305"/>
        <v>1011135</v>
      </c>
      <c r="AG116" s="16">
        <f t="shared" si="305"/>
        <v>1486925</v>
      </c>
      <c r="AH116" s="16">
        <f t="shared" si="305"/>
        <v>1702104</v>
      </c>
      <c r="AI116" s="16">
        <f t="shared" si="305"/>
        <v>1927368</v>
      </c>
      <c r="AJ116" s="16">
        <f t="shared" si="305"/>
        <v>1947024.824</v>
      </c>
    </row>
    <row r="118" spans="2:36" x14ac:dyDescent="0.25">
      <c r="B118" s="2" t="s">
        <v>177</v>
      </c>
      <c r="G118" s="6">
        <f>IF(G115&lt;0,0,G115)</f>
        <v>0</v>
      </c>
      <c r="H118" s="6">
        <f>IF(H115&lt;0,0,H115)</f>
        <v>116770</v>
      </c>
      <c r="I118" s="6">
        <f t="shared" ref="I118:AJ118" si="306">IF(I115&lt;0,0,I115)</f>
        <v>0</v>
      </c>
      <c r="J118" s="6">
        <f t="shared" si="306"/>
        <v>31902</v>
      </c>
      <c r="K118" s="6">
        <f t="shared" si="306"/>
        <v>0</v>
      </c>
      <c r="L118" s="6">
        <f t="shared" si="306"/>
        <v>155106</v>
      </c>
      <c r="M118" s="6">
        <f t="shared" si="306"/>
        <v>291593</v>
      </c>
      <c r="N118" s="6">
        <f t="shared" si="306"/>
        <v>180459</v>
      </c>
      <c r="O118" s="6">
        <f t="shared" si="306"/>
        <v>0</v>
      </c>
      <c r="P118" s="6">
        <f t="shared" si="306"/>
        <v>236089</v>
      </c>
      <c r="Q118" s="6">
        <f t="shared" si="306"/>
        <v>359768</v>
      </c>
      <c r="R118" s="6">
        <f t="shared" si="306"/>
        <v>256669</v>
      </c>
      <c r="S118" s="6">
        <f t="shared" si="306"/>
        <v>118656</v>
      </c>
      <c r="T118" s="6">
        <f t="shared" si="306"/>
        <v>42900</v>
      </c>
      <c r="U118" s="6">
        <f t="shared" si="306"/>
        <v>0</v>
      </c>
      <c r="V118" s="6">
        <f t="shared" si="306"/>
        <v>0</v>
      </c>
      <c r="W118" s="6">
        <f t="shared" si="306"/>
        <v>0</v>
      </c>
      <c r="X118" s="6">
        <f t="shared" si="306"/>
        <v>153773</v>
      </c>
      <c r="Y118" s="6">
        <f t="shared" si="306"/>
        <v>441446</v>
      </c>
      <c r="Z118" s="6">
        <f t="shared" si="306"/>
        <v>0</v>
      </c>
      <c r="AA118" s="6">
        <f t="shared" si="306"/>
        <v>0</v>
      </c>
      <c r="AB118" s="6">
        <f t="shared" si="306"/>
        <v>55033</v>
      </c>
      <c r="AC118" s="6">
        <f t="shared" ref="AC118" si="307">IF(AC115&lt;0,0,AC115)</f>
        <v>608840.22</v>
      </c>
      <c r="AE118" s="6">
        <f t="shared" si="306"/>
        <v>0</v>
      </c>
      <c r="AF118" s="6">
        <f t="shared" si="306"/>
        <v>419530</v>
      </c>
      <c r="AG118" s="6">
        <f t="shared" si="306"/>
        <v>705614</v>
      </c>
      <c r="AH118" s="6">
        <f t="shared" si="306"/>
        <v>292486</v>
      </c>
      <c r="AI118" s="6">
        <f t="shared" si="306"/>
        <v>263793</v>
      </c>
      <c r="AJ118" s="6">
        <f t="shared" si="306"/>
        <v>99258.219999999972</v>
      </c>
    </row>
    <row r="119" spans="2:36" x14ac:dyDescent="0.25">
      <c r="B119" s="2" t="s">
        <v>178</v>
      </c>
      <c r="G119" s="6">
        <f>G99+G100</f>
        <v>2129259</v>
      </c>
      <c r="H119" s="6">
        <f>H99+H100</f>
        <v>2363077</v>
      </c>
      <c r="I119" s="6">
        <f t="shared" ref="I119:AJ119" si="308">I99+I100</f>
        <v>2691670</v>
      </c>
      <c r="J119" s="6">
        <f t="shared" si="308"/>
        <v>2671829</v>
      </c>
      <c r="K119" s="6">
        <f t="shared" si="308"/>
        <v>2857649</v>
      </c>
      <c r="L119" s="6">
        <f t="shared" si="308"/>
        <v>3388915</v>
      </c>
      <c r="M119" s="6">
        <f t="shared" si="308"/>
        <v>3861612</v>
      </c>
      <c r="N119" s="6">
        <f t="shared" si="308"/>
        <v>4005632</v>
      </c>
      <c r="O119" s="6">
        <f t="shared" si="308"/>
        <v>4191243</v>
      </c>
      <c r="P119" s="6">
        <f t="shared" si="308"/>
        <v>5493484</v>
      </c>
      <c r="Q119" s="6">
        <f t="shared" si="308"/>
        <v>6308515</v>
      </c>
      <c r="R119" s="6">
        <f t="shared" si="308"/>
        <v>6284012</v>
      </c>
      <c r="S119" s="6">
        <f t="shared" si="308"/>
        <v>7171690</v>
      </c>
      <c r="T119" s="6">
        <f t="shared" si="308"/>
        <v>7438764</v>
      </c>
      <c r="U119" s="6">
        <f t="shared" si="308"/>
        <v>9123346</v>
      </c>
      <c r="V119" s="6">
        <f t="shared" si="308"/>
        <v>9113288</v>
      </c>
      <c r="W119" s="6">
        <f t="shared" si="308"/>
        <v>9597536</v>
      </c>
      <c r="X119" s="6">
        <f t="shared" si="308"/>
        <v>10744874</v>
      </c>
      <c r="Y119" s="6">
        <f t="shared" si="308"/>
        <v>11611039</v>
      </c>
      <c r="Z119" s="6">
        <f t="shared" si="308"/>
        <v>10600590</v>
      </c>
      <c r="AA119" s="6">
        <f t="shared" si="308"/>
        <v>12439255</v>
      </c>
      <c r="AB119" s="6">
        <f t="shared" si="308"/>
        <v>13833495</v>
      </c>
      <c r="AC119" s="6">
        <f t="shared" ref="AC119" si="309">AC99+AC100</f>
        <v>16642449.622</v>
      </c>
      <c r="AE119" s="6">
        <f t="shared" si="308"/>
        <v>2691670</v>
      </c>
      <c r="AF119" s="6">
        <f t="shared" si="308"/>
        <v>3861612</v>
      </c>
      <c r="AG119" s="6">
        <f t="shared" si="308"/>
        <v>6308515</v>
      </c>
      <c r="AH119" s="6">
        <f t="shared" si="308"/>
        <v>9123346</v>
      </c>
      <c r="AI119" s="6">
        <f t="shared" si="308"/>
        <v>11611039</v>
      </c>
      <c r="AJ119" s="6">
        <f t="shared" si="308"/>
        <v>16642449.622</v>
      </c>
    </row>
    <row r="120" spans="2:36" x14ac:dyDescent="0.25">
      <c r="B120" s="2" t="s">
        <v>171</v>
      </c>
      <c r="G120" s="6">
        <f t="shared" ref="G120:AB120" si="310">G12</f>
        <v>16087</v>
      </c>
      <c r="H120" s="6">
        <f t="shared" si="310"/>
        <v>18152</v>
      </c>
      <c r="I120" s="6">
        <f t="shared" si="310"/>
        <v>7465</v>
      </c>
      <c r="J120" s="6">
        <f t="shared" si="310"/>
        <v>15288</v>
      </c>
      <c r="K120" s="6">
        <f t="shared" si="310"/>
        <v>13214</v>
      </c>
      <c r="L120" s="6">
        <f t="shared" si="310"/>
        <v>16099</v>
      </c>
      <c r="M120" s="6">
        <f t="shared" si="310"/>
        <v>36811</v>
      </c>
      <c r="N120" s="6">
        <f t="shared" si="310"/>
        <v>18434</v>
      </c>
      <c r="O120" s="6">
        <f t="shared" si="310"/>
        <v>19898</v>
      </c>
      <c r="P120" s="6">
        <f t="shared" si="310"/>
        <v>23255</v>
      </c>
      <c r="Q120" s="6">
        <f t="shared" si="310"/>
        <v>75049</v>
      </c>
      <c r="R120" s="6">
        <f t="shared" si="310"/>
        <v>30857</v>
      </c>
      <c r="S120" s="6">
        <f t="shared" si="310"/>
        <v>34719</v>
      </c>
      <c r="T120" s="6">
        <f t="shared" si="310"/>
        <v>38481</v>
      </c>
      <c r="U120" s="6">
        <f t="shared" si="310"/>
        <v>79927</v>
      </c>
      <c r="V120" s="6">
        <f t="shared" si="310"/>
        <v>32415</v>
      </c>
      <c r="W120" s="6">
        <f t="shared" si="310"/>
        <v>54359</v>
      </c>
      <c r="X120" s="6">
        <f t="shared" si="310"/>
        <v>53377</v>
      </c>
      <c r="Y120" s="6">
        <f t="shared" si="310"/>
        <v>138893</v>
      </c>
      <c r="Z120" s="6">
        <f t="shared" si="310"/>
        <v>57745</v>
      </c>
      <c r="AA120" s="6">
        <f t="shared" si="310"/>
        <v>79408</v>
      </c>
      <c r="AB120" s="6">
        <f t="shared" si="310"/>
        <v>80299</v>
      </c>
      <c r="AC120" s="6">
        <f t="shared" ref="AC120" si="311">AC12</f>
        <v>76446.237000000023</v>
      </c>
      <c r="AE120" s="6">
        <f t="shared" ref="AE120:AJ120" si="312">AE12</f>
        <v>57441</v>
      </c>
      <c r="AF120" s="6">
        <f t="shared" si="312"/>
        <v>81412</v>
      </c>
      <c r="AG120" s="6">
        <f t="shared" si="312"/>
        <v>136636</v>
      </c>
      <c r="AH120" s="6">
        <f t="shared" si="312"/>
        <v>183984</v>
      </c>
      <c r="AI120" s="6">
        <f t="shared" si="312"/>
        <v>279044</v>
      </c>
      <c r="AJ120" s="6">
        <f t="shared" si="312"/>
        <v>293898.23700000002</v>
      </c>
    </row>
    <row r="121" spans="2:36" x14ac:dyDescent="0.25">
      <c r="B121" s="2" t="s">
        <v>179</v>
      </c>
      <c r="G121" s="30">
        <f>IFERROR(G120/(G118+G119),0)</f>
        <v>7.5552105215946014E-3</v>
      </c>
      <c r="H121" s="30">
        <f>IFERROR(H120/(H118+H119),0)</f>
        <v>7.3198064235414527E-3</v>
      </c>
      <c r="I121" s="30">
        <f t="shared" ref="I121:AJ121" si="313">IFERROR(I120/(I118+I119),0)</f>
        <v>2.7733711784877048E-3</v>
      </c>
      <c r="J121" s="30">
        <f t="shared" si="313"/>
        <v>5.6544086671344151E-3</v>
      </c>
      <c r="K121" s="30">
        <f t="shared" si="313"/>
        <v>4.6240808440784712E-3</v>
      </c>
      <c r="L121" s="30">
        <f t="shared" si="313"/>
        <v>4.5425803063808027E-3</v>
      </c>
      <c r="M121" s="30">
        <f t="shared" si="313"/>
        <v>8.8632754703897344E-3</v>
      </c>
      <c r="N121" s="30">
        <f t="shared" si="313"/>
        <v>4.4036309769663389E-3</v>
      </c>
      <c r="O121" s="30">
        <f t="shared" si="313"/>
        <v>4.7475176218606269E-3</v>
      </c>
      <c r="P121" s="30">
        <f t="shared" si="313"/>
        <v>4.0587666829622381E-3</v>
      </c>
      <c r="Q121" s="30">
        <f t="shared" si="313"/>
        <v>1.1254621317061678E-2</v>
      </c>
      <c r="R121" s="30">
        <f t="shared" si="313"/>
        <v>4.7177044714457102E-3</v>
      </c>
      <c r="S121" s="30">
        <f t="shared" si="313"/>
        <v>4.7623254095210295E-3</v>
      </c>
      <c r="T121" s="30">
        <f t="shared" si="313"/>
        <v>5.1433745220314624E-3</v>
      </c>
      <c r="U121" s="30">
        <f t="shared" si="313"/>
        <v>8.7607112565937974E-3</v>
      </c>
      <c r="V121" s="30">
        <f t="shared" si="313"/>
        <v>3.5568940650180262E-3</v>
      </c>
      <c r="W121" s="30">
        <f t="shared" si="313"/>
        <v>5.6638495547190445E-3</v>
      </c>
      <c r="X121" s="30">
        <f t="shared" si="313"/>
        <v>4.8975804060815992E-3</v>
      </c>
      <c r="Y121" s="30">
        <f t="shared" si="313"/>
        <v>1.1524013512566081E-2</v>
      </c>
      <c r="Z121" s="30">
        <f t="shared" si="313"/>
        <v>5.4473383085281105E-3</v>
      </c>
      <c r="AA121" s="30">
        <f t="shared" si="313"/>
        <v>6.3836620440693593E-3</v>
      </c>
      <c r="AB121" s="30">
        <f t="shared" si="313"/>
        <v>5.7816782311271575E-3</v>
      </c>
      <c r="AC121" s="30">
        <f t="shared" ref="AC121" si="314">IFERROR(AC120/(AC118+AC119),0)</f>
        <v>4.4313345668730211E-3</v>
      </c>
      <c r="AD121" s="30"/>
      <c r="AE121" s="30">
        <f t="shared" si="313"/>
        <v>2.1340283169927962E-2</v>
      </c>
      <c r="AF121" s="30">
        <f t="shared" si="313"/>
        <v>1.9016421319358247E-2</v>
      </c>
      <c r="AG121" s="30">
        <f t="shared" si="313"/>
        <v>1.9480109362117519E-2</v>
      </c>
      <c r="AH121" s="30">
        <f t="shared" si="313"/>
        <v>1.9539855851293864E-2</v>
      </c>
      <c r="AI121" s="30">
        <f t="shared" si="313"/>
        <v>2.3498774551084175E-2</v>
      </c>
      <c r="AJ121" s="30">
        <f t="shared" si="313"/>
        <v>1.7554854007349008E-2</v>
      </c>
    </row>
    <row r="122" spans="2:36" x14ac:dyDescent="0.25">
      <c r="B122" s="76" t="s">
        <v>141</v>
      </c>
      <c r="C122" s="77"/>
      <c r="D122" s="78">
        <f>MAX($G$121:$AC$121)</f>
        <v>1.1524013512566081E-2</v>
      </c>
    </row>
    <row r="123" spans="2:36" x14ac:dyDescent="0.25">
      <c r="B123" s="79" t="s">
        <v>169</v>
      </c>
      <c r="C123" s="80"/>
      <c r="D123" s="81">
        <f>AVERAGE($G$121:$AC$121)</f>
        <v>5.9507711460448894E-3</v>
      </c>
    </row>
    <row r="124" spans="2:36" x14ac:dyDescent="0.25">
      <c r="B124" s="79" t="s">
        <v>139</v>
      </c>
      <c r="C124" s="80"/>
      <c r="D124" s="81">
        <f>MEDIAN($G$121:$AC$121)</f>
        <v>5.1433745220314624E-3</v>
      </c>
    </row>
    <row r="125" spans="2:36" x14ac:dyDescent="0.25">
      <c r="B125" s="82" t="s">
        <v>140</v>
      </c>
      <c r="C125" s="83"/>
      <c r="D125" s="84">
        <f>MIN($G$121:$AC$121)</f>
        <v>2.7733711784877048E-3</v>
      </c>
    </row>
    <row r="128" spans="2:36" x14ac:dyDescent="0.25">
      <c r="B128" s="85" t="s">
        <v>182</v>
      </c>
      <c r="C128" s="86"/>
      <c r="D128" s="86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</row>
    <row r="129" spans="2:36" x14ac:dyDescent="0.25">
      <c r="B129" s="2" t="s">
        <v>182</v>
      </c>
      <c r="G129" s="89">
        <f t="shared" ref="G129:AB129" si="315">G13</f>
        <v>0</v>
      </c>
      <c r="H129" s="89">
        <f t="shared" si="315"/>
        <v>0</v>
      </c>
      <c r="I129" s="89">
        <f t="shared" si="315"/>
        <v>-12482</v>
      </c>
      <c r="J129" s="89">
        <f t="shared" si="315"/>
        <v>0</v>
      </c>
      <c r="K129" s="89">
        <f t="shared" si="315"/>
        <v>0</v>
      </c>
      <c r="L129" s="89">
        <f t="shared" si="315"/>
        <v>0</v>
      </c>
      <c r="M129" s="89">
        <f t="shared" si="315"/>
        <v>-24812</v>
      </c>
      <c r="N129" s="89">
        <f t="shared" si="315"/>
        <v>0</v>
      </c>
      <c r="O129" s="89">
        <f t="shared" si="315"/>
        <v>0</v>
      </c>
      <c r="P129" s="89">
        <f t="shared" si="315"/>
        <v>0</v>
      </c>
      <c r="Q129" s="89">
        <f t="shared" si="315"/>
        <v>-41449</v>
      </c>
      <c r="R129" s="89">
        <f t="shared" si="315"/>
        <v>0</v>
      </c>
      <c r="S129" s="89">
        <f t="shared" si="315"/>
        <v>0</v>
      </c>
      <c r="T129" s="89">
        <f t="shared" si="315"/>
        <v>0</v>
      </c>
      <c r="U129" s="89">
        <f t="shared" si="315"/>
        <v>-60118</v>
      </c>
      <c r="V129" s="89">
        <f t="shared" si="315"/>
        <v>0</v>
      </c>
      <c r="W129" s="89">
        <f t="shared" si="315"/>
        <v>0</v>
      </c>
      <c r="X129" s="89">
        <f t="shared" si="315"/>
        <v>0</v>
      </c>
      <c r="Y129" s="89">
        <f t="shared" si="315"/>
        <v>-98846</v>
      </c>
      <c r="Z129" s="89">
        <f t="shared" si="315"/>
        <v>-26840</v>
      </c>
      <c r="AA129" s="89">
        <f t="shared" si="315"/>
        <v>-38753</v>
      </c>
      <c r="AB129" s="89">
        <f t="shared" si="315"/>
        <v>-22529</v>
      </c>
      <c r="AC129" s="89">
        <f t="shared" ref="AC129" si="316">AC13</f>
        <v>-29426.085000000006</v>
      </c>
      <c r="AE129" s="89">
        <f t="shared" ref="AE129:AJ129" si="317">AE13</f>
        <v>-12482</v>
      </c>
      <c r="AF129" s="89">
        <f t="shared" si="317"/>
        <v>-24812</v>
      </c>
      <c r="AG129" s="89">
        <f t="shared" si="317"/>
        <v>-41449</v>
      </c>
      <c r="AH129" s="89">
        <f t="shared" si="317"/>
        <v>-60118</v>
      </c>
      <c r="AI129" s="89">
        <f t="shared" si="317"/>
        <v>-98846</v>
      </c>
      <c r="AJ129" s="89">
        <f t="shared" si="317"/>
        <v>-117548.08500000001</v>
      </c>
    </row>
    <row r="130" spans="2:36" x14ac:dyDescent="0.25">
      <c r="B130" s="2" t="s">
        <v>183</v>
      </c>
      <c r="G130" s="88">
        <f>G129/G120</f>
        <v>0</v>
      </c>
      <c r="H130" s="88">
        <f t="shared" ref="H130:AJ130" si="318">H129/H120</f>
        <v>0</v>
      </c>
      <c r="I130" s="88">
        <f t="shared" si="318"/>
        <v>-1.6720696584058943</v>
      </c>
      <c r="J130" s="88">
        <f t="shared" si="318"/>
        <v>0</v>
      </c>
      <c r="K130" s="88">
        <f t="shared" si="318"/>
        <v>0</v>
      </c>
      <c r="L130" s="88">
        <f t="shared" si="318"/>
        <v>0</v>
      </c>
      <c r="M130" s="88">
        <f t="shared" si="318"/>
        <v>-0.67403765178886743</v>
      </c>
      <c r="N130" s="88">
        <f t="shared" si="318"/>
        <v>0</v>
      </c>
      <c r="O130" s="88">
        <f t="shared" si="318"/>
        <v>0</v>
      </c>
      <c r="P130" s="88">
        <f t="shared" si="318"/>
        <v>0</v>
      </c>
      <c r="Q130" s="88">
        <f t="shared" si="318"/>
        <v>-0.5522925022318752</v>
      </c>
      <c r="R130" s="88">
        <f t="shared" si="318"/>
        <v>0</v>
      </c>
      <c r="S130" s="88">
        <f t="shared" si="318"/>
        <v>0</v>
      </c>
      <c r="T130" s="88">
        <f t="shared" si="318"/>
        <v>0</v>
      </c>
      <c r="U130" s="88">
        <f t="shared" si="318"/>
        <v>-0.7521613472293468</v>
      </c>
      <c r="V130" s="88">
        <f t="shared" si="318"/>
        <v>0</v>
      </c>
      <c r="W130" s="88">
        <f t="shared" si="318"/>
        <v>0</v>
      </c>
      <c r="X130" s="88">
        <f t="shared" si="318"/>
        <v>0</v>
      </c>
      <c r="Y130" s="88">
        <f t="shared" si="318"/>
        <v>-0.71167013456401695</v>
      </c>
      <c r="Z130" s="88">
        <f t="shared" si="318"/>
        <v>-0.46480214737206682</v>
      </c>
      <c r="AA130" s="88">
        <f t="shared" si="318"/>
        <v>-0.48802387668748742</v>
      </c>
      <c r="AB130" s="88">
        <f t="shared" si="318"/>
        <v>-0.28056389245196078</v>
      </c>
      <c r="AC130" s="88">
        <f t="shared" ref="AC130" si="319">AC129/AC120</f>
        <v>-0.38492522529264583</v>
      </c>
      <c r="AE130" s="88">
        <f t="shared" si="318"/>
        <v>-0.21730123082815411</v>
      </c>
      <c r="AF130" s="88">
        <f t="shared" si="318"/>
        <v>-0.30477079546012875</v>
      </c>
      <c r="AG130" s="88">
        <f t="shared" si="318"/>
        <v>-0.30335343540501769</v>
      </c>
      <c r="AH130" s="88">
        <f t="shared" si="318"/>
        <v>-0.32675667449343421</v>
      </c>
      <c r="AI130" s="88">
        <f t="shared" si="318"/>
        <v>-0.35423087398403119</v>
      </c>
      <c r="AJ130" s="88">
        <f t="shared" si="318"/>
        <v>-0.39996185822645813</v>
      </c>
    </row>
    <row r="131" spans="2:36" x14ac:dyDescent="0.25">
      <c r="B131" s="76" t="s">
        <v>141</v>
      </c>
      <c r="C131" s="77"/>
      <c r="D131" s="78">
        <f>MIN($AE$130:$AJ$130)</f>
        <v>-0.39996185822645813</v>
      </c>
    </row>
    <row r="132" spans="2:36" x14ac:dyDescent="0.25">
      <c r="B132" s="79" t="s">
        <v>169</v>
      </c>
      <c r="C132" s="80"/>
      <c r="D132" s="81">
        <f>AVERAGE($AE$130:$AJ$130)</f>
        <v>-0.31772914473287067</v>
      </c>
    </row>
    <row r="133" spans="2:36" x14ac:dyDescent="0.25">
      <c r="B133" s="79" t="s">
        <v>139</v>
      </c>
      <c r="C133" s="80"/>
      <c r="D133" s="81">
        <f>MEDIAN($AE$130:$AJ$130)</f>
        <v>-0.31576373497678145</v>
      </c>
    </row>
    <row r="134" spans="2:36" x14ac:dyDescent="0.25">
      <c r="B134" s="82" t="s">
        <v>140</v>
      </c>
      <c r="C134" s="83"/>
      <c r="D134" s="84">
        <f>MAX($AE$130:$AJ$130)</f>
        <v>-0.21730123082815411</v>
      </c>
    </row>
    <row r="137" spans="2:36" x14ac:dyDescent="0.25">
      <c r="B137" s="73" t="s">
        <v>184</v>
      </c>
      <c r="C137" s="86"/>
      <c r="D137" s="86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</row>
    <row r="138" spans="2:36" x14ac:dyDescent="0.25">
      <c r="B138" s="4" t="s">
        <v>185</v>
      </c>
    </row>
    <row r="139" spans="2:36" x14ac:dyDescent="0.25">
      <c r="B139" s="2" t="s">
        <v>71</v>
      </c>
      <c r="F139" s="6">
        <f>F86</f>
        <v>841803</v>
      </c>
      <c r="G139" s="6">
        <f t="shared" ref="G139:AJ139" si="320">G86</f>
        <v>1121649</v>
      </c>
      <c r="H139" s="6">
        <f t="shared" si="320"/>
        <v>1085506</v>
      </c>
      <c r="I139" s="6">
        <f t="shared" si="320"/>
        <v>857232</v>
      </c>
      <c r="J139" s="6">
        <f t="shared" si="320"/>
        <v>1182364</v>
      </c>
      <c r="K139" s="6">
        <f t="shared" si="320"/>
        <v>1384113</v>
      </c>
      <c r="L139" s="6">
        <f t="shared" si="320"/>
        <v>1392672</v>
      </c>
      <c r="M139" s="6">
        <f t="shared" si="320"/>
        <v>820239</v>
      </c>
      <c r="N139" s="6">
        <f t="shared" si="320"/>
        <v>1302694</v>
      </c>
      <c r="O139" s="6">
        <f t="shared" si="320"/>
        <v>1149342</v>
      </c>
      <c r="P139" s="6">
        <f t="shared" si="320"/>
        <v>1880011</v>
      </c>
      <c r="Q139" s="6">
        <f t="shared" si="320"/>
        <v>1661135</v>
      </c>
      <c r="R139" s="6">
        <f t="shared" si="320"/>
        <v>2448633</v>
      </c>
      <c r="S139" s="6">
        <f t="shared" si="320"/>
        <v>2093026</v>
      </c>
      <c r="T139" s="6">
        <f t="shared" si="320"/>
        <v>2304294</v>
      </c>
      <c r="U139" s="6">
        <f t="shared" si="320"/>
        <v>2059376</v>
      </c>
      <c r="V139" s="6">
        <f t="shared" si="320"/>
        <v>2366023</v>
      </c>
      <c r="W139" s="6">
        <f t="shared" si="320"/>
        <v>2099235</v>
      </c>
      <c r="X139" s="6">
        <f t="shared" si="320"/>
        <v>2403637</v>
      </c>
      <c r="Y139" s="6">
        <f t="shared" si="320"/>
        <v>2647258</v>
      </c>
      <c r="Z139" s="6">
        <f t="shared" si="320"/>
        <v>2389898</v>
      </c>
      <c r="AA139" s="6">
        <f t="shared" si="320"/>
        <v>3217511</v>
      </c>
      <c r="AB139" s="6">
        <f t="shared" si="320"/>
        <v>3580300</v>
      </c>
      <c r="AC139" s="6">
        <f t="shared" ref="AC139" si="321">AC86</f>
        <v>3178870.372</v>
      </c>
      <c r="AE139" s="6">
        <f t="shared" si="320"/>
        <v>857232</v>
      </c>
      <c r="AF139" s="6">
        <f t="shared" si="320"/>
        <v>820239</v>
      </c>
      <c r="AG139" s="6">
        <f t="shared" si="320"/>
        <v>1661135</v>
      </c>
      <c r="AH139" s="6">
        <f t="shared" si="320"/>
        <v>2059376</v>
      </c>
      <c r="AI139" s="6">
        <f t="shared" si="320"/>
        <v>2647258</v>
      </c>
      <c r="AJ139" s="6">
        <f t="shared" si="320"/>
        <v>3178870.372</v>
      </c>
    </row>
    <row r="140" spans="2:36" x14ac:dyDescent="0.25">
      <c r="B140" s="2" t="s">
        <v>88</v>
      </c>
      <c r="F140" s="6">
        <f>F45</f>
        <v>0</v>
      </c>
      <c r="G140" s="6">
        <f t="shared" ref="G140:AJ140" si="322">G45</f>
        <v>0</v>
      </c>
      <c r="H140" s="6">
        <f t="shared" si="322"/>
        <v>0</v>
      </c>
      <c r="I140" s="6">
        <f t="shared" si="322"/>
        <v>435577</v>
      </c>
      <c r="J140" s="6">
        <f t="shared" si="322"/>
        <v>0</v>
      </c>
      <c r="K140" s="6">
        <f t="shared" si="322"/>
        <v>0</v>
      </c>
      <c r="L140" s="6">
        <f t="shared" si="322"/>
        <v>0</v>
      </c>
      <c r="M140" s="6">
        <f t="shared" si="322"/>
        <v>462282</v>
      </c>
      <c r="N140" s="6">
        <f t="shared" si="322"/>
        <v>0</v>
      </c>
      <c r="O140" s="6">
        <f t="shared" si="322"/>
        <v>0</v>
      </c>
      <c r="P140" s="6">
        <f t="shared" si="322"/>
        <v>0</v>
      </c>
      <c r="Q140" s="6">
        <f t="shared" si="322"/>
        <v>0</v>
      </c>
      <c r="R140" s="6">
        <f t="shared" si="322"/>
        <v>0</v>
      </c>
      <c r="S140" s="6">
        <f t="shared" si="322"/>
        <v>0</v>
      </c>
      <c r="T140" s="6">
        <f t="shared" si="322"/>
        <v>0</v>
      </c>
      <c r="U140" s="6">
        <f t="shared" si="322"/>
        <v>8411</v>
      </c>
      <c r="V140" s="6">
        <f t="shared" si="322"/>
        <v>0</v>
      </c>
      <c r="W140" s="6">
        <f t="shared" si="322"/>
        <v>0</v>
      </c>
      <c r="X140" s="6">
        <f t="shared" si="322"/>
        <v>0</v>
      </c>
      <c r="Y140" s="6">
        <f t="shared" si="322"/>
        <v>0</v>
      </c>
      <c r="Z140" s="6">
        <f t="shared" si="322"/>
        <v>0</v>
      </c>
      <c r="AA140" s="6">
        <f t="shared" si="322"/>
        <v>0</v>
      </c>
      <c r="AB140" s="6">
        <f t="shared" si="322"/>
        <v>0</v>
      </c>
      <c r="AC140" s="6">
        <f t="shared" ref="AC140" si="323">AC45</f>
        <v>0</v>
      </c>
      <c r="AE140" s="6">
        <f t="shared" si="322"/>
        <v>435577</v>
      </c>
      <c r="AF140" s="6">
        <f t="shared" si="322"/>
        <v>462282</v>
      </c>
      <c r="AG140" s="6">
        <f t="shared" si="322"/>
        <v>0</v>
      </c>
      <c r="AH140" s="6">
        <f t="shared" si="322"/>
        <v>8411</v>
      </c>
      <c r="AI140" s="6">
        <f t="shared" si="322"/>
        <v>0</v>
      </c>
      <c r="AJ140" s="6">
        <f t="shared" si="322"/>
        <v>0</v>
      </c>
    </row>
    <row r="141" spans="2:36" x14ac:dyDescent="0.25">
      <c r="B141" s="2" t="s">
        <v>95</v>
      </c>
      <c r="F141" s="6">
        <f>F46</f>
        <v>0</v>
      </c>
      <c r="G141" s="6">
        <f t="shared" ref="G141:AJ141" si="324">G46</f>
        <v>0</v>
      </c>
      <c r="H141" s="6">
        <f t="shared" si="324"/>
        <v>0</v>
      </c>
      <c r="I141" s="6">
        <f t="shared" si="324"/>
        <v>15594</v>
      </c>
      <c r="J141" s="6">
        <f t="shared" si="324"/>
        <v>0</v>
      </c>
      <c r="K141" s="6">
        <f t="shared" si="324"/>
        <v>0</v>
      </c>
      <c r="L141" s="6">
        <f t="shared" si="324"/>
        <v>0</v>
      </c>
      <c r="M141" s="6">
        <f t="shared" si="324"/>
        <v>167867</v>
      </c>
      <c r="N141" s="6">
        <f t="shared" si="324"/>
        <v>0</v>
      </c>
      <c r="O141" s="6">
        <f t="shared" si="324"/>
        <v>0</v>
      </c>
      <c r="P141" s="6">
        <f t="shared" si="324"/>
        <v>0</v>
      </c>
      <c r="Q141" s="6">
        <f t="shared" si="324"/>
        <v>0</v>
      </c>
      <c r="R141" s="6">
        <f t="shared" si="324"/>
        <v>0</v>
      </c>
      <c r="S141" s="6">
        <f t="shared" si="324"/>
        <v>0</v>
      </c>
      <c r="T141" s="6">
        <f t="shared" si="324"/>
        <v>0</v>
      </c>
      <c r="U141" s="6">
        <f t="shared" si="324"/>
        <v>0</v>
      </c>
      <c r="V141" s="6">
        <f t="shared" si="324"/>
        <v>0</v>
      </c>
      <c r="W141" s="6">
        <f t="shared" si="324"/>
        <v>0</v>
      </c>
      <c r="X141" s="6">
        <f t="shared" si="324"/>
        <v>0</v>
      </c>
      <c r="Y141" s="6">
        <f t="shared" si="324"/>
        <v>0</v>
      </c>
      <c r="Z141" s="6">
        <f t="shared" si="324"/>
        <v>0</v>
      </c>
      <c r="AA141" s="6">
        <f t="shared" si="324"/>
        <v>0</v>
      </c>
      <c r="AB141" s="6">
        <f t="shared" si="324"/>
        <v>0</v>
      </c>
      <c r="AC141" s="6">
        <f t="shared" ref="AC141" si="325">AC46</f>
        <v>0</v>
      </c>
      <c r="AE141" s="6">
        <f t="shared" si="324"/>
        <v>15594</v>
      </c>
      <c r="AF141" s="6">
        <f t="shared" si="324"/>
        <v>167867</v>
      </c>
      <c r="AG141" s="6">
        <f t="shared" si="324"/>
        <v>0</v>
      </c>
      <c r="AH141" s="6">
        <f t="shared" si="324"/>
        <v>0</v>
      </c>
      <c r="AI141" s="6">
        <f t="shared" si="324"/>
        <v>0</v>
      </c>
      <c r="AJ141" s="6">
        <f t="shared" si="324"/>
        <v>0</v>
      </c>
    </row>
    <row r="142" spans="2:36" x14ac:dyDescent="0.25">
      <c r="B142" s="8" t="s">
        <v>185</v>
      </c>
      <c r="C142" s="8"/>
      <c r="D142" s="8"/>
      <c r="E142" s="16"/>
      <c r="F142" s="16">
        <f>SUM(F139:F141)</f>
        <v>841803</v>
      </c>
      <c r="G142" s="16">
        <f t="shared" ref="G142:AJ142" si="326">SUM(G139:G141)</f>
        <v>1121649</v>
      </c>
      <c r="H142" s="16">
        <f t="shared" si="326"/>
        <v>1085506</v>
      </c>
      <c r="I142" s="16">
        <f t="shared" si="326"/>
        <v>1308403</v>
      </c>
      <c r="J142" s="16">
        <f t="shared" si="326"/>
        <v>1182364</v>
      </c>
      <c r="K142" s="16">
        <f t="shared" si="326"/>
        <v>1384113</v>
      </c>
      <c r="L142" s="16">
        <f t="shared" si="326"/>
        <v>1392672</v>
      </c>
      <c r="M142" s="16">
        <f t="shared" si="326"/>
        <v>1450388</v>
      </c>
      <c r="N142" s="16">
        <f t="shared" si="326"/>
        <v>1302694</v>
      </c>
      <c r="O142" s="16">
        <f t="shared" si="326"/>
        <v>1149342</v>
      </c>
      <c r="P142" s="16">
        <f t="shared" si="326"/>
        <v>1880011</v>
      </c>
      <c r="Q142" s="16">
        <f t="shared" si="326"/>
        <v>1661135</v>
      </c>
      <c r="R142" s="16">
        <f t="shared" si="326"/>
        <v>2448633</v>
      </c>
      <c r="S142" s="16">
        <f t="shared" si="326"/>
        <v>2093026</v>
      </c>
      <c r="T142" s="16">
        <f t="shared" si="326"/>
        <v>2304294</v>
      </c>
      <c r="U142" s="16">
        <f t="shared" si="326"/>
        <v>2067787</v>
      </c>
      <c r="V142" s="16">
        <f t="shared" si="326"/>
        <v>2366023</v>
      </c>
      <c r="W142" s="16">
        <f t="shared" si="326"/>
        <v>2099235</v>
      </c>
      <c r="X142" s="16">
        <f t="shared" si="326"/>
        <v>2403637</v>
      </c>
      <c r="Y142" s="16">
        <f t="shared" si="326"/>
        <v>2647258</v>
      </c>
      <c r="Z142" s="16">
        <f t="shared" si="326"/>
        <v>2389898</v>
      </c>
      <c r="AA142" s="16">
        <f t="shared" si="326"/>
        <v>3217511</v>
      </c>
      <c r="AB142" s="16">
        <f t="shared" si="326"/>
        <v>3580300</v>
      </c>
      <c r="AC142" s="16">
        <f t="shared" ref="AC142" si="327">SUM(AC139:AC141)</f>
        <v>3178870.372</v>
      </c>
      <c r="AE142" s="16">
        <f t="shared" si="326"/>
        <v>1308403</v>
      </c>
      <c r="AF142" s="16">
        <f t="shared" si="326"/>
        <v>1450388</v>
      </c>
      <c r="AG142" s="16">
        <f t="shared" si="326"/>
        <v>1661135</v>
      </c>
      <c r="AH142" s="16">
        <f t="shared" si="326"/>
        <v>2067787</v>
      </c>
      <c r="AI142" s="16">
        <f t="shared" si="326"/>
        <v>2647258</v>
      </c>
      <c r="AJ142" s="16">
        <f t="shared" si="326"/>
        <v>3178870.372</v>
      </c>
    </row>
    <row r="144" spans="2:36" x14ac:dyDescent="0.25">
      <c r="B144" s="2" t="s">
        <v>187</v>
      </c>
      <c r="F144" s="6">
        <f t="shared" ref="F144:AB144" si="328">F15</f>
        <v>13247</v>
      </c>
      <c r="G144" s="6">
        <f t="shared" si="328"/>
        <v>12034</v>
      </c>
      <c r="H144" s="6">
        <f t="shared" si="328"/>
        <v>9062</v>
      </c>
      <c r="I144" s="6">
        <f t="shared" si="328"/>
        <v>33204</v>
      </c>
      <c r="J144" s="6">
        <f t="shared" si="328"/>
        <v>7979</v>
      </c>
      <c r="K144" s="6">
        <f t="shared" si="328"/>
        <v>7593</v>
      </c>
      <c r="L144" s="6">
        <f t="shared" si="328"/>
        <v>6754</v>
      </c>
      <c r="M144" s="6">
        <f t="shared" si="328"/>
        <v>11270</v>
      </c>
      <c r="N144" s="6">
        <f t="shared" si="328"/>
        <v>15985</v>
      </c>
      <c r="O144" s="6">
        <f t="shared" si="328"/>
        <v>3150</v>
      </c>
      <c r="P144" s="6">
        <f t="shared" si="328"/>
        <v>-2588</v>
      </c>
      <c r="Q144" s="6">
        <f t="shared" si="328"/>
        <v>-9700</v>
      </c>
      <c r="R144" s="6">
        <f t="shared" si="328"/>
        <v>28302</v>
      </c>
      <c r="S144" s="6">
        <f t="shared" si="328"/>
        <v>21369</v>
      </c>
      <c r="T144" s="6">
        <f t="shared" si="328"/>
        <v>16251</v>
      </c>
      <c r="U144" s="6">
        <f t="shared" si="328"/>
        <v>188932</v>
      </c>
      <c r="V144" s="6">
        <f t="shared" si="328"/>
        <v>22827</v>
      </c>
      <c r="W144" s="6">
        <f t="shared" si="328"/>
        <v>15423</v>
      </c>
      <c r="X144" s="6">
        <f t="shared" si="328"/>
        <v>19306</v>
      </c>
      <c r="Y144" s="6">
        <f t="shared" si="328"/>
        <v>278097</v>
      </c>
      <c r="Z144" s="6">
        <f t="shared" si="328"/>
        <v>13104</v>
      </c>
      <c r="AA144" s="6">
        <f t="shared" si="328"/>
        <v>72392</v>
      </c>
      <c r="AB144" s="6">
        <f t="shared" si="328"/>
        <v>27893</v>
      </c>
      <c r="AC144" s="6">
        <f t="shared" ref="AC144" si="329">AC15</f>
        <v>46887.804000000004</v>
      </c>
      <c r="AE144" s="6">
        <f t="shared" ref="AE144:AJ144" si="330">AE15</f>
        <v>67547</v>
      </c>
      <c r="AF144" s="6">
        <f t="shared" si="330"/>
        <v>33596</v>
      </c>
      <c r="AG144" s="6">
        <f t="shared" si="330"/>
        <v>6847</v>
      </c>
      <c r="AH144" s="6">
        <f t="shared" si="330"/>
        <v>254854</v>
      </c>
      <c r="AI144" s="6">
        <f t="shared" si="330"/>
        <v>335653</v>
      </c>
      <c r="AJ144" s="6">
        <f t="shared" si="330"/>
        <v>160276.804</v>
      </c>
    </row>
    <row r="145" spans="2:36" x14ac:dyDescent="0.25">
      <c r="B145" s="2" t="s">
        <v>188</v>
      </c>
      <c r="F145" s="30">
        <f>IFERROR(F144/F142,0)</f>
        <v>1.5736460905936424E-2</v>
      </c>
      <c r="G145" s="30">
        <f t="shared" ref="G145:AJ145" si="331">IFERROR(G144/G142,0)</f>
        <v>1.0728846546468636E-2</v>
      </c>
      <c r="H145" s="30">
        <f t="shared" si="331"/>
        <v>8.3481804798867989E-3</v>
      </c>
      <c r="I145" s="30">
        <f t="shared" si="331"/>
        <v>2.5377502191603046E-2</v>
      </c>
      <c r="J145" s="30">
        <f t="shared" si="331"/>
        <v>6.7483448413517329E-3</v>
      </c>
      <c r="K145" s="30">
        <f t="shared" si="331"/>
        <v>5.4858237730589917E-3</v>
      </c>
      <c r="L145" s="30">
        <f t="shared" si="331"/>
        <v>4.8496702741205391E-3</v>
      </c>
      <c r="M145" s="30">
        <f t="shared" si="331"/>
        <v>7.7703345587525549E-3</v>
      </c>
      <c r="N145" s="30">
        <f t="shared" si="331"/>
        <v>1.2270725128080731E-2</v>
      </c>
      <c r="O145" s="30">
        <f t="shared" si="331"/>
        <v>2.7406985910199055E-3</v>
      </c>
      <c r="P145" s="30">
        <f t="shared" si="331"/>
        <v>-1.3765876901784084E-3</v>
      </c>
      <c r="Q145" s="30">
        <f t="shared" si="331"/>
        <v>-5.8393809052244396E-3</v>
      </c>
      <c r="R145" s="30">
        <f t="shared" si="331"/>
        <v>1.155828578639592E-2</v>
      </c>
      <c r="S145" s="30">
        <f t="shared" si="331"/>
        <v>1.020961994738718E-2</v>
      </c>
      <c r="T145" s="30">
        <f t="shared" si="331"/>
        <v>7.0524854901327693E-3</v>
      </c>
      <c r="U145" s="30">
        <f t="shared" si="331"/>
        <v>9.1369178740363488E-2</v>
      </c>
      <c r="V145" s="30">
        <f t="shared" si="331"/>
        <v>9.6478352070119358E-3</v>
      </c>
      <c r="W145" s="30">
        <f t="shared" si="331"/>
        <v>7.3469621076249205E-3</v>
      </c>
      <c r="X145" s="30">
        <f t="shared" si="331"/>
        <v>8.0319948478077188E-3</v>
      </c>
      <c r="Y145" s="30">
        <f t="shared" si="331"/>
        <v>0.10505096216538018</v>
      </c>
      <c r="Z145" s="30">
        <f t="shared" si="331"/>
        <v>5.4830791941748143E-3</v>
      </c>
      <c r="AA145" s="30">
        <f t="shared" si="331"/>
        <v>2.2499379178501644E-2</v>
      </c>
      <c r="AB145" s="30">
        <f t="shared" si="331"/>
        <v>7.7906879311789518E-3</v>
      </c>
      <c r="AC145" s="30">
        <f t="shared" ref="AC145" si="332">IFERROR(AC144/AC142,0)</f>
        <v>1.4749832019888354E-2</v>
      </c>
      <c r="AE145" s="30">
        <f t="shared" si="331"/>
        <v>5.1625531277442807E-2</v>
      </c>
      <c r="AF145" s="30">
        <f t="shared" si="331"/>
        <v>2.3163456950829709E-2</v>
      </c>
      <c r="AG145" s="30">
        <f t="shared" si="331"/>
        <v>4.1218805214506948E-3</v>
      </c>
      <c r="AH145" s="30">
        <f t="shared" si="331"/>
        <v>0.12324963838151609</v>
      </c>
      <c r="AI145" s="30">
        <f t="shared" si="331"/>
        <v>0.12679270399787251</v>
      </c>
      <c r="AJ145" s="30">
        <f t="shared" si="331"/>
        <v>5.0419421128883958E-2</v>
      </c>
    </row>
    <row r="146" spans="2:36" x14ac:dyDescent="0.25">
      <c r="B146" s="76" t="s">
        <v>141</v>
      </c>
      <c r="C146" s="77"/>
      <c r="D146" s="78">
        <f>_xlfn.MAXIFS($F$145:$AC$145,$F$145:$AC$145,"&lt;0.09")</f>
        <v>2.5377502191603046E-2</v>
      </c>
    </row>
    <row r="147" spans="2:36" x14ac:dyDescent="0.25">
      <c r="B147" s="79" t="s">
        <v>169</v>
      </c>
      <c r="C147" s="80"/>
      <c r="D147" s="81">
        <f>AVERAGE($F$145:$AC$145)</f>
        <v>1.6401288387946845E-2</v>
      </c>
    </row>
    <row r="148" spans="2:36" x14ac:dyDescent="0.25">
      <c r="B148" s="79" t="s">
        <v>139</v>
      </c>
      <c r="C148" s="80"/>
      <c r="D148" s="81">
        <f>MEDIAN($F$145:$AC$145)</f>
        <v>8.1900876638472588E-3</v>
      </c>
    </row>
    <row r="149" spans="2:36" x14ac:dyDescent="0.25">
      <c r="B149" s="82" t="s">
        <v>140</v>
      </c>
      <c r="C149" s="83"/>
      <c r="D149" s="84">
        <f>_xlfn.MINIFS($F$145:$AC$145,$F$145:$AC$145,"&gt;0")</f>
        <v>2.7406985910199055E-3</v>
      </c>
    </row>
    <row r="151" spans="2:36" x14ac:dyDescent="0.25">
      <c r="B151" s="2" t="s">
        <v>190</v>
      </c>
      <c r="F151" s="6">
        <f>SUM(F9,F12,F15)</f>
        <v>93643</v>
      </c>
      <c r="G151" s="6">
        <f t="shared" ref="G151:AJ151" si="333">SUM(G9,G12,G15)</f>
        <v>95701</v>
      </c>
      <c r="H151" s="6">
        <f t="shared" si="333"/>
        <v>96604</v>
      </c>
      <c r="I151" s="6">
        <f t="shared" si="333"/>
        <v>119929</v>
      </c>
      <c r="J151" s="6">
        <f t="shared" si="333"/>
        <v>97781</v>
      </c>
      <c r="K151" s="6">
        <f t="shared" si="333"/>
        <v>101633</v>
      </c>
      <c r="L151" s="6">
        <f t="shared" si="333"/>
        <v>111689</v>
      </c>
      <c r="M151" s="6">
        <f t="shared" si="333"/>
        <v>189618</v>
      </c>
      <c r="N151" s="6">
        <f t="shared" si="333"/>
        <v>138159</v>
      </c>
      <c r="O151" s="6">
        <f t="shared" si="333"/>
        <v>124633</v>
      </c>
      <c r="P151" s="6">
        <f t="shared" si="333"/>
        <v>172735</v>
      </c>
      <c r="Q151" s="6">
        <f t="shared" si="333"/>
        <v>279914</v>
      </c>
      <c r="R151" s="6">
        <f t="shared" si="333"/>
        <v>251908</v>
      </c>
      <c r="S151" s="6">
        <f t="shared" si="333"/>
        <v>237357</v>
      </c>
      <c r="T151" s="6">
        <f t="shared" si="333"/>
        <v>241014</v>
      </c>
      <c r="U151" s="6">
        <f t="shared" si="333"/>
        <v>556148</v>
      </c>
      <c r="V151" s="6">
        <f t="shared" si="333"/>
        <v>251725</v>
      </c>
      <c r="W151" s="6">
        <f t="shared" si="333"/>
        <v>254426</v>
      </c>
      <c r="X151" s="6">
        <f t="shared" si="333"/>
        <v>280469</v>
      </c>
      <c r="Y151" s="6">
        <f t="shared" si="333"/>
        <v>706566</v>
      </c>
      <c r="Z151" s="6">
        <f t="shared" si="333"/>
        <v>333330</v>
      </c>
      <c r="AA151" s="6">
        <f t="shared" si="333"/>
        <v>362077</v>
      </c>
      <c r="AB151" s="6">
        <f t="shared" si="333"/>
        <v>384339</v>
      </c>
      <c r="AC151" s="6">
        <f t="shared" ref="AC151" si="334">SUM(AC9,AC12,AC15)</f>
        <v>805093.60700000008</v>
      </c>
      <c r="AE151" s="6">
        <f t="shared" si="333"/>
        <v>405877</v>
      </c>
      <c r="AF151" s="6">
        <f t="shared" si="333"/>
        <v>500721</v>
      </c>
      <c r="AG151" s="6">
        <f t="shared" si="333"/>
        <v>715441</v>
      </c>
      <c r="AH151" s="6">
        <f t="shared" si="333"/>
        <v>1286427</v>
      </c>
      <c r="AI151" s="6">
        <f t="shared" si="333"/>
        <v>1493186</v>
      </c>
      <c r="AJ151" s="6">
        <f t="shared" si="333"/>
        <v>1884839.6070000001</v>
      </c>
    </row>
    <row r="152" spans="2:36" x14ac:dyDescent="0.25">
      <c r="B152" s="2" t="s">
        <v>186</v>
      </c>
      <c r="F152" s="6">
        <f>F16</f>
        <v>152</v>
      </c>
      <c r="G152" s="6">
        <f t="shared" ref="G152:AJ152" si="335">G16</f>
        <v>410</v>
      </c>
      <c r="H152" s="6">
        <f t="shared" si="335"/>
        <v>1073</v>
      </c>
      <c r="I152" s="6">
        <f t="shared" si="335"/>
        <v>-7120</v>
      </c>
      <c r="J152" s="6">
        <f t="shared" si="335"/>
        <v>275</v>
      </c>
      <c r="K152" s="6">
        <f t="shared" si="335"/>
        <v>292</v>
      </c>
      <c r="L152" s="6">
        <f t="shared" si="335"/>
        <v>333</v>
      </c>
      <c r="M152" s="6">
        <f t="shared" si="335"/>
        <v>1097</v>
      </c>
      <c r="N152" s="6">
        <f t="shared" si="335"/>
        <v>345</v>
      </c>
      <c r="O152" s="6">
        <f t="shared" si="335"/>
        <v>2149</v>
      </c>
      <c r="P152" s="6">
        <f t="shared" si="335"/>
        <v>71</v>
      </c>
      <c r="Q152" s="6">
        <f t="shared" si="335"/>
        <v>-509</v>
      </c>
      <c r="R152" s="6">
        <f t="shared" si="335"/>
        <v>323</v>
      </c>
      <c r="S152" s="6">
        <f t="shared" si="335"/>
        <v>0</v>
      </c>
      <c r="T152" s="6">
        <f t="shared" si="335"/>
        <v>172</v>
      </c>
      <c r="U152" s="6">
        <f t="shared" si="335"/>
        <v>3224</v>
      </c>
      <c r="V152" s="6">
        <f t="shared" si="335"/>
        <v>530</v>
      </c>
      <c r="W152" s="6">
        <f t="shared" si="335"/>
        <v>10</v>
      </c>
      <c r="X152" s="6">
        <f t="shared" si="335"/>
        <v>15</v>
      </c>
      <c r="Y152" s="6">
        <f t="shared" si="335"/>
        <v>308</v>
      </c>
      <c r="Z152" s="6">
        <f t="shared" si="335"/>
        <v>2007</v>
      </c>
      <c r="AA152" s="6">
        <f t="shared" si="335"/>
        <v>131</v>
      </c>
      <c r="AB152" s="6">
        <f t="shared" si="335"/>
        <v>673</v>
      </c>
      <c r="AC152" s="6">
        <f t="shared" ref="AC152" si="336">AC16</f>
        <v>326.38799999999992</v>
      </c>
      <c r="AE152" s="6">
        <f t="shared" si="335"/>
        <v>-5485</v>
      </c>
      <c r="AF152" s="6">
        <f t="shared" si="335"/>
        <v>1997</v>
      </c>
      <c r="AG152" s="6">
        <f t="shared" si="335"/>
        <v>2056</v>
      </c>
      <c r="AH152" s="6">
        <f t="shared" si="335"/>
        <v>3719</v>
      </c>
      <c r="AI152" s="6">
        <f t="shared" si="335"/>
        <v>863</v>
      </c>
      <c r="AJ152" s="6">
        <f t="shared" si="335"/>
        <v>3137.3879999999999</v>
      </c>
    </row>
    <row r="153" spans="2:36" x14ac:dyDescent="0.25">
      <c r="B153" s="2" t="s">
        <v>189</v>
      </c>
      <c r="F153" s="30">
        <f>F152/F151</f>
        <v>1.6231859295409161E-3</v>
      </c>
      <c r="G153" s="30">
        <f t="shared" ref="G153:AJ153" si="337">G152/G151</f>
        <v>4.2841767588635438E-3</v>
      </c>
      <c r="H153" s="30">
        <f t="shared" si="337"/>
        <v>1.1107200529998758E-2</v>
      </c>
      <c r="I153" s="30">
        <f t="shared" si="337"/>
        <v>-5.9368459671972587E-2</v>
      </c>
      <c r="J153" s="30">
        <f t="shared" si="337"/>
        <v>2.8124073183951894E-3</v>
      </c>
      <c r="K153" s="30">
        <f t="shared" si="337"/>
        <v>2.8730825617663555E-3</v>
      </c>
      <c r="L153" s="30">
        <f t="shared" si="337"/>
        <v>2.9814932535880885E-3</v>
      </c>
      <c r="M153" s="30">
        <f t="shared" si="337"/>
        <v>5.7853157400668716E-3</v>
      </c>
      <c r="N153" s="30">
        <f t="shared" si="337"/>
        <v>2.4971228801598157E-3</v>
      </c>
      <c r="O153" s="30">
        <f t="shared" si="337"/>
        <v>1.7242624345077145E-2</v>
      </c>
      <c r="P153" s="30">
        <f t="shared" si="337"/>
        <v>4.1103424320490924E-4</v>
      </c>
      <c r="Q153" s="30">
        <f t="shared" si="337"/>
        <v>-1.8184156562372729E-3</v>
      </c>
      <c r="R153" s="30">
        <f t="shared" si="337"/>
        <v>1.2822141416707687E-3</v>
      </c>
      <c r="S153" s="30">
        <f t="shared" si="337"/>
        <v>0</v>
      </c>
      <c r="T153" s="30">
        <f t="shared" si="337"/>
        <v>7.1365148912511307E-4</v>
      </c>
      <c r="U153" s="30">
        <f t="shared" si="337"/>
        <v>5.7970180599408788E-3</v>
      </c>
      <c r="V153" s="30">
        <f t="shared" si="337"/>
        <v>2.1054722415334193E-3</v>
      </c>
      <c r="W153" s="30">
        <f t="shared" si="337"/>
        <v>3.9304159166122958E-5</v>
      </c>
      <c r="X153" s="30">
        <f t="shared" si="337"/>
        <v>5.3481846478576955E-5</v>
      </c>
      <c r="Y153" s="30">
        <f t="shared" si="337"/>
        <v>4.3591115338128357E-4</v>
      </c>
      <c r="Z153" s="30">
        <f t="shared" si="337"/>
        <v>6.021060210602106E-3</v>
      </c>
      <c r="AA153" s="30">
        <f t="shared" si="337"/>
        <v>3.6180149526205752E-4</v>
      </c>
      <c r="AB153" s="30">
        <f t="shared" si="337"/>
        <v>1.7510583105019267E-3</v>
      </c>
      <c r="AC153" s="30">
        <f t="shared" ref="AC153" si="338">AC152/AC151</f>
        <v>4.054037905184855E-4</v>
      </c>
      <c r="AE153" s="30">
        <f t="shared" si="337"/>
        <v>-1.3513946343350325E-2</v>
      </c>
      <c r="AF153" s="30">
        <f t="shared" si="337"/>
        <v>3.9882489450212789E-3</v>
      </c>
      <c r="AG153" s="30">
        <f t="shared" si="337"/>
        <v>2.8737519935256714E-3</v>
      </c>
      <c r="AH153" s="30">
        <f t="shared" si="337"/>
        <v>2.8909530039403714E-3</v>
      </c>
      <c r="AI153" s="30">
        <f t="shared" si="337"/>
        <v>5.7795880754306567E-4</v>
      </c>
      <c r="AJ153" s="30">
        <f t="shared" si="337"/>
        <v>1.6645384510959079E-3</v>
      </c>
    </row>
    <row r="154" spans="2:36" x14ac:dyDescent="0.25">
      <c r="B154" s="76" t="s">
        <v>141</v>
      </c>
      <c r="C154" s="77"/>
      <c r="D154" s="78">
        <f>MAX($F$153:$AC$153)</f>
        <v>1.7242624345077145E-2</v>
      </c>
    </row>
    <row r="155" spans="2:36" x14ac:dyDescent="0.25">
      <c r="B155" s="79" t="s">
        <v>169</v>
      </c>
      <c r="C155" s="80"/>
      <c r="D155" s="81">
        <f>AVERAGE($F$153:$AC$153)</f>
        <v>3.9154771377635287E-4</v>
      </c>
    </row>
    <row r="156" spans="2:36" x14ac:dyDescent="0.25">
      <c r="B156" s="79" t="s">
        <v>139</v>
      </c>
      <c r="C156" s="80"/>
      <c r="D156" s="81">
        <f>MEDIAN($F$153:$AC$153)</f>
        <v>1.6871221200214213E-3</v>
      </c>
    </row>
    <row r="157" spans="2:36" x14ac:dyDescent="0.25">
      <c r="B157" s="82" t="s">
        <v>140</v>
      </c>
      <c r="C157" s="83"/>
      <c r="D157" s="84">
        <f>_xlfn.MINIFS($F$153:$AC$153,$F$153:$AC$153,"&gt;0")</f>
        <v>3.9304159166122958E-5</v>
      </c>
    </row>
    <row r="160" spans="2:36" x14ac:dyDescent="0.25">
      <c r="B160" s="73" t="s">
        <v>192</v>
      </c>
      <c r="C160" s="86"/>
      <c r="D160" s="86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</row>
    <row r="161" spans="2:36" x14ac:dyDescent="0.25">
      <c r="B161" s="2" t="s">
        <v>7</v>
      </c>
      <c r="F161" s="6">
        <f>F17</f>
        <v>72896</v>
      </c>
      <c r="G161" s="6">
        <f t="shared" ref="G161:AJ161" si="339">G17</f>
        <v>75874</v>
      </c>
      <c r="H161" s="6">
        <f t="shared" si="339"/>
        <v>77011</v>
      </c>
      <c r="I161" s="6">
        <f t="shared" si="339"/>
        <v>78884</v>
      </c>
      <c r="J161" s="6">
        <f t="shared" si="339"/>
        <v>78944</v>
      </c>
      <c r="K161" s="6">
        <f t="shared" si="339"/>
        <v>81854</v>
      </c>
      <c r="L161" s="6">
        <f t="shared" si="339"/>
        <v>90808</v>
      </c>
      <c r="M161" s="6">
        <f t="shared" si="339"/>
        <v>139338</v>
      </c>
      <c r="N161" s="6">
        <f t="shared" si="339"/>
        <v>113159</v>
      </c>
      <c r="O161" s="6">
        <f t="shared" si="339"/>
        <v>98533</v>
      </c>
      <c r="P161" s="6">
        <f t="shared" si="339"/>
        <v>130469</v>
      </c>
      <c r="Q161" s="6">
        <f t="shared" si="339"/>
        <v>174426</v>
      </c>
      <c r="R161" s="6">
        <f t="shared" si="339"/>
        <v>197561</v>
      </c>
      <c r="S161" s="6">
        <f t="shared" si="339"/>
        <v>192863</v>
      </c>
      <c r="T161" s="6">
        <f t="shared" si="339"/>
        <v>200762</v>
      </c>
      <c r="U161" s="6">
        <f t="shared" si="339"/>
        <v>453839</v>
      </c>
      <c r="V161" s="6">
        <f t="shared" si="339"/>
        <v>200433</v>
      </c>
      <c r="W161" s="6">
        <f t="shared" si="339"/>
        <v>195910</v>
      </c>
      <c r="X161" s="6">
        <f t="shared" si="339"/>
        <v>204558</v>
      </c>
      <c r="Y161" s="6">
        <f t="shared" si="339"/>
        <v>491901</v>
      </c>
      <c r="Z161" s="6">
        <f t="shared" si="339"/>
        <v>211151</v>
      </c>
      <c r="AA161" s="6">
        <f t="shared" si="339"/>
        <v>193847</v>
      </c>
      <c r="AB161" s="6">
        <f t="shared" si="339"/>
        <v>223795</v>
      </c>
      <c r="AC161" s="6">
        <f t="shared" ref="AC161" si="340">AC17</f>
        <v>673622.38600000017</v>
      </c>
      <c r="AE161" s="6">
        <f t="shared" si="339"/>
        <v>304665</v>
      </c>
      <c r="AF161" s="6">
        <f t="shared" si="339"/>
        <v>390944</v>
      </c>
      <c r="AG161" s="6">
        <f t="shared" si="339"/>
        <v>516587</v>
      </c>
      <c r="AH161" s="6">
        <f t="shared" si="339"/>
        <v>1045025</v>
      </c>
      <c r="AI161" s="6">
        <f t="shared" si="339"/>
        <v>1092802</v>
      </c>
      <c r="AJ161" s="6">
        <f t="shared" si="339"/>
        <v>1302415.3860000002</v>
      </c>
    </row>
    <row r="163" spans="2:36" x14ac:dyDescent="0.25">
      <c r="B163" s="2" t="s">
        <v>191</v>
      </c>
      <c r="F163" s="6">
        <f>F20</f>
        <v>-19294</v>
      </c>
      <c r="G163" s="6">
        <f t="shared" ref="G163:AJ163" si="341">G20</f>
        <v>-19084</v>
      </c>
      <c r="H163" s="6">
        <f t="shared" si="341"/>
        <v>-18328</v>
      </c>
      <c r="I163" s="6">
        <f t="shared" si="341"/>
        <v>-17975</v>
      </c>
      <c r="J163" s="6">
        <f t="shared" si="341"/>
        <v>-17662</v>
      </c>
      <c r="K163" s="6">
        <f t="shared" si="341"/>
        <v>-21659</v>
      </c>
      <c r="L163" s="6">
        <f t="shared" si="341"/>
        <v>-22919</v>
      </c>
      <c r="M163" s="6">
        <f t="shared" si="341"/>
        <v>-40493</v>
      </c>
      <c r="N163" s="6">
        <f t="shared" si="341"/>
        <v>-25734</v>
      </c>
      <c r="O163" s="6">
        <f t="shared" si="341"/>
        <v>-25968</v>
      </c>
      <c r="P163" s="6">
        <f t="shared" si="341"/>
        <v>-27183</v>
      </c>
      <c r="Q163" s="6">
        <f t="shared" si="341"/>
        <v>-34062</v>
      </c>
      <c r="R163" s="6">
        <f t="shared" si="341"/>
        <v>-29760</v>
      </c>
      <c r="S163" s="6">
        <f t="shared" si="341"/>
        <v>-38219</v>
      </c>
      <c r="T163" s="6">
        <f t="shared" si="341"/>
        <v>-32323</v>
      </c>
      <c r="U163" s="6">
        <f t="shared" si="341"/>
        <v>-45505</v>
      </c>
      <c r="V163" s="6">
        <f t="shared" si="341"/>
        <v>-43138</v>
      </c>
      <c r="W163" s="6">
        <f t="shared" si="341"/>
        <v>-42885</v>
      </c>
      <c r="X163" s="6">
        <f t="shared" si="341"/>
        <v>-43308</v>
      </c>
      <c r="Y163" s="6">
        <f t="shared" si="341"/>
        <v>-127280</v>
      </c>
      <c r="Z163" s="6">
        <f t="shared" si="341"/>
        <v>-46453</v>
      </c>
      <c r="AA163" s="6">
        <f t="shared" si="341"/>
        <v>-46755</v>
      </c>
      <c r="AB163" s="6">
        <f t="shared" si="341"/>
        <v>-46163</v>
      </c>
      <c r="AC163" s="6">
        <f t="shared" ref="AC163" si="342">AC20</f>
        <v>-119879.86300000001</v>
      </c>
      <c r="AE163" s="6">
        <f t="shared" si="341"/>
        <v>-74681</v>
      </c>
      <c r="AF163" s="6">
        <f t="shared" si="341"/>
        <v>-102733</v>
      </c>
      <c r="AG163" s="6">
        <f t="shared" si="341"/>
        <v>-112947</v>
      </c>
      <c r="AH163" s="6">
        <f t="shared" si="341"/>
        <v>-145807</v>
      </c>
      <c r="AI163" s="6">
        <f t="shared" si="341"/>
        <v>-256611</v>
      </c>
      <c r="AJ163" s="6">
        <f t="shared" si="341"/>
        <v>-259250.86300000001</v>
      </c>
    </row>
    <row r="164" spans="2:36" x14ac:dyDescent="0.25">
      <c r="B164" s="2" t="s">
        <v>193</v>
      </c>
      <c r="F164" s="30">
        <f>F163/F161</f>
        <v>-0.2646784460052678</v>
      </c>
      <c r="G164" s="30">
        <f t="shared" ref="G164:AJ164" si="343">G163/G161</f>
        <v>-0.25152226058992538</v>
      </c>
      <c r="H164" s="30">
        <f t="shared" si="343"/>
        <v>-0.23799197517237797</v>
      </c>
      <c r="I164" s="30">
        <f t="shared" si="343"/>
        <v>-0.22786623396379493</v>
      </c>
      <c r="J164" s="30">
        <f t="shared" si="343"/>
        <v>-0.22372821240372923</v>
      </c>
      <c r="K164" s="30">
        <f t="shared" si="343"/>
        <v>-0.26460527280279522</v>
      </c>
      <c r="L164" s="30">
        <f t="shared" si="343"/>
        <v>-0.25238965729891638</v>
      </c>
      <c r="M164" s="30">
        <f t="shared" si="343"/>
        <v>-0.29060988387948727</v>
      </c>
      <c r="N164" s="30">
        <f t="shared" si="343"/>
        <v>-0.22741452292791559</v>
      </c>
      <c r="O164" s="30">
        <f t="shared" si="343"/>
        <v>-0.26354622309277093</v>
      </c>
      <c r="P164" s="30">
        <f t="shared" si="343"/>
        <v>-0.20834834328461166</v>
      </c>
      <c r="Q164" s="30">
        <f t="shared" si="343"/>
        <v>-0.19528052010594751</v>
      </c>
      <c r="R164" s="30">
        <f t="shared" si="343"/>
        <v>-0.15063701843987426</v>
      </c>
      <c r="S164" s="30">
        <f t="shared" si="343"/>
        <v>-0.19816657420033909</v>
      </c>
      <c r="T164" s="30">
        <f t="shared" si="343"/>
        <v>-0.16100158396509301</v>
      </c>
      <c r="U164" s="30">
        <f t="shared" si="343"/>
        <v>-0.10026683471451329</v>
      </c>
      <c r="V164" s="30">
        <f t="shared" si="343"/>
        <v>-0.21522403995350067</v>
      </c>
      <c r="W164" s="30">
        <f t="shared" si="343"/>
        <v>-0.2189015364197846</v>
      </c>
      <c r="X164" s="30">
        <f t="shared" si="343"/>
        <v>-0.21171501481242483</v>
      </c>
      <c r="Y164" s="30">
        <f t="shared" si="343"/>
        <v>-0.25875125279273675</v>
      </c>
      <c r="Z164" s="30">
        <f t="shared" si="343"/>
        <v>-0.21999895809160269</v>
      </c>
      <c r="AA164" s="30">
        <f t="shared" si="343"/>
        <v>-0.241195375734471</v>
      </c>
      <c r="AB164" s="30">
        <f t="shared" si="343"/>
        <v>-0.20627359860586697</v>
      </c>
      <c r="AC164" s="30">
        <f t="shared" ref="AC164" si="344">AC163/AC161</f>
        <v>-0.17796300344448468</v>
      </c>
      <c r="AE164" s="30">
        <f t="shared" si="343"/>
        <v>-0.24512497333136396</v>
      </c>
      <c r="AF164" s="30">
        <f t="shared" si="343"/>
        <v>-0.26278188180404355</v>
      </c>
      <c r="AG164" s="30">
        <f t="shared" si="343"/>
        <v>-0.21864080977647521</v>
      </c>
      <c r="AH164" s="30">
        <f t="shared" si="343"/>
        <v>-0.13952489174900121</v>
      </c>
      <c r="AI164" s="30">
        <f t="shared" si="343"/>
        <v>-0.23481929937902749</v>
      </c>
      <c r="AJ164" s="30">
        <f t="shared" si="343"/>
        <v>-0.19905390076526627</v>
      </c>
    </row>
    <row r="165" spans="2:36" x14ac:dyDescent="0.25">
      <c r="B165" s="76" t="s">
        <v>141</v>
      </c>
      <c r="C165" s="77"/>
      <c r="D165" s="78">
        <f>MIN($F$164:$AC$164)</f>
        <v>-0.29060988387948727</v>
      </c>
    </row>
    <row r="166" spans="2:36" x14ac:dyDescent="0.25">
      <c r="B166" s="79" t="s">
        <v>169</v>
      </c>
      <c r="C166" s="80"/>
      <c r="D166" s="81">
        <f>AVERAGE($F$164:$AC$164)</f>
        <v>-0.21950318094592636</v>
      </c>
    </row>
    <row r="167" spans="2:36" x14ac:dyDescent="0.25">
      <c r="B167" s="79" t="s">
        <v>139</v>
      </c>
      <c r="C167" s="80"/>
      <c r="D167" s="81">
        <f>MEDIAN($F$164:$AC$164)</f>
        <v>-0.22186358524766597</v>
      </c>
    </row>
    <row r="168" spans="2:36" x14ac:dyDescent="0.25">
      <c r="B168" s="82" t="s">
        <v>140</v>
      </c>
      <c r="C168" s="83"/>
      <c r="D168" s="84">
        <f>MAX($F$164:$AC$164)</f>
        <v>-0.10026683471451329</v>
      </c>
    </row>
    <row r="170" spans="2:36" x14ac:dyDescent="0.25">
      <c r="B170" s="2" t="s">
        <v>194</v>
      </c>
      <c r="F170" s="6">
        <f>F22</f>
        <v>-22054</v>
      </c>
      <c r="G170" s="6">
        <f t="shared" ref="G170:AJ170" si="345">G22</f>
        <v>-15064</v>
      </c>
      <c r="H170" s="6">
        <f t="shared" si="345"/>
        <v>-19233</v>
      </c>
      <c r="I170" s="6">
        <f t="shared" si="345"/>
        <v>-14494</v>
      </c>
      <c r="J170" s="6">
        <f t="shared" si="345"/>
        <v>-17027</v>
      </c>
      <c r="K170" s="6">
        <f t="shared" si="345"/>
        <v>-18787</v>
      </c>
      <c r="L170" s="6">
        <f t="shared" si="345"/>
        <v>-21074</v>
      </c>
      <c r="M170" s="6">
        <f t="shared" si="345"/>
        <v>-31158</v>
      </c>
      <c r="N170" s="6">
        <f t="shared" si="345"/>
        <v>-26503</v>
      </c>
      <c r="O170" s="6">
        <f t="shared" si="345"/>
        <v>-26430</v>
      </c>
      <c r="P170" s="6">
        <f t="shared" si="345"/>
        <v>-33317</v>
      </c>
      <c r="Q170" s="6">
        <f t="shared" si="345"/>
        <v>-40879</v>
      </c>
      <c r="R170" s="6">
        <f t="shared" si="345"/>
        <v>-33704</v>
      </c>
      <c r="S170" s="6">
        <f t="shared" si="345"/>
        <v>-38860</v>
      </c>
      <c r="T170" s="6">
        <f t="shared" si="345"/>
        <v>-45748</v>
      </c>
      <c r="U170" s="6">
        <f t="shared" si="345"/>
        <v>-56795</v>
      </c>
      <c r="V170" s="6">
        <f t="shared" si="345"/>
        <v>-44770</v>
      </c>
      <c r="W170" s="6">
        <f t="shared" si="345"/>
        <v>-42271</v>
      </c>
      <c r="X170" s="6">
        <f t="shared" si="345"/>
        <v>-40200</v>
      </c>
      <c r="Y170" s="6">
        <f t="shared" si="345"/>
        <v>-79890</v>
      </c>
      <c r="Z170" s="6">
        <f t="shared" si="345"/>
        <v>-56889</v>
      </c>
      <c r="AA170" s="6">
        <f t="shared" si="345"/>
        <v>-61772</v>
      </c>
      <c r="AB170" s="6">
        <f t="shared" si="345"/>
        <v>-51147</v>
      </c>
      <c r="AC170" s="6">
        <f t="shared" ref="AC170" si="346">AC22</f>
        <v>-25698.954999999987</v>
      </c>
      <c r="AE170" s="6">
        <f t="shared" si="345"/>
        <v>-70845</v>
      </c>
      <c r="AF170" s="6">
        <f t="shared" si="345"/>
        <v>-88046</v>
      </c>
      <c r="AG170" s="6">
        <f t="shared" si="345"/>
        <v>-127129</v>
      </c>
      <c r="AH170" s="6">
        <f t="shared" si="345"/>
        <v>-175107</v>
      </c>
      <c r="AI170" s="6">
        <f t="shared" si="345"/>
        <v>-207131</v>
      </c>
      <c r="AJ170" s="6">
        <f t="shared" si="345"/>
        <v>-195506.95499999999</v>
      </c>
    </row>
    <row r="171" spans="2:36" x14ac:dyDescent="0.25">
      <c r="B171" s="2" t="s">
        <v>193</v>
      </c>
      <c r="F171" s="30">
        <f>F170/F161</f>
        <v>-0.30254060579455661</v>
      </c>
      <c r="G171" s="30">
        <f t="shared" ref="G171:AJ171" si="347">G170/G161</f>
        <v>-0.19853968421330101</v>
      </c>
      <c r="H171" s="30">
        <f t="shared" si="347"/>
        <v>-0.24974354313020217</v>
      </c>
      <c r="I171" s="30">
        <f t="shared" si="347"/>
        <v>-0.18373814715278131</v>
      </c>
      <c r="J171" s="30">
        <f t="shared" si="347"/>
        <v>-0.21568453587353059</v>
      </c>
      <c r="K171" s="30">
        <f t="shared" si="347"/>
        <v>-0.22951841082903707</v>
      </c>
      <c r="L171" s="30">
        <f t="shared" si="347"/>
        <v>-0.23207206413531847</v>
      </c>
      <c r="M171" s="30">
        <f t="shared" si="347"/>
        <v>-0.22361452008784394</v>
      </c>
      <c r="N171" s="30">
        <f t="shared" si="347"/>
        <v>-0.2342102705043346</v>
      </c>
      <c r="O171" s="30">
        <f t="shared" si="347"/>
        <v>-0.26823500756091867</v>
      </c>
      <c r="P171" s="30">
        <f t="shared" si="347"/>
        <v>-0.25536334301634872</v>
      </c>
      <c r="Q171" s="30">
        <f t="shared" si="347"/>
        <v>-0.23436299634228841</v>
      </c>
      <c r="R171" s="30">
        <f t="shared" si="347"/>
        <v>-0.17060047276537374</v>
      </c>
      <c r="S171" s="30">
        <f t="shared" si="347"/>
        <v>-0.20149017696499588</v>
      </c>
      <c r="T171" s="30">
        <f t="shared" si="347"/>
        <v>-0.22787180840995805</v>
      </c>
      <c r="U171" s="30">
        <f t="shared" si="347"/>
        <v>-0.12514349802462987</v>
      </c>
      <c r="V171" s="30">
        <f t="shared" si="347"/>
        <v>-0.22336641171862917</v>
      </c>
      <c r="W171" s="30">
        <f t="shared" si="347"/>
        <v>-0.21576744423459751</v>
      </c>
      <c r="X171" s="30">
        <f t="shared" si="347"/>
        <v>-0.19652128002815827</v>
      </c>
      <c r="Y171" s="30">
        <f t="shared" si="347"/>
        <v>-0.16241072898815007</v>
      </c>
      <c r="Z171" s="30">
        <f t="shared" si="347"/>
        <v>-0.26942330370209</v>
      </c>
      <c r="AA171" s="30">
        <f t="shared" si="347"/>
        <v>-0.31866368837278886</v>
      </c>
      <c r="AB171" s="30">
        <f t="shared" si="347"/>
        <v>-0.22854397998167966</v>
      </c>
      <c r="AC171" s="30">
        <f t="shared" ref="AC171" si="348">AC170/AC161</f>
        <v>-3.8150387418983404E-2</v>
      </c>
      <c r="AE171" s="30">
        <f t="shared" si="347"/>
        <v>-0.23253409482546403</v>
      </c>
      <c r="AF171" s="30">
        <f t="shared" si="347"/>
        <v>-0.22521384136858477</v>
      </c>
      <c r="AG171" s="30">
        <f t="shared" si="347"/>
        <v>-0.24609407515094264</v>
      </c>
      <c r="AH171" s="30">
        <f t="shared" si="347"/>
        <v>-0.16756249850482047</v>
      </c>
      <c r="AI171" s="30">
        <f t="shared" si="347"/>
        <v>-0.18954119776501141</v>
      </c>
      <c r="AJ171" s="30">
        <f t="shared" si="347"/>
        <v>-0.15011106065050736</v>
      </c>
    </row>
    <row r="172" spans="2:36" x14ac:dyDescent="0.25">
      <c r="B172" s="76" t="s">
        <v>141</v>
      </c>
      <c r="C172" s="77"/>
      <c r="D172" s="78">
        <f>MIN($F$171:$AC$171)</f>
        <v>-0.31866368837278886</v>
      </c>
    </row>
    <row r="173" spans="2:36" x14ac:dyDescent="0.25">
      <c r="B173" s="79" t="s">
        <v>169</v>
      </c>
      <c r="C173" s="80"/>
      <c r="D173" s="81">
        <f>AVERAGE($F$171:$AC$171)</f>
        <v>-0.21689901288543736</v>
      </c>
    </row>
    <row r="174" spans="2:36" x14ac:dyDescent="0.25">
      <c r="B174" s="79" t="s">
        <v>139</v>
      </c>
      <c r="C174" s="80"/>
      <c r="D174" s="81">
        <f>MEDIAN($F$171:$AC$171)</f>
        <v>-0.22574316424890101</v>
      </c>
    </row>
    <row r="175" spans="2:36" x14ac:dyDescent="0.25">
      <c r="B175" s="82" t="s">
        <v>140</v>
      </c>
      <c r="C175" s="83"/>
      <c r="D175" s="84">
        <f>MAX($F$171:$AC$171)</f>
        <v>-3.8150387418983404E-2</v>
      </c>
    </row>
    <row r="178" spans="2:36" x14ac:dyDescent="0.25">
      <c r="B178" s="85" t="s">
        <v>195</v>
      </c>
      <c r="C178" s="86"/>
      <c r="D178" s="86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</row>
    <row r="179" spans="2:36" x14ac:dyDescent="0.25">
      <c r="B179" s="2" t="s">
        <v>198</v>
      </c>
      <c r="F179" s="6">
        <f>F27</f>
        <v>20671</v>
      </c>
      <c r="G179" s="6">
        <f t="shared" ref="G179:AJ179" si="349">G27</f>
        <v>24500</v>
      </c>
      <c r="H179" s="6">
        <f t="shared" si="349"/>
        <v>27120</v>
      </c>
      <c r="I179" s="6">
        <f t="shared" si="349"/>
        <v>30495</v>
      </c>
      <c r="J179" s="6">
        <f t="shared" si="349"/>
        <v>31095</v>
      </c>
      <c r="K179" s="6">
        <f t="shared" si="349"/>
        <v>35387</v>
      </c>
      <c r="L179" s="6">
        <f t="shared" si="349"/>
        <v>40839</v>
      </c>
      <c r="M179" s="6">
        <f t="shared" si="349"/>
        <v>48530</v>
      </c>
      <c r="N179" s="6">
        <f t="shared" si="349"/>
        <v>43759</v>
      </c>
      <c r="O179" s="6">
        <f t="shared" si="349"/>
        <v>33565</v>
      </c>
      <c r="P179" s="6">
        <f t="shared" si="349"/>
        <v>43653</v>
      </c>
      <c r="Q179" s="6">
        <f t="shared" si="349"/>
        <v>-99022</v>
      </c>
      <c r="R179" s="6">
        <f t="shared" si="349"/>
        <v>70066</v>
      </c>
      <c r="S179" s="6">
        <f t="shared" si="349"/>
        <v>69323</v>
      </c>
      <c r="T179" s="6">
        <f t="shared" si="349"/>
        <v>63845</v>
      </c>
      <c r="U179" s="6">
        <f t="shared" si="349"/>
        <v>120108</v>
      </c>
      <c r="V179" s="6">
        <f t="shared" si="349"/>
        <v>91074</v>
      </c>
      <c r="W179" s="6">
        <f t="shared" si="349"/>
        <v>83655</v>
      </c>
      <c r="X179" s="6">
        <f t="shared" si="349"/>
        <v>32945</v>
      </c>
      <c r="Y179" s="6">
        <f t="shared" si="349"/>
        <v>331628</v>
      </c>
      <c r="Z179" s="6">
        <f t="shared" si="349"/>
        <v>120797</v>
      </c>
      <c r="AA179" s="6">
        <f t="shared" si="349"/>
        <v>96120</v>
      </c>
      <c r="AB179" s="6">
        <f t="shared" si="349"/>
        <v>154788</v>
      </c>
      <c r="AC179" s="6">
        <f t="shared" ref="AC179" si="350">AC27</f>
        <v>331289.4540000002</v>
      </c>
      <c r="AE179" s="6">
        <f t="shared" si="349"/>
        <v>102786</v>
      </c>
      <c r="AF179" s="6">
        <f t="shared" si="349"/>
        <v>155851</v>
      </c>
      <c r="AG179" s="6">
        <f t="shared" si="349"/>
        <v>21955</v>
      </c>
      <c r="AH179" s="6">
        <f t="shared" si="349"/>
        <v>323342</v>
      </c>
      <c r="AI179" s="6">
        <f t="shared" si="349"/>
        <v>539302</v>
      </c>
      <c r="AJ179" s="6">
        <f t="shared" si="349"/>
        <v>702994.45400000026</v>
      </c>
    </row>
    <row r="181" spans="2:36" x14ac:dyDescent="0.25">
      <c r="B181" s="2" t="s">
        <v>196</v>
      </c>
      <c r="F181" s="6">
        <f>SUM(F28:F31)</f>
        <v>-6202</v>
      </c>
      <c r="G181" s="6">
        <f t="shared" ref="G181:AJ181" si="351">SUM(G28:G31)</f>
        <v>-7350</v>
      </c>
      <c r="H181" s="6">
        <f t="shared" si="351"/>
        <v>-8136</v>
      </c>
      <c r="I181" s="6">
        <f t="shared" si="351"/>
        <v>4715</v>
      </c>
      <c r="J181" s="6">
        <f t="shared" si="351"/>
        <v>-9328</v>
      </c>
      <c r="K181" s="6">
        <f t="shared" si="351"/>
        <v>-10617</v>
      </c>
      <c r="L181" s="6">
        <f t="shared" si="351"/>
        <v>-4137</v>
      </c>
      <c r="M181" s="6">
        <f t="shared" si="351"/>
        <v>-15411</v>
      </c>
      <c r="N181" s="6">
        <f t="shared" si="351"/>
        <v>-13387</v>
      </c>
      <c r="O181" s="6">
        <f t="shared" si="351"/>
        <v>-13850</v>
      </c>
      <c r="P181" s="6">
        <f t="shared" si="351"/>
        <v>-14299</v>
      </c>
      <c r="Q181" s="6">
        <f t="shared" si="351"/>
        <v>19424</v>
      </c>
      <c r="R181" s="6">
        <f t="shared" si="351"/>
        <v>-24368</v>
      </c>
      <c r="S181" s="6">
        <f t="shared" si="351"/>
        <v>-22178</v>
      </c>
      <c r="T181" s="6">
        <f t="shared" si="351"/>
        <v>-25726</v>
      </c>
      <c r="U181" s="6">
        <f t="shared" si="351"/>
        <v>39831</v>
      </c>
      <c r="V181" s="6">
        <f t="shared" si="351"/>
        <v>-33172</v>
      </c>
      <c r="W181" s="6">
        <f t="shared" si="351"/>
        <v>-29278</v>
      </c>
      <c r="X181" s="6">
        <f t="shared" si="351"/>
        <v>-11532</v>
      </c>
      <c r="Y181" s="6">
        <f t="shared" si="351"/>
        <v>-128641</v>
      </c>
      <c r="Z181" s="6">
        <f t="shared" si="351"/>
        <v>-42279</v>
      </c>
      <c r="AA181" s="6">
        <f t="shared" si="351"/>
        <v>-33642</v>
      </c>
      <c r="AB181" s="6">
        <f t="shared" si="351"/>
        <v>-43024</v>
      </c>
      <c r="AC181" s="6">
        <f t="shared" ref="AC181" si="352">SUM(AC28:AC31)</f>
        <v>-101178.38999999998</v>
      </c>
      <c r="AE181" s="6">
        <f t="shared" si="351"/>
        <v>-16973</v>
      </c>
      <c r="AF181" s="6">
        <f t="shared" si="351"/>
        <v>-39493</v>
      </c>
      <c r="AG181" s="6">
        <f t="shared" si="351"/>
        <v>-22112</v>
      </c>
      <c r="AH181" s="6">
        <f t="shared" si="351"/>
        <v>-32441</v>
      </c>
      <c r="AI181" s="6">
        <f t="shared" si="351"/>
        <v>-202623</v>
      </c>
      <c r="AJ181" s="6">
        <f t="shared" si="351"/>
        <v>-220123.38999999998</v>
      </c>
    </row>
    <row r="182" spans="2:36" x14ac:dyDescent="0.25">
      <c r="B182" s="2" t="s">
        <v>197</v>
      </c>
      <c r="F182" s="30">
        <f>F181/F179</f>
        <v>-0.30003386386725361</v>
      </c>
      <c r="G182" s="30">
        <f t="shared" ref="G182:AJ182" si="353">G181/G179</f>
        <v>-0.3</v>
      </c>
      <c r="H182" s="30">
        <f t="shared" si="353"/>
        <v>-0.3</v>
      </c>
      <c r="I182" s="30">
        <f t="shared" si="353"/>
        <v>0.15461551073946547</v>
      </c>
      <c r="J182" s="30">
        <f t="shared" si="353"/>
        <v>-0.29998392024441228</v>
      </c>
      <c r="K182" s="30">
        <f t="shared" si="353"/>
        <v>-0.30002543306864105</v>
      </c>
      <c r="L182" s="30">
        <f t="shared" si="353"/>
        <v>-0.1013002277234996</v>
      </c>
      <c r="M182" s="30">
        <f t="shared" si="353"/>
        <v>-0.31755615083453537</v>
      </c>
      <c r="N182" s="30">
        <f t="shared" si="353"/>
        <v>-0.3059256381544368</v>
      </c>
      <c r="O182" s="30">
        <f t="shared" si="353"/>
        <v>-0.41263220616713842</v>
      </c>
      <c r="P182" s="30">
        <f t="shared" si="353"/>
        <v>-0.32756053421299797</v>
      </c>
      <c r="Q182" s="30">
        <f t="shared" si="353"/>
        <v>-0.19615842943992245</v>
      </c>
      <c r="R182" s="30">
        <f t="shared" si="353"/>
        <v>-0.34778637284845715</v>
      </c>
      <c r="S182" s="30">
        <f t="shared" si="353"/>
        <v>-0.31992268078415531</v>
      </c>
      <c r="T182" s="30">
        <f t="shared" si="353"/>
        <v>-0.40294463152948545</v>
      </c>
      <c r="U182" s="30">
        <f t="shared" si="353"/>
        <v>0.33162653611749426</v>
      </c>
      <c r="V182" s="30">
        <f t="shared" si="353"/>
        <v>-0.36423128445000769</v>
      </c>
      <c r="W182" s="30">
        <f t="shared" si="353"/>
        <v>-0.34998505767736537</v>
      </c>
      <c r="X182" s="30">
        <f t="shared" si="353"/>
        <v>-0.35003794202458643</v>
      </c>
      <c r="Y182" s="30">
        <f t="shared" si="353"/>
        <v>-0.38790753494879804</v>
      </c>
      <c r="Z182" s="30">
        <f t="shared" si="353"/>
        <v>-0.3500004139175642</v>
      </c>
      <c r="AA182" s="30">
        <f t="shared" si="353"/>
        <v>-0.35</v>
      </c>
      <c r="AB182" s="30">
        <f t="shared" si="353"/>
        <v>-0.2779543633873427</v>
      </c>
      <c r="AC182" s="30">
        <f t="shared" ref="AC182" si="354">AC181/AC179</f>
        <v>-0.30540782019580959</v>
      </c>
      <c r="AE182" s="30">
        <f t="shared" si="353"/>
        <v>-0.16512949234331523</v>
      </c>
      <c r="AF182" s="30">
        <f t="shared" si="353"/>
        <v>-0.25340228808284837</v>
      </c>
      <c r="AG182" s="30">
        <f t="shared" si="353"/>
        <v>-1.0071509906627192</v>
      </c>
      <c r="AH182" s="30">
        <f t="shared" si="353"/>
        <v>-0.10033030042493707</v>
      </c>
      <c r="AI182" s="30">
        <f t="shared" si="353"/>
        <v>-0.37571342216420484</v>
      </c>
      <c r="AJ182" s="30">
        <f t="shared" si="353"/>
        <v>-0.31312251291245591</v>
      </c>
    </row>
    <row r="183" spans="2:36" x14ac:dyDescent="0.25">
      <c r="B183" s="76" t="s">
        <v>141</v>
      </c>
      <c r="C183" s="77"/>
      <c r="D183" s="78">
        <f>MIN($F$182:$AC$182)</f>
        <v>-0.41263220616713842</v>
      </c>
    </row>
    <row r="184" spans="2:36" x14ac:dyDescent="0.25">
      <c r="B184" s="79" t="s">
        <v>169</v>
      </c>
      <c r="C184" s="80"/>
      <c r="D184" s="81">
        <f>AVERAGE($F$182:$AC$182)</f>
        <v>-0.27004635244247704</v>
      </c>
    </row>
    <row r="185" spans="2:36" x14ac:dyDescent="0.25">
      <c r="B185" s="79" t="s">
        <v>139</v>
      </c>
      <c r="C185" s="80"/>
      <c r="D185" s="81">
        <f>MEDIAN($F$182:$AC$182)</f>
        <v>-0.31174089449448605</v>
      </c>
    </row>
    <row r="186" spans="2:36" x14ac:dyDescent="0.25">
      <c r="B186" s="82" t="s">
        <v>140</v>
      </c>
      <c r="C186" s="83"/>
      <c r="D186" s="84">
        <f>_xlfn.MAXIFS($F$182:$AC$182,$F$182:$AC$182,"&lt;0")</f>
        <v>-0.1013002277234996</v>
      </c>
    </row>
    <row r="189" spans="2:36" x14ac:dyDescent="0.25">
      <c r="B189" s="85" t="s">
        <v>200</v>
      </c>
      <c r="C189" s="86"/>
      <c r="D189" s="86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</row>
    <row r="190" spans="2:36" x14ac:dyDescent="0.25">
      <c r="B190" s="2" t="s">
        <v>117</v>
      </c>
      <c r="F190" s="6">
        <f>F99+F100</f>
        <v>2059977</v>
      </c>
      <c r="G190" s="6">
        <f>G99+G100</f>
        <v>2129259</v>
      </c>
      <c r="H190" s="6">
        <f t="shared" ref="H190:AJ190" si="355">H99+H100</f>
        <v>2363077</v>
      </c>
      <c r="I190" s="6">
        <f t="shared" si="355"/>
        <v>2691670</v>
      </c>
      <c r="J190" s="6">
        <f t="shared" si="355"/>
        <v>2671829</v>
      </c>
      <c r="K190" s="6">
        <f t="shared" si="355"/>
        <v>2857649</v>
      </c>
      <c r="L190" s="6">
        <f t="shared" si="355"/>
        <v>3388915</v>
      </c>
      <c r="M190" s="6">
        <f t="shared" si="355"/>
        <v>3861612</v>
      </c>
      <c r="N190" s="6">
        <f t="shared" si="355"/>
        <v>4005632</v>
      </c>
      <c r="O190" s="6">
        <f t="shared" si="355"/>
        <v>4191243</v>
      </c>
      <c r="P190" s="6">
        <f t="shared" si="355"/>
        <v>5493484</v>
      </c>
      <c r="Q190" s="6">
        <f t="shared" si="355"/>
        <v>6308515</v>
      </c>
      <c r="R190" s="6">
        <f t="shared" si="355"/>
        <v>6284012</v>
      </c>
      <c r="S190" s="6">
        <f t="shared" si="355"/>
        <v>7171690</v>
      </c>
      <c r="T190" s="6">
        <f t="shared" si="355"/>
        <v>7438764</v>
      </c>
      <c r="U190" s="6">
        <f t="shared" si="355"/>
        <v>9123346</v>
      </c>
      <c r="V190" s="6">
        <f t="shared" si="355"/>
        <v>9113288</v>
      </c>
      <c r="W190" s="6">
        <f t="shared" si="355"/>
        <v>9597536</v>
      </c>
      <c r="X190" s="6">
        <f t="shared" si="355"/>
        <v>10744874</v>
      </c>
      <c r="Y190" s="6">
        <f t="shared" si="355"/>
        <v>11611039</v>
      </c>
      <c r="Z190" s="6">
        <f t="shared" si="355"/>
        <v>10600590</v>
      </c>
      <c r="AA190" s="6">
        <f t="shared" si="355"/>
        <v>12439255</v>
      </c>
      <c r="AB190" s="6">
        <f t="shared" si="355"/>
        <v>13833495</v>
      </c>
      <c r="AC190" s="6">
        <f t="shared" ref="AC190" si="356">AC99+AC100</f>
        <v>16642449.622</v>
      </c>
      <c r="AE190" s="6">
        <f t="shared" si="355"/>
        <v>2691670</v>
      </c>
      <c r="AF190" s="6">
        <f t="shared" si="355"/>
        <v>3861612</v>
      </c>
      <c r="AG190" s="6">
        <f t="shared" si="355"/>
        <v>6308515</v>
      </c>
      <c r="AH190" s="6">
        <f t="shared" si="355"/>
        <v>9123346</v>
      </c>
      <c r="AI190" s="6">
        <f t="shared" si="355"/>
        <v>11611039</v>
      </c>
      <c r="AJ190" s="6">
        <f t="shared" si="355"/>
        <v>16642449.622</v>
      </c>
    </row>
    <row r="191" spans="2:36" x14ac:dyDescent="0.25">
      <c r="B191" s="2" t="s">
        <v>201</v>
      </c>
      <c r="G191" s="30">
        <f>G190/F190-1</f>
        <v>3.3632414342490202E-2</v>
      </c>
      <c r="H191" s="30">
        <f t="shared" ref="H191:AJ191" si="357">H190/G190-1</f>
        <v>0.10981191109207478</v>
      </c>
      <c r="I191" s="30">
        <f t="shared" si="357"/>
        <v>0.13905302281728438</v>
      </c>
      <c r="J191" s="30">
        <f t="shared" si="357"/>
        <v>-7.3712602213495959E-3</v>
      </c>
      <c r="K191" s="30">
        <f t="shared" si="357"/>
        <v>6.9547864028723483E-2</v>
      </c>
      <c r="L191" s="30">
        <f t="shared" si="357"/>
        <v>0.18591016601409049</v>
      </c>
      <c r="M191" s="30">
        <f t="shared" si="357"/>
        <v>0.1394832859484525</v>
      </c>
      <c r="N191" s="30">
        <f t="shared" si="357"/>
        <v>3.7295305690991265E-2</v>
      </c>
      <c r="O191" s="30">
        <f t="shared" si="357"/>
        <v>4.633750679043902E-2</v>
      </c>
      <c r="P191" s="30">
        <f t="shared" si="357"/>
        <v>0.31070520129708545</v>
      </c>
      <c r="Q191" s="30">
        <f t="shared" si="357"/>
        <v>0.14836322450379402</v>
      </c>
      <c r="R191" s="30">
        <f t="shared" si="357"/>
        <v>-3.8841153583688559E-3</v>
      </c>
      <c r="S191" s="30">
        <f t="shared" si="357"/>
        <v>0.14125975571020555</v>
      </c>
      <c r="T191" s="30">
        <f t="shared" si="357"/>
        <v>3.7240036867181914E-2</v>
      </c>
      <c r="U191" s="30">
        <f t="shared" si="357"/>
        <v>0.22645993339753745</v>
      </c>
      <c r="V191" s="30">
        <f t="shared" si="357"/>
        <v>-1.1024464050798377E-3</v>
      </c>
      <c r="W191" s="30">
        <f t="shared" si="357"/>
        <v>5.3136475002216521E-2</v>
      </c>
      <c r="X191" s="30">
        <f t="shared" si="357"/>
        <v>0.11954505823161288</v>
      </c>
      <c r="Y191" s="30">
        <f t="shared" si="357"/>
        <v>8.0611927138466211E-2</v>
      </c>
      <c r="Z191" s="30">
        <f t="shared" si="357"/>
        <v>-8.7024856259633632E-2</v>
      </c>
      <c r="AA191" s="30">
        <f t="shared" si="357"/>
        <v>0.17344930801021463</v>
      </c>
      <c r="AB191" s="30">
        <f t="shared" si="357"/>
        <v>0.11208388283703496</v>
      </c>
      <c r="AC191" s="30">
        <f t="shared" si="357"/>
        <v>0.20305458757891626</v>
      </c>
      <c r="AD191" s="30"/>
      <c r="AE191" s="30"/>
      <c r="AF191" s="30">
        <f t="shared" si="357"/>
        <v>0.4346528363432367</v>
      </c>
      <c r="AG191" s="30">
        <f t="shared" si="357"/>
        <v>0.63364807235941889</v>
      </c>
      <c r="AH191" s="30">
        <f t="shared" si="357"/>
        <v>0.44619549925774926</v>
      </c>
      <c r="AI191" s="30">
        <f t="shared" si="357"/>
        <v>0.27267331525078631</v>
      </c>
      <c r="AJ191" s="30">
        <f t="shared" si="357"/>
        <v>0.43332992180975349</v>
      </c>
    </row>
    <row r="192" spans="2:36" x14ac:dyDescent="0.25">
      <c r="B192" s="76" t="s">
        <v>141</v>
      </c>
      <c r="C192" s="77"/>
      <c r="D192" s="78">
        <f>_xlfn.MAXIFS($G$191:$AC$191,$G$191:$AC$191,"&lt;0.17")</f>
        <v>0.14836322450379402</v>
      </c>
    </row>
    <row r="193" spans="2:36" x14ac:dyDescent="0.25">
      <c r="B193" s="79" t="s">
        <v>169</v>
      </c>
      <c r="C193" s="80"/>
      <c r="D193" s="81">
        <f>AVERAGE($G$191:$AC$191)</f>
        <v>9.8591225611059985E-2</v>
      </c>
    </row>
    <row r="194" spans="2:36" x14ac:dyDescent="0.25">
      <c r="B194" s="79" t="s">
        <v>139</v>
      </c>
      <c r="C194" s="80"/>
      <c r="D194" s="81">
        <f>MEDIAN($G$191:$AC$191)</f>
        <v>0.10981191109207478</v>
      </c>
    </row>
    <row r="195" spans="2:36" x14ac:dyDescent="0.25">
      <c r="B195" s="82" t="s">
        <v>140</v>
      </c>
      <c r="C195" s="83"/>
      <c r="D195" s="84">
        <f>_xlfn.MINIFS($G$191:$AC$191,$G$191:$AC$191,"&gt;0")</f>
        <v>3.3632414342490202E-2</v>
      </c>
    </row>
    <row r="198" spans="2:36" x14ac:dyDescent="0.25">
      <c r="B198" s="85" t="s">
        <v>114</v>
      </c>
      <c r="C198" s="86"/>
      <c r="D198" s="86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</row>
    <row r="199" spans="2:36" x14ac:dyDescent="0.25">
      <c r="B199" s="2" t="s">
        <v>22</v>
      </c>
      <c r="F199" s="6">
        <f>F87</f>
        <v>595758</v>
      </c>
      <c r="G199" s="6">
        <f t="shared" ref="G199:AJ199" si="358">G87</f>
        <v>514565</v>
      </c>
      <c r="H199" s="6">
        <f t="shared" si="358"/>
        <v>622388</v>
      </c>
      <c r="I199" s="6">
        <f t="shared" si="358"/>
        <v>609414</v>
      </c>
      <c r="J199" s="6">
        <f t="shared" si="358"/>
        <v>633698</v>
      </c>
      <c r="K199" s="6">
        <f t="shared" si="358"/>
        <v>574039</v>
      </c>
      <c r="L199" s="6">
        <f t="shared" si="358"/>
        <v>728616</v>
      </c>
      <c r="M199" s="6">
        <f t="shared" si="358"/>
        <v>1011135</v>
      </c>
      <c r="N199" s="6">
        <f t="shared" si="358"/>
        <v>1181132</v>
      </c>
      <c r="O199" s="6">
        <f t="shared" si="358"/>
        <v>1104448</v>
      </c>
      <c r="P199" s="6">
        <f t="shared" si="358"/>
        <v>1320685</v>
      </c>
      <c r="Q199" s="6">
        <f t="shared" si="358"/>
        <v>1486925</v>
      </c>
      <c r="R199" s="6">
        <f t="shared" si="358"/>
        <v>1687854</v>
      </c>
      <c r="S199" s="6">
        <f t="shared" si="358"/>
        <v>1768475</v>
      </c>
      <c r="T199" s="6">
        <f t="shared" si="358"/>
        <v>1760844</v>
      </c>
      <c r="U199" s="6">
        <f t="shared" si="358"/>
        <v>1702104</v>
      </c>
      <c r="V199" s="6">
        <f t="shared" si="358"/>
        <v>1510128</v>
      </c>
      <c r="W199" s="6">
        <f t="shared" si="358"/>
        <v>1345040</v>
      </c>
      <c r="X199" s="6">
        <f t="shared" si="358"/>
        <v>1423356</v>
      </c>
      <c r="Y199" s="6">
        <f t="shared" si="358"/>
        <v>1927368</v>
      </c>
      <c r="Z199" s="6">
        <f t="shared" si="358"/>
        <v>1560859</v>
      </c>
      <c r="AA199" s="6">
        <f t="shared" si="358"/>
        <v>1414797</v>
      </c>
      <c r="AB199" s="6">
        <f t="shared" si="358"/>
        <v>1516490</v>
      </c>
      <c r="AC199" s="6">
        <f t="shared" ref="AC199" si="359">AC87</f>
        <v>1947024.824</v>
      </c>
      <c r="AE199" s="6">
        <f t="shared" si="358"/>
        <v>609414</v>
      </c>
      <c r="AF199" s="6">
        <f t="shared" si="358"/>
        <v>1011135</v>
      </c>
      <c r="AG199" s="6">
        <f t="shared" si="358"/>
        <v>1486925</v>
      </c>
      <c r="AH199" s="6">
        <f t="shared" si="358"/>
        <v>1702104</v>
      </c>
      <c r="AI199" s="6">
        <f t="shared" si="358"/>
        <v>1927368</v>
      </c>
      <c r="AJ199" s="6">
        <f t="shared" si="358"/>
        <v>1947024.824</v>
      </c>
    </row>
    <row r="200" spans="2:36" x14ac:dyDescent="0.25">
      <c r="B200" s="2" t="s">
        <v>202</v>
      </c>
      <c r="F200" s="42">
        <f>F199/F190</f>
        <v>0.28920614162196956</v>
      </c>
      <c r="G200" s="42">
        <f t="shared" ref="G200:AJ200" si="360">G199/G190</f>
        <v>0.2416638840084743</v>
      </c>
      <c r="H200" s="42">
        <f t="shared" si="360"/>
        <v>0.26338032996808824</v>
      </c>
      <c r="I200" s="42">
        <f t="shared" si="360"/>
        <v>0.22640739763789766</v>
      </c>
      <c r="J200" s="42">
        <f t="shared" si="360"/>
        <v>0.23717760380623162</v>
      </c>
      <c r="K200" s="42">
        <f t="shared" si="360"/>
        <v>0.20087806445088252</v>
      </c>
      <c r="L200" s="42">
        <f t="shared" si="360"/>
        <v>0.21499978606722212</v>
      </c>
      <c r="M200" s="42">
        <f t="shared" si="360"/>
        <v>0.26184272267643666</v>
      </c>
      <c r="N200" s="42">
        <f t="shared" si="360"/>
        <v>0.29486782610084999</v>
      </c>
      <c r="O200" s="42">
        <f t="shared" si="360"/>
        <v>0.26351323461798803</v>
      </c>
      <c r="P200" s="42">
        <f t="shared" si="360"/>
        <v>0.24040936498586324</v>
      </c>
      <c r="Q200" s="42">
        <f t="shared" si="360"/>
        <v>0.2357012704257658</v>
      </c>
      <c r="R200" s="42">
        <f t="shared" si="360"/>
        <v>0.26859496767351815</v>
      </c>
      <c r="S200" s="42">
        <f t="shared" si="360"/>
        <v>0.24659111032406589</v>
      </c>
      <c r="T200" s="42">
        <f t="shared" si="360"/>
        <v>0.23671190536492354</v>
      </c>
      <c r="U200" s="42">
        <f t="shared" si="360"/>
        <v>0.18656576216664369</v>
      </c>
      <c r="V200" s="42">
        <f t="shared" si="360"/>
        <v>0.16570616444909894</v>
      </c>
      <c r="W200" s="42">
        <f t="shared" si="360"/>
        <v>0.14014430370461753</v>
      </c>
      <c r="X200" s="42">
        <f t="shared" si="360"/>
        <v>0.13246837515265419</v>
      </c>
      <c r="Y200" s="42">
        <f t="shared" si="360"/>
        <v>0.16599444718082507</v>
      </c>
      <c r="Z200" s="42">
        <f t="shared" si="360"/>
        <v>0.14724265347494808</v>
      </c>
      <c r="AA200" s="42">
        <f t="shared" si="360"/>
        <v>0.11373647376792259</v>
      </c>
      <c r="AB200" s="42">
        <f t="shared" si="360"/>
        <v>0.10962450197871182</v>
      </c>
      <c r="AC200" s="42">
        <f t="shared" ref="AC200" si="361">AC199/AC190</f>
        <v>0.11699148071484546</v>
      </c>
      <c r="AD200" s="42"/>
      <c r="AE200" s="42">
        <f t="shared" si="360"/>
        <v>0.22640739763789766</v>
      </c>
      <c r="AF200" s="42">
        <f t="shared" si="360"/>
        <v>0.26184272267643666</v>
      </c>
      <c r="AG200" s="42">
        <f t="shared" si="360"/>
        <v>0.2357012704257658</v>
      </c>
      <c r="AH200" s="42">
        <f t="shared" si="360"/>
        <v>0.18656576216664369</v>
      </c>
      <c r="AI200" s="42">
        <f t="shared" si="360"/>
        <v>0.16599444718082507</v>
      </c>
      <c r="AJ200" s="42">
        <f t="shared" si="360"/>
        <v>0.11699148071484546</v>
      </c>
    </row>
    <row r="201" spans="2:36" x14ac:dyDescent="0.25">
      <c r="B201" s="76" t="s">
        <v>141</v>
      </c>
      <c r="C201" s="77"/>
      <c r="D201" s="91">
        <f>MAX($F$200:$AC$200)</f>
        <v>0.29486782610084999</v>
      </c>
    </row>
    <row r="202" spans="2:36" x14ac:dyDescent="0.25">
      <c r="B202" s="79" t="s">
        <v>169</v>
      </c>
      <c r="C202" s="80"/>
      <c r="D202" s="92">
        <f>AVERAGE($F$200:$AC$200)</f>
        <v>0.20835082384668524</v>
      </c>
    </row>
    <row r="203" spans="2:36" x14ac:dyDescent="0.25">
      <c r="B203" s="79" t="s">
        <v>139</v>
      </c>
      <c r="C203" s="80"/>
      <c r="D203" s="92">
        <f>MEDIAN($F$200:$AC$200)</f>
        <v>0.23105433403183173</v>
      </c>
    </row>
    <row r="204" spans="2:36" x14ac:dyDescent="0.25">
      <c r="B204" s="82" t="s">
        <v>140</v>
      </c>
      <c r="C204" s="83"/>
      <c r="D204" s="93">
        <f>MIN($F$200:$AC$200)</f>
        <v>0.10962450197871182</v>
      </c>
    </row>
    <row r="206" spans="2:36" x14ac:dyDescent="0.25">
      <c r="B206" s="2" t="s">
        <v>8</v>
      </c>
      <c r="F206" s="6">
        <f>F18</f>
        <v>-7000</v>
      </c>
      <c r="G206" s="6">
        <f t="shared" ref="G206:AJ206" si="362">G18</f>
        <v>-9146</v>
      </c>
      <c r="H206" s="6">
        <f t="shared" si="362"/>
        <v>-8947</v>
      </c>
      <c r="I206" s="6">
        <f t="shared" si="362"/>
        <v>-7400</v>
      </c>
      <c r="J206" s="6">
        <f t="shared" si="362"/>
        <v>-7618</v>
      </c>
      <c r="K206" s="6">
        <f t="shared" si="362"/>
        <v>-588</v>
      </c>
      <c r="L206" s="6">
        <f t="shared" si="362"/>
        <v>-529</v>
      </c>
      <c r="M206" s="6">
        <f t="shared" si="362"/>
        <v>-9074</v>
      </c>
      <c r="N206" s="6">
        <f t="shared" si="362"/>
        <v>-10462</v>
      </c>
      <c r="O206" s="6">
        <f t="shared" si="362"/>
        <v>-5982</v>
      </c>
      <c r="P206" s="6">
        <f t="shared" si="362"/>
        <v>-19852</v>
      </c>
      <c r="Q206" s="6">
        <f t="shared" si="362"/>
        <v>-193528</v>
      </c>
      <c r="R206" s="6">
        <f t="shared" si="362"/>
        <v>-55740</v>
      </c>
      <c r="S206" s="6">
        <f t="shared" si="362"/>
        <v>-38035</v>
      </c>
      <c r="T206" s="6">
        <f t="shared" si="362"/>
        <v>-50531</v>
      </c>
      <c r="U206" s="6">
        <f t="shared" si="362"/>
        <v>66999</v>
      </c>
      <c r="V206" s="6">
        <f t="shared" si="362"/>
        <v>-10015</v>
      </c>
      <c r="W206" s="6">
        <f t="shared" si="362"/>
        <v>-15623</v>
      </c>
      <c r="X206" s="6">
        <f t="shared" si="362"/>
        <v>-75457</v>
      </c>
      <c r="Y206" s="6">
        <f t="shared" si="362"/>
        <v>62566</v>
      </c>
      <c r="Z206" s="6">
        <f t="shared" si="362"/>
        <v>25416</v>
      </c>
      <c r="AA206" s="6">
        <f t="shared" si="362"/>
        <v>26628</v>
      </c>
      <c r="AB206" s="6">
        <f t="shared" si="362"/>
        <v>46660</v>
      </c>
      <c r="AC206" s="6">
        <f t="shared" ref="AC206" si="363">AC18</f>
        <v>-178305.39600000001</v>
      </c>
      <c r="AE206" s="6">
        <f t="shared" si="362"/>
        <v>-32493</v>
      </c>
      <c r="AF206" s="6">
        <f t="shared" si="362"/>
        <v>-17809</v>
      </c>
      <c r="AG206" s="6">
        <f t="shared" si="362"/>
        <v>-229824</v>
      </c>
      <c r="AH206" s="6">
        <f t="shared" si="362"/>
        <v>-77307</v>
      </c>
      <c r="AI206" s="6">
        <f t="shared" si="362"/>
        <v>-38529</v>
      </c>
      <c r="AJ206" s="6">
        <f t="shared" si="362"/>
        <v>-79601.396000000008</v>
      </c>
    </row>
    <row r="207" spans="2:36" x14ac:dyDescent="0.25">
      <c r="B207" s="2" t="s">
        <v>207</v>
      </c>
      <c r="F207" s="30">
        <f>F206/F199</f>
        <v>-1.1749737309444439E-2</v>
      </c>
      <c r="G207" s="30">
        <f t="shared" ref="G207:AJ207" si="364">G206/G199</f>
        <v>-1.7774236491016684E-2</v>
      </c>
      <c r="H207" s="30">
        <f t="shared" si="364"/>
        <v>-1.4375277158299967E-2</v>
      </c>
      <c r="I207" s="30">
        <f t="shared" si="364"/>
        <v>-1.2142812603583115E-2</v>
      </c>
      <c r="J207" s="30">
        <f t="shared" si="364"/>
        <v>-1.2021499199934354E-2</v>
      </c>
      <c r="K207" s="30">
        <f t="shared" si="364"/>
        <v>-1.024320647203413E-3</v>
      </c>
      <c r="L207" s="30">
        <f t="shared" si="364"/>
        <v>-7.260340151739737E-4</v>
      </c>
      <c r="M207" s="30">
        <f t="shared" si="364"/>
        <v>-8.9740736894677771E-3</v>
      </c>
      <c r="N207" s="30">
        <f t="shared" si="364"/>
        <v>-8.8576043998469262E-3</v>
      </c>
      <c r="O207" s="30">
        <f t="shared" si="364"/>
        <v>-5.4162803500028972E-3</v>
      </c>
      <c r="P207" s="30">
        <f t="shared" si="364"/>
        <v>-1.503159345339729E-2</v>
      </c>
      <c r="Q207" s="30">
        <f t="shared" si="364"/>
        <v>-0.13015316845167038</v>
      </c>
      <c r="R207" s="30">
        <f t="shared" si="364"/>
        <v>-3.302418337131055E-2</v>
      </c>
      <c r="S207" s="30">
        <f t="shared" si="364"/>
        <v>-2.1507230806203086E-2</v>
      </c>
      <c r="T207" s="30">
        <f t="shared" si="364"/>
        <v>-2.8697033922369046E-2</v>
      </c>
      <c r="U207" s="30">
        <f t="shared" si="364"/>
        <v>3.9362459638188969E-2</v>
      </c>
      <c r="V207" s="30">
        <f t="shared" si="364"/>
        <v>-6.6318881578250324E-3</v>
      </c>
      <c r="W207" s="30">
        <f t="shared" si="364"/>
        <v>-1.1615267947421638E-2</v>
      </c>
      <c r="X207" s="30">
        <f t="shared" si="364"/>
        <v>-5.3013441472126437E-2</v>
      </c>
      <c r="Y207" s="30">
        <f t="shared" si="364"/>
        <v>3.2461885846397781E-2</v>
      </c>
      <c r="Z207" s="30">
        <f t="shared" si="364"/>
        <v>1.6283341416489253E-2</v>
      </c>
      <c r="AA207" s="30">
        <f t="shared" si="364"/>
        <v>1.8821074684212648E-2</v>
      </c>
      <c r="AB207" s="30">
        <f t="shared" si="364"/>
        <v>3.0768419178497715E-2</v>
      </c>
      <c r="AC207" s="30">
        <f t="shared" ref="AC207" si="365">AC206/AC199</f>
        <v>-9.1578388627673715E-2</v>
      </c>
      <c r="AD207" s="30"/>
      <c r="AE207" s="30">
        <f t="shared" si="364"/>
        <v>-5.3318433774084614E-2</v>
      </c>
      <c r="AF207" s="30">
        <f t="shared" si="364"/>
        <v>-1.7612880574799608E-2</v>
      </c>
      <c r="AG207" s="30">
        <f t="shared" si="364"/>
        <v>-0.15456327656068733</v>
      </c>
      <c r="AH207" s="30">
        <f t="shared" si="364"/>
        <v>-4.541849381706406E-2</v>
      </c>
      <c r="AI207" s="30">
        <f t="shared" si="364"/>
        <v>-1.9990474055810826E-2</v>
      </c>
      <c r="AJ207" s="30">
        <f t="shared" si="364"/>
        <v>-4.0883606114721013E-2</v>
      </c>
    </row>
    <row r="208" spans="2:36" x14ac:dyDescent="0.25">
      <c r="B208" s="76" t="s">
        <v>141</v>
      </c>
      <c r="C208" s="77"/>
      <c r="D208" s="78">
        <f>_xlfn.MINIFS($F$207:$AC$207,$F$207:$AC$207,"&gt;-0.01")</f>
        <v>-8.9740736894677771E-3</v>
      </c>
    </row>
    <row r="209" spans="2:36" x14ac:dyDescent="0.25">
      <c r="B209" s="79" t="s">
        <v>169</v>
      </c>
      <c r="C209" s="80"/>
      <c r="D209" s="81">
        <f>AVERAGE($F$207:$AC$207)</f>
        <v>-1.4442370471257682E-2</v>
      </c>
    </row>
    <row r="210" spans="2:36" x14ac:dyDescent="0.25">
      <c r="B210" s="79" t="s">
        <v>139</v>
      </c>
      <c r="C210" s="80"/>
      <c r="D210" s="81">
        <f>MEDIAN($F$207:$AC$207)</f>
        <v>-1.1682502628433039E-2</v>
      </c>
    </row>
    <row r="211" spans="2:36" x14ac:dyDescent="0.25">
      <c r="B211" s="82" t="s">
        <v>140</v>
      </c>
      <c r="C211" s="83"/>
      <c r="D211" s="84">
        <f>_xlfn.MAXIFS($F$207:$AC$207,$F$207:$AC$207,"&lt;-0.015")</f>
        <v>-1.503159345339729E-2</v>
      </c>
    </row>
    <row r="214" spans="2:36" x14ac:dyDescent="0.25">
      <c r="B214" s="73" t="s">
        <v>116</v>
      </c>
      <c r="C214" s="86"/>
      <c r="D214" s="86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</row>
    <row r="215" spans="2:36" x14ac:dyDescent="0.25">
      <c r="B215" s="2" t="s">
        <v>71</v>
      </c>
      <c r="F215" s="6">
        <f t="shared" ref="F215:AB215" si="366">F86</f>
        <v>841803</v>
      </c>
      <c r="G215" s="6">
        <f t="shared" si="366"/>
        <v>1121649</v>
      </c>
      <c r="H215" s="6">
        <f t="shared" si="366"/>
        <v>1085506</v>
      </c>
      <c r="I215" s="6">
        <f t="shared" si="366"/>
        <v>857232</v>
      </c>
      <c r="J215" s="6">
        <f t="shared" si="366"/>
        <v>1182364</v>
      </c>
      <c r="K215" s="6">
        <f t="shared" si="366"/>
        <v>1384113</v>
      </c>
      <c r="L215" s="6">
        <f t="shared" si="366"/>
        <v>1392672</v>
      </c>
      <c r="M215" s="6">
        <f t="shared" si="366"/>
        <v>820239</v>
      </c>
      <c r="N215" s="6">
        <f t="shared" si="366"/>
        <v>1302694</v>
      </c>
      <c r="O215" s="6">
        <f t="shared" si="366"/>
        <v>1149342</v>
      </c>
      <c r="P215" s="6">
        <f t="shared" si="366"/>
        <v>1880011</v>
      </c>
      <c r="Q215" s="6">
        <f t="shared" si="366"/>
        <v>1661135</v>
      </c>
      <c r="R215" s="6">
        <f t="shared" si="366"/>
        <v>2448633</v>
      </c>
      <c r="S215" s="6">
        <f t="shared" si="366"/>
        <v>2093026</v>
      </c>
      <c r="T215" s="6">
        <f t="shared" si="366"/>
        <v>2304294</v>
      </c>
      <c r="U215" s="6">
        <f t="shared" si="366"/>
        <v>2059376</v>
      </c>
      <c r="V215" s="6">
        <f t="shared" si="366"/>
        <v>2366023</v>
      </c>
      <c r="W215" s="6">
        <f t="shared" si="366"/>
        <v>2099235</v>
      </c>
      <c r="X215" s="6">
        <f t="shared" si="366"/>
        <v>2403637</v>
      </c>
      <c r="Y215" s="6">
        <f t="shared" si="366"/>
        <v>2647258</v>
      </c>
      <c r="Z215" s="6">
        <f t="shared" si="366"/>
        <v>2389898</v>
      </c>
      <c r="AA215" s="6">
        <f t="shared" si="366"/>
        <v>3217511</v>
      </c>
      <c r="AB215" s="6">
        <f t="shared" si="366"/>
        <v>3580300</v>
      </c>
      <c r="AC215" s="6">
        <f t="shared" ref="AC215" si="367">AC86</f>
        <v>3178870.372</v>
      </c>
      <c r="AE215" s="6">
        <f t="shared" ref="AE215:AJ215" si="368">AE86</f>
        <v>857232</v>
      </c>
      <c r="AF215" s="6">
        <f t="shared" si="368"/>
        <v>820239</v>
      </c>
      <c r="AG215" s="6">
        <f t="shared" si="368"/>
        <v>1661135</v>
      </c>
      <c r="AH215" s="6">
        <f t="shared" si="368"/>
        <v>2059376</v>
      </c>
      <c r="AI215" s="6">
        <f t="shared" si="368"/>
        <v>2647258</v>
      </c>
      <c r="AJ215" s="6">
        <f t="shared" si="368"/>
        <v>3178870.372</v>
      </c>
    </row>
    <row r="216" spans="2:36" x14ac:dyDescent="0.25">
      <c r="B216" s="2" t="s">
        <v>203</v>
      </c>
      <c r="F216" s="42">
        <f t="shared" ref="F216:AB216" si="369">F215/F190</f>
        <v>0.40864679557101852</v>
      </c>
      <c r="G216" s="42">
        <f t="shared" si="369"/>
        <v>0.52677903439647311</v>
      </c>
      <c r="H216" s="42">
        <f t="shared" si="369"/>
        <v>0.4593612480676677</v>
      </c>
      <c r="I216" s="42">
        <f t="shared" si="369"/>
        <v>0.31847589043233382</v>
      </c>
      <c r="J216" s="42">
        <f t="shared" si="369"/>
        <v>0.44252981758937415</v>
      </c>
      <c r="K216" s="42">
        <f t="shared" si="369"/>
        <v>0.48435374673376613</v>
      </c>
      <c r="L216" s="42">
        <f t="shared" si="369"/>
        <v>0.41094922711251242</v>
      </c>
      <c r="M216" s="42">
        <f t="shared" si="369"/>
        <v>0.21240844497064956</v>
      </c>
      <c r="N216" s="42">
        <f t="shared" si="369"/>
        <v>0.3252155964402122</v>
      </c>
      <c r="O216" s="42">
        <f t="shared" si="369"/>
        <v>0.27422461546610399</v>
      </c>
      <c r="P216" s="42">
        <f t="shared" si="369"/>
        <v>0.34222562585055311</v>
      </c>
      <c r="Q216" s="42">
        <f t="shared" si="369"/>
        <v>0.2633163272180537</v>
      </c>
      <c r="R216" s="42">
        <f t="shared" si="369"/>
        <v>0.38966077722321346</v>
      </c>
      <c r="S216" s="42">
        <f t="shared" si="369"/>
        <v>0.2918455761473237</v>
      </c>
      <c r="T216" s="42">
        <f t="shared" si="369"/>
        <v>0.30976839700789</v>
      </c>
      <c r="U216" s="42">
        <f t="shared" si="369"/>
        <v>0.22572595624456201</v>
      </c>
      <c r="V216" s="42">
        <f t="shared" si="369"/>
        <v>0.25962342021891549</v>
      </c>
      <c r="W216" s="42">
        <f t="shared" si="369"/>
        <v>0.21872645228942095</v>
      </c>
      <c r="X216" s="42">
        <f t="shared" si="369"/>
        <v>0.2237008084040818</v>
      </c>
      <c r="Y216" s="42">
        <f t="shared" si="369"/>
        <v>0.22799492793022227</v>
      </c>
      <c r="Z216" s="42">
        <f t="shared" si="369"/>
        <v>0.22544952686595746</v>
      </c>
      <c r="AA216" s="42">
        <f t="shared" si="369"/>
        <v>0.25865785370586902</v>
      </c>
      <c r="AB216" s="42">
        <f t="shared" si="369"/>
        <v>0.25881384277798197</v>
      </c>
      <c r="AC216" s="42">
        <f t="shared" ref="AC216" si="370">AC215/AC190</f>
        <v>0.19100976383895946</v>
      </c>
      <c r="AD216" s="42"/>
      <c r="AE216" s="42">
        <f t="shared" ref="AE216:AJ216" si="371">AE215/AE190</f>
        <v>0.31847589043233382</v>
      </c>
      <c r="AF216" s="42">
        <f t="shared" si="371"/>
        <v>0.21240844497064956</v>
      </c>
      <c r="AG216" s="42">
        <f t="shared" si="371"/>
        <v>0.2633163272180537</v>
      </c>
      <c r="AH216" s="42">
        <f t="shared" si="371"/>
        <v>0.22572595624456201</v>
      </c>
      <c r="AI216" s="42">
        <f t="shared" si="371"/>
        <v>0.22799492793022227</v>
      </c>
      <c r="AJ216" s="42">
        <f t="shared" si="371"/>
        <v>0.19100976383895946</v>
      </c>
    </row>
    <row r="217" spans="2:36" x14ac:dyDescent="0.25">
      <c r="B217" s="76" t="s">
        <v>141</v>
      </c>
      <c r="C217" s="77"/>
      <c r="D217" s="91">
        <f>MAX($F$216:$AC$216)</f>
        <v>0.52677903439647311</v>
      </c>
    </row>
    <row r="218" spans="2:36" x14ac:dyDescent="0.25">
      <c r="B218" s="79" t="s">
        <v>169</v>
      </c>
      <c r="C218" s="80"/>
      <c r="D218" s="92">
        <f>AVERAGE($F$216:$AC$216)</f>
        <v>0.31456098635429647</v>
      </c>
    </row>
    <row r="219" spans="2:36" x14ac:dyDescent="0.25">
      <c r="B219" s="79" t="s">
        <v>139</v>
      </c>
      <c r="C219" s="80"/>
      <c r="D219" s="92">
        <f>MEDIAN($F$216:$AC$216)</f>
        <v>0.28303509580671382</v>
      </c>
    </row>
    <row r="220" spans="2:36" x14ac:dyDescent="0.25">
      <c r="B220" s="82" t="s">
        <v>140</v>
      </c>
      <c r="C220" s="83"/>
      <c r="D220" s="93">
        <f>MIN($F$216:$AC$216)</f>
        <v>0.19100976383895946</v>
      </c>
    </row>
    <row r="223" spans="2:36" x14ac:dyDescent="0.25">
      <c r="B223" s="73" t="s">
        <v>23</v>
      </c>
      <c r="C223" s="86"/>
      <c r="D223" s="86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</row>
    <row r="224" spans="2:36" x14ac:dyDescent="0.25">
      <c r="B224" s="2" t="s">
        <v>173</v>
      </c>
      <c r="G224" s="6">
        <f>F226</f>
        <v>18877</v>
      </c>
      <c r="H224" s="6">
        <f t="shared" ref="H224:AJ224" si="372">G226</f>
        <v>127</v>
      </c>
      <c r="I224" s="6">
        <f t="shared" si="372"/>
        <v>127</v>
      </c>
      <c r="J224" s="6">
        <f t="shared" si="372"/>
        <v>449</v>
      </c>
      <c r="K224" s="6">
        <f t="shared" si="372"/>
        <v>449</v>
      </c>
      <c r="L224" s="6">
        <f t="shared" si="372"/>
        <v>449</v>
      </c>
      <c r="M224" s="6">
        <f t="shared" si="372"/>
        <v>449</v>
      </c>
      <c r="N224" s="6">
        <f t="shared" si="372"/>
        <v>1176</v>
      </c>
      <c r="O224" s="6">
        <f t="shared" si="372"/>
        <v>1176</v>
      </c>
      <c r="P224" s="6">
        <f t="shared" si="372"/>
        <v>1176</v>
      </c>
      <c r="Q224" s="6">
        <f t="shared" si="372"/>
        <v>2686</v>
      </c>
      <c r="R224" s="6">
        <f t="shared" si="372"/>
        <v>1474</v>
      </c>
      <c r="S224" s="6">
        <f t="shared" si="372"/>
        <v>1474</v>
      </c>
      <c r="T224" s="6">
        <f t="shared" si="372"/>
        <v>2834</v>
      </c>
      <c r="U224" s="6">
        <f t="shared" si="372"/>
        <v>1704</v>
      </c>
      <c r="V224" s="6">
        <f t="shared" si="372"/>
        <v>1705</v>
      </c>
      <c r="W224" s="6">
        <f t="shared" si="372"/>
        <v>1704</v>
      </c>
      <c r="X224" s="6">
        <f t="shared" si="372"/>
        <v>1704</v>
      </c>
      <c r="Y224" s="6">
        <f t="shared" si="372"/>
        <v>1704</v>
      </c>
      <c r="Z224" s="6">
        <f t="shared" si="372"/>
        <v>2082</v>
      </c>
      <c r="AA224" s="6">
        <f t="shared" si="372"/>
        <v>2082</v>
      </c>
      <c r="AB224" s="6">
        <f t="shared" si="372"/>
        <v>2082</v>
      </c>
      <c r="AC224" s="6">
        <f t="shared" si="372"/>
        <v>2505</v>
      </c>
      <c r="AF224" s="6">
        <f t="shared" si="372"/>
        <v>449</v>
      </c>
      <c r="AG224" s="6">
        <f t="shared" si="372"/>
        <v>1176</v>
      </c>
      <c r="AH224" s="6">
        <f t="shared" si="372"/>
        <v>1474</v>
      </c>
      <c r="AI224" s="6">
        <f t="shared" si="372"/>
        <v>1705</v>
      </c>
      <c r="AJ224" s="6">
        <f t="shared" si="372"/>
        <v>2082</v>
      </c>
    </row>
    <row r="225" spans="2:36" x14ac:dyDescent="0.25">
      <c r="B225" s="2" t="s">
        <v>205</v>
      </c>
      <c r="G225" s="6">
        <f>G226-G224</f>
        <v>-18750</v>
      </c>
      <c r="H225" s="6">
        <f t="shared" ref="H225:AJ225" si="373">H226-H224</f>
        <v>0</v>
      </c>
      <c r="I225" s="6">
        <f t="shared" si="373"/>
        <v>322</v>
      </c>
      <c r="J225" s="6">
        <f t="shared" si="373"/>
        <v>0</v>
      </c>
      <c r="K225" s="6">
        <f t="shared" si="373"/>
        <v>0</v>
      </c>
      <c r="L225" s="6">
        <f t="shared" si="373"/>
        <v>0</v>
      </c>
      <c r="M225" s="6">
        <f t="shared" si="373"/>
        <v>727</v>
      </c>
      <c r="N225" s="6">
        <f t="shared" si="373"/>
        <v>0</v>
      </c>
      <c r="O225" s="6">
        <f t="shared" si="373"/>
        <v>0</v>
      </c>
      <c r="P225" s="6">
        <f t="shared" si="373"/>
        <v>1510</v>
      </c>
      <c r="Q225" s="6">
        <f t="shared" si="373"/>
        <v>-1212</v>
      </c>
      <c r="R225" s="6">
        <f t="shared" si="373"/>
        <v>0</v>
      </c>
      <c r="S225" s="6">
        <f t="shared" si="373"/>
        <v>1360</v>
      </c>
      <c r="T225" s="6">
        <f t="shared" si="373"/>
        <v>-1130</v>
      </c>
      <c r="U225" s="6">
        <f t="shared" si="373"/>
        <v>1</v>
      </c>
      <c r="V225" s="6">
        <f t="shared" si="373"/>
        <v>-1</v>
      </c>
      <c r="W225" s="6">
        <f t="shared" si="373"/>
        <v>0</v>
      </c>
      <c r="X225" s="6">
        <f t="shared" si="373"/>
        <v>0</v>
      </c>
      <c r="Y225" s="6">
        <f t="shared" si="373"/>
        <v>378</v>
      </c>
      <c r="Z225" s="6">
        <f t="shared" si="373"/>
        <v>0</v>
      </c>
      <c r="AA225" s="6">
        <f t="shared" si="373"/>
        <v>0</v>
      </c>
      <c r="AB225" s="6">
        <f t="shared" si="373"/>
        <v>423</v>
      </c>
      <c r="AC225" s="6">
        <f t="shared" ref="AC225" si="374">AC226-AC224</f>
        <v>294.38200000000006</v>
      </c>
      <c r="AD225" s="30"/>
      <c r="AF225" s="6">
        <f t="shared" si="373"/>
        <v>727</v>
      </c>
      <c r="AG225" s="6">
        <f t="shared" si="373"/>
        <v>298</v>
      </c>
      <c r="AH225" s="6">
        <f t="shared" si="373"/>
        <v>231</v>
      </c>
      <c r="AI225" s="6">
        <f t="shared" si="373"/>
        <v>377</v>
      </c>
      <c r="AJ225" s="6">
        <f t="shared" si="373"/>
        <v>717.38200000000006</v>
      </c>
    </row>
    <row r="226" spans="2:36" x14ac:dyDescent="0.25">
      <c r="B226" s="8" t="s">
        <v>204</v>
      </c>
      <c r="C226" s="8"/>
      <c r="D226" s="8"/>
      <c r="E226" s="16"/>
      <c r="F226" s="16">
        <f t="shared" ref="F226:AB226" si="375">F47</f>
        <v>18877</v>
      </c>
      <c r="G226" s="16">
        <f t="shared" si="375"/>
        <v>127</v>
      </c>
      <c r="H226" s="16">
        <f t="shared" si="375"/>
        <v>127</v>
      </c>
      <c r="I226" s="16">
        <f t="shared" si="375"/>
        <v>449</v>
      </c>
      <c r="J226" s="16">
        <f t="shared" si="375"/>
        <v>449</v>
      </c>
      <c r="K226" s="16">
        <f t="shared" si="375"/>
        <v>449</v>
      </c>
      <c r="L226" s="16">
        <f t="shared" si="375"/>
        <v>449</v>
      </c>
      <c r="M226" s="16">
        <f t="shared" si="375"/>
        <v>1176</v>
      </c>
      <c r="N226" s="16">
        <f t="shared" si="375"/>
        <v>1176</v>
      </c>
      <c r="O226" s="16">
        <f t="shared" si="375"/>
        <v>1176</v>
      </c>
      <c r="P226" s="16">
        <f t="shared" si="375"/>
        <v>2686</v>
      </c>
      <c r="Q226" s="16">
        <f t="shared" si="375"/>
        <v>1474</v>
      </c>
      <c r="R226" s="16">
        <f t="shared" si="375"/>
        <v>1474</v>
      </c>
      <c r="S226" s="16">
        <f t="shared" si="375"/>
        <v>2834</v>
      </c>
      <c r="T226" s="16">
        <f t="shared" si="375"/>
        <v>1704</v>
      </c>
      <c r="U226" s="16">
        <f t="shared" si="375"/>
        <v>1705</v>
      </c>
      <c r="V226" s="16">
        <f t="shared" si="375"/>
        <v>1704</v>
      </c>
      <c r="W226" s="16">
        <f t="shared" si="375"/>
        <v>1704</v>
      </c>
      <c r="X226" s="16">
        <f t="shared" si="375"/>
        <v>1704</v>
      </c>
      <c r="Y226" s="16">
        <f t="shared" si="375"/>
        <v>2082</v>
      </c>
      <c r="Z226" s="16">
        <f t="shared" si="375"/>
        <v>2082</v>
      </c>
      <c r="AA226" s="16">
        <f t="shared" si="375"/>
        <v>2082</v>
      </c>
      <c r="AB226" s="16">
        <f t="shared" si="375"/>
        <v>2505</v>
      </c>
      <c r="AC226" s="16">
        <f t="shared" ref="AC226" si="376">AC47</f>
        <v>2799.3820000000001</v>
      </c>
      <c r="AD226" s="30"/>
      <c r="AE226" s="16">
        <f t="shared" ref="AE226:AJ226" si="377">AE47</f>
        <v>449</v>
      </c>
      <c r="AF226" s="16">
        <f t="shared" si="377"/>
        <v>1176</v>
      </c>
      <c r="AG226" s="16">
        <f t="shared" si="377"/>
        <v>1474</v>
      </c>
      <c r="AH226" s="16">
        <f t="shared" si="377"/>
        <v>1705</v>
      </c>
      <c r="AI226" s="16">
        <f t="shared" si="377"/>
        <v>2082</v>
      </c>
      <c r="AJ226" s="16">
        <f t="shared" si="377"/>
        <v>2799.3820000000001</v>
      </c>
    </row>
    <row r="227" spans="2:36" x14ac:dyDescent="0.25">
      <c r="AD227" s="30"/>
    </row>
    <row r="228" spans="2:36" x14ac:dyDescent="0.25">
      <c r="B228" s="2" t="s">
        <v>206</v>
      </c>
      <c r="G228" s="30">
        <f>G225/G224</f>
        <v>-0.9932722360544578</v>
      </c>
      <c r="H228" s="30">
        <f t="shared" ref="H228:AJ228" si="378">H225/H224</f>
        <v>0</v>
      </c>
      <c r="I228" s="30">
        <f t="shared" si="378"/>
        <v>2.5354330708661417</v>
      </c>
      <c r="J228" s="30">
        <f t="shared" si="378"/>
        <v>0</v>
      </c>
      <c r="K228" s="30">
        <f t="shared" si="378"/>
        <v>0</v>
      </c>
      <c r="L228" s="30">
        <f t="shared" si="378"/>
        <v>0</v>
      </c>
      <c r="M228" s="30">
        <f t="shared" si="378"/>
        <v>1.6191536748329622</v>
      </c>
      <c r="N228" s="30">
        <f t="shared" si="378"/>
        <v>0</v>
      </c>
      <c r="O228" s="30">
        <f t="shared" si="378"/>
        <v>0</v>
      </c>
      <c r="P228" s="30">
        <f t="shared" si="378"/>
        <v>1.2840136054421769</v>
      </c>
      <c r="Q228" s="30">
        <f t="shared" si="378"/>
        <v>-0.45122859270290394</v>
      </c>
      <c r="R228" s="30">
        <f t="shared" si="378"/>
        <v>0</v>
      </c>
      <c r="S228" s="30">
        <f t="shared" si="378"/>
        <v>0.92265943012211671</v>
      </c>
      <c r="T228" s="30">
        <f t="shared" si="378"/>
        <v>-0.39872971065631618</v>
      </c>
      <c r="U228" s="30">
        <f t="shared" si="378"/>
        <v>5.8685446009389673E-4</v>
      </c>
      <c r="V228" s="30">
        <f t="shared" si="378"/>
        <v>-5.8651026392961877E-4</v>
      </c>
      <c r="W228" s="30">
        <f t="shared" si="378"/>
        <v>0</v>
      </c>
      <c r="X228" s="30">
        <f t="shared" si="378"/>
        <v>0</v>
      </c>
      <c r="Y228" s="30">
        <f t="shared" si="378"/>
        <v>0.22183098591549297</v>
      </c>
      <c r="Z228" s="30">
        <f t="shared" si="378"/>
        <v>0</v>
      </c>
      <c r="AA228" s="30">
        <f t="shared" si="378"/>
        <v>0</v>
      </c>
      <c r="AB228" s="30">
        <f t="shared" si="378"/>
        <v>0.20317002881844382</v>
      </c>
      <c r="AC228" s="30">
        <f t="shared" ref="AC228" si="379">AC225/AC224</f>
        <v>0.11751776447105791</v>
      </c>
      <c r="AD228" s="30"/>
      <c r="AE228" s="30"/>
      <c r="AF228" s="30">
        <f t="shared" si="378"/>
        <v>1.6191536748329622</v>
      </c>
      <c r="AG228" s="30">
        <f t="shared" si="378"/>
        <v>0.25340136054421769</v>
      </c>
      <c r="AH228" s="30">
        <f t="shared" si="378"/>
        <v>0.15671641791044777</v>
      </c>
      <c r="AI228" s="30">
        <f t="shared" si="378"/>
        <v>0.22111436950146626</v>
      </c>
      <c r="AJ228" s="30">
        <f t="shared" si="378"/>
        <v>0.34456388088376566</v>
      </c>
    </row>
    <row r="229" spans="2:36" x14ac:dyDescent="0.25">
      <c r="B229" s="76" t="s">
        <v>141</v>
      </c>
      <c r="C229" s="77"/>
      <c r="D229" s="78">
        <f>MAX($G$228:$AC$228)</f>
        <v>2.5354330708661417</v>
      </c>
    </row>
    <row r="230" spans="2:36" x14ac:dyDescent="0.25">
      <c r="B230" s="79" t="s">
        <v>169</v>
      </c>
      <c r="C230" s="80"/>
      <c r="D230" s="81">
        <f>AVERAGE($G$228:$AC$228)</f>
        <v>0.2200238419674295</v>
      </c>
    </row>
    <row r="231" spans="2:36" x14ac:dyDescent="0.25">
      <c r="B231" s="79" t="s">
        <v>139</v>
      </c>
      <c r="C231" s="80"/>
      <c r="D231" s="81">
        <f>MEDIAN($G$228:$AC$228)</f>
        <v>0</v>
      </c>
    </row>
    <row r="232" spans="2:36" x14ac:dyDescent="0.25">
      <c r="B232" s="82" t="s">
        <v>140</v>
      </c>
      <c r="C232" s="83"/>
      <c r="D232" s="84">
        <f>MIN($G$228:$AC$228)</f>
        <v>-0.9932722360544578</v>
      </c>
    </row>
    <row r="235" spans="2:36" x14ac:dyDescent="0.25">
      <c r="B235" s="73" t="s">
        <v>79</v>
      </c>
      <c r="C235" s="86"/>
      <c r="D235" s="86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</row>
    <row r="236" spans="2:36" x14ac:dyDescent="0.25">
      <c r="B236" s="2" t="s">
        <v>173</v>
      </c>
      <c r="G236" s="6">
        <f>F238</f>
        <v>0</v>
      </c>
      <c r="H236" s="6">
        <f t="shared" ref="H236:AJ236" si="380">G238</f>
        <v>0</v>
      </c>
      <c r="I236" s="6">
        <f t="shared" si="380"/>
        <v>0</v>
      </c>
      <c r="J236" s="6">
        <f t="shared" si="380"/>
        <v>0</v>
      </c>
      <c r="K236" s="6">
        <f t="shared" si="380"/>
        <v>0</v>
      </c>
      <c r="L236" s="6">
        <f t="shared" si="380"/>
        <v>0</v>
      </c>
      <c r="M236" s="6">
        <f t="shared" si="380"/>
        <v>0</v>
      </c>
      <c r="N236" s="6">
        <f t="shared" si="380"/>
        <v>0</v>
      </c>
      <c r="O236" s="6">
        <f t="shared" si="380"/>
        <v>0</v>
      </c>
      <c r="P236" s="6">
        <f t="shared" si="380"/>
        <v>0</v>
      </c>
      <c r="Q236" s="6">
        <f t="shared" si="380"/>
        <v>0</v>
      </c>
      <c r="R236" s="6">
        <f t="shared" si="380"/>
        <v>0</v>
      </c>
      <c r="S236" s="6">
        <f t="shared" si="380"/>
        <v>0</v>
      </c>
      <c r="T236" s="6">
        <f t="shared" si="380"/>
        <v>0</v>
      </c>
      <c r="U236" s="6">
        <f t="shared" si="380"/>
        <v>0</v>
      </c>
      <c r="V236" s="6">
        <f t="shared" si="380"/>
        <v>3025</v>
      </c>
      <c r="W236" s="6">
        <f t="shared" si="380"/>
        <v>0</v>
      </c>
      <c r="X236" s="6">
        <f t="shared" si="380"/>
        <v>0</v>
      </c>
      <c r="Y236" s="6">
        <f t="shared" si="380"/>
        <v>0</v>
      </c>
      <c r="Z236" s="6">
        <f t="shared" si="380"/>
        <v>3025</v>
      </c>
      <c r="AA236" s="6">
        <f t="shared" si="380"/>
        <v>3025</v>
      </c>
      <c r="AB236" s="6">
        <f t="shared" si="380"/>
        <v>3025</v>
      </c>
      <c r="AC236" s="6">
        <f t="shared" si="380"/>
        <v>3025</v>
      </c>
      <c r="AD236" s="30"/>
      <c r="AF236" s="6">
        <f t="shared" si="380"/>
        <v>0</v>
      </c>
      <c r="AG236" s="6">
        <f t="shared" si="380"/>
        <v>0</v>
      </c>
      <c r="AH236" s="6">
        <f t="shared" si="380"/>
        <v>0</v>
      </c>
      <c r="AI236" s="6">
        <f t="shared" si="380"/>
        <v>3025</v>
      </c>
      <c r="AJ236" s="6">
        <f t="shared" si="380"/>
        <v>3025</v>
      </c>
    </row>
    <row r="237" spans="2:36" x14ac:dyDescent="0.25">
      <c r="B237" s="2" t="s">
        <v>205</v>
      </c>
      <c r="G237" s="6">
        <f>G238-G236</f>
        <v>0</v>
      </c>
      <c r="H237" s="6">
        <f t="shared" ref="H237:AJ237" si="381">H238-H236</f>
        <v>0</v>
      </c>
      <c r="I237" s="6">
        <f t="shared" si="381"/>
        <v>0</v>
      </c>
      <c r="J237" s="6">
        <f t="shared" si="381"/>
        <v>0</v>
      </c>
      <c r="K237" s="6">
        <f t="shared" si="381"/>
        <v>0</v>
      </c>
      <c r="L237" s="6">
        <f t="shared" si="381"/>
        <v>0</v>
      </c>
      <c r="M237" s="6">
        <f t="shared" si="381"/>
        <v>0</v>
      </c>
      <c r="N237" s="6">
        <f t="shared" si="381"/>
        <v>0</v>
      </c>
      <c r="O237" s="6">
        <f t="shared" si="381"/>
        <v>0</v>
      </c>
      <c r="P237" s="6">
        <f t="shared" si="381"/>
        <v>0</v>
      </c>
      <c r="Q237" s="6">
        <f t="shared" si="381"/>
        <v>0</v>
      </c>
      <c r="R237" s="6">
        <f t="shared" si="381"/>
        <v>0</v>
      </c>
      <c r="S237" s="6">
        <f t="shared" si="381"/>
        <v>0</v>
      </c>
      <c r="T237" s="6">
        <f t="shared" si="381"/>
        <v>0</v>
      </c>
      <c r="U237" s="6">
        <f t="shared" si="381"/>
        <v>3025</v>
      </c>
      <c r="V237" s="6">
        <f t="shared" si="381"/>
        <v>-3025</v>
      </c>
      <c r="W237" s="6">
        <f t="shared" si="381"/>
        <v>0</v>
      </c>
      <c r="X237" s="6">
        <f t="shared" si="381"/>
        <v>0</v>
      </c>
      <c r="Y237" s="6">
        <f t="shared" si="381"/>
        <v>3025</v>
      </c>
      <c r="Z237" s="6">
        <f t="shared" si="381"/>
        <v>0</v>
      </c>
      <c r="AA237" s="6">
        <f t="shared" si="381"/>
        <v>0</v>
      </c>
      <c r="AB237" s="6">
        <f t="shared" si="381"/>
        <v>0</v>
      </c>
      <c r="AC237" s="6">
        <f t="shared" ref="AC237" si="382">AC238-AC236</f>
        <v>-3025</v>
      </c>
      <c r="AD237" s="30"/>
      <c r="AF237" s="6">
        <f t="shared" si="381"/>
        <v>0</v>
      </c>
      <c r="AG237" s="6">
        <f t="shared" si="381"/>
        <v>0</v>
      </c>
      <c r="AH237" s="6">
        <f t="shared" si="381"/>
        <v>3025</v>
      </c>
      <c r="AI237" s="6">
        <f t="shared" si="381"/>
        <v>0</v>
      </c>
      <c r="AJ237" s="6">
        <f t="shared" si="381"/>
        <v>-3025</v>
      </c>
    </row>
    <row r="238" spans="2:36" x14ac:dyDescent="0.25">
      <c r="B238" s="8" t="s">
        <v>204</v>
      </c>
      <c r="C238" s="8"/>
      <c r="D238" s="8"/>
      <c r="E238" s="16"/>
      <c r="F238" s="16">
        <f t="shared" ref="F238:AB238" si="383">F48</f>
        <v>0</v>
      </c>
      <c r="G238" s="16">
        <f t="shared" si="383"/>
        <v>0</v>
      </c>
      <c r="H238" s="16">
        <f t="shared" si="383"/>
        <v>0</v>
      </c>
      <c r="I238" s="16">
        <f t="shared" si="383"/>
        <v>0</v>
      </c>
      <c r="J238" s="16">
        <f t="shared" si="383"/>
        <v>0</v>
      </c>
      <c r="K238" s="16">
        <f t="shared" si="383"/>
        <v>0</v>
      </c>
      <c r="L238" s="16">
        <f t="shared" si="383"/>
        <v>0</v>
      </c>
      <c r="M238" s="16">
        <f t="shared" si="383"/>
        <v>0</v>
      </c>
      <c r="N238" s="16">
        <f t="shared" si="383"/>
        <v>0</v>
      </c>
      <c r="O238" s="16">
        <f t="shared" si="383"/>
        <v>0</v>
      </c>
      <c r="P238" s="16">
        <f t="shared" si="383"/>
        <v>0</v>
      </c>
      <c r="Q238" s="16">
        <f t="shared" si="383"/>
        <v>0</v>
      </c>
      <c r="R238" s="16">
        <f t="shared" si="383"/>
        <v>0</v>
      </c>
      <c r="S238" s="16">
        <f t="shared" si="383"/>
        <v>0</v>
      </c>
      <c r="T238" s="16">
        <f t="shared" si="383"/>
        <v>0</v>
      </c>
      <c r="U238" s="16">
        <f t="shared" si="383"/>
        <v>3025</v>
      </c>
      <c r="V238" s="16">
        <f t="shared" si="383"/>
        <v>0</v>
      </c>
      <c r="W238" s="16">
        <f t="shared" si="383"/>
        <v>0</v>
      </c>
      <c r="X238" s="16">
        <f t="shared" si="383"/>
        <v>0</v>
      </c>
      <c r="Y238" s="16">
        <f t="shared" si="383"/>
        <v>3025</v>
      </c>
      <c r="Z238" s="16">
        <f t="shared" si="383"/>
        <v>3025</v>
      </c>
      <c r="AA238" s="16">
        <f t="shared" si="383"/>
        <v>3025</v>
      </c>
      <c r="AB238" s="16">
        <f t="shared" si="383"/>
        <v>3025</v>
      </c>
      <c r="AC238" s="16">
        <f t="shared" ref="AC238" si="384">AC48</f>
        <v>0</v>
      </c>
      <c r="AD238" s="30"/>
      <c r="AE238" s="16">
        <f t="shared" ref="AE238:AJ238" si="385">AE48</f>
        <v>0</v>
      </c>
      <c r="AF238" s="16">
        <f t="shared" si="385"/>
        <v>0</v>
      </c>
      <c r="AG238" s="16">
        <f t="shared" si="385"/>
        <v>0</v>
      </c>
      <c r="AH238" s="16">
        <f t="shared" si="385"/>
        <v>3025</v>
      </c>
      <c r="AI238" s="16">
        <f t="shared" si="385"/>
        <v>3025</v>
      </c>
      <c r="AJ238" s="16">
        <f t="shared" si="385"/>
        <v>0</v>
      </c>
    </row>
    <row r="239" spans="2:36" x14ac:dyDescent="0.25">
      <c r="AD239" s="30"/>
    </row>
    <row r="240" spans="2:36" x14ac:dyDescent="0.25">
      <c r="B240" s="2" t="s">
        <v>206</v>
      </c>
      <c r="G240" s="30">
        <f>IFERROR(G237/G236,0)</f>
        <v>0</v>
      </c>
      <c r="H240" s="30">
        <f t="shared" ref="H240:AJ240" si="386">IFERROR(H237/H236,0)</f>
        <v>0</v>
      </c>
      <c r="I240" s="30">
        <f t="shared" si="386"/>
        <v>0</v>
      </c>
      <c r="J240" s="30">
        <f t="shared" si="386"/>
        <v>0</v>
      </c>
      <c r="K240" s="30">
        <f t="shared" si="386"/>
        <v>0</v>
      </c>
      <c r="L240" s="30">
        <f t="shared" si="386"/>
        <v>0</v>
      </c>
      <c r="M240" s="30">
        <f t="shared" si="386"/>
        <v>0</v>
      </c>
      <c r="N240" s="30">
        <f t="shared" si="386"/>
        <v>0</v>
      </c>
      <c r="O240" s="30">
        <f t="shared" si="386"/>
        <v>0</v>
      </c>
      <c r="P240" s="30">
        <f t="shared" si="386"/>
        <v>0</v>
      </c>
      <c r="Q240" s="30">
        <f t="shared" si="386"/>
        <v>0</v>
      </c>
      <c r="R240" s="30">
        <f t="shared" si="386"/>
        <v>0</v>
      </c>
      <c r="S240" s="30">
        <f t="shared" si="386"/>
        <v>0</v>
      </c>
      <c r="T240" s="30">
        <f t="shared" si="386"/>
        <v>0</v>
      </c>
      <c r="U240" s="30">
        <f t="shared" si="386"/>
        <v>0</v>
      </c>
      <c r="V240" s="30">
        <f t="shared" si="386"/>
        <v>-1</v>
      </c>
      <c r="W240" s="30">
        <f t="shared" si="386"/>
        <v>0</v>
      </c>
      <c r="X240" s="30">
        <f t="shared" si="386"/>
        <v>0</v>
      </c>
      <c r="Y240" s="30">
        <f t="shared" si="386"/>
        <v>0</v>
      </c>
      <c r="Z240" s="30">
        <f t="shared" si="386"/>
        <v>0</v>
      </c>
      <c r="AA240" s="30">
        <f t="shared" si="386"/>
        <v>0</v>
      </c>
      <c r="AB240" s="30">
        <f t="shared" si="386"/>
        <v>0</v>
      </c>
      <c r="AC240" s="30">
        <f t="shared" ref="AC240" si="387">IFERROR(AC237/AC236,0)</f>
        <v>-1</v>
      </c>
      <c r="AD240" s="30"/>
      <c r="AE240" s="30">
        <f t="shared" si="386"/>
        <v>0</v>
      </c>
      <c r="AF240" s="30">
        <f t="shared" si="386"/>
        <v>0</v>
      </c>
      <c r="AG240" s="30">
        <f t="shared" si="386"/>
        <v>0</v>
      </c>
      <c r="AH240" s="30">
        <f t="shared" si="386"/>
        <v>0</v>
      </c>
      <c r="AI240" s="30">
        <f t="shared" si="386"/>
        <v>0</v>
      </c>
      <c r="AJ240" s="30">
        <f t="shared" si="386"/>
        <v>-1</v>
      </c>
    </row>
    <row r="241" spans="2:36" x14ac:dyDescent="0.25">
      <c r="B241" s="76" t="s">
        <v>141</v>
      </c>
      <c r="C241" s="77"/>
      <c r="D241" s="78">
        <f>MAX($G$240:$AC$240)</f>
        <v>0</v>
      </c>
    </row>
    <row r="242" spans="2:36" x14ac:dyDescent="0.25">
      <c r="B242" s="79" t="s">
        <v>169</v>
      </c>
      <c r="C242" s="80"/>
      <c r="D242" s="81">
        <f>AVERAGE($G$240:$AC$240)</f>
        <v>-8.6956521739130432E-2</v>
      </c>
    </row>
    <row r="243" spans="2:36" x14ac:dyDescent="0.25">
      <c r="B243" s="79" t="s">
        <v>139</v>
      </c>
      <c r="C243" s="80"/>
      <c r="D243" s="81">
        <f>MEDIAN($G$240:$AC$240)</f>
        <v>0</v>
      </c>
    </row>
    <row r="244" spans="2:36" x14ac:dyDescent="0.25">
      <c r="B244" s="82" t="s">
        <v>140</v>
      </c>
      <c r="C244" s="83"/>
      <c r="D244" s="84">
        <f>MIN($G$240:$AC$240)</f>
        <v>-1</v>
      </c>
    </row>
    <row r="247" spans="2:36" x14ac:dyDescent="0.25">
      <c r="B247" s="73" t="s">
        <v>208</v>
      </c>
      <c r="C247" s="86"/>
      <c r="D247" s="86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</row>
    <row r="248" spans="2:36" x14ac:dyDescent="0.25">
      <c r="B248" s="4" t="s">
        <v>198</v>
      </c>
      <c r="C248" s="4"/>
      <c r="D248" s="4"/>
      <c r="E248" s="90"/>
      <c r="F248" s="90">
        <f t="shared" ref="F248:AB248" si="388">F27</f>
        <v>20671</v>
      </c>
      <c r="G248" s="90">
        <f t="shared" si="388"/>
        <v>24500</v>
      </c>
      <c r="H248" s="90">
        <f t="shared" si="388"/>
        <v>27120</v>
      </c>
      <c r="I248" s="90">
        <f t="shared" si="388"/>
        <v>30495</v>
      </c>
      <c r="J248" s="90">
        <f t="shared" si="388"/>
        <v>31095</v>
      </c>
      <c r="K248" s="90">
        <f t="shared" si="388"/>
        <v>35387</v>
      </c>
      <c r="L248" s="90">
        <f t="shared" si="388"/>
        <v>40839</v>
      </c>
      <c r="M248" s="90">
        <f t="shared" si="388"/>
        <v>48530</v>
      </c>
      <c r="N248" s="90">
        <f t="shared" si="388"/>
        <v>43759</v>
      </c>
      <c r="O248" s="90">
        <f t="shared" si="388"/>
        <v>33565</v>
      </c>
      <c r="P248" s="90">
        <f t="shared" si="388"/>
        <v>43653</v>
      </c>
      <c r="Q248" s="90">
        <f t="shared" si="388"/>
        <v>-99022</v>
      </c>
      <c r="R248" s="90">
        <f t="shared" si="388"/>
        <v>70066</v>
      </c>
      <c r="S248" s="90">
        <f t="shared" si="388"/>
        <v>69323</v>
      </c>
      <c r="T248" s="90">
        <f t="shared" si="388"/>
        <v>63845</v>
      </c>
      <c r="U248" s="90">
        <f t="shared" si="388"/>
        <v>120108</v>
      </c>
      <c r="V248" s="90">
        <f t="shared" si="388"/>
        <v>91074</v>
      </c>
      <c r="W248" s="90">
        <f t="shared" si="388"/>
        <v>83655</v>
      </c>
      <c r="X248" s="90">
        <f t="shared" si="388"/>
        <v>32945</v>
      </c>
      <c r="Y248" s="90">
        <f t="shared" si="388"/>
        <v>331628</v>
      </c>
      <c r="Z248" s="90">
        <f t="shared" si="388"/>
        <v>120797</v>
      </c>
      <c r="AA248" s="90">
        <f t="shared" si="388"/>
        <v>96120</v>
      </c>
      <c r="AB248" s="90">
        <f t="shared" si="388"/>
        <v>154788</v>
      </c>
      <c r="AC248" s="90">
        <f t="shared" ref="AC248" si="389">AC27</f>
        <v>331289.4540000002</v>
      </c>
      <c r="AE248" s="90">
        <f t="shared" ref="AE248:AJ252" si="390">AE27</f>
        <v>102786</v>
      </c>
      <c r="AF248" s="90">
        <f t="shared" si="390"/>
        <v>155851</v>
      </c>
      <c r="AG248" s="90">
        <f t="shared" si="390"/>
        <v>21955</v>
      </c>
      <c r="AH248" s="90">
        <f t="shared" si="390"/>
        <v>323342</v>
      </c>
      <c r="AI248" s="90">
        <f t="shared" si="390"/>
        <v>539302</v>
      </c>
      <c r="AJ248" s="90">
        <f t="shared" si="390"/>
        <v>702994.45400000026</v>
      </c>
    </row>
    <row r="249" spans="2:36" x14ac:dyDescent="0.25">
      <c r="B249" s="2" t="s">
        <v>14</v>
      </c>
      <c r="F249" s="6">
        <f t="shared" ref="F249:AB249" si="391">F28</f>
        <v>-5168</v>
      </c>
      <c r="G249" s="6">
        <f t="shared" si="391"/>
        <v>-6125</v>
      </c>
      <c r="H249" s="6">
        <f t="shared" si="391"/>
        <v>-6780</v>
      </c>
      <c r="I249" s="6">
        <f t="shared" si="391"/>
        <v>6239</v>
      </c>
      <c r="J249" s="6">
        <f t="shared" si="391"/>
        <v>-7774</v>
      </c>
      <c r="K249" s="6">
        <f t="shared" si="391"/>
        <v>-8847</v>
      </c>
      <c r="L249" s="6">
        <f t="shared" si="391"/>
        <v>1930</v>
      </c>
      <c r="M249" s="6">
        <f t="shared" si="391"/>
        <v>-11165</v>
      </c>
      <c r="N249" s="6">
        <f t="shared" si="391"/>
        <v>-10187</v>
      </c>
      <c r="O249" s="6">
        <f t="shared" si="391"/>
        <v>-10494</v>
      </c>
      <c r="P249" s="6">
        <f t="shared" si="391"/>
        <v>-8757</v>
      </c>
      <c r="Q249" s="6">
        <f t="shared" si="391"/>
        <v>9492</v>
      </c>
      <c r="R249" s="6">
        <f t="shared" si="391"/>
        <v>-17362</v>
      </c>
      <c r="S249" s="6">
        <f t="shared" si="391"/>
        <v>-15246</v>
      </c>
      <c r="T249" s="6">
        <f t="shared" si="391"/>
        <v>-19340</v>
      </c>
      <c r="U249" s="6">
        <f t="shared" si="391"/>
        <v>51841</v>
      </c>
      <c r="V249" s="6">
        <f t="shared" si="391"/>
        <v>-24064</v>
      </c>
      <c r="W249" s="6">
        <f t="shared" si="391"/>
        <v>-20914</v>
      </c>
      <c r="X249" s="6">
        <f t="shared" si="391"/>
        <v>-8236</v>
      </c>
      <c r="Y249" s="6">
        <f t="shared" si="391"/>
        <v>-95505</v>
      </c>
      <c r="Z249" s="6">
        <f t="shared" si="391"/>
        <v>-30199</v>
      </c>
      <c r="AA249" s="6">
        <f t="shared" si="391"/>
        <v>-24030</v>
      </c>
      <c r="AB249" s="6">
        <f t="shared" si="391"/>
        <v>-27546</v>
      </c>
      <c r="AC249" s="6">
        <f t="shared" ref="AC249" si="392">AC28</f>
        <v>-68002.630999999994</v>
      </c>
      <c r="AE249" s="6">
        <f t="shared" si="390"/>
        <v>-11834</v>
      </c>
      <c r="AF249" s="6">
        <f t="shared" si="390"/>
        <v>-25856</v>
      </c>
      <c r="AG249" s="6">
        <f t="shared" si="390"/>
        <v>-19946</v>
      </c>
      <c r="AH249" s="6">
        <f t="shared" si="390"/>
        <v>-107</v>
      </c>
      <c r="AI249" s="6">
        <f t="shared" si="390"/>
        <v>-148719</v>
      </c>
      <c r="AJ249" s="6">
        <f t="shared" si="390"/>
        <v>-149777.63099999999</v>
      </c>
    </row>
    <row r="250" spans="2:36" x14ac:dyDescent="0.25">
      <c r="B250" s="2" t="s">
        <v>15</v>
      </c>
      <c r="F250" s="6">
        <f t="shared" ref="F250:AB250" si="393">F29</f>
        <v>-1034</v>
      </c>
      <c r="G250" s="6">
        <f t="shared" si="393"/>
        <v>-1225</v>
      </c>
      <c r="H250" s="6">
        <f t="shared" si="393"/>
        <v>-1356</v>
      </c>
      <c r="I250" s="6">
        <f t="shared" si="393"/>
        <v>-1524</v>
      </c>
      <c r="J250" s="6">
        <f t="shared" si="393"/>
        <v>-1554</v>
      </c>
      <c r="K250" s="6">
        <f t="shared" si="393"/>
        <v>-1770</v>
      </c>
      <c r="L250" s="6">
        <f t="shared" si="393"/>
        <v>-2042</v>
      </c>
      <c r="M250" s="6">
        <f t="shared" si="393"/>
        <v>-2427</v>
      </c>
      <c r="N250" s="6">
        <f t="shared" si="393"/>
        <v>-1600</v>
      </c>
      <c r="O250" s="6">
        <f t="shared" si="393"/>
        <v>-1678</v>
      </c>
      <c r="P250" s="6">
        <f t="shared" si="393"/>
        <v>-2771</v>
      </c>
      <c r="Q250" s="6">
        <f t="shared" si="393"/>
        <v>6049</v>
      </c>
      <c r="R250" s="6">
        <f t="shared" si="393"/>
        <v>0</v>
      </c>
      <c r="S250" s="6">
        <f t="shared" si="393"/>
        <v>0</v>
      </c>
      <c r="T250" s="6">
        <f t="shared" si="393"/>
        <v>0</v>
      </c>
      <c r="U250" s="6">
        <f t="shared" si="393"/>
        <v>0</v>
      </c>
      <c r="V250" s="6">
        <f t="shared" si="393"/>
        <v>0</v>
      </c>
      <c r="W250" s="6">
        <f t="shared" si="393"/>
        <v>0</v>
      </c>
      <c r="X250" s="6">
        <f t="shared" si="393"/>
        <v>0</v>
      </c>
      <c r="Y250" s="6">
        <f t="shared" si="393"/>
        <v>0</v>
      </c>
      <c r="Z250" s="6">
        <f t="shared" si="393"/>
        <v>0</v>
      </c>
      <c r="AA250" s="6">
        <f t="shared" si="393"/>
        <v>0</v>
      </c>
      <c r="AB250" s="6">
        <f t="shared" si="393"/>
        <v>-18585</v>
      </c>
      <c r="AC250" s="6">
        <f t="shared" ref="AC250" si="394">AC29</f>
        <v>-16564.654999999999</v>
      </c>
      <c r="AE250" s="6">
        <f t="shared" si="390"/>
        <v>-5139</v>
      </c>
      <c r="AF250" s="6">
        <f t="shared" si="390"/>
        <v>-7793</v>
      </c>
      <c r="AG250" s="6">
        <f t="shared" si="390"/>
        <v>0</v>
      </c>
      <c r="AH250" s="6">
        <f t="shared" si="390"/>
        <v>0</v>
      </c>
      <c r="AI250" s="6">
        <f t="shared" si="390"/>
        <v>0</v>
      </c>
      <c r="AJ250" s="6">
        <f t="shared" si="390"/>
        <v>-35149.654999999999</v>
      </c>
    </row>
    <row r="251" spans="2:36" x14ac:dyDescent="0.25">
      <c r="B251" s="2" t="s">
        <v>72</v>
      </c>
      <c r="F251" s="6">
        <f t="shared" ref="F251:AB251" si="395">F30</f>
        <v>0</v>
      </c>
      <c r="G251" s="6">
        <f t="shared" si="395"/>
        <v>0</v>
      </c>
      <c r="H251" s="6">
        <f t="shared" si="395"/>
        <v>0</v>
      </c>
      <c r="I251" s="6">
        <f t="shared" si="395"/>
        <v>0</v>
      </c>
      <c r="J251" s="6">
        <f t="shared" si="395"/>
        <v>0</v>
      </c>
      <c r="K251" s="6">
        <f t="shared" si="395"/>
        <v>0</v>
      </c>
      <c r="L251" s="6">
        <f t="shared" si="395"/>
        <v>0</v>
      </c>
      <c r="M251" s="6">
        <f t="shared" si="395"/>
        <v>0</v>
      </c>
      <c r="N251" s="6">
        <f t="shared" si="395"/>
        <v>0</v>
      </c>
      <c r="O251" s="6">
        <f t="shared" si="395"/>
        <v>0</v>
      </c>
      <c r="P251" s="6">
        <f t="shared" si="395"/>
        <v>0</v>
      </c>
      <c r="Q251" s="6">
        <f t="shared" si="395"/>
        <v>-1083</v>
      </c>
      <c r="R251" s="6">
        <f t="shared" si="395"/>
        <v>-3503</v>
      </c>
      <c r="S251" s="6">
        <f t="shared" si="395"/>
        <v>-3466</v>
      </c>
      <c r="T251" s="6">
        <f t="shared" si="395"/>
        <v>-3193</v>
      </c>
      <c r="U251" s="6">
        <f t="shared" si="395"/>
        <v>-6005</v>
      </c>
      <c r="V251" s="6">
        <f t="shared" si="395"/>
        <v>-4554</v>
      </c>
      <c r="W251" s="6">
        <f t="shared" si="395"/>
        <v>-4182</v>
      </c>
      <c r="X251" s="6">
        <f t="shared" si="395"/>
        <v>-1648</v>
      </c>
      <c r="Y251" s="6">
        <f t="shared" si="395"/>
        <v>-16568</v>
      </c>
      <c r="Z251" s="6">
        <f t="shared" si="395"/>
        <v>-6040</v>
      </c>
      <c r="AA251" s="6">
        <f t="shared" si="395"/>
        <v>-4806</v>
      </c>
      <c r="AB251" s="6">
        <f t="shared" si="395"/>
        <v>10846</v>
      </c>
      <c r="AC251" s="6">
        <f t="shared" ref="AC251" si="396">AC30</f>
        <v>-35196.103999999999</v>
      </c>
      <c r="AE251" s="6">
        <f t="shared" si="390"/>
        <v>0</v>
      </c>
      <c r="AF251" s="6">
        <f t="shared" si="390"/>
        <v>0</v>
      </c>
      <c r="AG251" s="6">
        <f t="shared" si="390"/>
        <v>-1083</v>
      </c>
      <c r="AH251" s="6">
        <f t="shared" si="390"/>
        <v>-16167</v>
      </c>
      <c r="AI251" s="6">
        <f t="shared" si="390"/>
        <v>-26952</v>
      </c>
      <c r="AJ251" s="6">
        <f t="shared" si="390"/>
        <v>-35196.103999999999</v>
      </c>
    </row>
    <row r="252" spans="2:36" x14ac:dyDescent="0.25">
      <c r="B252" s="2" t="s">
        <v>67</v>
      </c>
      <c r="F252" s="6">
        <f t="shared" ref="F252:AB252" si="397">F31</f>
        <v>0</v>
      </c>
      <c r="G252" s="6">
        <f t="shared" si="397"/>
        <v>0</v>
      </c>
      <c r="H252" s="6">
        <f t="shared" si="397"/>
        <v>0</v>
      </c>
      <c r="I252" s="6">
        <f t="shared" si="397"/>
        <v>0</v>
      </c>
      <c r="J252" s="6">
        <f t="shared" si="397"/>
        <v>0</v>
      </c>
      <c r="K252" s="6">
        <f t="shared" si="397"/>
        <v>0</v>
      </c>
      <c r="L252" s="6">
        <f t="shared" si="397"/>
        <v>-4025</v>
      </c>
      <c r="M252" s="6">
        <f t="shared" si="397"/>
        <v>-1819</v>
      </c>
      <c r="N252" s="6">
        <f t="shared" si="397"/>
        <v>-1600</v>
      </c>
      <c r="O252" s="6">
        <f t="shared" si="397"/>
        <v>-1678</v>
      </c>
      <c r="P252" s="6">
        <f t="shared" si="397"/>
        <v>-2771</v>
      </c>
      <c r="Q252" s="6">
        <f t="shared" si="397"/>
        <v>4966</v>
      </c>
      <c r="R252" s="6">
        <f t="shared" si="397"/>
        <v>-3503</v>
      </c>
      <c r="S252" s="6">
        <f t="shared" si="397"/>
        <v>-3466</v>
      </c>
      <c r="T252" s="6">
        <f t="shared" si="397"/>
        <v>-3193</v>
      </c>
      <c r="U252" s="6">
        <f t="shared" si="397"/>
        <v>-6005</v>
      </c>
      <c r="V252" s="6">
        <f t="shared" si="397"/>
        <v>-4554</v>
      </c>
      <c r="W252" s="6">
        <f t="shared" si="397"/>
        <v>-4182</v>
      </c>
      <c r="X252" s="6">
        <f t="shared" si="397"/>
        <v>-1648</v>
      </c>
      <c r="Y252" s="6">
        <f t="shared" si="397"/>
        <v>-16568</v>
      </c>
      <c r="Z252" s="6">
        <f t="shared" si="397"/>
        <v>-6040</v>
      </c>
      <c r="AA252" s="6">
        <f t="shared" si="397"/>
        <v>-4806</v>
      </c>
      <c r="AB252" s="6">
        <f t="shared" si="397"/>
        <v>-7739</v>
      </c>
      <c r="AC252" s="6">
        <f t="shared" ref="AC252" si="398">AC31</f>
        <v>18585</v>
      </c>
      <c r="AE252" s="6">
        <f t="shared" si="390"/>
        <v>0</v>
      </c>
      <c r="AF252" s="6">
        <f t="shared" si="390"/>
        <v>-5844</v>
      </c>
      <c r="AG252" s="6">
        <f t="shared" si="390"/>
        <v>-1083</v>
      </c>
      <c r="AH252" s="6">
        <f t="shared" si="390"/>
        <v>-16167</v>
      </c>
      <c r="AI252" s="6">
        <f t="shared" si="390"/>
        <v>-26952</v>
      </c>
      <c r="AJ252" s="6">
        <f t="shared" si="390"/>
        <v>0</v>
      </c>
    </row>
    <row r="253" spans="2:36" x14ac:dyDescent="0.25">
      <c r="B253" s="8" t="s">
        <v>196</v>
      </c>
      <c r="C253" s="8"/>
      <c r="D253" s="8"/>
      <c r="E253" s="16"/>
      <c r="F253" s="16">
        <f>SUM(F249:F252)</f>
        <v>-6202</v>
      </c>
      <c r="G253" s="16">
        <f t="shared" ref="G253:AJ253" si="399">SUM(G249:G252)</f>
        <v>-7350</v>
      </c>
      <c r="H253" s="16">
        <f t="shared" si="399"/>
        <v>-8136</v>
      </c>
      <c r="I253" s="16">
        <f t="shared" si="399"/>
        <v>4715</v>
      </c>
      <c r="J253" s="16">
        <f t="shared" si="399"/>
        <v>-9328</v>
      </c>
      <c r="K253" s="16">
        <f t="shared" si="399"/>
        <v>-10617</v>
      </c>
      <c r="L253" s="16">
        <f t="shared" si="399"/>
        <v>-4137</v>
      </c>
      <c r="M253" s="16">
        <f t="shared" si="399"/>
        <v>-15411</v>
      </c>
      <c r="N253" s="16">
        <f t="shared" si="399"/>
        <v>-13387</v>
      </c>
      <c r="O253" s="16">
        <f t="shared" si="399"/>
        <v>-13850</v>
      </c>
      <c r="P253" s="16">
        <f t="shared" si="399"/>
        <v>-14299</v>
      </c>
      <c r="Q253" s="16">
        <f t="shared" si="399"/>
        <v>19424</v>
      </c>
      <c r="R253" s="16">
        <f t="shared" si="399"/>
        <v>-24368</v>
      </c>
      <c r="S253" s="16">
        <f t="shared" si="399"/>
        <v>-22178</v>
      </c>
      <c r="T253" s="16">
        <f t="shared" si="399"/>
        <v>-25726</v>
      </c>
      <c r="U253" s="16">
        <f t="shared" si="399"/>
        <v>39831</v>
      </c>
      <c r="V253" s="16">
        <f t="shared" si="399"/>
        <v>-33172</v>
      </c>
      <c r="W253" s="16">
        <f t="shared" si="399"/>
        <v>-29278</v>
      </c>
      <c r="X253" s="16">
        <f t="shared" si="399"/>
        <v>-11532</v>
      </c>
      <c r="Y253" s="16">
        <f t="shared" si="399"/>
        <v>-128641</v>
      </c>
      <c r="Z253" s="16">
        <f t="shared" si="399"/>
        <v>-42279</v>
      </c>
      <c r="AA253" s="16">
        <f t="shared" si="399"/>
        <v>-33642</v>
      </c>
      <c r="AB253" s="16">
        <f t="shared" si="399"/>
        <v>-43024</v>
      </c>
      <c r="AC253" s="16">
        <f t="shared" ref="AC253" si="400">SUM(AC249:AC252)</f>
        <v>-101178.38999999998</v>
      </c>
      <c r="AE253" s="16">
        <f t="shared" si="399"/>
        <v>-16973</v>
      </c>
      <c r="AF253" s="16">
        <f t="shared" si="399"/>
        <v>-39493</v>
      </c>
      <c r="AG253" s="16">
        <f t="shared" si="399"/>
        <v>-22112</v>
      </c>
      <c r="AH253" s="16">
        <f t="shared" si="399"/>
        <v>-32441</v>
      </c>
      <c r="AI253" s="16">
        <f t="shared" si="399"/>
        <v>-202623</v>
      </c>
      <c r="AJ253" s="16">
        <f t="shared" si="399"/>
        <v>-220123.38999999998</v>
      </c>
    </row>
    <row r="255" spans="2:36" x14ac:dyDescent="0.25">
      <c r="B255" s="90" t="s">
        <v>24</v>
      </c>
    </row>
    <row r="256" spans="2:36" x14ac:dyDescent="0.25">
      <c r="B256" s="2" t="s">
        <v>173</v>
      </c>
      <c r="G256" s="6">
        <f>F258</f>
        <v>0</v>
      </c>
      <c r="H256" s="6">
        <f t="shared" ref="H256:AJ256" si="401">G258</f>
        <v>0</v>
      </c>
      <c r="I256" s="6">
        <f t="shared" si="401"/>
        <v>0</v>
      </c>
      <c r="J256" s="6">
        <f t="shared" si="401"/>
        <v>12383</v>
      </c>
      <c r="K256" s="6">
        <f t="shared" si="401"/>
        <v>9609</v>
      </c>
      <c r="L256" s="6">
        <f t="shared" si="401"/>
        <v>5762</v>
      </c>
      <c r="M256" s="6">
        <f t="shared" si="401"/>
        <v>12221</v>
      </c>
      <c r="N256" s="6">
        <f t="shared" si="401"/>
        <v>13569</v>
      </c>
      <c r="O256" s="6">
        <f t="shared" si="401"/>
        <v>14962</v>
      </c>
      <c r="P256" s="6">
        <f t="shared" si="401"/>
        <v>16906</v>
      </c>
      <c r="Q256" s="6">
        <f t="shared" si="401"/>
        <v>21627</v>
      </c>
      <c r="R256" s="6">
        <f t="shared" si="401"/>
        <v>9670</v>
      </c>
      <c r="S256" s="6">
        <f t="shared" si="401"/>
        <v>0</v>
      </c>
      <c r="T256" s="6">
        <f t="shared" si="401"/>
        <v>0</v>
      </c>
      <c r="U256" s="6">
        <f t="shared" si="401"/>
        <v>0</v>
      </c>
      <c r="V256" s="6">
        <f t="shared" si="401"/>
        <v>64714</v>
      </c>
      <c r="W256" s="6">
        <f t="shared" si="401"/>
        <v>80744</v>
      </c>
      <c r="X256" s="6">
        <f t="shared" si="401"/>
        <v>178821</v>
      </c>
      <c r="Y256" s="6">
        <f t="shared" si="401"/>
        <v>158337</v>
      </c>
      <c r="Z256" s="6">
        <f t="shared" si="401"/>
        <v>59744</v>
      </c>
      <c r="AA256" s="6">
        <f t="shared" si="401"/>
        <v>161011</v>
      </c>
      <c r="AB256" s="6">
        <f t="shared" si="401"/>
        <v>188481</v>
      </c>
      <c r="AC256" s="6">
        <f t="shared" si="401"/>
        <v>191807</v>
      </c>
      <c r="AE256" s="6">
        <f t="shared" si="401"/>
        <v>0</v>
      </c>
      <c r="AF256" s="6">
        <f t="shared" si="401"/>
        <v>12383</v>
      </c>
      <c r="AG256" s="6">
        <f t="shared" si="401"/>
        <v>13569</v>
      </c>
      <c r="AH256" s="6">
        <f t="shared" si="401"/>
        <v>9670</v>
      </c>
      <c r="AI256" s="6">
        <f t="shared" si="401"/>
        <v>64714</v>
      </c>
      <c r="AJ256" s="6">
        <f t="shared" si="401"/>
        <v>59744</v>
      </c>
    </row>
    <row r="257" spans="2:36" x14ac:dyDescent="0.25">
      <c r="B257" s="2" t="s">
        <v>205</v>
      </c>
      <c r="G257" s="6">
        <f>G258-G256</f>
        <v>0</v>
      </c>
      <c r="H257" s="6">
        <f t="shared" ref="H257:AJ257" si="402">H258-H256</f>
        <v>0</v>
      </c>
      <c r="I257" s="6">
        <f t="shared" si="402"/>
        <v>12383</v>
      </c>
      <c r="J257" s="6">
        <f t="shared" si="402"/>
        <v>-2774</v>
      </c>
      <c r="K257" s="6">
        <f t="shared" si="402"/>
        <v>-3847</v>
      </c>
      <c r="L257" s="6">
        <f t="shared" si="402"/>
        <v>6459</v>
      </c>
      <c r="M257" s="6">
        <f t="shared" si="402"/>
        <v>1348</v>
      </c>
      <c r="N257" s="6">
        <f t="shared" si="402"/>
        <v>1393</v>
      </c>
      <c r="O257" s="6">
        <f t="shared" si="402"/>
        <v>1944</v>
      </c>
      <c r="P257" s="6">
        <f t="shared" si="402"/>
        <v>4721</v>
      </c>
      <c r="Q257" s="6">
        <f t="shared" si="402"/>
        <v>-11957</v>
      </c>
      <c r="R257" s="6">
        <f t="shared" si="402"/>
        <v>-9670</v>
      </c>
      <c r="S257" s="6">
        <f t="shared" si="402"/>
        <v>0</v>
      </c>
      <c r="T257" s="6">
        <f t="shared" si="402"/>
        <v>0</v>
      </c>
      <c r="U257" s="6">
        <f t="shared" si="402"/>
        <v>64714</v>
      </c>
      <c r="V257" s="6">
        <f t="shared" si="402"/>
        <v>16030</v>
      </c>
      <c r="W257" s="6">
        <f t="shared" si="402"/>
        <v>98077</v>
      </c>
      <c r="X257" s="6">
        <f t="shared" si="402"/>
        <v>-20484</v>
      </c>
      <c r="Y257" s="6">
        <f t="shared" si="402"/>
        <v>-98593</v>
      </c>
      <c r="Z257" s="6">
        <f t="shared" si="402"/>
        <v>101267</v>
      </c>
      <c r="AA257" s="6">
        <f t="shared" si="402"/>
        <v>27470</v>
      </c>
      <c r="AB257" s="6">
        <f t="shared" si="402"/>
        <v>3326</v>
      </c>
      <c r="AC257" s="6">
        <f t="shared" ref="AC257" si="403">AC258-AC256</f>
        <v>53072.81</v>
      </c>
      <c r="AE257" s="6">
        <f t="shared" si="402"/>
        <v>12383</v>
      </c>
      <c r="AF257" s="6">
        <f t="shared" si="402"/>
        <v>1186</v>
      </c>
      <c r="AG257" s="6">
        <f t="shared" si="402"/>
        <v>-3899</v>
      </c>
      <c r="AH257" s="6">
        <f t="shared" si="402"/>
        <v>55044</v>
      </c>
      <c r="AI257" s="6">
        <f t="shared" si="402"/>
        <v>-4970</v>
      </c>
      <c r="AJ257" s="6">
        <f t="shared" si="402"/>
        <v>185135.81</v>
      </c>
    </row>
    <row r="258" spans="2:36" x14ac:dyDescent="0.25">
      <c r="B258" s="8" t="s">
        <v>204</v>
      </c>
      <c r="C258" s="8"/>
      <c r="D258" s="8"/>
      <c r="E258" s="16"/>
      <c r="F258" s="16">
        <f t="shared" ref="F258:AB258" si="404">F49</f>
        <v>0</v>
      </c>
      <c r="G258" s="16">
        <f t="shared" si="404"/>
        <v>0</v>
      </c>
      <c r="H258" s="16">
        <f t="shared" si="404"/>
        <v>0</v>
      </c>
      <c r="I258" s="16">
        <f t="shared" si="404"/>
        <v>12383</v>
      </c>
      <c r="J258" s="16">
        <f t="shared" si="404"/>
        <v>9609</v>
      </c>
      <c r="K258" s="16">
        <f t="shared" si="404"/>
        <v>5762</v>
      </c>
      <c r="L258" s="16">
        <f t="shared" si="404"/>
        <v>12221</v>
      </c>
      <c r="M258" s="16">
        <f t="shared" si="404"/>
        <v>13569</v>
      </c>
      <c r="N258" s="16">
        <f t="shared" si="404"/>
        <v>14962</v>
      </c>
      <c r="O258" s="16">
        <f t="shared" si="404"/>
        <v>16906</v>
      </c>
      <c r="P258" s="16">
        <f t="shared" si="404"/>
        <v>21627</v>
      </c>
      <c r="Q258" s="16">
        <f t="shared" si="404"/>
        <v>9670</v>
      </c>
      <c r="R258" s="16">
        <f t="shared" si="404"/>
        <v>0</v>
      </c>
      <c r="S258" s="16">
        <f t="shared" si="404"/>
        <v>0</v>
      </c>
      <c r="T258" s="16">
        <f t="shared" si="404"/>
        <v>0</v>
      </c>
      <c r="U258" s="16">
        <f t="shared" si="404"/>
        <v>64714</v>
      </c>
      <c r="V258" s="16">
        <f t="shared" si="404"/>
        <v>80744</v>
      </c>
      <c r="W258" s="16">
        <f t="shared" si="404"/>
        <v>178821</v>
      </c>
      <c r="X258" s="16">
        <f t="shared" si="404"/>
        <v>158337</v>
      </c>
      <c r="Y258" s="16">
        <f t="shared" si="404"/>
        <v>59744</v>
      </c>
      <c r="Z258" s="16">
        <f t="shared" si="404"/>
        <v>161011</v>
      </c>
      <c r="AA258" s="16">
        <f t="shared" si="404"/>
        <v>188481</v>
      </c>
      <c r="AB258" s="16">
        <f t="shared" si="404"/>
        <v>191807</v>
      </c>
      <c r="AC258" s="16">
        <f t="shared" ref="AC258" si="405">AC49</f>
        <v>244879.81</v>
      </c>
      <c r="AE258" s="16">
        <f t="shared" ref="AE258:AJ258" si="406">AE49</f>
        <v>12383</v>
      </c>
      <c r="AF258" s="16">
        <f t="shared" si="406"/>
        <v>13569</v>
      </c>
      <c r="AG258" s="16">
        <f t="shared" si="406"/>
        <v>9670</v>
      </c>
      <c r="AH258" s="16">
        <f t="shared" si="406"/>
        <v>64714</v>
      </c>
      <c r="AI258" s="16">
        <f t="shared" si="406"/>
        <v>59744</v>
      </c>
      <c r="AJ258" s="16">
        <f t="shared" si="406"/>
        <v>244879.81</v>
      </c>
    </row>
    <row r="260" spans="2:36" x14ac:dyDescent="0.25">
      <c r="B260" s="2" t="s">
        <v>206</v>
      </c>
      <c r="G260" s="30">
        <f>IFERROR(G257/G256,0)</f>
        <v>0</v>
      </c>
      <c r="H260" s="30">
        <f t="shared" ref="H260:AB260" si="407">IFERROR(H257/H256,0)</f>
        <v>0</v>
      </c>
      <c r="I260" s="30">
        <f t="shared" si="407"/>
        <v>0</v>
      </c>
      <c r="J260" s="30">
        <f t="shared" si="407"/>
        <v>-0.22401679722199791</v>
      </c>
      <c r="K260" s="30">
        <f t="shared" si="407"/>
        <v>-0.40035383494640442</v>
      </c>
      <c r="L260" s="30">
        <f t="shared" si="407"/>
        <v>1.1209649427282193</v>
      </c>
      <c r="M260" s="30">
        <f t="shared" si="407"/>
        <v>0.11030193928483757</v>
      </c>
      <c r="N260" s="30">
        <f t="shared" si="407"/>
        <v>0.1026604760851942</v>
      </c>
      <c r="O260" s="30">
        <f t="shared" si="407"/>
        <v>0.1299291538564363</v>
      </c>
      <c r="P260" s="30">
        <f t="shared" si="407"/>
        <v>0.27924997042470129</v>
      </c>
      <c r="Q260" s="30">
        <f t="shared" si="407"/>
        <v>-0.55287372266148793</v>
      </c>
      <c r="R260" s="30">
        <f t="shared" si="407"/>
        <v>-1</v>
      </c>
      <c r="S260" s="30">
        <f t="shared" si="407"/>
        <v>0</v>
      </c>
      <c r="T260" s="30">
        <f t="shared" si="407"/>
        <v>0</v>
      </c>
      <c r="U260" s="30">
        <f t="shared" si="407"/>
        <v>0</v>
      </c>
      <c r="V260" s="30">
        <f t="shared" si="407"/>
        <v>0.24770528788206569</v>
      </c>
      <c r="W260" s="30">
        <f t="shared" si="407"/>
        <v>1.2146661052214407</v>
      </c>
      <c r="X260" s="30">
        <f t="shared" si="407"/>
        <v>-0.11455030449443858</v>
      </c>
      <c r="Y260" s="30">
        <f t="shared" si="407"/>
        <v>-0.62267821166246673</v>
      </c>
      <c r="Z260" s="30">
        <f t="shared" si="407"/>
        <v>1.6950153990358865</v>
      </c>
      <c r="AA260" s="30">
        <f t="shared" si="407"/>
        <v>0.17060946146536571</v>
      </c>
      <c r="AB260" s="30">
        <f t="shared" si="407"/>
        <v>1.7646341010499732E-2</v>
      </c>
      <c r="AC260" s="30">
        <f t="shared" ref="AC260" si="408">IFERROR(AC257/AC256,0)</f>
        <v>0.27669902558300791</v>
      </c>
      <c r="AD260" s="30"/>
      <c r="AE260" s="30">
        <f t="shared" ref="AE260:AJ260" si="409">IFERROR(AE257/AE256,0)</f>
        <v>0</v>
      </c>
      <c r="AF260" s="30">
        <f t="shared" si="409"/>
        <v>9.5776467738027948E-2</v>
      </c>
      <c r="AG260" s="30">
        <f t="shared" si="409"/>
        <v>-0.28734615668066915</v>
      </c>
      <c r="AH260" s="30">
        <f t="shared" si="409"/>
        <v>5.6922440537745604</v>
      </c>
      <c r="AI260" s="30">
        <f t="shared" si="409"/>
        <v>-7.6799456068238708E-2</v>
      </c>
      <c r="AJ260" s="30">
        <f t="shared" si="409"/>
        <v>3.0988184587573646</v>
      </c>
    </row>
    <row r="261" spans="2:36" x14ac:dyDescent="0.25">
      <c r="B261" s="76" t="s">
        <v>141</v>
      </c>
      <c r="C261" s="77"/>
      <c r="D261" s="78">
        <f>_xlfn.MAXIFS($G$260:$AC$260,$G$260:$AC$260,"&lt;1")</f>
        <v>0.27924997042470129</v>
      </c>
    </row>
    <row r="262" spans="2:36" x14ac:dyDescent="0.25">
      <c r="B262" s="79" t="s">
        <v>169</v>
      </c>
      <c r="C262" s="80"/>
      <c r="D262" s="81">
        <f>AVERAGE($G$260:$AC$260)</f>
        <v>0.10656414050395041</v>
      </c>
    </row>
    <row r="263" spans="2:36" x14ac:dyDescent="0.25">
      <c r="B263" s="79" t="s">
        <v>139</v>
      </c>
      <c r="C263" s="80"/>
      <c r="D263" s="81">
        <f>MEDIAN($G$260:$AC$260)</f>
        <v>0</v>
      </c>
    </row>
    <row r="264" spans="2:36" x14ac:dyDescent="0.25">
      <c r="B264" s="82" t="s">
        <v>140</v>
      </c>
      <c r="C264" s="83"/>
      <c r="D264" s="84">
        <f>_xlfn.MINIFS($G$260:$AC$260,$G$260:$AC$260,"&gt;0")</f>
        <v>1.7646341010499732E-2</v>
      </c>
      <c r="AD264" s="30"/>
    </row>
    <row r="265" spans="2:36" x14ac:dyDescent="0.25">
      <c r="AD265" s="30"/>
    </row>
    <row r="266" spans="2:36" x14ac:dyDescent="0.25">
      <c r="B266" s="90" t="s">
        <v>73</v>
      </c>
      <c r="AD266" s="30"/>
    </row>
    <row r="267" spans="2:36" x14ac:dyDescent="0.25">
      <c r="B267" s="2" t="s">
        <v>173</v>
      </c>
      <c r="G267" s="6">
        <f>F269</f>
        <v>0</v>
      </c>
      <c r="H267" s="6">
        <f t="shared" ref="H267:AJ267" si="410">G269</f>
        <v>0</v>
      </c>
      <c r="I267" s="6">
        <f t="shared" si="410"/>
        <v>0</v>
      </c>
      <c r="J267" s="6">
        <f t="shared" si="410"/>
        <v>0</v>
      </c>
      <c r="K267" s="6">
        <f t="shared" si="410"/>
        <v>0</v>
      </c>
      <c r="L267" s="6">
        <f t="shared" si="410"/>
        <v>0</v>
      </c>
      <c r="M267" s="6">
        <f t="shared" si="410"/>
        <v>0</v>
      </c>
      <c r="N267" s="6">
        <f t="shared" si="410"/>
        <v>0</v>
      </c>
      <c r="O267" s="6">
        <f t="shared" si="410"/>
        <v>0</v>
      </c>
      <c r="P267" s="6">
        <f t="shared" si="410"/>
        <v>0</v>
      </c>
      <c r="Q267" s="6">
        <f t="shared" si="410"/>
        <v>0</v>
      </c>
      <c r="R267" s="6">
        <f t="shared" si="410"/>
        <v>0</v>
      </c>
      <c r="S267" s="6">
        <f t="shared" si="410"/>
        <v>0</v>
      </c>
      <c r="T267" s="6">
        <f t="shared" si="410"/>
        <v>0</v>
      </c>
      <c r="U267" s="6">
        <f t="shared" si="410"/>
        <v>0</v>
      </c>
      <c r="V267" s="6">
        <f t="shared" si="410"/>
        <v>8954</v>
      </c>
      <c r="W267" s="6">
        <f t="shared" si="410"/>
        <v>8954</v>
      </c>
      <c r="X267" s="6">
        <f t="shared" si="410"/>
        <v>8954</v>
      </c>
      <c r="Y267" s="6">
        <f t="shared" si="410"/>
        <v>8954</v>
      </c>
      <c r="Z267" s="6">
        <f t="shared" si="410"/>
        <v>8827</v>
      </c>
      <c r="AA267" s="6">
        <f t="shared" si="410"/>
        <v>8827</v>
      </c>
      <c r="AB267" s="6">
        <f t="shared" si="410"/>
        <v>8827</v>
      </c>
      <c r="AC267" s="6">
        <f t="shared" si="410"/>
        <v>8827</v>
      </c>
      <c r="AD267" s="30"/>
      <c r="AE267" s="6">
        <f t="shared" si="410"/>
        <v>0</v>
      </c>
      <c r="AF267" s="6">
        <f t="shared" si="410"/>
        <v>0</v>
      </c>
      <c r="AG267" s="6">
        <f t="shared" si="410"/>
        <v>0</v>
      </c>
      <c r="AH267" s="6">
        <f t="shared" si="410"/>
        <v>0</v>
      </c>
      <c r="AI267" s="6">
        <f t="shared" si="410"/>
        <v>8954</v>
      </c>
      <c r="AJ267" s="6">
        <f t="shared" si="410"/>
        <v>8827</v>
      </c>
    </row>
    <row r="268" spans="2:36" x14ac:dyDescent="0.25">
      <c r="B268" s="2" t="s">
        <v>205</v>
      </c>
      <c r="G268" s="6">
        <f>G269-G267</f>
        <v>0</v>
      </c>
      <c r="H268" s="6">
        <f t="shared" ref="H268:AJ268" si="411">H269-H267</f>
        <v>0</v>
      </c>
      <c r="I268" s="6">
        <f t="shared" si="411"/>
        <v>0</v>
      </c>
      <c r="J268" s="6">
        <f t="shared" si="411"/>
        <v>0</v>
      </c>
      <c r="K268" s="6">
        <f t="shared" si="411"/>
        <v>0</v>
      </c>
      <c r="L268" s="6">
        <f t="shared" si="411"/>
        <v>0</v>
      </c>
      <c r="M268" s="6">
        <f t="shared" si="411"/>
        <v>0</v>
      </c>
      <c r="N268" s="6">
        <f t="shared" si="411"/>
        <v>0</v>
      </c>
      <c r="O268" s="6">
        <f t="shared" si="411"/>
        <v>0</v>
      </c>
      <c r="P268" s="6">
        <f t="shared" si="411"/>
        <v>0</v>
      </c>
      <c r="Q268" s="6">
        <f t="shared" si="411"/>
        <v>0</v>
      </c>
      <c r="R268" s="6">
        <f t="shared" si="411"/>
        <v>0</v>
      </c>
      <c r="S268" s="6">
        <f t="shared" si="411"/>
        <v>0</v>
      </c>
      <c r="T268" s="6">
        <f t="shared" si="411"/>
        <v>0</v>
      </c>
      <c r="U268" s="6">
        <f t="shared" si="411"/>
        <v>8954</v>
      </c>
      <c r="V268" s="6">
        <f t="shared" si="411"/>
        <v>0</v>
      </c>
      <c r="W268" s="6">
        <f t="shared" si="411"/>
        <v>0</v>
      </c>
      <c r="X268" s="6">
        <f t="shared" si="411"/>
        <v>0</v>
      </c>
      <c r="Y268" s="6">
        <f t="shared" si="411"/>
        <v>-127</v>
      </c>
      <c r="Z268" s="6">
        <f t="shared" si="411"/>
        <v>0</v>
      </c>
      <c r="AA268" s="6">
        <f t="shared" si="411"/>
        <v>0</v>
      </c>
      <c r="AB268" s="6">
        <f t="shared" si="411"/>
        <v>0</v>
      </c>
      <c r="AC268" s="6">
        <f t="shared" ref="AC268" si="412">AC269-AC267</f>
        <v>-8827</v>
      </c>
      <c r="AD268" s="30"/>
      <c r="AE268" s="6">
        <f t="shared" si="411"/>
        <v>0</v>
      </c>
      <c r="AF268" s="6">
        <f t="shared" si="411"/>
        <v>0</v>
      </c>
      <c r="AG268" s="6">
        <f t="shared" si="411"/>
        <v>0</v>
      </c>
      <c r="AH268" s="6">
        <f t="shared" si="411"/>
        <v>8954</v>
      </c>
      <c r="AI268" s="6">
        <f t="shared" si="411"/>
        <v>-127</v>
      </c>
      <c r="AJ268" s="6">
        <f t="shared" si="411"/>
        <v>-8827</v>
      </c>
    </row>
    <row r="269" spans="2:36" x14ac:dyDescent="0.25">
      <c r="B269" s="8" t="s">
        <v>204</v>
      </c>
      <c r="C269" s="8"/>
      <c r="D269" s="8"/>
      <c r="E269" s="16"/>
      <c r="F269" s="16">
        <f>F50</f>
        <v>0</v>
      </c>
      <c r="G269" s="16">
        <f>G50</f>
        <v>0</v>
      </c>
      <c r="H269" s="16">
        <f t="shared" ref="H269:AJ269" si="413">H50</f>
        <v>0</v>
      </c>
      <c r="I269" s="16">
        <f t="shared" si="413"/>
        <v>0</v>
      </c>
      <c r="J269" s="16">
        <f t="shared" si="413"/>
        <v>0</v>
      </c>
      <c r="K269" s="16">
        <f t="shared" si="413"/>
        <v>0</v>
      </c>
      <c r="L269" s="16">
        <f t="shared" si="413"/>
        <v>0</v>
      </c>
      <c r="M269" s="16">
        <f t="shared" si="413"/>
        <v>0</v>
      </c>
      <c r="N269" s="16">
        <f t="shared" si="413"/>
        <v>0</v>
      </c>
      <c r="O269" s="16">
        <f t="shared" si="413"/>
        <v>0</v>
      </c>
      <c r="P269" s="16">
        <f t="shared" si="413"/>
        <v>0</v>
      </c>
      <c r="Q269" s="16">
        <f t="shared" si="413"/>
        <v>0</v>
      </c>
      <c r="R269" s="16">
        <f t="shared" si="413"/>
        <v>0</v>
      </c>
      <c r="S269" s="16">
        <f t="shared" si="413"/>
        <v>0</v>
      </c>
      <c r="T269" s="16">
        <f t="shared" si="413"/>
        <v>0</v>
      </c>
      <c r="U269" s="16">
        <f t="shared" si="413"/>
        <v>8954</v>
      </c>
      <c r="V269" s="16">
        <f t="shared" si="413"/>
        <v>8954</v>
      </c>
      <c r="W269" s="16">
        <f t="shared" si="413"/>
        <v>8954</v>
      </c>
      <c r="X269" s="16">
        <f t="shared" si="413"/>
        <v>8954</v>
      </c>
      <c r="Y269" s="16">
        <f t="shared" si="413"/>
        <v>8827</v>
      </c>
      <c r="Z269" s="16">
        <f t="shared" si="413"/>
        <v>8827</v>
      </c>
      <c r="AA269" s="16">
        <f t="shared" si="413"/>
        <v>8827</v>
      </c>
      <c r="AB269" s="16">
        <f t="shared" si="413"/>
        <v>8827</v>
      </c>
      <c r="AC269" s="16">
        <f t="shared" ref="AC269" si="414">AC50</f>
        <v>0</v>
      </c>
      <c r="AD269" s="30"/>
      <c r="AE269" s="16">
        <f t="shared" si="413"/>
        <v>0</v>
      </c>
      <c r="AF269" s="16">
        <f t="shared" si="413"/>
        <v>0</v>
      </c>
      <c r="AG269" s="16">
        <f t="shared" si="413"/>
        <v>0</v>
      </c>
      <c r="AH269" s="16">
        <f t="shared" si="413"/>
        <v>8954</v>
      </c>
      <c r="AI269" s="16">
        <f t="shared" si="413"/>
        <v>8827</v>
      </c>
      <c r="AJ269" s="16">
        <f t="shared" si="413"/>
        <v>0</v>
      </c>
    </row>
    <row r="270" spans="2:36" x14ac:dyDescent="0.25">
      <c r="AD270" s="30"/>
    </row>
    <row r="271" spans="2:36" x14ac:dyDescent="0.25">
      <c r="B271" s="2" t="s">
        <v>206</v>
      </c>
      <c r="G271" s="30">
        <f>IFERROR(G268/G267,0)</f>
        <v>0</v>
      </c>
      <c r="H271" s="30">
        <f t="shared" ref="H271:AB271" si="415">IFERROR(H268/H267,0)</f>
        <v>0</v>
      </c>
      <c r="I271" s="30">
        <f t="shared" si="415"/>
        <v>0</v>
      </c>
      <c r="J271" s="30">
        <f t="shared" si="415"/>
        <v>0</v>
      </c>
      <c r="K271" s="30">
        <f t="shared" si="415"/>
        <v>0</v>
      </c>
      <c r="L271" s="30">
        <f t="shared" si="415"/>
        <v>0</v>
      </c>
      <c r="M271" s="30">
        <f t="shared" si="415"/>
        <v>0</v>
      </c>
      <c r="N271" s="30">
        <f t="shared" si="415"/>
        <v>0</v>
      </c>
      <c r="O271" s="30">
        <f t="shared" si="415"/>
        <v>0</v>
      </c>
      <c r="P271" s="30">
        <f t="shared" si="415"/>
        <v>0</v>
      </c>
      <c r="Q271" s="30">
        <f t="shared" si="415"/>
        <v>0</v>
      </c>
      <c r="R271" s="30">
        <f t="shared" si="415"/>
        <v>0</v>
      </c>
      <c r="S271" s="30">
        <f t="shared" si="415"/>
        <v>0</v>
      </c>
      <c r="T271" s="30">
        <f t="shared" si="415"/>
        <v>0</v>
      </c>
      <c r="U271" s="30">
        <f t="shared" si="415"/>
        <v>0</v>
      </c>
      <c r="V271" s="30">
        <f t="shared" si="415"/>
        <v>0</v>
      </c>
      <c r="W271" s="30">
        <f t="shared" si="415"/>
        <v>0</v>
      </c>
      <c r="X271" s="30">
        <f t="shared" si="415"/>
        <v>0</v>
      </c>
      <c r="Y271" s="30">
        <f t="shared" si="415"/>
        <v>-1.4183605092696002E-2</v>
      </c>
      <c r="Z271" s="30">
        <f t="shared" si="415"/>
        <v>0</v>
      </c>
      <c r="AA271" s="30">
        <f t="shared" si="415"/>
        <v>0</v>
      </c>
      <c r="AB271" s="30">
        <f t="shared" si="415"/>
        <v>0</v>
      </c>
      <c r="AC271" s="30">
        <f t="shared" ref="AC271" si="416">IFERROR(AC268/AC267,0)</f>
        <v>-1</v>
      </c>
      <c r="AD271" s="30"/>
      <c r="AE271" s="30">
        <f t="shared" ref="AE271:AJ271" si="417">IFERROR(AE268/AE267,0)</f>
        <v>0</v>
      </c>
      <c r="AF271" s="30">
        <f t="shared" si="417"/>
        <v>0</v>
      </c>
      <c r="AG271" s="30">
        <f t="shared" si="417"/>
        <v>0</v>
      </c>
      <c r="AH271" s="30">
        <f t="shared" si="417"/>
        <v>0</v>
      </c>
      <c r="AI271" s="30">
        <f t="shared" si="417"/>
        <v>-1.4183605092696002E-2</v>
      </c>
      <c r="AJ271" s="30">
        <f t="shared" si="417"/>
        <v>-1</v>
      </c>
    </row>
    <row r="272" spans="2:36" x14ac:dyDescent="0.25">
      <c r="B272" s="76" t="s">
        <v>141</v>
      </c>
      <c r="C272" s="77"/>
      <c r="D272" s="78">
        <f>_xlfn.MAXIFS($G$271:$AC$271,$G$271:$AC$271,"&lt;1")</f>
        <v>0</v>
      </c>
    </row>
    <row r="273" spans="2:36" x14ac:dyDescent="0.25">
      <c r="B273" s="79" t="s">
        <v>169</v>
      </c>
      <c r="C273" s="80"/>
      <c r="D273" s="81">
        <f>AVERAGE($G$271:$AC$271)</f>
        <v>-4.4094939351856349E-2</v>
      </c>
    </row>
    <row r="274" spans="2:36" x14ac:dyDescent="0.25">
      <c r="B274" s="79" t="s">
        <v>139</v>
      </c>
      <c r="C274" s="80"/>
      <c r="D274" s="81">
        <f>MEDIAN($G$271:$AC$271)</f>
        <v>0</v>
      </c>
    </row>
    <row r="275" spans="2:36" x14ac:dyDescent="0.25">
      <c r="B275" s="82" t="s">
        <v>140</v>
      </c>
      <c r="C275" s="83"/>
      <c r="D275" s="84">
        <f>_xlfn.MINIFS($G$271:$AC$271,$G$271:$AC$271,"&gt;0")</f>
        <v>0</v>
      </c>
    </row>
    <row r="277" spans="2:36" x14ac:dyDescent="0.25">
      <c r="B277" s="2" t="s">
        <v>209</v>
      </c>
      <c r="G277" s="6">
        <f>G257+G268</f>
        <v>0</v>
      </c>
      <c r="H277" s="6">
        <f t="shared" ref="H277:AJ277" si="418">H257+H268</f>
        <v>0</v>
      </c>
      <c r="I277" s="6">
        <f t="shared" si="418"/>
        <v>12383</v>
      </c>
      <c r="J277" s="6">
        <f t="shared" si="418"/>
        <v>-2774</v>
      </c>
      <c r="K277" s="6">
        <f t="shared" si="418"/>
        <v>-3847</v>
      </c>
      <c r="L277" s="6">
        <f t="shared" si="418"/>
        <v>6459</v>
      </c>
      <c r="M277" s="6">
        <f t="shared" si="418"/>
        <v>1348</v>
      </c>
      <c r="N277" s="6">
        <f t="shared" si="418"/>
        <v>1393</v>
      </c>
      <c r="O277" s="6">
        <f t="shared" si="418"/>
        <v>1944</v>
      </c>
      <c r="P277" s="6">
        <f t="shared" si="418"/>
        <v>4721</v>
      </c>
      <c r="Q277" s="6">
        <f t="shared" si="418"/>
        <v>-11957</v>
      </c>
      <c r="R277" s="6">
        <f t="shared" si="418"/>
        <v>-9670</v>
      </c>
      <c r="S277" s="6">
        <f t="shared" si="418"/>
        <v>0</v>
      </c>
      <c r="T277" s="6">
        <f t="shared" si="418"/>
        <v>0</v>
      </c>
      <c r="U277" s="6">
        <f t="shared" si="418"/>
        <v>73668</v>
      </c>
      <c r="V277" s="6">
        <f t="shared" si="418"/>
        <v>16030</v>
      </c>
      <c r="W277" s="6">
        <f t="shared" si="418"/>
        <v>98077</v>
      </c>
      <c r="X277" s="6">
        <f t="shared" si="418"/>
        <v>-20484</v>
      </c>
      <c r="Y277" s="6">
        <f t="shared" si="418"/>
        <v>-98720</v>
      </c>
      <c r="Z277" s="6">
        <f t="shared" si="418"/>
        <v>101267</v>
      </c>
      <c r="AA277" s="6">
        <f t="shared" si="418"/>
        <v>27470</v>
      </c>
      <c r="AB277" s="6">
        <f t="shared" si="418"/>
        <v>3326</v>
      </c>
      <c r="AC277" s="6">
        <f t="shared" ref="AC277" si="419">AC257+AC268</f>
        <v>44245.81</v>
      </c>
      <c r="AE277" s="6">
        <f t="shared" si="418"/>
        <v>12383</v>
      </c>
      <c r="AF277" s="6">
        <f t="shared" si="418"/>
        <v>1186</v>
      </c>
      <c r="AG277" s="6">
        <f t="shared" si="418"/>
        <v>-3899</v>
      </c>
      <c r="AH277" s="6">
        <f t="shared" si="418"/>
        <v>63998</v>
      </c>
      <c r="AI277" s="6">
        <f t="shared" si="418"/>
        <v>-5097</v>
      </c>
      <c r="AJ277" s="6">
        <f t="shared" si="418"/>
        <v>176308.81</v>
      </c>
    </row>
    <row r="278" spans="2:36" x14ac:dyDescent="0.25">
      <c r="B278" s="2" t="s">
        <v>210</v>
      </c>
      <c r="G278" s="6">
        <f>IF((G249+G277)&gt;0,0,G249+G277)</f>
        <v>-6125</v>
      </c>
      <c r="H278" s="6">
        <f t="shared" ref="H278:AJ278" si="420">IF((H249+H277)&gt;0,0,H249+H277)</f>
        <v>-6780</v>
      </c>
      <c r="I278" s="6">
        <f t="shared" si="420"/>
        <v>0</v>
      </c>
      <c r="J278" s="6">
        <f t="shared" si="420"/>
        <v>-10548</v>
      </c>
      <c r="K278" s="6">
        <f t="shared" si="420"/>
        <v>-12694</v>
      </c>
      <c r="L278" s="6">
        <f t="shared" si="420"/>
        <v>0</v>
      </c>
      <c r="M278" s="6">
        <f t="shared" si="420"/>
        <v>-9817</v>
      </c>
      <c r="N278" s="6">
        <f t="shared" si="420"/>
        <v>-8794</v>
      </c>
      <c r="O278" s="6">
        <f t="shared" si="420"/>
        <v>-8550</v>
      </c>
      <c r="P278" s="6">
        <f t="shared" si="420"/>
        <v>-4036</v>
      </c>
      <c r="Q278" s="6">
        <f t="shared" si="420"/>
        <v>-2465</v>
      </c>
      <c r="R278" s="6">
        <f t="shared" si="420"/>
        <v>-27032</v>
      </c>
      <c r="S278" s="6">
        <f t="shared" si="420"/>
        <v>-15246</v>
      </c>
      <c r="T278" s="6">
        <f t="shared" si="420"/>
        <v>-19340</v>
      </c>
      <c r="U278" s="6">
        <f t="shared" si="420"/>
        <v>0</v>
      </c>
      <c r="V278" s="6">
        <f t="shared" si="420"/>
        <v>-8034</v>
      </c>
      <c r="W278" s="6">
        <f t="shared" si="420"/>
        <v>0</v>
      </c>
      <c r="X278" s="6">
        <f t="shared" si="420"/>
        <v>-28720</v>
      </c>
      <c r="Y278" s="6">
        <f t="shared" si="420"/>
        <v>-194225</v>
      </c>
      <c r="Z278" s="6">
        <f t="shared" si="420"/>
        <v>0</v>
      </c>
      <c r="AA278" s="6">
        <f t="shared" si="420"/>
        <v>0</v>
      </c>
      <c r="AB278" s="6">
        <f t="shared" si="420"/>
        <v>-24220</v>
      </c>
      <c r="AC278" s="6">
        <f t="shared" ref="AC278" si="421">IF((AC249+AC277)&gt;0,0,AC249+AC277)</f>
        <v>-23756.820999999996</v>
      </c>
      <c r="AE278" s="6">
        <f t="shared" si="420"/>
        <v>0</v>
      </c>
      <c r="AF278" s="6">
        <f t="shared" si="420"/>
        <v>-24670</v>
      </c>
      <c r="AG278" s="6">
        <f t="shared" si="420"/>
        <v>-23845</v>
      </c>
      <c r="AH278" s="6">
        <f t="shared" si="420"/>
        <v>0</v>
      </c>
      <c r="AI278" s="6">
        <f t="shared" si="420"/>
        <v>-153816</v>
      </c>
      <c r="AJ278" s="6">
        <f t="shared" si="420"/>
        <v>0</v>
      </c>
    </row>
    <row r="279" spans="2:36" x14ac:dyDescent="0.25">
      <c r="B279" s="2" t="s">
        <v>211</v>
      </c>
      <c r="G279" s="30">
        <f>G278/G249</f>
        <v>1</v>
      </c>
      <c r="H279" s="30">
        <f t="shared" ref="H279:AJ279" si="422">H278/H249</f>
        <v>1</v>
      </c>
      <c r="I279" s="30">
        <f t="shared" si="422"/>
        <v>0</v>
      </c>
      <c r="J279" s="30">
        <f t="shared" si="422"/>
        <v>1.3568304605093904</v>
      </c>
      <c r="K279" s="30">
        <f t="shared" si="422"/>
        <v>1.4348366677969933</v>
      </c>
      <c r="L279" s="30">
        <f t="shared" si="422"/>
        <v>0</v>
      </c>
      <c r="M279" s="30">
        <f t="shared" si="422"/>
        <v>0.87926556202418271</v>
      </c>
      <c r="N279" s="30">
        <f t="shared" si="422"/>
        <v>0.86325709237263182</v>
      </c>
      <c r="O279" s="30">
        <f t="shared" si="422"/>
        <v>0.81475128644939965</v>
      </c>
      <c r="P279" s="30">
        <f t="shared" si="422"/>
        <v>0.46088843211145369</v>
      </c>
      <c r="Q279" s="30">
        <f t="shared" si="422"/>
        <v>-0.25969237252423094</v>
      </c>
      <c r="R279" s="30">
        <f t="shared" si="422"/>
        <v>1.5569634834696464</v>
      </c>
      <c r="S279" s="30">
        <f t="shared" si="422"/>
        <v>1</v>
      </c>
      <c r="T279" s="30">
        <f t="shared" si="422"/>
        <v>1</v>
      </c>
      <c r="U279" s="30">
        <f t="shared" si="422"/>
        <v>0</v>
      </c>
      <c r="V279" s="30">
        <f t="shared" si="422"/>
        <v>0.33385970744680848</v>
      </c>
      <c r="W279" s="30">
        <f t="shared" si="422"/>
        <v>0</v>
      </c>
      <c r="X279" s="30">
        <f t="shared" si="422"/>
        <v>3.4871296745993199</v>
      </c>
      <c r="Y279" s="30">
        <f t="shared" si="422"/>
        <v>2.033663158996911</v>
      </c>
      <c r="Z279" s="30">
        <f t="shared" si="422"/>
        <v>0</v>
      </c>
      <c r="AA279" s="30">
        <f t="shared" si="422"/>
        <v>0</v>
      </c>
      <c r="AB279" s="30">
        <f t="shared" si="422"/>
        <v>0.87925651637261304</v>
      </c>
      <c r="AC279" s="30">
        <f t="shared" ref="AC279" si="423">AC278/AC249</f>
        <v>0.34935149788542735</v>
      </c>
      <c r="AE279" s="30">
        <f t="shared" si="422"/>
        <v>0</v>
      </c>
      <c r="AF279" s="30">
        <f t="shared" si="422"/>
        <v>0.95413056930693074</v>
      </c>
      <c r="AG279" s="30">
        <f t="shared" si="422"/>
        <v>1.1954777900330893</v>
      </c>
      <c r="AH279" s="30">
        <f t="shared" si="422"/>
        <v>0</v>
      </c>
      <c r="AI279" s="30">
        <f t="shared" si="422"/>
        <v>1.0342726887620277</v>
      </c>
      <c r="AJ279" s="30">
        <f t="shared" si="422"/>
        <v>0</v>
      </c>
    </row>
    <row r="280" spans="2:36" x14ac:dyDescent="0.25">
      <c r="B280" s="76" t="s">
        <v>141</v>
      </c>
      <c r="C280" s="77"/>
      <c r="D280" s="94">
        <f>_xlfn.MAXIFS($G$279:$AC$279,$G$279:$AC$279,"&lt;1")</f>
        <v>0.87926556202418271</v>
      </c>
    </row>
    <row r="281" spans="2:36" x14ac:dyDescent="0.25">
      <c r="B281" s="79" t="s">
        <v>169</v>
      </c>
      <c r="C281" s="80"/>
      <c r="D281" s="81">
        <f>AVERAGE($G$279:$AC$279)</f>
        <v>0.7908852681526326</v>
      </c>
    </row>
    <row r="282" spans="2:36" x14ac:dyDescent="0.25">
      <c r="B282" s="79" t="s">
        <v>139</v>
      </c>
      <c r="C282" s="80"/>
      <c r="D282" s="81">
        <f>MEDIAN($G$279:$AC$279)</f>
        <v>0.86325709237263182</v>
      </c>
      <c r="AD282" s="30"/>
    </row>
    <row r="283" spans="2:36" x14ac:dyDescent="0.25">
      <c r="B283" s="82" t="s">
        <v>140</v>
      </c>
      <c r="C283" s="83"/>
      <c r="D283" s="84">
        <f>_xlfn.MINIFS($G$279:$AC$279,$G$279:$AC$279,"&gt;0")</f>
        <v>0.33385970744680848</v>
      </c>
      <c r="AD283" s="30"/>
    </row>
    <row r="284" spans="2:36" x14ac:dyDescent="0.25">
      <c r="AD284" s="30"/>
    </row>
    <row r="285" spans="2:36" x14ac:dyDescent="0.25">
      <c r="B285" s="90" t="s">
        <v>80</v>
      </c>
      <c r="AD285" s="30"/>
    </row>
    <row r="286" spans="2:36" x14ac:dyDescent="0.25">
      <c r="B286" s="2" t="s">
        <v>173</v>
      </c>
      <c r="G286" s="6">
        <f>F288</f>
        <v>0</v>
      </c>
      <c r="H286" s="6">
        <f t="shared" ref="H286:AJ286" si="424">G288</f>
        <v>0</v>
      </c>
      <c r="I286" s="6">
        <f t="shared" si="424"/>
        <v>0</v>
      </c>
      <c r="J286" s="6">
        <f t="shared" si="424"/>
        <v>0</v>
      </c>
      <c r="K286" s="6">
        <f t="shared" si="424"/>
        <v>0</v>
      </c>
      <c r="L286" s="6">
        <f t="shared" si="424"/>
        <v>0</v>
      </c>
      <c r="M286" s="6">
        <f t="shared" si="424"/>
        <v>0</v>
      </c>
      <c r="N286" s="6">
        <f t="shared" si="424"/>
        <v>0</v>
      </c>
      <c r="O286" s="6">
        <f t="shared" si="424"/>
        <v>0</v>
      </c>
      <c r="P286" s="6">
        <f t="shared" si="424"/>
        <v>0</v>
      </c>
      <c r="Q286" s="6">
        <f t="shared" si="424"/>
        <v>0</v>
      </c>
      <c r="R286" s="6">
        <f t="shared" si="424"/>
        <v>0</v>
      </c>
      <c r="S286" s="6">
        <f t="shared" si="424"/>
        <v>0</v>
      </c>
      <c r="T286" s="6">
        <f t="shared" si="424"/>
        <v>0</v>
      </c>
      <c r="U286" s="6">
        <f t="shared" si="424"/>
        <v>0</v>
      </c>
      <c r="V286" s="6">
        <f t="shared" si="424"/>
        <v>0</v>
      </c>
      <c r="W286" s="6">
        <f t="shared" si="424"/>
        <v>0</v>
      </c>
      <c r="X286" s="6">
        <f t="shared" si="424"/>
        <v>0</v>
      </c>
      <c r="Y286" s="6">
        <f t="shared" si="424"/>
        <v>0</v>
      </c>
      <c r="Z286" s="6">
        <f t="shared" si="424"/>
        <v>1795</v>
      </c>
      <c r="AA286" s="6">
        <f t="shared" si="424"/>
        <v>21110</v>
      </c>
      <c r="AB286" s="6">
        <f t="shared" si="424"/>
        <v>27816</v>
      </c>
      <c r="AC286" s="6">
        <f t="shared" si="424"/>
        <v>37747</v>
      </c>
      <c r="AD286" s="30"/>
      <c r="AE286" s="6">
        <f t="shared" si="424"/>
        <v>0</v>
      </c>
      <c r="AF286" s="6">
        <f t="shared" si="424"/>
        <v>0</v>
      </c>
      <c r="AG286" s="6">
        <f t="shared" si="424"/>
        <v>0</v>
      </c>
      <c r="AH286" s="6">
        <f t="shared" si="424"/>
        <v>0</v>
      </c>
      <c r="AI286" s="6">
        <f t="shared" si="424"/>
        <v>0</v>
      </c>
      <c r="AJ286" s="6">
        <f t="shared" si="424"/>
        <v>1795</v>
      </c>
    </row>
    <row r="287" spans="2:36" x14ac:dyDescent="0.25">
      <c r="B287" s="2" t="s">
        <v>205</v>
      </c>
      <c r="G287" s="6">
        <f>G288-G286</f>
        <v>0</v>
      </c>
      <c r="H287" s="6">
        <f t="shared" ref="H287:AJ287" si="425">H288-H286</f>
        <v>0</v>
      </c>
      <c r="I287" s="6">
        <f t="shared" si="425"/>
        <v>0</v>
      </c>
      <c r="J287" s="6">
        <f t="shared" si="425"/>
        <v>0</v>
      </c>
      <c r="K287" s="6">
        <f t="shared" si="425"/>
        <v>0</v>
      </c>
      <c r="L287" s="6">
        <f t="shared" si="425"/>
        <v>0</v>
      </c>
      <c r="M287" s="6">
        <f t="shared" si="425"/>
        <v>0</v>
      </c>
      <c r="N287" s="6">
        <f t="shared" si="425"/>
        <v>0</v>
      </c>
      <c r="O287" s="6">
        <f t="shared" si="425"/>
        <v>0</v>
      </c>
      <c r="P287" s="6">
        <f t="shared" si="425"/>
        <v>0</v>
      </c>
      <c r="Q287" s="6">
        <f t="shared" si="425"/>
        <v>0</v>
      </c>
      <c r="R287" s="6">
        <f t="shared" si="425"/>
        <v>0</v>
      </c>
      <c r="S287" s="6">
        <f t="shared" si="425"/>
        <v>0</v>
      </c>
      <c r="T287" s="6">
        <f t="shared" si="425"/>
        <v>0</v>
      </c>
      <c r="U287" s="6">
        <f t="shared" si="425"/>
        <v>0</v>
      </c>
      <c r="V287" s="6">
        <f t="shared" si="425"/>
        <v>0</v>
      </c>
      <c r="W287" s="6">
        <f t="shared" si="425"/>
        <v>0</v>
      </c>
      <c r="X287" s="6">
        <f t="shared" si="425"/>
        <v>0</v>
      </c>
      <c r="Y287" s="6">
        <f t="shared" si="425"/>
        <v>1795</v>
      </c>
      <c r="Z287" s="6">
        <f t="shared" si="425"/>
        <v>19315</v>
      </c>
      <c r="AA287" s="6">
        <f t="shared" si="425"/>
        <v>6706</v>
      </c>
      <c r="AB287" s="6">
        <f t="shared" si="425"/>
        <v>9931</v>
      </c>
      <c r="AC287" s="6">
        <f t="shared" ref="AC287" si="426">AC288-AC286</f>
        <v>-37747</v>
      </c>
      <c r="AD287" s="30"/>
      <c r="AE287" s="6">
        <f t="shared" si="425"/>
        <v>0</v>
      </c>
      <c r="AF287" s="6">
        <f t="shared" si="425"/>
        <v>0</v>
      </c>
      <c r="AG287" s="6">
        <f t="shared" si="425"/>
        <v>0</v>
      </c>
      <c r="AH287" s="6">
        <f t="shared" si="425"/>
        <v>0</v>
      </c>
      <c r="AI287" s="6">
        <f t="shared" si="425"/>
        <v>1795</v>
      </c>
      <c r="AJ287" s="6">
        <f t="shared" si="425"/>
        <v>-1795</v>
      </c>
    </row>
    <row r="288" spans="2:36" x14ac:dyDescent="0.25">
      <c r="B288" s="8" t="s">
        <v>204</v>
      </c>
      <c r="C288" s="8"/>
      <c r="D288" s="8"/>
      <c r="E288" s="16"/>
      <c r="F288" s="16">
        <f>F51</f>
        <v>0</v>
      </c>
      <c r="G288" s="16">
        <f>G51</f>
        <v>0</v>
      </c>
      <c r="H288" s="16">
        <f t="shared" ref="H288:AJ288" si="427">H51</f>
        <v>0</v>
      </c>
      <c r="I288" s="16">
        <f t="shared" si="427"/>
        <v>0</v>
      </c>
      <c r="J288" s="16">
        <f t="shared" si="427"/>
        <v>0</v>
      </c>
      <c r="K288" s="16">
        <f t="shared" si="427"/>
        <v>0</v>
      </c>
      <c r="L288" s="16">
        <f t="shared" si="427"/>
        <v>0</v>
      </c>
      <c r="M288" s="16">
        <f t="shared" si="427"/>
        <v>0</v>
      </c>
      <c r="N288" s="16">
        <f t="shared" si="427"/>
        <v>0</v>
      </c>
      <c r="O288" s="16">
        <f t="shared" si="427"/>
        <v>0</v>
      </c>
      <c r="P288" s="16">
        <f t="shared" si="427"/>
        <v>0</v>
      </c>
      <c r="Q288" s="16">
        <f t="shared" si="427"/>
        <v>0</v>
      </c>
      <c r="R288" s="16">
        <f t="shared" si="427"/>
        <v>0</v>
      </c>
      <c r="S288" s="16">
        <f t="shared" si="427"/>
        <v>0</v>
      </c>
      <c r="T288" s="16">
        <f t="shared" si="427"/>
        <v>0</v>
      </c>
      <c r="U288" s="16">
        <f t="shared" si="427"/>
        <v>0</v>
      </c>
      <c r="V288" s="16">
        <f t="shared" si="427"/>
        <v>0</v>
      </c>
      <c r="W288" s="16">
        <f t="shared" si="427"/>
        <v>0</v>
      </c>
      <c r="X288" s="16">
        <f t="shared" si="427"/>
        <v>0</v>
      </c>
      <c r="Y288" s="16">
        <f t="shared" si="427"/>
        <v>1795</v>
      </c>
      <c r="Z288" s="16">
        <f t="shared" si="427"/>
        <v>21110</v>
      </c>
      <c r="AA288" s="16">
        <f t="shared" si="427"/>
        <v>27816</v>
      </c>
      <c r="AB288" s="16">
        <f t="shared" si="427"/>
        <v>37747</v>
      </c>
      <c r="AC288" s="16">
        <f t="shared" ref="AC288" si="428">AC51</f>
        <v>0</v>
      </c>
      <c r="AD288" s="30"/>
      <c r="AE288" s="16">
        <f t="shared" si="427"/>
        <v>0</v>
      </c>
      <c r="AF288" s="16">
        <f t="shared" si="427"/>
        <v>0</v>
      </c>
      <c r="AG288" s="16">
        <f t="shared" si="427"/>
        <v>0</v>
      </c>
      <c r="AH288" s="16">
        <f t="shared" si="427"/>
        <v>0</v>
      </c>
      <c r="AI288" s="16">
        <f t="shared" si="427"/>
        <v>1795</v>
      </c>
      <c r="AJ288" s="16">
        <f t="shared" si="427"/>
        <v>0</v>
      </c>
    </row>
    <row r="289" spans="2:36" x14ac:dyDescent="0.25">
      <c r="AD289" s="30"/>
    </row>
    <row r="290" spans="2:36" x14ac:dyDescent="0.25">
      <c r="B290" s="2" t="s">
        <v>206</v>
      </c>
      <c r="G290" s="30">
        <f>IFERROR(G287/G286,0)</f>
        <v>0</v>
      </c>
      <c r="H290" s="30">
        <f t="shared" ref="H290:AB290" si="429">IFERROR(H287/H286,0)</f>
        <v>0</v>
      </c>
      <c r="I290" s="30">
        <f t="shared" si="429"/>
        <v>0</v>
      </c>
      <c r="J290" s="30">
        <f t="shared" si="429"/>
        <v>0</v>
      </c>
      <c r="K290" s="30">
        <f t="shared" si="429"/>
        <v>0</v>
      </c>
      <c r="L290" s="30">
        <f t="shared" si="429"/>
        <v>0</v>
      </c>
      <c r="M290" s="30">
        <f t="shared" si="429"/>
        <v>0</v>
      </c>
      <c r="N290" s="30">
        <f t="shared" si="429"/>
        <v>0</v>
      </c>
      <c r="O290" s="30">
        <f t="shared" si="429"/>
        <v>0</v>
      </c>
      <c r="P290" s="30">
        <f t="shared" si="429"/>
        <v>0</v>
      </c>
      <c r="Q290" s="30">
        <f t="shared" si="429"/>
        <v>0</v>
      </c>
      <c r="R290" s="30">
        <f t="shared" si="429"/>
        <v>0</v>
      </c>
      <c r="S290" s="30">
        <f t="shared" si="429"/>
        <v>0</v>
      </c>
      <c r="T290" s="30">
        <f t="shared" si="429"/>
        <v>0</v>
      </c>
      <c r="U290" s="30">
        <f t="shared" si="429"/>
        <v>0</v>
      </c>
      <c r="V290" s="30">
        <f t="shared" si="429"/>
        <v>0</v>
      </c>
      <c r="W290" s="30">
        <f t="shared" si="429"/>
        <v>0</v>
      </c>
      <c r="X290" s="30">
        <f t="shared" si="429"/>
        <v>0</v>
      </c>
      <c r="Y290" s="30">
        <f t="shared" si="429"/>
        <v>0</v>
      </c>
      <c r="Z290" s="30">
        <f t="shared" si="429"/>
        <v>10.760445682451254</v>
      </c>
      <c r="AA290" s="30">
        <f t="shared" si="429"/>
        <v>0.31766935101847465</v>
      </c>
      <c r="AB290" s="30">
        <f t="shared" si="429"/>
        <v>0.35702473396606271</v>
      </c>
      <c r="AC290" s="30">
        <f t="shared" ref="AC290" si="430">IFERROR(AC287/AC286,0)</f>
        <v>-1</v>
      </c>
      <c r="AD290" s="30"/>
      <c r="AE290" s="30">
        <f t="shared" ref="AE290:AJ290" si="431">IFERROR(AE287/AE286,0)</f>
        <v>0</v>
      </c>
      <c r="AF290" s="30">
        <f t="shared" si="431"/>
        <v>0</v>
      </c>
      <c r="AG290" s="30">
        <f t="shared" si="431"/>
        <v>0</v>
      </c>
      <c r="AH290" s="30">
        <f t="shared" si="431"/>
        <v>0</v>
      </c>
      <c r="AI290" s="30">
        <f t="shared" si="431"/>
        <v>0</v>
      </c>
      <c r="AJ290" s="30">
        <f t="shared" si="431"/>
        <v>-1</v>
      </c>
    </row>
    <row r="291" spans="2:36" x14ac:dyDescent="0.25">
      <c r="B291" s="76" t="s">
        <v>141</v>
      </c>
      <c r="C291" s="77"/>
      <c r="D291" s="78">
        <f>_xlfn.MAXIFS($G$290:$AC$290,$G$290:$AC$290,"&lt;1")</f>
        <v>0.35702473396606271</v>
      </c>
    </row>
    <row r="292" spans="2:36" x14ac:dyDescent="0.25">
      <c r="B292" s="79" t="s">
        <v>169</v>
      </c>
      <c r="C292" s="80"/>
      <c r="D292" s="81">
        <f>AVERAGE($G$290:$AC$290)</f>
        <v>0.45370172901894745</v>
      </c>
    </row>
    <row r="293" spans="2:36" x14ac:dyDescent="0.25">
      <c r="B293" s="79" t="s">
        <v>139</v>
      </c>
      <c r="C293" s="80"/>
      <c r="D293" s="81">
        <f>MEDIAN($G$290:$AC$290)</f>
        <v>0</v>
      </c>
    </row>
    <row r="294" spans="2:36" x14ac:dyDescent="0.25">
      <c r="B294" s="82" t="s">
        <v>140</v>
      </c>
      <c r="C294" s="83"/>
      <c r="D294" s="84">
        <f>_xlfn.MINIFS($G$290:$AC$290,$G$290:$AC$290,"&gt;0")</f>
        <v>0.31766935101847465</v>
      </c>
    </row>
    <row r="296" spans="2:36" x14ac:dyDescent="0.25">
      <c r="B296" s="2" t="s">
        <v>212</v>
      </c>
      <c r="G296" s="6">
        <f>G287</f>
        <v>0</v>
      </c>
      <c r="H296" s="6">
        <f t="shared" ref="H296:AJ296" si="432">H287</f>
        <v>0</v>
      </c>
      <c r="I296" s="6">
        <f t="shared" si="432"/>
        <v>0</v>
      </c>
      <c r="J296" s="6">
        <f t="shared" si="432"/>
        <v>0</v>
      </c>
      <c r="K296" s="6">
        <f t="shared" si="432"/>
        <v>0</v>
      </c>
      <c r="L296" s="6">
        <f t="shared" si="432"/>
        <v>0</v>
      </c>
      <c r="M296" s="6">
        <f t="shared" si="432"/>
        <v>0</v>
      </c>
      <c r="N296" s="6">
        <f t="shared" si="432"/>
        <v>0</v>
      </c>
      <c r="O296" s="6">
        <f t="shared" si="432"/>
        <v>0</v>
      </c>
      <c r="P296" s="6">
        <f t="shared" si="432"/>
        <v>0</v>
      </c>
      <c r="Q296" s="6">
        <f t="shared" si="432"/>
        <v>0</v>
      </c>
      <c r="R296" s="6">
        <f t="shared" si="432"/>
        <v>0</v>
      </c>
      <c r="S296" s="6">
        <f t="shared" si="432"/>
        <v>0</v>
      </c>
      <c r="T296" s="6">
        <f t="shared" si="432"/>
        <v>0</v>
      </c>
      <c r="U296" s="6">
        <f t="shared" si="432"/>
        <v>0</v>
      </c>
      <c r="V296" s="6">
        <f t="shared" si="432"/>
        <v>0</v>
      </c>
      <c r="W296" s="6">
        <f t="shared" si="432"/>
        <v>0</v>
      </c>
      <c r="X296" s="6">
        <f t="shared" si="432"/>
        <v>0</v>
      </c>
      <c r="Y296" s="6">
        <f t="shared" si="432"/>
        <v>1795</v>
      </c>
      <c r="Z296" s="6">
        <f t="shared" si="432"/>
        <v>19315</v>
      </c>
      <c r="AA296" s="6">
        <f t="shared" si="432"/>
        <v>6706</v>
      </c>
      <c r="AB296" s="6">
        <f t="shared" si="432"/>
        <v>9931</v>
      </c>
      <c r="AC296" s="6">
        <f t="shared" ref="AC296" si="433">AC287</f>
        <v>-37747</v>
      </c>
      <c r="AE296" s="6">
        <f t="shared" si="432"/>
        <v>0</v>
      </c>
      <c r="AF296" s="6">
        <f t="shared" si="432"/>
        <v>0</v>
      </c>
      <c r="AG296" s="6">
        <f t="shared" si="432"/>
        <v>0</v>
      </c>
      <c r="AH296" s="6">
        <f t="shared" si="432"/>
        <v>0</v>
      </c>
      <c r="AI296" s="6">
        <f t="shared" si="432"/>
        <v>1795</v>
      </c>
      <c r="AJ296" s="6">
        <f t="shared" si="432"/>
        <v>-1795</v>
      </c>
    </row>
    <row r="297" spans="2:36" x14ac:dyDescent="0.25">
      <c r="B297" s="2" t="s">
        <v>210</v>
      </c>
      <c r="G297" s="6">
        <f>IF((SUM(G250:G252)+G296)&gt;0,0,SUM(G250:G252)+G296)</f>
        <v>-1225</v>
      </c>
      <c r="H297" s="6">
        <f t="shared" ref="H297:AJ297" si="434">IF((SUM(H250:H252)+H296)&gt;0,0,SUM(H250:H252)+H296)</f>
        <v>-1356</v>
      </c>
      <c r="I297" s="6">
        <f t="shared" si="434"/>
        <v>-1524</v>
      </c>
      <c r="J297" s="6">
        <f t="shared" si="434"/>
        <v>-1554</v>
      </c>
      <c r="K297" s="6">
        <f t="shared" si="434"/>
        <v>-1770</v>
      </c>
      <c r="L297" s="6">
        <f t="shared" si="434"/>
        <v>-6067</v>
      </c>
      <c r="M297" s="6">
        <f t="shared" si="434"/>
        <v>-4246</v>
      </c>
      <c r="N297" s="6">
        <f t="shared" si="434"/>
        <v>-3200</v>
      </c>
      <c r="O297" s="6">
        <f t="shared" si="434"/>
        <v>-3356</v>
      </c>
      <c r="P297" s="6">
        <f t="shared" si="434"/>
        <v>-5542</v>
      </c>
      <c r="Q297" s="6">
        <f t="shared" si="434"/>
        <v>0</v>
      </c>
      <c r="R297" s="6">
        <f t="shared" si="434"/>
        <v>-7006</v>
      </c>
      <c r="S297" s="6">
        <f t="shared" si="434"/>
        <v>-6932</v>
      </c>
      <c r="T297" s="6">
        <f t="shared" si="434"/>
        <v>-6386</v>
      </c>
      <c r="U297" s="6">
        <f t="shared" si="434"/>
        <v>-12010</v>
      </c>
      <c r="V297" s="6">
        <f t="shared" si="434"/>
        <v>-9108</v>
      </c>
      <c r="W297" s="6">
        <f t="shared" si="434"/>
        <v>-8364</v>
      </c>
      <c r="X297" s="6">
        <f t="shared" si="434"/>
        <v>-3296</v>
      </c>
      <c r="Y297" s="6">
        <f t="shared" si="434"/>
        <v>-31341</v>
      </c>
      <c r="Z297" s="6">
        <f t="shared" si="434"/>
        <v>0</v>
      </c>
      <c r="AA297" s="6">
        <f t="shared" si="434"/>
        <v>-2906</v>
      </c>
      <c r="AB297" s="6">
        <f t="shared" si="434"/>
        <v>-5547</v>
      </c>
      <c r="AC297" s="6">
        <f t="shared" ref="AC297" si="435">IF((SUM(AC250:AC252)+AC296)&gt;0,0,SUM(AC250:AC252)+AC296)</f>
        <v>-70922.758999999991</v>
      </c>
      <c r="AE297" s="6">
        <f t="shared" si="434"/>
        <v>-5139</v>
      </c>
      <c r="AF297" s="6">
        <f t="shared" si="434"/>
        <v>-13637</v>
      </c>
      <c r="AG297" s="6">
        <f t="shared" si="434"/>
        <v>-2166</v>
      </c>
      <c r="AH297" s="6">
        <f t="shared" si="434"/>
        <v>-32334</v>
      </c>
      <c r="AI297" s="6">
        <f t="shared" si="434"/>
        <v>-52109</v>
      </c>
      <c r="AJ297" s="6">
        <f t="shared" si="434"/>
        <v>-72140.758999999991</v>
      </c>
    </row>
    <row r="298" spans="2:36" x14ac:dyDescent="0.25">
      <c r="B298" s="2" t="s">
        <v>211</v>
      </c>
      <c r="G298" s="30">
        <f>G297/SUM(G250:G252)</f>
        <v>1</v>
      </c>
      <c r="H298" s="30">
        <f t="shared" ref="H298:AJ298" si="436">H297/SUM(H250:H252)</f>
        <v>1</v>
      </c>
      <c r="I298" s="30">
        <f t="shared" si="436"/>
        <v>1</v>
      </c>
      <c r="J298" s="30">
        <f t="shared" si="436"/>
        <v>1</v>
      </c>
      <c r="K298" s="30">
        <f t="shared" si="436"/>
        <v>1</v>
      </c>
      <c r="L298" s="30">
        <f t="shared" si="436"/>
        <v>1</v>
      </c>
      <c r="M298" s="30">
        <f t="shared" si="436"/>
        <v>1</v>
      </c>
      <c r="N298" s="30">
        <f t="shared" si="436"/>
        <v>1</v>
      </c>
      <c r="O298" s="30">
        <f t="shared" si="436"/>
        <v>1</v>
      </c>
      <c r="P298" s="30">
        <f t="shared" si="436"/>
        <v>1</v>
      </c>
      <c r="Q298" s="30">
        <f t="shared" si="436"/>
        <v>0</v>
      </c>
      <c r="R298" s="30">
        <f t="shared" si="436"/>
        <v>1</v>
      </c>
      <c r="S298" s="30">
        <f t="shared" si="436"/>
        <v>1</v>
      </c>
      <c r="T298" s="30">
        <f t="shared" si="436"/>
        <v>1</v>
      </c>
      <c r="U298" s="30">
        <f t="shared" si="436"/>
        <v>1</v>
      </c>
      <c r="V298" s="30">
        <f t="shared" si="436"/>
        <v>1</v>
      </c>
      <c r="W298" s="30">
        <f t="shared" si="436"/>
        <v>1</v>
      </c>
      <c r="X298" s="30">
        <f t="shared" si="436"/>
        <v>1</v>
      </c>
      <c r="Y298" s="30">
        <f t="shared" si="436"/>
        <v>0.94582930951231292</v>
      </c>
      <c r="Z298" s="30">
        <f t="shared" si="436"/>
        <v>0</v>
      </c>
      <c r="AA298" s="30">
        <f t="shared" si="436"/>
        <v>0.30233042030794838</v>
      </c>
      <c r="AB298" s="30">
        <f t="shared" si="436"/>
        <v>0.35837963561183617</v>
      </c>
      <c r="AC298" s="30">
        <f t="shared" ref="AC298" si="437">AC297/SUM(AC250:AC252)</f>
        <v>2.1377885883484984</v>
      </c>
      <c r="AE298" s="30">
        <f t="shared" si="436"/>
        <v>1</v>
      </c>
      <c r="AF298" s="30">
        <f t="shared" si="436"/>
        <v>1</v>
      </c>
      <c r="AG298" s="30">
        <f t="shared" si="436"/>
        <v>1</v>
      </c>
      <c r="AH298" s="30">
        <f t="shared" si="436"/>
        <v>1</v>
      </c>
      <c r="AI298" s="30">
        <f t="shared" si="436"/>
        <v>0.96670005936479664</v>
      </c>
      <c r="AJ298" s="30">
        <f t="shared" si="436"/>
        <v>1.0255168190025499</v>
      </c>
    </row>
    <row r="299" spans="2:36" x14ac:dyDescent="0.25">
      <c r="B299" s="76" t="s">
        <v>141</v>
      </c>
      <c r="C299" s="77"/>
      <c r="D299" s="94">
        <f>_xlfn.MAXIFS($G$298:$AC$298,$G$298:$AC$298,"&lt;1")</f>
        <v>0.94582930951231292</v>
      </c>
    </row>
    <row r="300" spans="2:36" x14ac:dyDescent="0.25">
      <c r="B300" s="79" t="s">
        <v>169</v>
      </c>
      <c r="C300" s="80"/>
      <c r="D300" s="81">
        <f>AVERAGE($G$298:$AC$298)</f>
        <v>0.90192730233828688</v>
      </c>
    </row>
    <row r="301" spans="2:36" x14ac:dyDescent="0.25">
      <c r="B301" s="79" t="s">
        <v>139</v>
      </c>
      <c r="C301" s="80"/>
      <c r="D301" s="81">
        <f>MEDIAN($G$298:$AC$298)</f>
        <v>1</v>
      </c>
      <c r="AD301" s="30"/>
    </row>
    <row r="302" spans="2:36" x14ac:dyDescent="0.25">
      <c r="B302" s="82" t="s">
        <v>140</v>
      </c>
      <c r="C302" s="83"/>
      <c r="D302" s="84">
        <f>_xlfn.MINIFS($G$298:$AC$298,$G$298:$AC$298,"&gt;0")</f>
        <v>0.30233042030794838</v>
      </c>
      <c r="AD302" s="30"/>
    </row>
    <row r="306" spans="2:36" x14ac:dyDescent="0.25">
      <c r="B306" s="73" t="s">
        <v>213</v>
      </c>
      <c r="C306" s="86"/>
      <c r="D306" s="86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</row>
    <row r="307" spans="2:36" x14ac:dyDescent="0.25">
      <c r="B307" s="2" t="s">
        <v>214</v>
      </c>
      <c r="G307" s="6">
        <f>F310</f>
        <v>7080</v>
      </c>
      <c r="H307" s="6">
        <f t="shared" ref="H307:AJ307" si="438">G310</f>
        <v>6535</v>
      </c>
      <c r="I307" s="6">
        <f t="shared" si="438"/>
        <v>6781</v>
      </c>
      <c r="J307" s="6">
        <f t="shared" si="438"/>
        <v>5074</v>
      </c>
      <c r="K307" s="6">
        <f t="shared" si="438"/>
        <v>4573</v>
      </c>
      <c r="L307" s="6">
        <f t="shared" si="438"/>
        <v>4175</v>
      </c>
      <c r="M307" s="6">
        <f t="shared" si="438"/>
        <v>5136</v>
      </c>
      <c r="N307" s="6">
        <f t="shared" si="438"/>
        <v>5992</v>
      </c>
      <c r="O307" s="6">
        <f t="shared" si="438"/>
        <v>5817</v>
      </c>
      <c r="P307" s="6">
        <f t="shared" si="438"/>
        <v>5429</v>
      </c>
      <c r="Q307" s="6">
        <f t="shared" si="438"/>
        <v>5519</v>
      </c>
      <c r="R307" s="6">
        <f t="shared" si="438"/>
        <v>6242</v>
      </c>
      <c r="S307" s="6">
        <f t="shared" si="438"/>
        <v>5760</v>
      </c>
      <c r="T307" s="6">
        <f t="shared" si="438"/>
        <v>7005</v>
      </c>
      <c r="U307" s="6">
        <f t="shared" si="438"/>
        <v>7036</v>
      </c>
      <c r="V307" s="6">
        <f t="shared" si="438"/>
        <v>20115</v>
      </c>
      <c r="W307" s="6">
        <f t="shared" si="438"/>
        <v>22148</v>
      </c>
      <c r="X307" s="6">
        <f t="shared" si="438"/>
        <v>21127</v>
      </c>
      <c r="Y307" s="6">
        <f t="shared" si="438"/>
        <v>26764</v>
      </c>
      <c r="Z307" s="6">
        <f t="shared" si="438"/>
        <v>30299</v>
      </c>
      <c r="AA307" s="6">
        <f t="shared" si="438"/>
        <v>29559</v>
      </c>
      <c r="AB307" s="6">
        <f t="shared" si="438"/>
        <v>30247</v>
      </c>
      <c r="AC307" s="6">
        <f t="shared" si="438"/>
        <v>33244</v>
      </c>
      <c r="AF307" s="6">
        <f t="shared" si="438"/>
        <v>5074</v>
      </c>
      <c r="AG307" s="6">
        <f t="shared" si="438"/>
        <v>5992</v>
      </c>
      <c r="AH307" s="6">
        <f t="shared" si="438"/>
        <v>6242</v>
      </c>
      <c r="AI307" s="6">
        <f t="shared" si="438"/>
        <v>20115</v>
      </c>
      <c r="AJ307" s="6">
        <f t="shared" si="438"/>
        <v>30299</v>
      </c>
    </row>
    <row r="308" spans="2:36" x14ac:dyDescent="0.25">
      <c r="B308" s="2" t="s">
        <v>175</v>
      </c>
      <c r="F308" s="6">
        <f>-'Raw Historical Financials'!C113</f>
        <v>0</v>
      </c>
      <c r="G308" s="6">
        <f>-('Raw Historical Financials'!D113-'Raw Historical Financials'!C113)</f>
        <v>1764</v>
      </c>
      <c r="H308" s="6">
        <f>-('Raw Historical Financials'!E113-'Raw Historical Financials'!D113)</f>
        <v>758</v>
      </c>
      <c r="I308" s="6">
        <f>-('Raw Historical Financials'!F113-'Raw Historical Financials'!E113)</f>
        <v>0</v>
      </c>
      <c r="J308" s="6">
        <f>-'Raw Historical Financials'!G113</f>
        <v>0</v>
      </c>
      <c r="K308" s="6">
        <f>-('Raw Historical Financials'!H113-'Raw Historical Financials'!G113)</f>
        <v>0</v>
      </c>
      <c r="L308" s="6">
        <f>-('Raw Historical Financials'!I113-'Raw Historical Financials'!H113)</f>
        <v>929</v>
      </c>
      <c r="M308" s="6">
        <f>-('Raw Historical Financials'!J113-'Raw Historical Financials'!I113)</f>
        <v>533</v>
      </c>
      <c r="N308" s="6">
        <f>-'Raw Historical Financials'!K113</f>
        <v>320</v>
      </c>
      <c r="O308" s="6">
        <f>-('Raw Historical Financials'!L113-'Raw Historical Financials'!K113)</f>
        <v>94</v>
      </c>
      <c r="P308" s="6">
        <f>-('Raw Historical Financials'!M113-'Raw Historical Financials'!L113)</f>
        <v>565</v>
      </c>
      <c r="Q308" s="6">
        <f>-('Raw Historical Financials'!N113-'Raw Historical Financials'!M113)</f>
        <v>536</v>
      </c>
      <c r="R308" s="6">
        <f>-'Raw Historical Financials'!O113</f>
        <v>0</v>
      </c>
      <c r="S308" s="6">
        <f>-('Raw Historical Financials'!P113-'Raw Historical Financials'!O113)</f>
        <v>1736</v>
      </c>
      <c r="T308" s="6">
        <f>-('Raw Historical Financials'!Q113-'Raw Historical Financials'!P113)</f>
        <v>575</v>
      </c>
      <c r="U308" s="6">
        <f>-('Raw Historical Financials'!R113-'Raw Historical Financials'!Q113)</f>
        <v>14128</v>
      </c>
      <c r="V308" s="6">
        <f>-'Raw Historical Financials'!S113</f>
        <v>3069</v>
      </c>
      <c r="W308" s="6">
        <f>-('Raw Historical Financials'!T113-'Raw Historical Financials'!S113)</f>
        <v>-3069</v>
      </c>
      <c r="X308" s="6">
        <f>-('Raw Historical Financials'!U113-'Raw Historical Financials'!T113)</f>
        <v>10085</v>
      </c>
      <c r="Y308" s="6">
        <f>-('Raw Historical Financials'!V113-'Raw Historical Financials'!U113)</f>
        <v>2716.6190000000006</v>
      </c>
      <c r="Z308" s="6">
        <f>-'Raw Historical Financials'!W113</f>
        <v>-739</v>
      </c>
      <c r="AA308" s="6">
        <f>-('Raw Historical Financials'!X113-'Raw Historical Financials'!W113)</f>
        <v>739</v>
      </c>
      <c r="AB308" s="6">
        <f>-('Raw Historical Financials'!Y113-'Raw Historical Financials'!X113)</f>
        <v>2946</v>
      </c>
      <c r="AC308" s="6">
        <f>-('Raw Historical Financials'!Z113-'Raw Historical Financials'!Y113)</f>
        <v>3305.7269999999999</v>
      </c>
      <c r="AE308" s="6">
        <f>SUMIF($F$2:$AB$2,AE$2,$F308:$AB308)</f>
        <v>2522</v>
      </c>
      <c r="AF308" s="6">
        <f t="shared" ref="AF308:AJ308" si="439">SUMIF($F$2:$AB$2,AF$2,$F308:$AB308)</f>
        <v>1462</v>
      </c>
      <c r="AG308" s="6">
        <f>SUMIF($F$2:$AB$2,AG$2,$F308:$AB308)</f>
        <v>1515</v>
      </c>
      <c r="AH308" s="6">
        <f t="shared" si="439"/>
        <v>16439</v>
      </c>
      <c r="AI308" s="6">
        <f t="shared" si="439"/>
        <v>12801.619000000001</v>
      </c>
      <c r="AJ308" s="6">
        <f t="shared" si="439"/>
        <v>2946</v>
      </c>
    </row>
    <row r="309" spans="2:36" x14ac:dyDescent="0.25">
      <c r="B309" s="2" t="s">
        <v>215</v>
      </c>
      <c r="G309" s="6">
        <f>G310-SUM(G307:G308)</f>
        <v>-2309</v>
      </c>
      <c r="H309" s="6">
        <f t="shared" ref="H309:L309" si="440">H310-SUM(H307:H308)</f>
        <v>-512</v>
      </c>
      <c r="I309" s="6">
        <f t="shared" si="440"/>
        <v>-1707</v>
      </c>
      <c r="J309" s="6">
        <f t="shared" si="440"/>
        <v>-501</v>
      </c>
      <c r="K309" s="6">
        <f t="shared" si="440"/>
        <v>-398</v>
      </c>
      <c r="L309" s="6">
        <f t="shared" si="440"/>
        <v>32</v>
      </c>
      <c r="M309" s="6">
        <f t="shared" ref="M309" si="441">M310-SUM(M307:M308)</f>
        <v>323</v>
      </c>
      <c r="N309" s="6">
        <f t="shared" ref="N309" si="442">N310-SUM(N307:N308)</f>
        <v>-495</v>
      </c>
      <c r="O309" s="6">
        <f t="shared" ref="O309" si="443">O310-SUM(O307:O308)</f>
        <v>-482</v>
      </c>
      <c r="P309" s="6">
        <f t="shared" ref="P309" si="444">P310-SUM(P307:P308)</f>
        <v>-475</v>
      </c>
      <c r="Q309" s="6">
        <f t="shared" ref="Q309" si="445">Q310-SUM(Q307:Q308)</f>
        <v>187</v>
      </c>
      <c r="R309" s="6">
        <f t="shared" ref="R309" si="446">R310-SUM(R307:R308)</f>
        <v>-482</v>
      </c>
      <c r="S309" s="6">
        <f t="shared" ref="S309" si="447">S310-SUM(S307:S308)</f>
        <v>-491</v>
      </c>
      <c r="T309" s="6">
        <f t="shared" ref="T309" si="448">T310-SUM(T307:T308)</f>
        <v>-544</v>
      </c>
      <c r="U309" s="6">
        <f t="shared" ref="U309" si="449">U310-SUM(U307:U308)</f>
        <v>-1049</v>
      </c>
      <c r="V309" s="6">
        <f t="shared" ref="V309" si="450">V310-SUM(V307:V308)</f>
        <v>-1036</v>
      </c>
      <c r="W309" s="6">
        <f t="shared" ref="W309" si="451">W310-SUM(W307:W308)</f>
        <v>2048</v>
      </c>
      <c r="X309" s="6">
        <f t="shared" ref="X309" si="452">X310-SUM(X307:X308)</f>
        <v>-4448</v>
      </c>
      <c r="Y309" s="6">
        <f t="shared" ref="Y309" si="453">Y310-SUM(Y307:Y308)</f>
        <v>818.38100000000122</v>
      </c>
      <c r="Z309" s="6">
        <f t="shared" ref="Z309" si="454">Z310-SUM(Z307:Z308)</f>
        <v>-1</v>
      </c>
      <c r="AA309" s="6">
        <f t="shared" ref="AA309" si="455">AA310-SUM(AA307:AA308)</f>
        <v>-51</v>
      </c>
      <c r="AB309" s="6">
        <f t="shared" ref="AB309:AC309" si="456">AB310-SUM(AB307:AB308)</f>
        <v>51</v>
      </c>
      <c r="AC309" s="6">
        <f t="shared" si="456"/>
        <v>-5440.43</v>
      </c>
      <c r="AF309" s="6">
        <f t="shared" ref="AF309" si="457">AF310-SUM(AF307:AF308)</f>
        <v>-544</v>
      </c>
      <c r="AG309" s="6">
        <f t="shared" ref="AG309" si="458">AG310-SUM(AG307:AG308)</f>
        <v>-1265</v>
      </c>
      <c r="AH309" s="6">
        <f t="shared" ref="AH309" si="459">AH310-SUM(AH307:AH308)</f>
        <v>-2566</v>
      </c>
      <c r="AI309" s="6">
        <f t="shared" ref="AI309" si="460">AI310-SUM(AI307:AI308)</f>
        <v>-2617.6189999999988</v>
      </c>
      <c r="AJ309" s="6">
        <f t="shared" ref="AJ309" si="461">AJ310-SUM(AJ307:AJ308)</f>
        <v>-2135.7030000000013</v>
      </c>
    </row>
    <row r="310" spans="2:36" x14ac:dyDescent="0.25">
      <c r="B310" s="8" t="s">
        <v>204</v>
      </c>
      <c r="C310" s="8"/>
      <c r="D310" s="8"/>
      <c r="E310" s="16"/>
      <c r="F310" s="16">
        <f>F52</f>
        <v>7080</v>
      </c>
      <c r="G310" s="16">
        <f t="shared" ref="G310:AJ310" si="462">G52</f>
        <v>6535</v>
      </c>
      <c r="H310" s="16">
        <f t="shared" si="462"/>
        <v>6781</v>
      </c>
      <c r="I310" s="16">
        <f t="shared" si="462"/>
        <v>5074</v>
      </c>
      <c r="J310" s="16">
        <f t="shared" si="462"/>
        <v>4573</v>
      </c>
      <c r="K310" s="16">
        <f t="shared" si="462"/>
        <v>4175</v>
      </c>
      <c r="L310" s="16">
        <f t="shared" si="462"/>
        <v>5136</v>
      </c>
      <c r="M310" s="16">
        <f t="shared" si="462"/>
        <v>5992</v>
      </c>
      <c r="N310" s="16">
        <f t="shared" si="462"/>
        <v>5817</v>
      </c>
      <c r="O310" s="16">
        <f t="shared" si="462"/>
        <v>5429</v>
      </c>
      <c r="P310" s="16">
        <f t="shared" si="462"/>
        <v>5519</v>
      </c>
      <c r="Q310" s="16">
        <f t="shared" si="462"/>
        <v>6242</v>
      </c>
      <c r="R310" s="16">
        <f t="shared" si="462"/>
        <v>5760</v>
      </c>
      <c r="S310" s="16">
        <f t="shared" si="462"/>
        <v>7005</v>
      </c>
      <c r="T310" s="16">
        <f t="shared" si="462"/>
        <v>7036</v>
      </c>
      <c r="U310" s="16">
        <f t="shared" si="462"/>
        <v>20115</v>
      </c>
      <c r="V310" s="16">
        <f t="shared" si="462"/>
        <v>22148</v>
      </c>
      <c r="W310" s="16">
        <f t="shared" si="462"/>
        <v>21127</v>
      </c>
      <c r="X310" s="16">
        <f t="shared" si="462"/>
        <v>26764</v>
      </c>
      <c r="Y310" s="16">
        <f t="shared" si="462"/>
        <v>30299</v>
      </c>
      <c r="Z310" s="16">
        <f t="shared" si="462"/>
        <v>29559</v>
      </c>
      <c r="AA310" s="16">
        <f t="shared" si="462"/>
        <v>30247</v>
      </c>
      <c r="AB310" s="16">
        <f t="shared" si="462"/>
        <v>33244</v>
      </c>
      <c r="AC310" s="16">
        <f t="shared" ref="AC310" si="463">AC52</f>
        <v>31109.296999999999</v>
      </c>
      <c r="AE310" s="16">
        <f t="shared" si="462"/>
        <v>5074</v>
      </c>
      <c r="AF310" s="16">
        <f t="shared" si="462"/>
        <v>5992</v>
      </c>
      <c r="AG310" s="16">
        <f t="shared" si="462"/>
        <v>6242</v>
      </c>
      <c r="AH310" s="16">
        <f t="shared" si="462"/>
        <v>20115</v>
      </c>
      <c r="AI310" s="16">
        <f t="shared" si="462"/>
        <v>30299</v>
      </c>
      <c r="AJ310" s="16">
        <f t="shared" si="462"/>
        <v>31109.296999999999</v>
      </c>
    </row>
    <row r="312" spans="2:36" x14ac:dyDescent="0.25">
      <c r="B312" s="2" t="s">
        <v>216</v>
      </c>
      <c r="G312" s="30">
        <f>G308/G307</f>
        <v>0.24915254237288137</v>
      </c>
      <c r="H312" s="30">
        <f t="shared" ref="H312:AJ312" si="464">H308/H307</f>
        <v>0.11599081866870696</v>
      </c>
      <c r="I312" s="30">
        <f t="shared" si="464"/>
        <v>0</v>
      </c>
      <c r="J312" s="30">
        <f t="shared" si="464"/>
        <v>0</v>
      </c>
      <c r="K312" s="30">
        <f t="shared" si="464"/>
        <v>0</v>
      </c>
      <c r="L312" s="30">
        <f t="shared" si="464"/>
        <v>0.22251497005988025</v>
      </c>
      <c r="M312" s="30">
        <f t="shared" si="464"/>
        <v>0.1037772585669782</v>
      </c>
      <c r="N312" s="30">
        <f t="shared" si="464"/>
        <v>5.3404539385847799E-2</v>
      </c>
      <c r="O312" s="30">
        <f t="shared" si="464"/>
        <v>1.6159532405019768E-2</v>
      </c>
      <c r="P312" s="30">
        <f t="shared" si="464"/>
        <v>0.10407073125805857</v>
      </c>
      <c r="Q312" s="30">
        <f t="shared" si="464"/>
        <v>9.7119043304946542E-2</v>
      </c>
      <c r="R312" s="30">
        <f t="shared" si="464"/>
        <v>0</v>
      </c>
      <c r="S312" s="30">
        <f t="shared" si="464"/>
        <v>0.30138888888888887</v>
      </c>
      <c r="T312" s="30">
        <f t="shared" si="464"/>
        <v>8.2084225553176307E-2</v>
      </c>
      <c r="U312" s="30">
        <f t="shared" si="464"/>
        <v>2.0079590676520751</v>
      </c>
      <c r="V312" s="30">
        <f t="shared" si="464"/>
        <v>0.15257270693512304</v>
      </c>
      <c r="W312" s="30">
        <f t="shared" si="464"/>
        <v>-0.13856781650713382</v>
      </c>
      <c r="X312" s="30">
        <f t="shared" si="464"/>
        <v>0.47735125668575756</v>
      </c>
      <c r="Y312" s="30">
        <f t="shared" si="464"/>
        <v>0.10150272754446274</v>
      </c>
      <c r="Z312" s="30">
        <f t="shared" si="464"/>
        <v>-2.4390243902439025E-2</v>
      </c>
      <c r="AA312" s="30">
        <f t="shared" si="464"/>
        <v>2.5000845766094928E-2</v>
      </c>
      <c r="AB312" s="30">
        <f t="shared" si="464"/>
        <v>9.7398089066684304E-2</v>
      </c>
      <c r="AC312" s="30">
        <f t="shared" ref="AC312" si="465">AC308/AC307</f>
        <v>9.9438304656479362E-2</v>
      </c>
      <c r="AD312" s="30"/>
      <c r="AE312" s="30"/>
      <c r="AF312" s="30">
        <f t="shared" si="464"/>
        <v>0.28813559322033899</v>
      </c>
      <c r="AG312" s="30">
        <f t="shared" si="464"/>
        <v>0.25283711615487314</v>
      </c>
      <c r="AH312" s="30">
        <f t="shared" si="464"/>
        <v>2.6336110221082984</v>
      </c>
      <c r="AI312" s="30">
        <f t="shared" si="464"/>
        <v>0.63642152622421078</v>
      </c>
      <c r="AJ312" s="30">
        <f t="shared" si="464"/>
        <v>9.7230931713917945E-2</v>
      </c>
    </row>
    <row r="313" spans="2:36" x14ac:dyDescent="0.25">
      <c r="B313" s="76" t="s">
        <v>141</v>
      </c>
      <c r="C313" s="77"/>
      <c r="D313" s="94">
        <f>_xlfn.MAXIFS($G312:$AC312,$G312:$AC312,"&lt;1")</f>
        <v>0.47735125668575756</v>
      </c>
    </row>
    <row r="314" spans="2:36" x14ac:dyDescent="0.25">
      <c r="B314" s="79" t="s">
        <v>169</v>
      </c>
      <c r="C314" s="80"/>
      <c r="D314" s="81">
        <f>AVERAGE($G312:$AC312)</f>
        <v>0.18017076036354299</v>
      </c>
    </row>
    <row r="315" spans="2:36" x14ac:dyDescent="0.25">
      <c r="B315" s="79" t="s">
        <v>139</v>
      </c>
      <c r="C315" s="80"/>
      <c r="D315" s="81">
        <f>MEDIAN($G312:$AC312)</f>
        <v>9.7398089066684304E-2</v>
      </c>
    </row>
    <row r="316" spans="2:36" x14ac:dyDescent="0.25">
      <c r="B316" s="82" t="s">
        <v>140</v>
      </c>
      <c r="C316" s="83"/>
      <c r="D316" s="84">
        <f>_xlfn.MINIFS($G312:$AC312,$G312:$AC312,"&gt;0")</f>
        <v>1.6159532405019768E-2</v>
      </c>
    </row>
    <row r="318" spans="2:36" x14ac:dyDescent="0.25">
      <c r="B318" s="2" t="s">
        <v>217</v>
      </c>
      <c r="G318" s="30">
        <f>G309/(G307+G308)</f>
        <v>-0.26108095884215288</v>
      </c>
      <c r="H318" s="30">
        <f t="shared" ref="H318:AJ318" si="466">H309/(H307+H308)</f>
        <v>-7.0204305498423145E-2</v>
      </c>
      <c r="I318" s="30">
        <f t="shared" si="466"/>
        <v>-0.25173278277540184</v>
      </c>
      <c r="J318" s="30">
        <f t="shared" si="466"/>
        <v>-9.8738667717776896E-2</v>
      </c>
      <c r="K318" s="30">
        <f t="shared" si="466"/>
        <v>-8.7032582549748522E-2</v>
      </c>
      <c r="L318" s="30">
        <f t="shared" si="466"/>
        <v>6.269592476489028E-3</v>
      </c>
      <c r="M318" s="30">
        <f t="shared" si="466"/>
        <v>5.697653907214676E-2</v>
      </c>
      <c r="N318" s="30">
        <f t="shared" si="466"/>
        <v>-7.8422053231939168E-2</v>
      </c>
      <c r="O318" s="30">
        <f t="shared" si="466"/>
        <v>-8.1542886144476398E-2</v>
      </c>
      <c r="P318" s="30">
        <f t="shared" si="466"/>
        <v>-7.9245912579245917E-2</v>
      </c>
      <c r="Q318" s="30">
        <f t="shared" si="466"/>
        <v>3.0883567299752272E-2</v>
      </c>
      <c r="R318" s="30">
        <f t="shared" si="466"/>
        <v>-7.7218840115347645E-2</v>
      </c>
      <c r="S318" s="30">
        <f t="shared" si="466"/>
        <v>-6.5501600853788686E-2</v>
      </c>
      <c r="T318" s="30">
        <f t="shared" si="466"/>
        <v>-7.1767810026385229E-2</v>
      </c>
      <c r="U318" s="30">
        <f t="shared" si="466"/>
        <v>-4.9565299565299564E-2</v>
      </c>
      <c r="V318" s="30">
        <f t="shared" si="466"/>
        <v>-4.4685990338164248E-2</v>
      </c>
      <c r="W318" s="30">
        <f t="shared" si="466"/>
        <v>0.10734315215682164</v>
      </c>
      <c r="X318" s="30">
        <f t="shared" si="466"/>
        <v>-0.14250929129821863</v>
      </c>
      <c r="Y318" s="30">
        <f t="shared" si="466"/>
        <v>2.7759966641134681E-2</v>
      </c>
      <c r="Z318" s="30">
        <f t="shared" si="466"/>
        <v>-3.3829499323410016E-5</v>
      </c>
      <c r="AA318" s="30">
        <f t="shared" si="466"/>
        <v>-1.6832794243844479E-3</v>
      </c>
      <c r="AB318" s="30">
        <f t="shared" si="466"/>
        <v>1.5364685325219172E-3</v>
      </c>
      <c r="AC318" s="30">
        <f t="shared" ref="AC318" si="467">AC309/(AC307+AC308)</f>
        <v>-0.14885008580228248</v>
      </c>
      <c r="AD318" s="30"/>
      <c r="AE318" s="30"/>
      <c r="AF318" s="30">
        <f t="shared" si="466"/>
        <v>-8.3231334149326805E-2</v>
      </c>
      <c r="AG318" s="30">
        <f t="shared" si="466"/>
        <v>-0.16850939123484748</v>
      </c>
      <c r="AH318" s="30">
        <f t="shared" si="466"/>
        <v>-0.11313434151933337</v>
      </c>
      <c r="AI318" s="30">
        <f t="shared" si="466"/>
        <v>-7.9522717688593689E-2</v>
      </c>
      <c r="AJ318" s="30">
        <f t="shared" si="466"/>
        <v>-6.424132952323662E-2</v>
      </c>
    </row>
    <row r="319" spans="2:36" x14ac:dyDescent="0.25">
      <c r="B319" s="76" t="s">
        <v>141</v>
      </c>
      <c r="C319" s="77"/>
      <c r="D319" s="94">
        <f>_xlfn.MINIFS($G318:$AC318,$G318:$AC318,"&lt;0")</f>
        <v>-0.26108095884215288</v>
      </c>
    </row>
    <row r="320" spans="2:36" x14ac:dyDescent="0.25">
      <c r="B320" s="79" t="s">
        <v>169</v>
      </c>
      <c r="C320" s="80"/>
      <c r="D320" s="81">
        <f>AVERAGE($G318:$AC318)</f>
        <v>-5.9958560438412724E-2</v>
      </c>
    </row>
    <row r="321" spans="2:36" x14ac:dyDescent="0.25">
      <c r="B321" s="79" t="s">
        <v>139</v>
      </c>
      <c r="C321" s="80"/>
      <c r="D321" s="81">
        <f>MEDIAN($G318:$AC318)</f>
        <v>-7.0204305498423145E-2</v>
      </c>
    </row>
    <row r="322" spans="2:36" x14ac:dyDescent="0.25">
      <c r="B322" s="82" t="s">
        <v>140</v>
      </c>
      <c r="C322" s="83"/>
      <c r="D322" s="84">
        <f>_xlfn.MAXIFS($G318:$AC318,$G318:$AC318,"&lt;-0.01")</f>
        <v>-4.4685990338164248E-2</v>
      </c>
    </row>
    <row r="325" spans="2:36" x14ac:dyDescent="0.25">
      <c r="B325" s="73" t="s">
        <v>26</v>
      </c>
      <c r="C325" s="86"/>
      <c r="D325" s="86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</row>
    <row r="326" spans="2:36" x14ac:dyDescent="0.25">
      <c r="B326" s="2" t="s">
        <v>214</v>
      </c>
      <c r="G326" s="6">
        <f>F329</f>
        <v>167975</v>
      </c>
      <c r="H326" s="6">
        <f t="shared" ref="H326:AC326" si="468">G329</f>
        <v>154854</v>
      </c>
      <c r="I326" s="6">
        <f t="shared" si="468"/>
        <v>183156</v>
      </c>
      <c r="J326" s="6">
        <f t="shared" si="468"/>
        <v>169866</v>
      </c>
      <c r="K326" s="6">
        <f t="shared" si="468"/>
        <v>166788</v>
      </c>
      <c r="L326" s="6">
        <f t="shared" si="468"/>
        <v>167680</v>
      </c>
      <c r="M326" s="6">
        <f t="shared" si="468"/>
        <v>177552</v>
      </c>
      <c r="N326" s="6">
        <f t="shared" si="468"/>
        <v>181642</v>
      </c>
      <c r="O326" s="6">
        <f t="shared" si="468"/>
        <v>178922</v>
      </c>
      <c r="P326" s="6">
        <f t="shared" si="468"/>
        <v>182088</v>
      </c>
      <c r="Q326" s="6">
        <f t="shared" si="468"/>
        <v>197442</v>
      </c>
      <c r="R326" s="6">
        <f t="shared" si="468"/>
        <v>553615</v>
      </c>
      <c r="S326" s="6">
        <f t="shared" si="468"/>
        <v>550114</v>
      </c>
      <c r="T326" s="6">
        <f t="shared" si="468"/>
        <v>580617</v>
      </c>
      <c r="U326" s="6">
        <f t="shared" si="468"/>
        <v>566144</v>
      </c>
      <c r="V326" s="6">
        <f t="shared" si="468"/>
        <v>559232</v>
      </c>
      <c r="W326" s="6">
        <f t="shared" si="468"/>
        <v>542949</v>
      </c>
      <c r="X326" s="6">
        <f t="shared" si="468"/>
        <v>537294</v>
      </c>
      <c r="Y326" s="6">
        <f t="shared" si="468"/>
        <v>568602</v>
      </c>
      <c r="Z326" s="6">
        <f t="shared" si="468"/>
        <v>552619</v>
      </c>
      <c r="AA326" s="6">
        <f t="shared" si="468"/>
        <v>596405</v>
      </c>
      <c r="AB326" s="6">
        <f t="shared" si="468"/>
        <v>588736</v>
      </c>
      <c r="AC326" s="6">
        <f t="shared" si="468"/>
        <v>583596</v>
      </c>
      <c r="AF326" s="6">
        <f t="shared" ref="AF326:AJ326" si="469">AE329</f>
        <v>169866</v>
      </c>
      <c r="AG326" s="6">
        <f t="shared" si="469"/>
        <v>181642</v>
      </c>
      <c r="AH326" s="6">
        <f t="shared" si="469"/>
        <v>553615</v>
      </c>
      <c r="AI326" s="6">
        <f t="shared" si="469"/>
        <v>559232</v>
      </c>
      <c r="AJ326" s="6">
        <f t="shared" si="469"/>
        <v>552619</v>
      </c>
    </row>
    <row r="327" spans="2:36" x14ac:dyDescent="0.25">
      <c r="B327" s="2" t="s">
        <v>219</v>
      </c>
      <c r="F327" s="6">
        <f>-('Raw Historical Financials'!C112+'Raw Historical Financials'!C114)</f>
        <v>-698</v>
      </c>
      <c r="G327" s="6">
        <f>G329-SUM(G326,G328)</f>
        <v>-9065</v>
      </c>
      <c r="H327" s="6">
        <f t="shared" ref="H327:AB327" si="470">H329-SUM(H326,H328)</f>
        <v>32888</v>
      </c>
      <c r="I327" s="6">
        <f t="shared" si="470"/>
        <v>-9560</v>
      </c>
      <c r="J327" s="6">
        <f t="shared" si="470"/>
        <v>1963</v>
      </c>
      <c r="K327" s="6">
        <f t="shared" si="470"/>
        <v>3589</v>
      </c>
      <c r="L327" s="6">
        <f t="shared" si="470"/>
        <v>14151</v>
      </c>
      <c r="M327" s="6">
        <f t="shared" si="470"/>
        <v>11014</v>
      </c>
      <c r="N327" s="6">
        <f t="shared" si="470"/>
        <v>2094</v>
      </c>
      <c r="O327" s="6">
        <f t="shared" si="470"/>
        <v>8317</v>
      </c>
      <c r="P327" s="6">
        <f t="shared" si="470"/>
        <v>20398</v>
      </c>
      <c r="Q327" s="6">
        <f t="shared" si="470"/>
        <v>358900</v>
      </c>
      <c r="R327" s="6">
        <f t="shared" si="470"/>
        <v>4308</v>
      </c>
      <c r="S327" s="6">
        <f t="shared" si="470"/>
        <v>38438</v>
      </c>
      <c r="T327" s="6">
        <f t="shared" si="470"/>
        <v>-6702</v>
      </c>
      <c r="U327" s="6">
        <f t="shared" si="470"/>
        <v>-785</v>
      </c>
      <c r="V327" s="6">
        <f t="shared" si="470"/>
        <v>-6545</v>
      </c>
      <c r="W327" s="6">
        <f t="shared" si="470"/>
        <v>7256</v>
      </c>
      <c r="X327" s="6">
        <f t="shared" si="470"/>
        <v>37946</v>
      </c>
      <c r="Y327" s="6">
        <f t="shared" si="470"/>
        <v>-5336.6189999999478</v>
      </c>
      <c r="Z327" s="6">
        <f t="shared" si="470"/>
        <v>52508</v>
      </c>
      <c r="AA327" s="6">
        <f t="shared" si="470"/>
        <v>6177</v>
      </c>
      <c r="AB327" s="6">
        <f t="shared" si="470"/>
        <v>10524</v>
      </c>
      <c r="AC327" s="6">
        <f t="shared" ref="AC327" si="471">AC329-SUM(AC326,AC328)</f>
        <v>-1941.704000000027</v>
      </c>
      <c r="AE327" s="6">
        <f t="shared" ref="AE327" si="472">AE329-SUM(AE326,AE328)</f>
        <v>190643</v>
      </c>
      <c r="AF327" s="6">
        <f t="shared" ref="AF327" si="473">AF329-SUM(AF326,AF328)</f>
        <v>34255</v>
      </c>
      <c r="AG327" s="6">
        <f t="shared" ref="AG327" si="474">AG329-SUM(AG326,AG328)</f>
        <v>386282</v>
      </c>
      <c r="AH327" s="6">
        <f t="shared" ref="AH327" si="475">AH329-SUM(AH326,AH328)</f>
        <v>35259</v>
      </c>
      <c r="AI327" s="6">
        <f t="shared" ref="AI327" si="476">AI329-SUM(AI326,AI328)</f>
        <v>36157.380999999994</v>
      </c>
      <c r="AJ327" s="6">
        <f t="shared" ref="AJ327" si="477">AJ329-SUM(AJ326,AJ328)</f>
        <v>87286.113000000012</v>
      </c>
    </row>
    <row r="328" spans="2:36" x14ac:dyDescent="0.25">
      <c r="B328" s="2" t="s">
        <v>218</v>
      </c>
      <c r="G328" s="6">
        <f t="shared" ref="G328:AB328" si="478">G21-G309-G347</f>
        <v>-4056</v>
      </c>
      <c r="H328" s="6">
        <f t="shared" si="478"/>
        <v>-4586</v>
      </c>
      <c r="I328" s="6">
        <f t="shared" si="478"/>
        <v>-3730</v>
      </c>
      <c r="J328" s="6">
        <f t="shared" si="478"/>
        <v>-5041</v>
      </c>
      <c r="K328" s="6">
        <f t="shared" si="478"/>
        <v>-2697</v>
      </c>
      <c r="L328" s="6">
        <f t="shared" si="478"/>
        <v>-4279</v>
      </c>
      <c r="M328" s="6">
        <f t="shared" si="478"/>
        <v>-6924</v>
      </c>
      <c r="N328" s="6">
        <f t="shared" si="478"/>
        <v>-4814</v>
      </c>
      <c r="O328" s="6">
        <f t="shared" si="478"/>
        <v>-5151</v>
      </c>
      <c r="P328" s="6">
        <f t="shared" si="478"/>
        <v>-5044</v>
      </c>
      <c r="Q328" s="6">
        <f t="shared" si="478"/>
        <v>-2727</v>
      </c>
      <c r="R328" s="6">
        <f t="shared" si="478"/>
        <v>-7809</v>
      </c>
      <c r="S328" s="6">
        <f t="shared" si="478"/>
        <v>-7935</v>
      </c>
      <c r="T328" s="6">
        <f t="shared" si="478"/>
        <v>-7771</v>
      </c>
      <c r="U328" s="6">
        <f t="shared" si="478"/>
        <v>-6127</v>
      </c>
      <c r="V328" s="6">
        <f t="shared" si="478"/>
        <v>-9738</v>
      </c>
      <c r="W328" s="6">
        <f t="shared" si="478"/>
        <v>-12911</v>
      </c>
      <c r="X328" s="6">
        <f t="shared" si="478"/>
        <v>-6638</v>
      </c>
      <c r="Y328" s="6">
        <f t="shared" si="478"/>
        <v>-10646.381000000001</v>
      </c>
      <c r="Z328" s="6">
        <f t="shared" si="478"/>
        <v>-8722</v>
      </c>
      <c r="AA328" s="6">
        <f t="shared" si="478"/>
        <v>-13846</v>
      </c>
      <c r="AB328" s="6">
        <f t="shared" si="478"/>
        <v>-15664</v>
      </c>
      <c r="AC328" s="6">
        <f t="shared" ref="AC328" si="479">AC21-AC309-AC347</f>
        <v>-12886.659</v>
      </c>
      <c r="AE328" s="6">
        <f t="shared" ref="AE328:AJ328" si="480">AE21-AE309-AE347</f>
        <v>-20777</v>
      </c>
      <c r="AF328" s="6">
        <f t="shared" si="480"/>
        <v>-22479</v>
      </c>
      <c r="AG328" s="6">
        <f t="shared" si="480"/>
        <v>-14309</v>
      </c>
      <c r="AH328" s="6">
        <f t="shared" si="480"/>
        <v>-29642</v>
      </c>
      <c r="AI328" s="6">
        <f t="shared" si="480"/>
        <v>-42770.381000000001</v>
      </c>
      <c r="AJ328" s="6">
        <f t="shared" si="480"/>
        <v>-71137.475999999995</v>
      </c>
    </row>
    <row r="329" spans="2:36" x14ac:dyDescent="0.25">
      <c r="B329" s="8" t="s">
        <v>204</v>
      </c>
      <c r="C329" s="8"/>
      <c r="D329" s="8"/>
      <c r="E329" s="16"/>
      <c r="F329" s="16">
        <f>F54</f>
        <v>167975</v>
      </c>
      <c r="G329" s="16">
        <f t="shared" ref="G329:AJ329" si="481">G54</f>
        <v>154854</v>
      </c>
      <c r="H329" s="16">
        <f t="shared" si="481"/>
        <v>183156</v>
      </c>
      <c r="I329" s="16">
        <f t="shared" si="481"/>
        <v>169866</v>
      </c>
      <c r="J329" s="16">
        <f t="shared" si="481"/>
        <v>166788</v>
      </c>
      <c r="K329" s="16">
        <f t="shared" si="481"/>
        <v>167680</v>
      </c>
      <c r="L329" s="16">
        <f t="shared" si="481"/>
        <v>177552</v>
      </c>
      <c r="M329" s="16">
        <f t="shared" si="481"/>
        <v>181642</v>
      </c>
      <c r="N329" s="16">
        <f t="shared" si="481"/>
        <v>178922</v>
      </c>
      <c r="O329" s="16">
        <f t="shared" si="481"/>
        <v>182088</v>
      </c>
      <c r="P329" s="16">
        <f t="shared" si="481"/>
        <v>197442</v>
      </c>
      <c r="Q329" s="16">
        <f t="shared" si="481"/>
        <v>553615</v>
      </c>
      <c r="R329" s="16">
        <f t="shared" si="481"/>
        <v>550114</v>
      </c>
      <c r="S329" s="16">
        <f t="shared" si="481"/>
        <v>580617</v>
      </c>
      <c r="T329" s="16">
        <f t="shared" si="481"/>
        <v>566144</v>
      </c>
      <c r="U329" s="16">
        <f t="shared" si="481"/>
        <v>559232</v>
      </c>
      <c r="V329" s="16">
        <f t="shared" si="481"/>
        <v>542949</v>
      </c>
      <c r="W329" s="16">
        <f t="shared" si="481"/>
        <v>537294</v>
      </c>
      <c r="X329" s="16">
        <f t="shared" si="481"/>
        <v>568602</v>
      </c>
      <c r="Y329" s="16">
        <f t="shared" si="481"/>
        <v>552619</v>
      </c>
      <c r="Z329" s="16">
        <f t="shared" si="481"/>
        <v>596405</v>
      </c>
      <c r="AA329" s="16">
        <f t="shared" si="481"/>
        <v>588736</v>
      </c>
      <c r="AB329" s="16">
        <f t="shared" si="481"/>
        <v>583596</v>
      </c>
      <c r="AC329" s="16">
        <f t="shared" ref="AC329" si="482">AC54</f>
        <v>568767.63699999999</v>
      </c>
      <c r="AE329" s="16">
        <f t="shared" si="481"/>
        <v>169866</v>
      </c>
      <c r="AF329" s="16">
        <f t="shared" si="481"/>
        <v>181642</v>
      </c>
      <c r="AG329" s="16">
        <f t="shared" si="481"/>
        <v>553615</v>
      </c>
      <c r="AH329" s="16">
        <f t="shared" si="481"/>
        <v>559232</v>
      </c>
      <c r="AI329" s="16">
        <f t="shared" si="481"/>
        <v>552619</v>
      </c>
      <c r="AJ329" s="16">
        <f t="shared" si="481"/>
        <v>568767.63699999999</v>
      </c>
    </row>
    <row r="331" spans="2:36" x14ac:dyDescent="0.25">
      <c r="B331" s="2" t="s">
        <v>216</v>
      </c>
      <c r="G331" s="30">
        <f>G327/G326</f>
        <v>-5.3966364042268192E-2</v>
      </c>
      <c r="H331" s="30">
        <f t="shared" ref="H331:AB331" si="483">H327/H326</f>
        <v>0.21238069407312696</v>
      </c>
      <c r="I331" s="30">
        <f t="shared" si="483"/>
        <v>-5.219594225687392E-2</v>
      </c>
      <c r="J331" s="30">
        <f t="shared" si="483"/>
        <v>1.1556167802856369E-2</v>
      </c>
      <c r="K331" s="30">
        <f t="shared" si="483"/>
        <v>2.1518334652373072E-2</v>
      </c>
      <c r="L331" s="30">
        <f t="shared" si="483"/>
        <v>8.4392891221374042E-2</v>
      </c>
      <c r="M331" s="30">
        <f t="shared" si="483"/>
        <v>6.2032531314769761E-2</v>
      </c>
      <c r="N331" s="30">
        <f t="shared" si="483"/>
        <v>1.152817079750278E-2</v>
      </c>
      <c r="O331" s="30">
        <f t="shared" si="483"/>
        <v>4.6483942723644943E-2</v>
      </c>
      <c r="P331" s="30">
        <f t="shared" si="483"/>
        <v>0.11202275822679145</v>
      </c>
      <c r="Q331" s="30">
        <f t="shared" si="483"/>
        <v>1.8177490098357998</v>
      </c>
      <c r="R331" s="30">
        <f t="shared" si="483"/>
        <v>7.781581062651843E-3</v>
      </c>
      <c r="S331" s="30">
        <f t="shared" si="483"/>
        <v>6.9872790003526544E-2</v>
      </c>
      <c r="T331" s="30">
        <f t="shared" si="483"/>
        <v>-1.1542893163651771E-2</v>
      </c>
      <c r="U331" s="30">
        <f t="shared" si="483"/>
        <v>-1.3865730273569974E-3</v>
      </c>
      <c r="V331" s="30">
        <f t="shared" si="483"/>
        <v>-1.1703550583657588E-2</v>
      </c>
      <c r="W331" s="30">
        <f t="shared" si="483"/>
        <v>1.3364054450786355E-2</v>
      </c>
      <c r="X331" s="30">
        <f t="shared" si="483"/>
        <v>7.0624276466887778E-2</v>
      </c>
      <c r="Y331" s="30">
        <f t="shared" si="483"/>
        <v>-9.3855086686292829E-3</v>
      </c>
      <c r="Z331" s="30">
        <f t="shared" si="483"/>
        <v>9.5016638950162768E-2</v>
      </c>
      <c r="AA331" s="30">
        <f t="shared" si="483"/>
        <v>1.0357056027363956E-2</v>
      </c>
      <c r="AB331" s="30">
        <f t="shared" si="483"/>
        <v>1.7875584302641592E-2</v>
      </c>
      <c r="AC331" s="30">
        <f t="shared" ref="AC331" si="484">AC327/AC326</f>
        <v>-3.3271372661910414E-3</v>
      </c>
      <c r="AD331" s="30"/>
      <c r="AE331" s="30"/>
      <c r="AF331" s="30">
        <f t="shared" ref="AF331:AJ331" si="485">AF327/AF326</f>
        <v>0.20165895470547374</v>
      </c>
      <c r="AG331" s="30">
        <f t="shared" si="485"/>
        <v>2.126611686724436</v>
      </c>
      <c r="AH331" s="30">
        <f t="shared" si="485"/>
        <v>6.3688664505116371E-2</v>
      </c>
      <c r="AI331" s="30">
        <f t="shared" si="485"/>
        <v>6.4655422078850985E-2</v>
      </c>
      <c r="AJ331" s="30">
        <f t="shared" si="485"/>
        <v>0.15794989495475184</v>
      </c>
    </row>
    <row r="332" spans="2:36" x14ac:dyDescent="0.25">
      <c r="B332" s="76" t="s">
        <v>141</v>
      </c>
      <c r="C332" s="77"/>
      <c r="D332" s="94">
        <f>_xlfn.MAXIFS($G331:$AC331,$G331:$AC331,"&lt;0.05")</f>
        <v>4.6483942723644943E-2</v>
      </c>
    </row>
    <row r="333" spans="2:36" x14ac:dyDescent="0.25">
      <c r="B333" s="79" t="s">
        <v>169</v>
      </c>
      <c r="C333" s="80"/>
      <c r="D333" s="81">
        <f>AVERAGEIF($G331:$AC331,"&lt;0.15",$G331:$AC331)</f>
        <v>2.3377086142604975E-2</v>
      </c>
    </row>
    <row r="334" spans="2:36" x14ac:dyDescent="0.25">
      <c r="B334" s="79" t="s">
        <v>139</v>
      </c>
      <c r="C334" s="80"/>
      <c r="D334" s="81">
        <f>MEDIAN($G331:$AC331)</f>
        <v>1.3364054450786355E-2</v>
      </c>
    </row>
    <row r="335" spans="2:36" x14ac:dyDescent="0.25">
      <c r="B335" s="82" t="s">
        <v>140</v>
      </c>
      <c r="C335" s="83"/>
      <c r="D335" s="84">
        <f>_xlfn.MINIFS($G331:$AC331,$G331:$AC331,"&gt;0.01")</f>
        <v>1.0357056027363956E-2</v>
      </c>
    </row>
    <row r="337" spans="2:36" x14ac:dyDescent="0.25">
      <c r="B337" s="2" t="s">
        <v>220</v>
      </c>
      <c r="G337" s="30">
        <f>IF((G328/(G326+G327))&gt;0,0,G328/(G326+G327))</f>
        <v>-2.5523881442325844E-2</v>
      </c>
      <c r="H337" s="30">
        <f t="shared" ref="H337:AJ337" si="486">IF((H328/(H326+H327))&gt;0,0,H328/(H326+H327))</f>
        <v>-2.4427139372117053E-2</v>
      </c>
      <c r="I337" s="30">
        <f t="shared" si="486"/>
        <v>-2.148667019977419E-2</v>
      </c>
      <c r="J337" s="30">
        <f t="shared" si="486"/>
        <v>-2.9337306275424985E-2</v>
      </c>
      <c r="K337" s="30">
        <f t="shared" si="486"/>
        <v>-1.5829601413336308E-2</v>
      </c>
      <c r="L337" s="30">
        <f t="shared" si="486"/>
        <v>-2.3532840934714104E-2</v>
      </c>
      <c r="M337" s="30">
        <f t="shared" si="486"/>
        <v>-3.6719238887180088E-2</v>
      </c>
      <c r="N337" s="30">
        <f t="shared" si="486"/>
        <v>-2.6200635694692383E-2</v>
      </c>
      <c r="O337" s="30">
        <f t="shared" si="486"/>
        <v>-2.751029432970695E-2</v>
      </c>
      <c r="P337" s="30">
        <f t="shared" si="486"/>
        <v>-2.4910364173325563E-2</v>
      </c>
      <c r="Q337" s="30">
        <f t="shared" si="486"/>
        <v>-4.9016612083933979E-3</v>
      </c>
      <c r="R337" s="30">
        <f t="shared" si="486"/>
        <v>-1.3996555080181316E-2</v>
      </c>
      <c r="S337" s="30">
        <f t="shared" si="486"/>
        <v>-1.3482241161358724E-2</v>
      </c>
      <c r="T337" s="30">
        <f t="shared" si="486"/>
        <v>-1.3540332627653921E-2</v>
      </c>
      <c r="U337" s="30">
        <f t="shared" si="486"/>
        <v>-1.0837361747137659E-2</v>
      </c>
      <c r="V337" s="30">
        <f t="shared" si="486"/>
        <v>-1.7619375885446917E-2</v>
      </c>
      <c r="W337" s="30">
        <f t="shared" si="486"/>
        <v>-2.3465799111240356E-2</v>
      </c>
      <c r="X337" s="30">
        <f t="shared" si="486"/>
        <v>-1.1539531326055211E-2</v>
      </c>
      <c r="Y337" s="30">
        <f t="shared" si="486"/>
        <v>-1.8901181146795884E-2</v>
      </c>
      <c r="Z337" s="30">
        <f t="shared" si="486"/>
        <v>-1.4413503281129416E-2</v>
      </c>
      <c r="AA337" s="30">
        <f t="shared" si="486"/>
        <v>-2.2977785595985276E-2</v>
      </c>
      <c r="AB337" s="30">
        <f t="shared" si="486"/>
        <v>-2.6138904649067183E-2</v>
      </c>
      <c r="AC337" s="30">
        <f t="shared" ref="AC337" si="487">IF((AC328/(AC326+AC327))&gt;0,0,AC328/(AC326+AC327))</f>
        <v>-2.2155185801292526E-2</v>
      </c>
      <c r="AD337" s="30"/>
      <c r="AE337" s="30"/>
      <c r="AF337" s="30">
        <f t="shared" si="486"/>
        <v>-0.11012585672223828</v>
      </c>
      <c r="AG337" s="30">
        <f t="shared" si="486"/>
        <v>-2.5195272606898106E-2</v>
      </c>
      <c r="AH337" s="30">
        <f t="shared" si="486"/>
        <v>-5.0336744362970684E-2</v>
      </c>
      <c r="AI337" s="30">
        <f t="shared" si="486"/>
        <v>-7.1835982241006749E-2</v>
      </c>
      <c r="AJ337" s="30">
        <f t="shared" si="486"/>
        <v>-0.11116878823876501</v>
      </c>
    </row>
    <row r="338" spans="2:36" x14ac:dyDescent="0.25">
      <c r="B338" s="76" t="s">
        <v>141</v>
      </c>
      <c r="C338" s="77"/>
      <c r="D338" s="94">
        <f>_xlfn.MINIFS($G337:$AC337,$G337:$AC337,"&gt;-0.023")</f>
        <v>-2.2977785595985276E-2</v>
      </c>
    </row>
    <row r="339" spans="2:36" x14ac:dyDescent="0.25">
      <c r="B339" s="79" t="s">
        <v>169</v>
      </c>
      <c r="C339" s="80"/>
      <c r="D339" s="81">
        <f>AVERAGEIF($G337:$AC337,"&gt;-0.02",$G337:$AC337)</f>
        <v>-1.3506134487748876E-2</v>
      </c>
    </row>
    <row r="340" spans="2:36" x14ac:dyDescent="0.25">
      <c r="B340" s="79" t="s">
        <v>139</v>
      </c>
      <c r="C340" s="80"/>
      <c r="D340" s="81">
        <f>MEDIAN($G337:$AC337)</f>
        <v>-2.2155185801292526E-2</v>
      </c>
    </row>
    <row r="341" spans="2:36" x14ac:dyDescent="0.25">
      <c r="B341" s="82" t="s">
        <v>140</v>
      </c>
      <c r="C341" s="83"/>
      <c r="D341" s="84">
        <f>_xlfn.MAXIFS($G337:$AC337,$G337:$AC337,"&lt;-0.01")</f>
        <v>-1.0837361747137659E-2</v>
      </c>
    </row>
    <row r="344" spans="2:36" x14ac:dyDescent="0.25">
      <c r="B344" s="73" t="s">
        <v>64</v>
      </c>
      <c r="C344" s="86"/>
      <c r="D344" s="86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</row>
    <row r="345" spans="2:36" x14ac:dyDescent="0.25">
      <c r="B345" s="2" t="s">
        <v>214</v>
      </c>
      <c r="G345" s="6">
        <f>F348</f>
        <v>0</v>
      </c>
      <c r="H345" s="6">
        <f t="shared" ref="H345:AC345" si="488">G348</f>
        <v>28038</v>
      </c>
      <c r="I345" s="6">
        <f t="shared" si="488"/>
        <v>0</v>
      </c>
      <c r="J345" s="6">
        <f t="shared" si="488"/>
        <v>23875</v>
      </c>
      <c r="K345" s="6">
        <f t="shared" si="488"/>
        <v>23875</v>
      </c>
      <c r="L345" s="6">
        <f t="shared" si="488"/>
        <v>21537</v>
      </c>
      <c r="M345" s="6">
        <f t="shared" si="488"/>
        <v>20337</v>
      </c>
      <c r="N345" s="6">
        <f t="shared" si="488"/>
        <v>25921</v>
      </c>
      <c r="O345" s="6">
        <f t="shared" si="488"/>
        <v>24529</v>
      </c>
      <c r="P345" s="6">
        <f t="shared" si="488"/>
        <v>23574</v>
      </c>
      <c r="Q345" s="6">
        <f t="shared" si="488"/>
        <v>22629</v>
      </c>
      <c r="R345" s="6">
        <f t="shared" si="488"/>
        <v>19202</v>
      </c>
      <c r="S345" s="6">
        <f t="shared" si="488"/>
        <v>23875</v>
      </c>
      <c r="T345" s="6">
        <f t="shared" si="488"/>
        <v>23875</v>
      </c>
      <c r="U345" s="6">
        <f t="shared" si="488"/>
        <v>16369</v>
      </c>
      <c r="V345" s="6">
        <f t="shared" si="488"/>
        <v>25014</v>
      </c>
      <c r="W345" s="6">
        <f t="shared" si="488"/>
        <v>24352</v>
      </c>
      <c r="X345" s="6">
        <f t="shared" si="488"/>
        <v>23739</v>
      </c>
      <c r="Y345" s="6">
        <f t="shared" si="488"/>
        <v>22177</v>
      </c>
      <c r="Z345" s="6">
        <f t="shared" si="488"/>
        <v>25700</v>
      </c>
      <c r="AA345" s="6">
        <f t="shared" si="488"/>
        <v>23459</v>
      </c>
      <c r="AB345" s="6">
        <f t="shared" si="488"/>
        <v>22696</v>
      </c>
      <c r="AC345" s="6">
        <f t="shared" si="488"/>
        <v>22696</v>
      </c>
      <c r="AF345" s="6">
        <f t="shared" ref="AF345:AJ345" si="489">AE348</f>
        <v>23875</v>
      </c>
      <c r="AG345" s="6">
        <f t="shared" si="489"/>
        <v>25921</v>
      </c>
      <c r="AH345" s="6">
        <f t="shared" si="489"/>
        <v>19202</v>
      </c>
      <c r="AI345" s="6">
        <f t="shared" si="489"/>
        <v>25014</v>
      </c>
      <c r="AJ345" s="6">
        <f t="shared" si="489"/>
        <v>25700</v>
      </c>
    </row>
    <row r="346" spans="2:36" x14ac:dyDescent="0.25">
      <c r="B346" s="2" t="s">
        <v>219</v>
      </c>
      <c r="F346" s="6">
        <f>-('Raw Historical Financials'!C138+'Raw Historical Financials'!C140)</f>
        <v>0</v>
      </c>
      <c r="G346" s="6">
        <f>G348-G345</f>
        <v>28038</v>
      </c>
      <c r="H346" s="6">
        <f>H348-H345</f>
        <v>-28038</v>
      </c>
      <c r="I346" s="6">
        <f>I348-I345</f>
        <v>23875</v>
      </c>
      <c r="J346" s="6">
        <f t="shared" ref="J346:AI346" si="490">J348-J345</f>
        <v>0</v>
      </c>
      <c r="M346" s="6">
        <f t="shared" si="490"/>
        <v>5584</v>
      </c>
      <c r="Q346" s="6">
        <f t="shared" si="490"/>
        <v>-3427</v>
      </c>
      <c r="R346" s="6">
        <f t="shared" si="490"/>
        <v>4673</v>
      </c>
      <c r="S346" s="6">
        <f t="shared" si="490"/>
        <v>0</v>
      </c>
      <c r="T346" s="6">
        <f t="shared" si="490"/>
        <v>-7506</v>
      </c>
      <c r="U346" s="6">
        <f t="shared" si="490"/>
        <v>8645</v>
      </c>
      <c r="Y346" s="6">
        <f t="shared" si="490"/>
        <v>3523</v>
      </c>
      <c r="AB346" s="6">
        <f t="shared" si="490"/>
        <v>0</v>
      </c>
      <c r="AC346" s="6">
        <f t="shared" ref="AC346" si="491">AC348-AC345</f>
        <v>16713.089999999997</v>
      </c>
      <c r="AE346" s="6">
        <f t="shared" si="490"/>
        <v>23875</v>
      </c>
      <c r="AF346" s="6">
        <f t="shared" si="490"/>
        <v>2046</v>
      </c>
      <c r="AH346" s="6">
        <f t="shared" si="490"/>
        <v>5812</v>
      </c>
      <c r="AI346" s="6">
        <f t="shared" si="490"/>
        <v>686</v>
      </c>
    </row>
    <row r="347" spans="2:36" x14ac:dyDescent="0.25">
      <c r="B347" s="2" t="s">
        <v>218</v>
      </c>
      <c r="K347" s="6">
        <f>K348-K345</f>
        <v>-2338</v>
      </c>
      <c r="L347" s="6">
        <f>L348-L345</f>
        <v>-1200</v>
      </c>
      <c r="N347" s="6">
        <f>N348-N345</f>
        <v>-1392</v>
      </c>
      <c r="O347" s="6">
        <f>O348-O345</f>
        <v>-955</v>
      </c>
      <c r="P347" s="6">
        <f>P348-P345</f>
        <v>-945</v>
      </c>
      <c r="V347" s="6">
        <f>V348-V345</f>
        <v>-662</v>
      </c>
      <c r="W347" s="6">
        <f>W348-W345</f>
        <v>-613</v>
      </c>
      <c r="X347" s="6">
        <f>X348-X345</f>
        <v>-1562</v>
      </c>
      <c r="Z347" s="6">
        <f>Z348-Z345</f>
        <v>-2241</v>
      </c>
      <c r="AA347" s="6">
        <f>AA348-AA345</f>
        <v>-763</v>
      </c>
      <c r="AG347" s="6">
        <f>AG348-AG345</f>
        <v>-6719</v>
      </c>
      <c r="AJ347" s="6">
        <f>AJ348-AJ345</f>
        <v>13709.089999999997</v>
      </c>
    </row>
    <row r="348" spans="2:36" x14ac:dyDescent="0.25">
      <c r="B348" s="8" t="s">
        <v>204</v>
      </c>
      <c r="C348" s="8"/>
      <c r="D348" s="8"/>
      <c r="E348" s="16"/>
      <c r="F348" s="16">
        <f t="shared" ref="F348:AB348" si="492">F55</f>
        <v>0</v>
      </c>
      <c r="G348" s="16">
        <f t="shared" si="492"/>
        <v>28038</v>
      </c>
      <c r="H348" s="16">
        <f t="shared" si="492"/>
        <v>0</v>
      </c>
      <c r="I348" s="16">
        <f t="shared" si="492"/>
        <v>23875</v>
      </c>
      <c r="J348" s="16">
        <f t="shared" si="492"/>
        <v>23875</v>
      </c>
      <c r="K348" s="16">
        <f t="shared" si="492"/>
        <v>21537</v>
      </c>
      <c r="L348" s="16">
        <f t="shared" si="492"/>
        <v>20337</v>
      </c>
      <c r="M348" s="16">
        <f t="shared" si="492"/>
        <v>25921</v>
      </c>
      <c r="N348" s="16">
        <f t="shared" si="492"/>
        <v>24529</v>
      </c>
      <c r="O348" s="16">
        <f t="shared" si="492"/>
        <v>23574</v>
      </c>
      <c r="P348" s="16">
        <f t="shared" si="492"/>
        <v>22629</v>
      </c>
      <c r="Q348" s="16">
        <f t="shared" si="492"/>
        <v>19202</v>
      </c>
      <c r="R348" s="16">
        <f t="shared" si="492"/>
        <v>23875</v>
      </c>
      <c r="S348" s="16">
        <f t="shared" si="492"/>
        <v>23875</v>
      </c>
      <c r="T348" s="16">
        <f t="shared" si="492"/>
        <v>16369</v>
      </c>
      <c r="U348" s="16">
        <f t="shared" si="492"/>
        <v>25014</v>
      </c>
      <c r="V348" s="16">
        <f t="shared" si="492"/>
        <v>24352</v>
      </c>
      <c r="W348" s="16">
        <f t="shared" si="492"/>
        <v>23739</v>
      </c>
      <c r="X348" s="16">
        <f t="shared" si="492"/>
        <v>22177</v>
      </c>
      <c r="Y348" s="16">
        <f t="shared" si="492"/>
        <v>25700</v>
      </c>
      <c r="Z348" s="16">
        <f t="shared" si="492"/>
        <v>23459</v>
      </c>
      <c r="AA348" s="16">
        <f t="shared" si="492"/>
        <v>22696</v>
      </c>
      <c r="AB348" s="16">
        <f t="shared" si="492"/>
        <v>22696</v>
      </c>
      <c r="AC348" s="16">
        <f t="shared" ref="AC348" si="493">AC55</f>
        <v>39409.089999999997</v>
      </c>
      <c r="AE348" s="16">
        <f t="shared" ref="AE348:AJ348" si="494">AE55</f>
        <v>23875</v>
      </c>
      <c r="AF348" s="16">
        <f t="shared" si="494"/>
        <v>25921</v>
      </c>
      <c r="AG348" s="16">
        <f t="shared" si="494"/>
        <v>19202</v>
      </c>
      <c r="AH348" s="16">
        <f t="shared" si="494"/>
        <v>25014</v>
      </c>
      <c r="AI348" s="16">
        <f t="shared" si="494"/>
        <v>25700</v>
      </c>
      <c r="AJ348" s="16">
        <f t="shared" si="494"/>
        <v>39409.089999999997</v>
      </c>
    </row>
    <row r="350" spans="2:36" x14ac:dyDescent="0.25">
      <c r="B350" s="2" t="s">
        <v>216</v>
      </c>
      <c r="G350" s="30">
        <f>IFERROR(G346/G345,0)</f>
        <v>0</v>
      </c>
      <c r="H350" s="30">
        <f t="shared" ref="H350:AB350" si="495">IFERROR(H346/H345,0)</f>
        <v>-1</v>
      </c>
      <c r="I350" s="30">
        <f t="shared" si="495"/>
        <v>0</v>
      </c>
      <c r="J350" s="30">
        <f t="shared" si="495"/>
        <v>0</v>
      </c>
      <c r="K350" s="30">
        <f t="shared" si="495"/>
        <v>0</v>
      </c>
      <c r="L350" s="30">
        <f t="shared" si="495"/>
        <v>0</v>
      </c>
      <c r="M350" s="30">
        <f t="shared" si="495"/>
        <v>0.27457343757683039</v>
      </c>
      <c r="N350" s="30">
        <f t="shared" si="495"/>
        <v>0</v>
      </c>
      <c r="O350" s="30">
        <f t="shared" si="495"/>
        <v>0</v>
      </c>
      <c r="P350" s="30">
        <f t="shared" si="495"/>
        <v>0</v>
      </c>
      <c r="Q350" s="30">
        <f t="shared" si="495"/>
        <v>-0.15144283883512308</v>
      </c>
      <c r="R350" s="30">
        <f t="shared" si="495"/>
        <v>0.24336006665972296</v>
      </c>
      <c r="S350" s="30">
        <f t="shared" si="495"/>
        <v>0</v>
      </c>
      <c r="T350" s="30">
        <f t="shared" si="495"/>
        <v>-0.31438743455497381</v>
      </c>
      <c r="U350" s="30">
        <f t="shared" si="495"/>
        <v>0.52813244547620497</v>
      </c>
      <c r="V350" s="30">
        <f t="shared" si="495"/>
        <v>0</v>
      </c>
      <c r="W350" s="30">
        <f t="shared" si="495"/>
        <v>0</v>
      </c>
      <c r="X350" s="30">
        <f t="shared" si="495"/>
        <v>0</v>
      </c>
      <c r="Y350" s="30">
        <f t="shared" si="495"/>
        <v>0.15885827659286647</v>
      </c>
      <c r="Z350" s="30">
        <f t="shared" si="495"/>
        <v>0</v>
      </c>
      <c r="AA350" s="30">
        <f t="shared" si="495"/>
        <v>0</v>
      </c>
      <c r="AB350" s="30">
        <f t="shared" si="495"/>
        <v>0</v>
      </c>
      <c r="AC350" s="30">
        <f t="shared" ref="AC350" si="496">IFERROR(AC346/AC345,0)</f>
        <v>0.73638923158265757</v>
      </c>
      <c r="AD350" s="30"/>
      <c r="AE350" s="30"/>
      <c r="AF350" s="30">
        <f t="shared" ref="AF350:AJ350" si="497">IFERROR(AF346/AF345,0)</f>
        <v>8.5696335078534025E-2</v>
      </c>
      <c r="AG350" s="30">
        <f t="shared" si="497"/>
        <v>0</v>
      </c>
      <c r="AH350" s="30">
        <f t="shared" si="497"/>
        <v>0.30267680449953127</v>
      </c>
      <c r="AI350" s="30">
        <f t="shared" si="497"/>
        <v>2.7424642200367794E-2</v>
      </c>
      <c r="AJ350" s="30">
        <f t="shared" si="497"/>
        <v>0</v>
      </c>
    </row>
    <row r="351" spans="2:36" x14ac:dyDescent="0.25">
      <c r="B351" s="76" t="s">
        <v>141</v>
      </c>
      <c r="C351" s="77"/>
      <c r="D351" s="94">
        <f>_xlfn.MAXIFS($G350:$AC350,$G350:$AC350,"&lt;0.05")</f>
        <v>0</v>
      </c>
    </row>
    <row r="352" spans="2:36" x14ac:dyDescent="0.25">
      <c r="B352" s="79" t="s">
        <v>169</v>
      </c>
      <c r="C352" s="80"/>
      <c r="D352" s="81">
        <f>AVERAGEIF($G350:$AC350,"&gt;0",$G350:$AC350)</f>
        <v>0.38826269157765647</v>
      </c>
    </row>
    <row r="353" spans="2:36" x14ac:dyDescent="0.25">
      <c r="B353" s="79" t="s">
        <v>139</v>
      </c>
      <c r="C353" s="80"/>
      <c r="D353" s="81">
        <f>MEDIAN($G350:$AC350)</f>
        <v>0</v>
      </c>
    </row>
    <row r="354" spans="2:36" x14ac:dyDescent="0.25">
      <c r="B354" s="82" t="s">
        <v>140</v>
      </c>
      <c r="C354" s="83"/>
      <c r="D354" s="84">
        <f>_xlfn.MINIFS($G350:$AC350,$G350:$AC350,"&gt;0.01")</f>
        <v>0.15885827659286647</v>
      </c>
    </row>
    <row r="356" spans="2:36" x14ac:dyDescent="0.25">
      <c r="B356" s="2" t="s">
        <v>220</v>
      </c>
      <c r="G356" s="30">
        <f>IFERROR(IF((G347/(G345+G346))&gt;0,0,G347/(G345+G346)),0)</f>
        <v>0</v>
      </c>
      <c r="H356" s="30">
        <f t="shared" ref="H356:AB356" si="498">IFERROR(IF((H347/(H345+H346))&gt;0,0,H347/(H345+H346)),0)</f>
        <v>0</v>
      </c>
      <c r="I356" s="30">
        <f t="shared" si="498"/>
        <v>0</v>
      </c>
      <c r="J356" s="30">
        <f t="shared" si="498"/>
        <v>0</v>
      </c>
      <c r="K356" s="30">
        <f t="shared" si="498"/>
        <v>-9.7926701570680633E-2</v>
      </c>
      <c r="L356" s="30">
        <f t="shared" si="498"/>
        <v>-5.5718066583089566E-2</v>
      </c>
      <c r="M356" s="30">
        <f t="shared" si="498"/>
        <v>0</v>
      </c>
      <c r="N356" s="30">
        <f t="shared" si="498"/>
        <v>-5.370163188148605E-2</v>
      </c>
      <c r="O356" s="30">
        <f t="shared" si="498"/>
        <v>-3.8933507277100578E-2</v>
      </c>
      <c r="P356" s="30">
        <f t="shared" si="498"/>
        <v>-4.0086536014252994E-2</v>
      </c>
      <c r="Q356" s="30">
        <f t="shared" si="498"/>
        <v>0</v>
      </c>
      <c r="R356" s="30">
        <f t="shared" si="498"/>
        <v>0</v>
      </c>
      <c r="S356" s="30">
        <f t="shared" si="498"/>
        <v>0</v>
      </c>
      <c r="T356" s="30">
        <f t="shared" si="498"/>
        <v>0</v>
      </c>
      <c r="U356" s="30">
        <f t="shared" si="498"/>
        <v>0</v>
      </c>
      <c r="V356" s="30">
        <f t="shared" si="498"/>
        <v>-2.6465179499480292E-2</v>
      </c>
      <c r="W356" s="30">
        <f t="shared" si="498"/>
        <v>-2.5172470433639946E-2</v>
      </c>
      <c r="X356" s="30">
        <f t="shared" si="498"/>
        <v>-6.5798896330932222E-2</v>
      </c>
      <c r="Y356" s="30">
        <f t="shared" si="498"/>
        <v>0</v>
      </c>
      <c r="Z356" s="30">
        <f t="shared" si="498"/>
        <v>-8.7198443579766541E-2</v>
      </c>
      <c r="AA356" s="30">
        <f t="shared" si="498"/>
        <v>-3.2524830555437145E-2</v>
      </c>
      <c r="AB356" s="30">
        <f t="shared" si="498"/>
        <v>0</v>
      </c>
      <c r="AC356" s="30">
        <f t="shared" ref="AC356" si="499">IFERROR(IF((AC347/(AC345+AC346))&gt;0,0,AC347/(AC345+AC346)),0)</f>
        <v>0</v>
      </c>
      <c r="AD356" s="30"/>
      <c r="AE356" s="30"/>
      <c r="AF356" s="30">
        <f t="shared" ref="AF356:AJ356" si="500">IFERROR(IF((AF347/(AF345+AF346))&gt;0,0,AF347/(AF345+AF346)),0)</f>
        <v>0</v>
      </c>
      <c r="AG356" s="30">
        <f t="shared" si="500"/>
        <v>-0.25921067860036262</v>
      </c>
      <c r="AH356" s="30">
        <f t="shared" si="500"/>
        <v>0</v>
      </c>
      <c r="AI356" s="30">
        <f t="shared" si="500"/>
        <v>0</v>
      </c>
      <c r="AJ356" s="30">
        <f t="shared" si="500"/>
        <v>0</v>
      </c>
    </row>
    <row r="357" spans="2:36" x14ac:dyDescent="0.25">
      <c r="B357" s="76" t="s">
        <v>141</v>
      </c>
      <c r="C357" s="77"/>
      <c r="D357" s="94">
        <f>_xlfn.MINIFS($G356:$AC356,$G356:$AC356,"&gt;-0.05")</f>
        <v>-4.0086536014252994E-2</v>
      </c>
    </row>
    <row r="358" spans="2:36" x14ac:dyDescent="0.25">
      <c r="B358" s="79" t="s">
        <v>169</v>
      </c>
      <c r="C358" s="80"/>
      <c r="D358" s="81">
        <f>AVERAGE($G356:$AC356)</f>
        <v>-2.2762011466341998E-2</v>
      </c>
    </row>
    <row r="359" spans="2:36" x14ac:dyDescent="0.25">
      <c r="B359" s="79" t="s">
        <v>139</v>
      </c>
      <c r="C359" s="80"/>
      <c r="D359" s="81">
        <f>MEDIAN($G356:$AC356)</f>
        <v>0</v>
      </c>
    </row>
    <row r="360" spans="2:36" x14ac:dyDescent="0.25">
      <c r="B360" s="82" t="s">
        <v>140</v>
      </c>
      <c r="C360" s="83"/>
      <c r="D360" s="84">
        <f>_xlfn.MAXIFS($G356:$AC356,$G356:$AC356,"&lt;-0.01")</f>
        <v>-2.5172470433639946E-2</v>
      </c>
    </row>
    <row r="363" spans="2:36" x14ac:dyDescent="0.25">
      <c r="B363" s="73" t="s">
        <v>91</v>
      </c>
      <c r="C363" s="86"/>
      <c r="D363" s="86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</row>
    <row r="364" spans="2:36" x14ac:dyDescent="0.25">
      <c r="B364" s="2" t="s">
        <v>214</v>
      </c>
      <c r="G364" s="6">
        <f>F366</f>
        <v>388208</v>
      </c>
      <c r="H364" s="6">
        <f t="shared" ref="H364:AC364" si="501">G366</f>
        <v>410318</v>
      </c>
      <c r="I364" s="6">
        <f t="shared" si="501"/>
        <v>480024</v>
      </c>
      <c r="J364" s="6">
        <f t="shared" si="501"/>
        <v>462525</v>
      </c>
      <c r="K364" s="6">
        <f t="shared" si="501"/>
        <v>634309</v>
      </c>
      <c r="L364" s="6">
        <f t="shared" si="501"/>
        <v>794049</v>
      </c>
      <c r="M364" s="6">
        <f t="shared" si="501"/>
        <v>1065110</v>
      </c>
      <c r="N364" s="6">
        <f t="shared" si="501"/>
        <v>1023488</v>
      </c>
      <c r="O364" s="6">
        <f t="shared" si="501"/>
        <v>965939</v>
      </c>
      <c r="P364" s="6">
        <f t="shared" si="501"/>
        <v>966207</v>
      </c>
      <c r="Q364" s="6">
        <f t="shared" si="501"/>
        <v>823969</v>
      </c>
      <c r="R364" s="6">
        <f t="shared" si="501"/>
        <v>1699885</v>
      </c>
      <c r="S364" s="6">
        <f t="shared" si="501"/>
        <v>1524859</v>
      </c>
      <c r="T364" s="6">
        <f t="shared" si="501"/>
        <v>1776752</v>
      </c>
      <c r="U364" s="6">
        <f t="shared" si="501"/>
        <v>1840464</v>
      </c>
      <c r="V364" s="6">
        <f t="shared" si="501"/>
        <v>2786728</v>
      </c>
      <c r="W364" s="6">
        <f t="shared" si="501"/>
        <v>2339133</v>
      </c>
      <c r="X364" s="6">
        <f t="shared" si="501"/>
        <v>2694417</v>
      </c>
      <c r="Y364" s="6">
        <f t="shared" si="501"/>
        <v>3894462</v>
      </c>
      <c r="Z364" s="6">
        <f t="shared" si="501"/>
        <v>3464563</v>
      </c>
      <c r="AA364" s="6">
        <f t="shared" si="501"/>
        <v>3298570</v>
      </c>
      <c r="AB364" s="6">
        <f t="shared" si="501"/>
        <v>4677349</v>
      </c>
      <c r="AC364" s="6">
        <f t="shared" si="501"/>
        <v>6363787</v>
      </c>
      <c r="AF364" s="6">
        <f t="shared" ref="AF364:AJ364" si="502">AE366</f>
        <v>462525</v>
      </c>
      <c r="AG364" s="6">
        <f t="shared" si="502"/>
        <v>1023488</v>
      </c>
      <c r="AH364" s="6">
        <f t="shared" si="502"/>
        <v>1699885</v>
      </c>
      <c r="AI364" s="6">
        <f t="shared" si="502"/>
        <v>2786728</v>
      </c>
      <c r="AJ364" s="6">
        <f t="shared" si="502"/>
        <v>3464563</v>
      </c>
    </row>
    <row r="365" spans="2:36" x14ac:dyDescent="0.25">
      <c r="B365" s="2" t="s">
        <v>219</v>
      </c>
      <c r="F365" s="6">
        <f>F366-F364</f>
        <v>388208</v>
      </c>
      <c r="G365" s="6">
        <f t="shared" ref="G365:AJ365" si="503">G366-G364</f>
        <v>22110</v>
      </c>
      <c r="H365" s="6">
        <f t="shared" si="503"/>
        <v>69706</v>
      </c>
      <c r="I365" s="6">
        <f t="shared" si="503"/>
        <v>-17499</v>
      </c>
      <c r="J365" s="6">
        <f t="shared" si="503"/>
        <v>171784</v>
      </c>
      <c r="K365" s="6">
        <f t="shared" si="503"/>
        <v>159740</v>
      </c>
      <c r="L365" s="6">
        <f t="shared" si="503"/>
        <v>271061</v>
      </c>
      <c r="M365" s="6">
        <f t="shared" si="503"/>
        <v>-41622</v>
      </c>
      <c r="N365" s="6">
        <f t="shared" si="503"/>
        <v>-57549</v>
      </c>
      <c r="O365" s="6">
        <f t="shared" si="503"/>
        <v>268</v>
      </c>
      <c r="P365" s="6">
        <f t="shared" si="503"/>
        <v>-142238</v>
      </c>
      <c r="Q365" s="6">
        <f t="shared" si="503"/>
        <v>875916</v>
      </c>
      <c r="R365" s="6">
        <f t="shared" si="503"/>
        <v>-175026</v>
      </c>
      <c r="S365" s="6">
        <f t="shared" si="503"/>
        <v>251893</v>
      </c>
      <c r="T365" s="6">
        <f t="shared" si="503"/>
        <v>63712</v>
      </c>
      <c r="U365" s="6">
        <f t="shared" si="503"/>
        <v>946264</v>
      </c>
      <c r="V365" s="6">
        <f t="shared" si="503"/>
        <v>-447595</v>
      </c>
      <c r="W365" s="6">
        <f t="shared" si="503"/>
        <v>355284</v>
      </c>
      <c r="X365" s="6">
        <f t="shared" si="503"/>
        <v>1200045</v>
      </c>
      <c r="Y365" s="6">
        <f t="shared" si="503"/>
        <v>-429899</v>
      </c>
      <c r="Z365" s="6">
        <f t="shared" si="503"/>
        <v>-165993</v>
      </c>
      <c r="AA365" s="6">
        <f t="shared" si="503"/>
        <v>1378779</v>
      </c>
      <c r="AB365" s="6">
        <f t="shared" si="503"/>
        <v>1686438</v>
      </c>
      <c r="AC365" s="6">
        <f t="shared" ref="AC365" si="504">AC366-AC364</f>
        <v>-1346116.4019999998</v>
      </c>
      <c r="AF365" s="6">
        <f t="shared" si="503"/>
        <v>560963</v>
      </c>
      <c r="AG365" s="6">
        <f t="shared" si="503"/>
        <v>676397</v>
      </c>
      <c r="AH365" s="6">
        <f t="shared" si="503"/>
        <v>1086843</v>
      </c>
      <c r="AI365" s="6">
        <f t="shared" si="503"/>
        <v>677835</v>
      </c>
      <c r="AJ365" s="6">
        <f t="shared" si="503"/>
        <v>1553107.5980000002</v>
      </c>
    </row>
    <row r="366" spans="2:36" x14ac:dyDescent="0.25">
      <c r="B366" s="8" t="s">
        <v>204</v>
      </c>
      <c r="C366" s="8"/>
      <c r="D366" s="8"/>
      <c r="E366" s="16"/>
      <c r="F366" s="16">
        <f>F53</f>
        <v>388208</v>
      </c>
      <c r="G366" s="16">
        <f t="shared" ref="G366:AJ366" si="505">G53</f>
        <v>410318</v>
      </c>
      <c r="H366" s="16">
        <f t="shared" si="505"/>
        <v>480024</v>
      </c>
      <c r="I366" s="16">
        <f t="shared" si="505"/>
        <v>462525</v>
      </c>
      <c r="J366" s="16">
        <f t="shared" si="505"/>
        <v>634309</v>
      </c>
      <c r="K366" s="16">
        <f t="shared" si="505"/>
        <v>794049</v>
      </c>
      <c r="L366" s="16">
        <f t="shared" si="505"/>
        <v>1065110</v>
      </c>
      <c r="M366" s="16">
        <f t="shared" si="505"/>
        <v>1023488</v>
      </c>
      <c r="N366" s="16">
        <f t="shared" si="505"/>
        <v>965939</v>
      </c>
      <c r="O366" s="16">
        <f t="shared" si="505"/>
        <v>966207</v>
      </c>
      <c r="P366" s="16">
        <f t="shared" si="505"/>
        <v>823969</v>
      </c>
      <c r="Q366" s="16">
        <f t="shared" si="505"/>
        <v>1699885</v>
      </c>
      <c r="R366" s="16">
        <f t="shared" si="505"/>
        <v>1524859</v>
      </c>
      <c r="S366" s="16">
        <f t="shared" si="505"/>
        <v>1776752</v>
      </c>
      <c r="T366" s="16">
        <f t="shared" si="505"/>
        <v>1840464</v>
      </c>
      <c r="U366" s="16">
        <f t="shared" si="505"/>
        <v>2786728</v>
      </c>
      <c r="V366" s="16">
        <f t="shared" si="505"/>
        <v>2339133</v>
      </c>
      <c r="W366" s="16">
        <f t="shared" si="505"/>
        <v>2694417</v>
      </c>
      <c r="X366" s="16">
        <f t="shared" si="505"/>
        <v>3894462</v>
      </c>
      <c r="Y366" s="16">
        <f t="shared" si="505"/>
        <v>3464563</v>
      </c>
      <c r="Z366" s="16">
        <f t="shared" si="505"/>
        <v>3298570</v>
      </c>
      <c r="AA366" s="16">
        <f t="shared" si="505"/>
        <v>4677349</v>
      </c>
      <c r="AB366" s="16">
        <f t="shared" si="505"/>
        <v>6363787</v>
      </c>
      <c r="AC366" s="16">
        <f t="shared" ref="AC366" si="506">AC53</f>
        <v>5017670.5980000002</v>
      </c>
      <c r="AE366" s="16">
        <f t="shared" si="505"/>
        <v>462525</v>
      </c>
      <c r="AF366" s="16">
        <f t="shared" si="505"/>
        <v>1023488</v>
      </c>
      <c r="AG366" s="16">
        <f t="shared" si="505"/>
        <v>1699885</v>
      </c>
      <c r="AH366" s="16">
        <f t="shared" si="505"/>
        <v>2786728</v>
      </c>
      <c r="AI366" s="16">
        <f t="shared" si="505"/>
        <v>3464563</v>
      </c>
      <c r="AJ366" s="16">
        <f t="shared" si="505"/>
        <v>5017670.5980000002</v>
      </c>
    </row>
    <row r="368" spans="2:36" x14ac:dyDescent="0.25">
      <c r="B368" s="2" t="s">
        <v>221</v>
      </c>
      <c r="G368" s="30">
        <f>G365/G364</f>
        <v>5.6954004039071839E-2</v>
      </c>
      <c r="H368" s="30">
        <f t="shared" ref="H368:AJ368" si="507">H365/H364</f>
        <v>0.169882871333941</v>
      </c>
      <c r="I368" s="30">
        <f t="shared" si="507"/>
        <v>-3.645442727863607E-2</v>
      </c>
      <c r="J368" s="30">
        <f t="shared" si="507"/>
        <v>0.37140478893032808</v>
      </c>
      <c r="K368" s="30">
        <f t="shared" si="507"/>
        <v>0.25183309711828145</v>
      </c>
      <c r="L368" s="30">
        <f t="shared" si="507"/>
        <v>0.34136558323226907</v>
      </c>
      <c r="M368" s="30">
        <f t="shared" si="507"/>
        <v>-3.9077653951235081E-2</v>
      </c>
      <c r="N368" s="30">
        <f t="shared" si="507"/>
        <v>-5.6228309467233617E-2</v>
      </c>
      <c r="O368" s="30">
        <f t="shared" si="507"/>
        <v>2.7745023236456958E-4</v>
      </c>
      <c r="P368" s="30">
        <f t="shared" si="507"/>
        <v>-0.14721276082661375</v>
      </c>
      <c r="Q368" s="30">
        <f t="shared" si="507"/>
        <v>1.0630448475610126</v>
      </c>
      <c r="R368" s="30">
        <f t="shared" si="507"/>
        <v>-0.10296343576183095</v>
      </c>
      <c r="S368" s="30">
        <f t="shared" si="507"/>
        <v>0.16519101110332168</v>
      </c>
      <c r="T368" s="30">
        <f t="shared" si="507"/>
        <v>3.5858690464397956E-2</v>
      </c>
      <c r="U368" s="30">
        <f t="shared" si="507"/>
        <v>0.51414425927374841</v>
      </c>
      <c r="V368" s="30">
        <f t="shared" si="507"/>
        <v>-0.16061668020703851</v>
      </c>
      <c r="W368" s="30">
        <f t="shared" si="507"/>
        <v>0.15188704532833319</v>
      </c>
      <c r="X368" s="30">
        <f t="shared" si="507"/>
        <v>0.44538206224203603</v>
      </c>
      <c r="Y368" s="30">
        <f t="shared" si="507"/>
        <v>-0.11038726273359452</v>
      </c>
      <c r="Z368" s="30">
        <f t="shared" si="507"/>
        <v>-4.7911670245280577E-2</v>
      </c>
      <c r="AA368" s="30">
        <f t="shared" si="507"/>
        <v>0.41799294845948398</v>
      </c>
      <c r="AB368" s="30">
        <f t="shared" si="507"/>
        <v>0.36055423702614453</v>
      </c>
      <c r="AC368" s="30">
        <f t="shared" ref="AC368" si="508">AC365/AC364</f>
        <v>-0.21152757029737163</v>
      </c>
      <c r="AD368" s="30"/>
      <c r="AE368" s="30"/>
      <c r="AF368" s="30">
        <f t="shared" si="507"/>
        <v>1.2128274147343387</v>
      </c>
      <c r="AG368" s="30">
        <f t="shared" si="507"/>
        <v>0.66087438250375186</v>
      </c>
      <c r="AH368" s="30">
        <f t="shared" si="507"/>
        <v>0.63936266276836373</v>
      </c>
      <c r="AI368" s="30">
        <f t="shared" si="507"/>
        <v>0.2432368713415877</v>
      </c>
      <c r="AJ368" s="30">
        <f t="shared" si="507"/>
        <v>0.44828383781735248</v>
      </c>
    </row>
    <row r="369" spans="2:36" x14ac:dyDescent="0.25">
      <c r="B369" s="76" t="s">
        <v>141</v>
      </c>
      <c r="C369" s="77"/>
      <c r="D369" s="94">
        <f>_xlfn.MAXIFS($G368:$AC368,$G368:$AC368,"&lt;0.2")</f>
        <v>0.169882871333941</v>
      </c>
    </row>
    <row r="370" spans="2:36" x14ac:dyDescent="0.25">
      <c r="B370" s="79" t="s">
        <v>169</v>
      </c>
      <c r="C370" s="80"/>
      <c r="D370" s="81">
        <f>AVERAGE($G368:$AC368)</f>
        <v>0.14927796198156082</v>
      </c>
    </row>
    <row r="371" spans="2:36" x14ac:dyDescent="0.25">
      <c r="B371" s="79" t="s">
        <v>139</v>
      </c>
      <c r="C371" s="80"/>
      <c r="D371" s="81">
        <f>MEDIAN($G368:$AC368)</f>
        <v>5.6954004039071839E-2</v>
      </c>
    </row>
    <row r="372" spans="2:36" x14ac:dyDescent="0.25">
      <c r="B372" s="82" t="s">
        <v>140</v>
      </c>
      <c r="C372" s="83"/>
      <c r="D372" s="84">
        <f>_xlfn.MINIFS($G368:$AC368,$G368:$AC368,"&gt;0.05")</f>
        <v>5.6954004039071839E-2</v>
      </c>
    </row>
    <row r="375" spans="2:36" x14ac:dyDescent="0.25">
      <c r="B375" s="73" t="s">
        <v>32</v>
      </c>
      <c r="C375" s="86"/>
      <c r="D375" s="86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</row>
    <row r="376" spans="2:36" x14ac:dyDescent="0.25">
      <c r="B376" s="2" t="s">
        <v>214</v>
      </c>
      <c r="G376" s="6">
        <f>F378</f>
        <v>17828</v>
      </c>
      <c r="H376" s="6">
        <f t="shared" ref="H376:AC376" si="509">G378</f>
        <v>18214</v>
      </c>
      <c r="I376" s="6">
        <f t="shared" si="509"/>
        <v>16086</v>
      </c>
      <c r="J376" s="6">
        <f t="shared" si="509"/>
        <v>10250</v>
      </c>
      <c r="K376" s="6">
        <f t="shared" si="509"/>
        <v>10250</v>
      </c>
      <c r="L376" s="6">
        <f t="shared" si="509"/>
        <v>10250</v>
      </c>
      <c r="M376" s="6">
        <f t="shared" si="509"/>
        <v>10250</v>
      </c>
      <c r="N376" s="6">
        <f t="shared" si="509"/>
        <v>11219</v>
      </c>
      <c r="O376" s="6">
        <f t="shared" si="509"/>
        <v>11219</v>
      </c>
      <c r="P376" s="6">
        <f t="shared" si="509"/>
        <v>11219</v>
      </c>
      <c r="Q376" s="6">
        <f t="shared" si="509"/>
        <v>11219</v>
      </c>
      <c r="R376" s="6">
        <f t="shared" si="509"/>
        <v>55272</v>
      </c>
      <c r="S376" s="6">
        <f t="shared" si="509"/>
        <v>55272</v>
      </c>
      <c r="T376" s="6">
        <f t="shared" si="509"/>
        <v>55272</v>
      </c>
      <c r="U376" s="6">
        <f t="shared" si="509"/>
        <v>55272</v>
      </c>
      <c r="V376" s="6">
        <f t="shared" si="509"/>
        <v>0</v>
      </c>
      <c r="W376" s="6">
        <f t="shared" si="509"/>
        <v>0</v>
      </c>
      <c r="X376" s="6">
        <f t="shared" si="509"/>
        <v>0</v>
      </c>
      <c r="Y376" s="6">
        <f t="shared" si="509"/>
        <v>0</v>
      </c>
      <c r="Z376" s="6">
        <f t="shared" si="509"/>
        <v>0</v>
      </c>
      <c r="AA376" s="6">
        <f t="shared" si="509"/>
        <v>0</v>
      </c>
      <c r="AB376" s="6">
        <f t="shared" si="509"/>
        <v>0</v>
      </c>
      <c r="AC376" s="6">
        <f t="shared" si="509"/>
        <v>0</v>
      </c>
      <c r="AF376" s="6">
        <f t="shared" ref="AF376:AJ376" si="510">AE378</f>
        <v>10250</v>
      </c>
      <c r="AG376" s="6">
        <f t="shared" si="510"/>
        <v>11219</v>
      </c>
      <c r="AH376" s="6">
        <f t="shared" si="510"/>
        <v>55272</v>
      </c>
      <c r="AI376" s="6">
        <f t="shared" si="510"/>
        <v>0</v>
      </c>
      <c r="AJ376" s="6">
        <f t="shared" si="510"/>
        <v>0</v>
      </c>
    </row>
    <row r="377" spans="2:36" x14ac:dyDescent="0.25">
      <c r="B377" s="2" t="s">
        <v>219</v>
      </c>
      <c r="F377" s="6">
        <f>F378-F376</f>
        <v>17828</v>
      </c>
      <c r="G377" s="6">
        <f t="shared" ref="G377" si="511">G378-G376</f>
        <v>386</v>
      </c>
      <c r="H377" s="6">
        <f t="shared" ref="H377" si="512">H378-H376</f>
        <v>-2128</v>
      </c>
      <c r="I377" s="6">
        <f t="shared" ref="I377" si="513">I378-I376</f>
        <v>-5836</v>
      </c>
      <c r="J377" s="6">
        <f t="shared" ref="J377" si="514">J378-J376</f>
        <v>0</v>
      </c>
      <c r="K377" s="6">
        <f t="shared" ref="K377" si="515">K378-K376</f>
        <v>0</v>
      </c>
      <c r="L377" s="6">
        <f t="shared" ref="L377" si="516">L378-L376</f>
        <v>0</v>
      </c>
      <c r="M377" s="6">
        <f t="shared" ref="M377" si="517">M378-M376</f>
        <v>969</v>
      </c>
      <c r="N377" s="6">
        <f t="shared" ref="N377" si="518">N378-N376</f>
        <v>0</v>
      </c>
      <c r="O377" s="6">
        <f t="shared" ref="O377" si="519">O378-O376</f>
        <v>0</v>
      </c>
      <c r="P377" s="6">
        <f t="shared" ref="P377" si="520">P378-P376</f>
        <v>0</v>
      </c>
      <c r="Q377" s="6">
        <f t="shared" ref="Q377" si="521">Q378-Q376</f>
        <v>44053</v>
      </c>
      <c r="R377" s="6">
        <f t="shared" ref="R377" si="522">R378-R376</f>
        <v>0</v>
      </c>
      <c r="S377" s="6">
        <f t="shared" ref="S377" si="523">S378-S376</f>
        <v>0</v>
      </c>
      <c r="T377" s="6">
        <f t="shared" ref="T377" si="524">T378-T376</f>
        <v>0</v>
      </c>
      <c r="U377" s="6">
        <f t="shared" ref="U377" si="525">U378-U376</f>
        <v>-55272</v>
      </c>
      <c r="V377" s="6">
        <f t="shared" ref="V377" si="526">V378-V376</f>
        <v>0</v>
      </c>
      <c r="W377" s="6">
        <f t="shared" ref="W377" si="527">W378-W376</f>
        <v>0</v>
      </c>
      <c r="X377" s="6">
        <f t="shared" ref="X377" si="528">X378-X376</f>
        <v>0</v>
      </c>
      <c r="Y377" s="6">
        <f t="shared" ref="Y377" si="529">Y378-Y376</f>
        <v>0</v>
      </c>
      <c r="Z377" s="6">
        <f t="shared" ref="Z377" si="530">Z378-Z376</f>
        <v>0</v>
      </c>
      <c r="AA377" s="6">
        <f t="shared" ref="AA377" si="531">AA378-AA376</f>
        <v>0</v>
      </c>
      <c r="AB377" s="6">
        <f t="shared" ref="AB377:AC377" si="532">AB378-AB376</f>
        <v>0</v>
      </c>
      <c r="AC377" s="6">
        <f t="shared" si="532"/>
        <v>173127.59</v>
      </c>
      <c r="AF377" s="6">
        <f t="shared" ref="AF377" si="533">AF378-AF376</f>
        <v>969</v>
      </c>
      <c r="AG377" s="6">
        <f t="shared" ref="AG377" si="534">AG378-AG376</f>
        <v>44053</v>
      </c>
      <c r="AH377" s="6">
        <f t="shared" ref="AH377" si="535">AH378-AH376</f>
        <v>-55272</v>
      </c>
      <c r="AI377" s="6">
        <f t="shared" ref="AI377" si="536">AI378-AI376</f>
        <v>0</v>
      </c>
      <c r="AJ377" s="6">
        <f t="shared" ref="AJ377" si="537">AJ378-AJ376</f>
        <v>173127.59</v>
      </c>
    </row>
    <row r="378" spans="2:36" x14ac:dyDescent="0.25">
      <c r="B378" s="8" t="s">
        <v>204</v>
      </c>
      <c r="C378" s="8"/>
      <c r="D378" s="8"/>
      <c r="E378" s="16"/>
      <c r="F378" s="16">
        <f t="shared" ref="F378:AB378" si="538">F63</f>
        <v>17828</v>
      </c>
      <c r="G378" s="16">
        <f t="shared" si="538"/>
        <v>18214</v>
      </c>
      <c r="H378" s="16">
        <f t="shared" si="538"/>
        <v>16086</v>
      </c>
      <c r="I378" s="16">
        <f t="shared" si="538"/>
        <v>10250</v>
      </c>
      <c r="J378" s="16">
        <f t="shared" si="538"/>
        <v>10250</v>
      </c>
      <c r="K378" s="16">
        <f t="shared" si="538"/>
        <v>10250</v>
      </c>
      <c r="L378" s="16">
        <f t="shared" si="538"/>
        <v>10250</v>
      </c>
      <c r="M378" s="16">
        <f t="shared" si="538"/>
        <v>11219</v>
      </c>
      <c r="N378" s="16">
        <f t="shared" si="538"/>
        <v>11219</v>
      </c>
      <c r="O378" s="16">
        <f t="shared" si="538"/>
        <v>11219</v>
      </c>
      <c r="P378" s="16">
        <f t="shared" si="538"/>
        <v>11219</v>
      </c>
      <c r="Q378" s="16">
        <f t="shared" si="538"/>
        <v>55272</v>
      </c>
      <c r="R378" s="16">
        <f t="shared" si="538"/>
        <v>55272</v>
      </c>
      <c r="S378" s="16">
        <f t="shared" si="538"/>
        <v>55272</v>
      </c>
      <c r="T378" s="16">
        <f t="shared" si="538"/>
        <v>55272</v>
      </c>
      <c r="U378" s="16">
        <f t="shared" si="538"/>
        <v>0</v>
      </c>
      <c r="V378" s="16">
        <f t="shared" si="538"/>
        <v>0</v>
      </c>
      <c r="W378" s="16">
        <f t="shared" si="538"/>
        <v>0</v>
      </c>
      <c r="X378" s="16">
        <f t="shared" si="538"/>
        <v>0</v>
      </c>
      <c r="Y378" s="16">
        <f t="shared" si="538"/>
        <v>0</v>
      </c>
      <c r="Z378" s="16">
        <f t="shared" si="538"/>
        <v>0</v>
      </c>
      <c r="AA378" s="16">
        <f t="shared" si="538"/>
        <v>0</v>
      </c>
      <c r="AB378" s="16">
        <f t="shared" si="538"/>
        <v>0</v>
      </c>
      <c r="AC378" s="16">
        <f t="shared" ref="AC378" si="539">AC63</f>
        <v>173127.59</v>
      </c>
      <c r="AE378" s="16">
        <f t="shared" ref="AE378:AJ378" si="540">AE63</f>
        <v>10250</v>
      </c>
      <c r="AF378" s="16">
        <f t="shared" si="540"/>
        <v>11219</v>
      </c>
      <c r="AG378" s="16">
        <f t="shared" si="540"/>
        <v>55272</v>
      </c>
      <c r="AH378" s="16">
        <f t="shared" si="540"/>
        <v>0</v>
      </c>
      <c r="AI378" s="16">
        <f t="shared" si="540"/>
        <v>0</v>
      </c>
      <c r="AJ378" s="16">
        <f t="shared" si="540"/>
        <v>173127.59</v>
      </c>
    </row>
    <row r="380" spans="2:36" x14ac:dyDescent="0.25">
      <c r="B380" s="2" t="s">
        <v>221</v>
      </c>
      <c r="G380" s="30">
        <f>IFERROR(G377/G376,0)</f>
        <v>2.1651334978685214E-2</v>
      </c>
      <c r="H380" s="30">
        <f t="shared" ref="H380:AJ380" si="541">IFERROR(H377/H376,0)</f>
        <v>-0.11683320522674866</v>
      </c>
      <c r="I380" s="30">
        <f t="shared" si="541"/>
        <v>-0.36279995026731321</v>
      </c>
      <c r="J380" s="30">
        <f t="shared" si="541"/>
        <v>0</v>
      </c>
      <c r="K380" s="30">
        <f t="shared" si="541"/>
        <v>0</v>
      </c>
      <c r="L380" s="30">
        <f t="shared" si="541"/>
        <v>0</v>
      </c>
      <c r="M380" s="30">
        <f t="shared" si="541"/>
        <v>9.4536585365853659E-2</v>
      </c>
      <c r="N380" s="30">
        <f t="shared" si="541"/>
        <v>0</v>
      </c>
      <c r="O380" s="30">
        <f t="shared" si="541"/>
        <v>0</v>
      </c>
      <c r="P380" s="30">
        <f t="shared" si="541"/>
        <v>0</v>
      </c>
      <c r="Q380" s="30">
        <f t="shared" si="541"/>
        <v>3.9266423032355826</v>
      </c>
      <c r="R380" s="30">
        <f t="shared" si="541"/>
        <v>0</v>
      </c>
      <c r="S380" s="30">
        <f t="shared" si="541"/>
        <v>0</v>
      </c>
      <c r="T380" s="30">
        <f t="shared" si="541"/>
        <v>0</v>
      </c>
      <c r="U380" s="30">
        <f t="shared" si="541"/>
        <v>-1</v>
      </c>
      <c r="V380" s="30">
        <f t="shared" si="541"/>
        <v>0</v>
      </c>
      <c r="W380" s="30">
        <f t="shared" si="541"/>
        <v>0</v>
      </c>
      <c r="X380" s="30">
        <f t="shared" si="541"/>
        <v>0</v>
      </c>
      <c r="Y380" s="30">
        <f t="shared" si="541"/>
        <v>0</v>
      </c>
      <c r="Z380" s="30">
        <f t="shared" si="541"/>
        <v>0</v>
      </c>
      <c r="AA380" s="30">
        <f t="shared" si="541"/>
        <v>0</v>
      </c>
      <c r="AB380" s="30">
        <f t="shared" si="541"/>
        <v>0</v>
      </c>
      <c r="AC380" s="30">
        <f t="shared" ref="AC380" si="542">IFERROR(AC377/AC376,0)</f>
        <v>0</v>
      </c>
      <c r="AE380" s="30">
        <f t="shared" si="541"/>
        <v>0</v>
      </c>
      <c r="AF380" s="30">
        <f t="shared" si="541"/>
        <v>9.4536585365853659E-2</v>
      </c>
      <c r="AG380" s="30">
        <f t="shared" si="541"/>
        <v>3.9266423032355826</v>
      </c>
      <c r="AH380" s="30">
        <f t="shared" si="541"/>
        <v>-1</v>
      </c>
      <c r="AI380" s="30">
        <f t="shared" si="541"/>
        <v>0</v>
      </c>
      <c r="AJ380" s="30">
        <f t="shared" si="541"/>
        <v>0</v>
      </c>
    </row>
    <row r="381" spans="2:36" x14ac:dyDescent="0.25">
      <c r="B381" s="76" t="s">
        <v>141</v>
      </c>
      <c r="C381" s="77"/>
      <c r="D381" s="94">
        <f>_xlfn.MAXIFS($G380:$AC380,$G380:$AC380,"&lt;3")</f>
        <v>9.4536585365853659E-2</v>
      </c>
    </row>
    <row r="382" spans="2:36" x14ac:dyDescent="0.25">
      <c r="B382" s="79" t="s">
        <v>169</v>
      </c>
      <c r="C382" s="80"/>
      <c r="D382" s="81">
        <f>AVERAGEIF($G380:$AC380,"&lt;4",$G380:$AC380)</f>
        <v>0.11144335078635041</v>
      </c>
    </row>
    <row r="383" spans="2:36" x14ac:dyDescent="0.25">
      <c r="B383" s="79" t="s">
        <v>139</v>
      </c>
      <c r="C383" s="80"/>
      <c r="D383" s="81">
        <f>MEDIAN($G380:$AC380)</f>
        <v>0</v>
      </c>
    </row>
    <row r="384" spans="2:36" x14ac:dyDescent="0.25">
      <c r="B384" s="82" t="s">
        <v>140</v>
      </c>
      <c r="C384" s="83"/>
      <c r="D384" s="84">
        <f>_xlfn.MINIFS($G380:$AC380,$G380:$AC380,"&gt;0")</f>
        <v>2.1651334978685214E-2</v>
      </c>
    </row>
    <row r="387" spans="2:36" x14ac:dyDescent="0.25">
      <c r="B387" s="73" t="s">
        <v>33</v>
      </c>
      <c r="C387" s="86"/>
      <c r="D387" s="86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</row>
    <row r="388" spans="2:36" x14ac:dyDescent="0.25">
      <c r="B388" s="2" t="s">
        <v>214</v>
      </c>
      <c r="G388" s="6">
        <f>F390</f>
        <v>41298</v>
      </c>
      <c r="H388" s="6">
        <f t="shared" ref="H388:AC388" si="543">G390</f>
        <v>50261</v>
      </c>
      <c r="I388" s="6">
        <f t="shared" si="543"/>
        <v>104226</v>
      </c>
      <c r="J388" s="6">
        <f t="shared" si="543"/>
        <v>42315</v>
      </c>
      <c r="K388" s="6">
        <f t="shared" si="543"/>
        <v>35113</v>
      </c>
      <c r="L388" s="6">
        <f t="shared" si="543"/>
        <v>24326</v>
      </c>
      <c r="M388" s="6">
        <f t="shared" si="543"/>
        <v>22564</v>
      </c>
      <c r="N388" s="6">
        <f t="shared" si="543"/>
        <v>68609</v>
      </c>
      <c r="O388" s="6">
        <f t="shared" si="543"/>
        <v>61013</v>
      </c>
      <c r="P388" s="6">
        <f t="shared" si="543"/>
        <v>59534</v>
      </c>
      <c r="Q388" s="6">
        <f t="shared" si="543"/>
        <v>60894</v>
      </c>
      <c r="R388" s="6">
        <f t="shared" si="543"/>
        <v>81908</v>
      </c>
      <c r="S388" s="6">
        <f t="shared" si="543"/>
        <v>110861</v>
      </c>
      <c r="T388" s="6">
        <f t="shared" si="543"/>
        <v>55875</v>
      </c>
      <c r="U388" s="6">
        <f t="shared" si="543"/>
        <v>38269</v>
      </c>
      <c r="V388" s="6">
        <f t="shared" si="543"/>
        <v>71129</v>
      </c>
      <c r="W388" s="6">
        <f t="shared" si="543"/>
        <v>89805</v>
      </c>
      <c r="X388" s="6">
        <f t="shared" si="543"/>
        <v>7705</v>
      </c>
      <c r="Y388" s="6">
        <f t="shared" si="543"/>
        <v>122735</v>
      </c>
      <c r="Z388" s="6">
        <f t="shared" si="543"/>
        <v>91644</v>
      </c>
      <c r="AA388" s="6">
        <f t="shared" si="543"/>
        <v>92452</v>
      </c>
      <c r="AB388" s="6">
        <f t="shared" si="543"/>
        <v>29986</v>
      </c>
      <c r="AC388" s="6">
        <f t="shared" si="543"/>
        <v>23750</v>
      </c>
      <c r="AF388" s="6">
        <f t="shared" ref="AF388:AJ388" si="544">AE390</f>
        <v>42315</v>
      </c>
      <c r="AG388" s="6">
        <f t="shared" si="544"/>
        <v>68609</v>
      </c>
      <c r="AH388" s="6">
        <f t="shared" si="544"/>
        <v>81908</v>
      </c>
      <c r="AI388" s="6">
        <f t="shared" si="544"/>
        <v>71129</v>
      </c>
      <c r="AJ388" s="6">
        <f t="shared" si="544"/>
        <v>91644</v>
      </c>
    </row>
    <row r="389" spans="2:36" x14ac:dyDescent="0.25">
      <c r="B389" s="2" t="s">
        <v>219</v>
      </c>
      <c r="F389" s="6">
        <f>F390-F388</f>
        <v>41298</v>
      </c>
      <c r="G389" s="6">
        <f t="shared" ref="G389" si="545">G390-G388</f>
        <v>8963</v>
      </c>
      <c r="H389" s="6">
        <f t="shared" ref="H389" si="546">H390-H388</f>
        <v>53965</v>
      </c>
      <c r="I389" s="6">
        <f t="shared" ref="I389" si="547">I390-I388</f>
        <v>-61911</v>
      </c>
      <c r="J389" s="6">
        <f t="shared" ref="J389" si="548">J390-J388</f>
        <v>-7202</v>
      </c>
      <c r="K389" s="6">
        <f t="shared" ref="K389" si="549">K390-K388</f>
        <v>-10787</v>
      </c>
      <c r="L389" s="6">
        <f t="shared" ref="L389" si="550">L390-L388</f>
        <v>-1762</v>
      </c>
      <c r="M389" s="6">
        <f t="shared" ref="M389" si="551">M390-M388</f>
        <v>46045</v>
      </c>
      <c r="N389" s="6">
        <f t="shared" ref="N389" si="552">N390-N388</f>
        <v>-7596</v>
      </c>
      <c r="O389" s="6">
        <f t="shared" ref="O389" si="553">O390-O388</f>
        <v>-1479</v>
      </c>
      <c r="P389" s="6">
        <f t="shared" ref="P389" si="554">P390-P388</f>
        <v>1360</v>
      </c>
      <c r="Q389" s="6">
        <f t="shared" ref="Q389" si="555">Q390-Q388</f>
        <v>21014</v>
      </c>
      <c r="R389" s="6">
        <f t="shared" ref="R389" si="556">R390-R388</f>
        <v>28953</v>
      </c>
      <c r="S389" s="6">
        <f t="shared" ref="S389" si="557">S390-S388</f>
        <v>-54986</v>
      </c>
      <c r="T389" s="6">
        <f t="shared" ref="T389" si="558">T390-T388</f>
        <v>-17606</v>
      </c>
      <c r="U389" s="6">
        <f t="shared" ref="U389" si="559">U390-U388</f>
        <v>32860</v>
      </c>
      <c r="V389" s="6">
        <f t="shared" ref="V389" si="560">V390-V388</f>
        <v>18676</v>
      </c>
      <c r="W389" s="6">
        <f t="shared" ref="W389" si="561">W390-W388</f>
        <v>-82100</v>
      </c>
      <c r="X389" s="6">
        <f t="shared" ref="X389" si="562">X390-X388</f>
        <v>115030</v>
      </c>
      <c r="Y389" s="6">
        <f t="shared" ref="Y389" si="563">Y390-Y388</f>
        <v>-31091</v>
      </c>
      <c r="Z389" s="6">
        <f t="shared" ref="Z389" si="564">Z390-Z388</f>
        <v>808</v>
      </c>
      <c r="AA389" s="6">
        <f t="shared" ref="AA389" si="565">AA390-AA388</f>
        <v>-62466</v>
      </c>
      <c r="AB389" s="6">
        <f t="shared" ref="AB389:AC389" si="566">AB390-AB388</f>
        <v>-6236</v>
      </c>
      <c r="AC389" s="6">
        <f t="shared" si="566"/>
        <v>97937.187999999995</v>
      </c>
      <c r="AF389" s="6">
        <f t="shared" ref="AF389" si="567">AF390-AF388</f>
        <v>26294</v>
      </c>
      <c r="AG389" s="6">
        <f t="shared" ref="AG389" si="568">AG390-AG388</f>
        <v>13299</v>
      </c>
      <c r="AH389" s="6">
        <f t="shared" ref="AH389" si="569">AH390-AH388</f>
        <v>-10779</v>
      </c>
      <c r="AI389" s="6">
        <f t="shared" ref="AI389" si="570">AI390-AI388</f>
        <v>20515</v>
      </c>
      <c r="AJ389" s="6">
        <f t="shared" ref="AJ389" si="571">AJ390-AJ388</f>
        <v>30043.187999999995</v>
      </c>
    </row>
    <row r="390" spans="2:36" x14ac:dyDescent="0.25">
      <c r="B390" s="8" t="s">
        <v>204</v>
      </c>
      <c r="C390" s="8"/>
      <c r="D390" s="8"/>
      <c r="E390" s="16"/>
      <c r="F390" s="16">
        <f t="shared" ref="F390:AB390" si="572">F64</f>
        <v>41298</v>
      </c>
      <c r="G390" s="16">
        <f t="shared" si="572"/>
        <v>50261</v>
      </c>
      <c r="H390" s="16">
        <f t="shared" si="572"/>
        <v>104226</v>
      </c>
      <c r="I390" s="16">
        <f t="shared" si="572"/>
        <v>42315</v>
      </c>
      <c r="J390" s="16">
        <f t="shared" si="572"/>
        <v>35113</v>
      </c>
      <c r="K390" s="16">
        <f t="shared" si="572"/>
        <v>24326</v>
      </c>
      <c r="L390" s="16">
        <f t="shared" si="572"/>
        <v>22564</v>
      </c>
      <c r="M390" s="16">
        <f t="shared" si="572"/>
        <v>68609</v>
      </c>
      <c r="N390" s="16">
        <f t="shared" si="572"/>
        <v>61013</v>
      </c>
      <c r="O390" s="16">
        <f t="shared" si="572"/>
        <v>59534</v>
      </c>
      <c r="P390" s="16">
        <f t="shared" si="572"/>
        <v>60894</v>
      </c>
      <c r="Q390" s="16">
        <f t="shared" si="572"/>
        <v>81908</v>
      </c>
      <c r="R390" s="16">
        <f t="shared" si="572"/>
        <v>110861</v>
      </c>
      <c r="S390" s="16">
        <f t="shared" si="572"/>
        <v>55875</v>
      </c>
      <c r="T390" s="16">
        <f t="shared" si="572"/>
        <v>38269</v>
      </c>
      <c r="U390" s="16">
        <f t="shared" si="572"/>
        <v>71129</v>
      </c>
      <c r="V390" s="16">
        <f t="shared" si="572"/>
        <v>89805</v>
      </c>
      <c r="W390" s="16">
        <f t="shared" si="572"/>
        <v>7705</v>
      </c>
      <c r="X390" s="16">
        <f t="shared" si="572"/>
        <v>122735</v>
      </c>
      <c r="Y390" s="16">
        <f t="shared" si="572"/>
        <v>91644</v>
      </c>
      <c r="Z390" s="16">
        <f t="shared" si="572"/>
        <v>92452</v>
      </c>
      <c r="AA390" s="16">
        <f t="shared" si="572"/>
        <v>29986</v>
      </c>
      <c r="AB390" s="16">
        <f t="shared" si="572"/>
        <v>23750</v>
      </c>
      <c r="AC390" s="16">
        <f t="shared" ref="AC390" si="573">AC64</f>
        <v>121687.18799999999</v>
      </c>
      <c r="AE390" s="16">
        <f t="shared" ref="AE390:AJ390" si="574">AE64</f>
        <v>42315</v>
      </c>
      <c r="AF390" s="16">
        <f t="shared" si="574"/>
        <v>68609</v>
      </c>
      <c r="AG390" s="16">
        <f t="shared" si="574"/>
        <v>81908</v>
      </c>
      <c r="AH390" s="16">
        <f t="shared" si="574"/>
        <v>71129</v>
      </c>
      <c r="AI390" s="16">
        <f t="shared" si="574"/>
        <v>91644</v>
      </c>
      <c r="AJ390" s="16">
        <f t="shared" si="574"/>
        <v>121687.18799999999</v>
      </c>
    </row>
    <row r="392" spans="2:36" x14ac:dyDescent="0.25">
      <c r="B392" s="2" t="s">
        <v>221</v>
      </c>
      <c r="G392" s="30">
        <f>IFERROR(G389/G388,0)</f>
        <v>0.21703230180638289</v>
      </c>
      <c r="H392" s="30">
        <f t="shared" ref="H392:AB392" si="575">IFERROR(H389/H388,0)</f>
        <v>1.0736953104792981</v>
      </c>
      <c r="I392" s="30">
        <f t="shared" si="575"/>
        <v>-0.59400725346842442</v>
      </c>
      <c r="J392" s="30">
        <f t="shared" si="575"/>
        <v>-0.17019969278033795</v>
      </c>
      <c r="K392" s="30">
        <f t="shared" si="575"/>
        <v>-0.30720815652322503</v>
      </c>
      <c r="L392" s="30">
        <f t="shared" si="575"/>
        <v>-7.2432787963495851E-2</v>
      </c>
      <c r="M392" s="30">
        <f t="shared" si="575"/>
        <v>2.0406399574543519</v>
      </c>
      <c r="N392" s="30">
        <f t="shared" si="575"/>
        <v>-0.11071433776909735</v>
      </c>
      <c r="O392" s="30">
        <f t="shared" si="575"/>
        <v>-2.4240735580941766E-2</v>
      </c>
      <c r="P392" s="30">
        <f t="shared" si="575"/>
        <v>2.2844089091947458E-2</v>
      </c>
      <c r="Q392" s="30">
        <f t="shared" si="575"/>
        <v>0.3450914704240155</v>
      </c>
      <c r="R392" s="30">
        <f t="shared" si="575"/>
        <v>0.35348195536455534</v>
      </c>
      <c r="S392" s="30">
        <f t="shared" si="575"/>
        <v>-0.49599047455823059</v>
      </c>
      <c r="T392" s="30">
        <f t="shared" si="575"/>
        <v>-0.31509619686800894</v>
      </c>
      <c r="U392" s="30">
        <f t="shared" si="575"/>
        <v>0.85865844417152259</v>
      </c>
      <c r="V392" s="30">
        <f t="shared" si="575"/>
        <v>0.26256519844226689</v>
      </c>
      <c r="W392" s="30">
        <f t="shared" si="575"/>
        <v>-0.9142029953788765</v>
      </c>
      <c r="X392" s="30">
        <f t="shared" si="575"/>
        <v>14.929266709928617</v>
      </c>
      <c r="Y392" s="30">
        <f t="shared" si="575"/>
        <v>-0.25331812441438872</v>
      </c>
      <c r="Z392" s="30">
        <f t="shared" si="575"/>
        <v>8.8167255903277893E-3</v>
      </c>
      <c r="AA392" s="30">
        <f t="shared" si="575"/>
        <v>-0.67565872020075279</v>
      </c>
      <c r="AB392" s="30">
        <f t="shared" si="575"/>
        <v>-0.20796371640098713</v>
      </c>
      <c r="AC392" s="30">
        <f t="shared" ref="AC392" si="576">IFERROR(AC389/AC388,0)</f>
        <v>4.1236710736842106</v>
      </c>
      <c r="AE392" s="30">
        <f t="shared" ref="AE392:AJ392" si="577">IFERROR(AE389/AE388,0)</f>
        <v>0</v>
      </c>
      <c r="AF392" s="30">
        <f t="shared" si="577"/>
        <v>0.62138721493560201</v>
      </c>
      <c r="AG392" s="30">
        <f t="shared" si="577"/>
        <v>0.19383754317946625</v>
      </c>
      <c r="AH392" s="30">
        <f t="shared" si="577"/>
        <v>-0.13159886702153636</v>
      </c>
      <c r="AI392" s="30">
        <f t="shared" si="577"/>
        <v>0.28841963193634101</v>
      </c>
      <c r="AJ392" s="30">
        <f t="shared" si="577"/>
        <v>0.32782493125572865</v>
      </c>
    </row>
    <row r="393" spans="2:36" x14ac:dyDescent="0.25">
      <c r="B393" s="76" t="s">
        <v>141</v>
      </c>
      <c r="C393" s="77"/>
      <c r="D393" s="94">
        <f>_xlfn.MAXIFS($G392:$AC392,$G392:$AC392,"&lt;0.3")</f>
        <v>0.26256519844226689</v>
      </c>
    </row>
    <row r="394" spans="2:36" x14ac:dyDescent="0.25">
      <c r="B394" s="79" t="s">
        <v>169</v>
      </c>
      <c r="C394" s="80"/>
      <c r="D394" s="81">
        <f>AVERAGEIF($G392:$AC392,"&lt;4",$G392:$AC392)</f>
        <v>4.9609155281804825E-2</v>
      </c>
    </row>
    <row r="395" spans="2:36" x14ac:dyDescent="0.25">
      <c r="B395" s="79" t="s">
        <v>139</v>
      </c>
      <c r="C395" s="80"/>
      <c r="D395" s="81">
        <f>MEDIAN($G392:$AC392)</f>
        <v>-2.4240735580941766E-2</v>
      </c>
    </row>
    <row r="396" spans="2:36" x14ac:dyDescent="0.25">
      <c r="B396" s="82" t="s">
        <v>140</v>
      </c>
      <c r="C396" s="83"/>
      <c r="D396" s="84">
        <f>_xlfn.MINIFS($G392:$AC392,$G392:$AC392,"&gt;0")</f>
        <v>8.8167255903277893E-3</v>
      </c>
    </row>
    <row r="399" spans="2:36" x14ac:dyDescent="0.25">
      <c r="B399" s="73" t="s">
        <v>65</v>
      </c>
      <c r="C399" s="86"/>
      <c r="D399" s="86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</row>
    <row r="400" spans="2:36" x14ac:dyDescent="0.25">
      <c r="B400" s="2" t="s">
        <v>214</v>
      </c>
      <c r="G400" s="6">
        <f>F402</f>
        <v>0</v>
      </c>
      <c r="H400" s="6">
        <f t="shared" ref="H400:AC400" si="578">G402</f>
        <v>22885</v>
      </c>
      <c r="I400" s="6">
        <f t="shared" si="578"/>
        <v>0</v>
      </c>
      <c r="J400" s="6">
        <f t="shared" si="578"/>
        <v>20125</v>
      </c>
      <c r="K400" s="6">
        <f t="shared" si="578"/>
        <v>20125</v>
      </c>
      <c r="L400" s="6">
        <f t="shared" si="578"/>
        <v>18860</v>
      </c>
      <c r="M400" s="6">
        <f t="shared" si="578"/>
        <v>17277</v>
      </c>
      <c r="N400" s="6">
        <f t="shared" si="578"/>
        <v>18415</v>
      </c>
      <c r="O400" s="6">
        <f t="shared" si="578"/>
        <v>18938</v>
      </c>
      <c r="P400" s="6">
        <f t="shared" si="578"/>
        <v>18207</v>
      </c>
      <c r="Q400" s="6">
        <f t="shared" si="578"/>
        <v>18799</v>
      </c>
      <c r="R400" s="6">
        <f t="shared" si="578"/>
        <v>13343</v>
      </c>
      <c r="S400" s="6">
        <f t="shared" si="578"/>
        <v>20125</v>
      </c>
      <c r="T400" s="6">
        <f t="shared" si="578"/>
        <v>11309</v>
      </c>
      <c r="U400" s="6">
        <f t="shared" si="578"/>
        <v>8651</v>
      </c>
      <c r="V400" s="6">
        <f t="shared" si="578"/>
        <v>11629</v>
      </c>
      <c r="W400" s="6">
        <f t="shared" si="578"/>
        <v>8836</v>
      </c>
      <c r="X400" s="6">
        <f t="shared" si="578"/>
        <v>9580</v>
      </c>
      <c r="Y400" s="6">
        <f t="shared" si="578"/>
        <v>2573</v>
      </c>
      <c r="Z400" s="6">
        <f t="shared" si="578"/>
        <v>23808</v>
      </c>
      <c r="AA400" s="6">
        <f t="shared" si="578"/>
        <v>20954</v>
      </c>
      <c r="AB400" s="6">
        <f t="shared" si="578"/>
        <v>22156</v>
      </c>
      <c r="AC400" s="6">
        <f t="shared" si="578"/>
        <v>25116</v>
      </c>
      <c r="AF400" s="6">
        <f t="shared" ref="AF400:AJ400" si="579">AE402</f>
        <v>20125</v>
      </c>
      <c r="AG400" s="6">
        <f t="shared" si="579"/>
        <v>18415</v>
      </c>
      <c r="AH400" s="6">
        <f t="shared" si="579"/>
        <v>13343</v>
      </c>
      <c r="AI400" s="6">
        <f t="shared" si="579"/>
        <v>11629</v>
      </c>
      <c r="AJ400" s="6">
        <f t="shared" si="579"/>
        <v>23808</v>
      </c>
    </row>
    <row r="401" spans="2:36" x14ac:dyDescent="0.25">
      <c r="B401" s="2" t="s">
        <v>219</v>
      </c>
      <c r="F401" s="6">
        <f>F402-F400</f>
        <v>0</v>
      </c>
      <c r="G401" s="6">
        <f t="shared" ref="G401" si="580">G402-G400</f>
        <v>22885</v>
      </c>
      <c r="H401" s="6">
        <f t="shared" ref="H401" si="581">H402-H400</f>
        <v>-22885</v>
      </c>
      <c r="I401" s="6">
        <f t="shared" ref="I401" si="582">I402-I400</f>
        <v>20125</v>
      </c>
      <c r="J401" s="6">
        <f t="shared" ref="J401" si="583">J402-J400</f>
        <v>0</v>
      </c>
      <c r="K401" s="6">
        <f t="shared" ref="K401" si="584">K402-K400</f>
        <v>-1265</v>
      </c>
      <c r="L401" s="6">
        <f t="shared" ref="L401" si="585">L402-L400</f>
        <v>-1583</v>
      </c>
      <c r="M401" s="6">
        <f t="shared" ref="M401" si="586">M402-M400</f>
        <v>1138</v>
      </c>
      <c r="N401" s="6">
        <f t="shared" ref="N401" si="587">N402-N400</f>
        <v>523</v>
      </c>
      <c r="O401" s="6">
        <f t="shared" ref="O401" si="588">O402-O400</f>
        <v>-731</v>
      </c>
      <c r="P401" s="6">
        <f t="shared" ref="P401" si="589">P402-P400</f>
        <v>592</v>
      </c>
      <c r="Q401" s="6">
        <f t="shared" ref="Q401" si="590">Q402-Q400</f>
        <v>-5456</v>
      </c>
      <c r="R401" s="6">
        <f t="shared" ref="R401" si="591">R402-R400</f>
        <v>6782</v>
      </c>
      <c r="S401" s="6">
        <f t="shared" ref="S401" si="592">S402-S400</f>
        <v>-8816</v>
      </c>
      <c r="T401" s="6">
        <f t="shared" ref="T401" si="593">T402-T400</f>
        <v>-2658</v>
      </c>
      <c r="U401" s="6">
        <f t="shared" ref="U401" si="594">U402-U400</f>
        <v>2978</v>
      </c>
      <c r="V401" s="6">
        <f t="shared" ref="V401" si="595">V402-V400</f>
        <v>-2793</v>
      </c>
      <c r="W401" s="6">
        <f t="shared" ref="W401" si="596">W402-W400</f>
        <v>744</v>
      </c>
      <c r="X401" s="6">
        <f t="shared" ref="X401" si="597">X402-X400</f>
        <v>-7007</v>
      </c>
      <c r="Y401" s="6">
        <f t="shared" ref="Y401" si="598">Y402-Y400</f>
        <v>21235</v>
      </c>
      <c r="Z401" s="6">
        <f t="shared" ref="Z401" si="599">Z402-Z400</f>
        <v>-2854</v>
      </c>
      <c r="AA401" s="6">
        <f t="shared" ref="AA401" si="600">AA402-AA400</f>
        <v>1202</v>
      </c>
      <c r="AB401" s="6">
        <f t="shared" ref="AB401:AC401" si="601">AB402-AB400</f>
        <v>2960</v>
      </c>
      <c r="AC401" s="6">
        <f t="shared" si="601"/>
        <v>13725.150999999998</v>
      </c>
      <c r="AF401" s="6">
        <f t="shared" ref="AF401" si="602">AF402-AF400</f>
        <v>-1710</v>
      </c>
      <c r="AG401" s="6">
        <f t="shared" ref="AG401" si="603">AG402-AG400</f>
        <v>-5072</v>
      </c>
      <c r="AH401" s="6">
        <f t="shared" ref="AH401" si="604">AH402-AH400</f>
        <v>-1714</v>
      </c>
      <c r="AI401" s="6">
        <f t="shared" ref="AI401" si="605">AI402-AI400</f>
        <v>12179</v>
      </c>
      <c r="AJ401" s="6">
        <f t="shared" ref="AJ401" si="606">AJ402-AJ400</f>
        <v>15033.150999999998</v>
      </c>
    </row>
    <row r="402" spans="2:36" x14ac:dyDescent="0.25">
      <c r="B402" s="8" t="s">
        <v>204</v>
      </c>
      <c r="C402" s="8"/>
      <c r="D402" s="8"/>
      <c r="E402" s="16"/>
      <c r="F402" s="16">
        <f>F65</f>
        <v>0</v>
      </c>
      <c r="G402" s="16">
        <f t="shared" ref="G402:AJ402" si="607">G65</f>
        <v>22885</v>
      </c>
      <c r="H402" s="16">
        <f t="shared" si="607"/>
        <v>0</v>
      </c>
      <c r="I402" s="16">
        <f t="shared" si="607"/>
        <v>20125</v>
      </c>
      <c r="J402" s="16">
        <f t="shared" si="607"/>
        <v>20125</v>
      </c>
      <c r="K402" s="16">
        <f t="shared" si="607"/>
        <v>18860</v>
      </c>
      <c r="L402" s="16">
        <f t="shared" si="607"/>
        <v>17277</v>
      </c>
      <c r="M402" s="16">
        <f t="shared" si="607"/>
        <v>18415</v>
      </c>
      <c r="N402" s="16">
        <f t="shared" si="607"/>
        <v>18938</v>
      </c>
      <c r="O402" s="16">
        <f t="shared" si="607"/>
        <v>18207</v>
      </c>
      <c r="P402" s="16">
        <f t="shared" si="607"/>
        <v>18799</v>
      </c>
      <c r="Q402" s="16">
        <f t="shared" si="607"/>
        <v>13343</v>
      </c>
      <c r="R402" s="16">
        <f t="shared" si="607"/>
        <v>20125</v>
      </c>
      <c r="S402" s="16">
        <f t="shared" si="607"/>
        <v>11309</v>
      </c>
      <c r="T402" s="16">
        <f t="shared" si="607"/>
        <v>8651</v>
      </c>
      <c r="U402" s="16">
        <f t="shared" si="607"/>
        <v>11629</v>
      </c>
      <c r="V402" s="16">
        <f t="shared" si="607"/>
        <v>8836</v>
      </c>
      <c r="W402" s="16">
        <f t="shared" si="607"/>
        <v>9580</v>
      </c>
      <c r="X402" s="16">
        <f t="shared" si="607"/>
        <v>2573</v>
      </c>
      <c r="Y402" s="16">
        <f t="shared" si="607"/>
        <v>23808</v>
      </c>
      <c r="Z402" s="16">
        <f t="shared" si="607"/>
        <v>20954</v>
      </c>
      <c r="AA402" s="16">
        <f t="shared" si="607"/>
        <v>22156</v>
      </c>
      <c r="AB402" s="16">
        <f t="shared" si="607"/>
        <v>25116</v>
      </c>
      <c r="AC402" s="16">
        <f t="shared" ref="AC402" si="608">AC65</f>
        <v>38841.150999999998</v>
      </c>
      <c r="AE402" s="16">
        <f t="shared" si="607"/>
        <v>20125</v>
      </c>
      <c r="AF402" s="16">
        <f t="shared" si="607"/>
        <v>18415</v>
      </c>
      <c r="AG402" s="16">
        <f t="shared" si="607"/>
        <v>13343</v>
      </c>
      <c r="AH402" s="16">
        <f t="shared" si="607"/>
        <v>11629</v>
      </c>
      <c r="AI402" s="16">
        <f t="shared" si="607"/>
        <v>23808</v>
      </c>
      <c r="AJ402" s="16">
        <f t="shared" si="607"/>
        <v>38841.150999999998</v>
      </c>
    </row>
    <row r="403" spans="2:36" x14ac:dyDescent="0.25">
      <c r="B403" s="4"/>
      <c r="C403" s="4"/>
      <c r="D403" s="4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E403" s="90"/>
      <c r="AF403" s="90"/>
      <c r="AG403" s="90"/>
      <c r="AH403" s="90"/>
      <c r="AI403" s="90"/>
      <c r="AJ403" s="90"/>
    </row>
    <row r="404" spans="2:36" x14ac:dyDescent="0.25">
      <c r="B404" s="2" t="s">
        <v>78</v>
      </c>
      <c r="E404" s="2"/>
      <c r="F404" s="6">
        <f t="shared" ref="F404" si="609">F23</f>
        <v>0</v>
      </c>
      <c r="G404" s="6">
        <f t="shared" ref="G404:AJ404" si="610">G23</f>
        <v>0</v>
      </c>
      <c r="H404" s="6">
        <f t="shared" si="610"/>
        <v>0</v>
      </c>
      <c r="I404" s="6">
        <f t="shared" si="610"/>
        <v>-3177</v>
      </c>
      <c r="J404" s="6">
        <f t="shared" si="610"/>
        <v>0</v>
      </c>
      <c r="K404" s="6">
        <f t="shared" si="610"/>
        <v>0</v>
      </c>
      <c r="L404" s="6">
        <f t="shared" si="610"/>
        <v>0</v>
      </c>
      <c r="M404" s="6">
        <f t="shared" si="610"/>
        <v>-3709</v>
      </c>
      <c r="N404" s="6">
        <f t="shared" si="610"/>
        <v>0</v>
      </c>
      <c r="O404" s="6">
        <f t="shared" si="610"/>
        <v>0</v>
      </c>
      <c r="P404" s="6">
        <f t="shared" si="610"/>
        <v>0</v>
      </c>
      <c r="Q404" s="6">
        <f t="shared" si="610"/>
        <v>-2738</v>
      </c>
      <c r="R404" s="6">
        <f t="shared" si="610"/>
        <v>0</v>
      </c>
      <c r="S404" s="6">
        <f t="shared" si="610"/>
        <v>0</v>
      </c>
      <c r="T404" s="6">
        <f t="shared" si="610"/>
        <v>0</v>
      </c>
      <c r="U404" s="6">
        <f t="shared" si="610"/>
        <v>-2364</v>
      </c>
      <c r="V404" s="6">
        <f t="shared" si="610"/>
        <v>0</v>
      </c>
      <c r="W404" s="6">
        <f t="shared" si="610"/>
        <v>0</v>
      </c>
      <c r="X404" s="6">
        <f t="shared" si="610"/>
        <v>0</v>
      </c>
      <c r="Y404" s="6">
        <f t="shared" si="610"/>
        <v>-6218</v>
      </c>
      <c r="Z404" s="6">
        <f t="shared" si="610"/>
        <v>-1464</v>
      </c>
      <c r="AA404" s="6">
        <f t="shared" si="610"/>
        <v>-1168</v>
      </c>
      <c r="AB404" s="6">
        <f t="shared" si="610"/>
        <v>-3166</v>
      </c>
      <c r="AC404" s="6">
        <f t="shared" ref="AC404" si="611">AC23</f>
        <v>-416.74499999999989</v>
      </c>
      <c r="AE404" s="6">
        <f t="shared" si="610"/>
        <v>-3177</v>
      </c>
      <c r="AF404" s="6">
        <f t="shared" si="610"/>
        <v>-3709</v>
      </c>
      <c r="AG404" s="6">
        <f t="shared" si="610"/>
        <v>-2738</v>
      </c>
      <c r="AH404" s="6">
        <f t="shared" si="610"/>
        <v>-2364</v>
      </c>
      <c r="AI404" s="6">
        <f t="shared" si="610"/>
        <v>-6218</v>
      </c>
      <c r="AJ404" s="6">
        <f t="shared" si="610"/>
        <v>-6214.7449999999999</v>
      </c>
    </row>
    <row r="405" spans="2:36" x14ac:dyDescent="0.25">
      <c r="B405" s="2" t="s">
        <v>222</v>
      </c>
      <c r="F405" s="30">
        <f>IFERROR(F404/F402,0)</f>
        <v>0</v>
      </c>
      <c r="G405" s="30">
        <f>IFERROR(G404/G402,0)</f>
        <v>0</v>
      </c>
      <c r="H405" s="30">
        <f t="shared" ref="H405:AJ405" si="612">IFERROR(H404/H402,0)</f>
        <v>0</v>
      </c>
      <c r="I405" s="30">
        <f t="shared" si="612"/>
        <v>-0.15786335403726709</v>
      </c>
      <c r="J405" s="30">
        <f t="shared" si="612"/>
        <v>0</v>
      </c>
      <c r="K405" s="30">
        <f t="shared" si="612"/>
        <v>0</v>
      </c>
      <c r="L405" s="30">
        <f t="shared" si="612"/>
        <v>0</v>
      </c>
      <c r="M405" s="30">
        <f t="shared" si="612"/>
        <v>-0.20141189247895738</v>
      </c>
      <c r="N405" s="30">
        <f t="shared" si="612"/>
        <v>0</v>
      </c>
      <c r="O405" s="30">
        <f t="shared" si="612"/>
        <v>0</v>
      </c>
      <c r="P405" s="30">
        <f t="shared" si="612"/>
        <v>0</v>
      </c>
      <c r="Q405" s="30">
        <f t="shared" si="612"/>
        <v>-0.20520122910889604</v>
      </c>
      <c r="R405" s="30">
        <f t="shared" si="612"/>
        <v>0</v>
      </c>
      <c r="S405" s="30">
        <f t="shared" si="612"/>
        <v>0</v>
      </c>
      <c r="T405" s="30">
        <f t="shared" si="612"/>
        <v>0</v>
      </c>
      <c r="U405" s="30">
        <f t="shared" si="612"/>
        <v>-0.20328489122022531</v>
      </c>
      <c r="V405" s="30">
        <f t="shared" si="612"/>
        <v>0</v>
      </c>
      <c r="W405" s="30">
        <f t="shared" si="612"/>
        <v>0</v>
      </c>
      <c r="X405" s="30">
        <f t="shared" si="612"/>
        <v>0</v>
      </c>
      <c r="Y405" s="30">
        <f t="shared" si="612"/>
        <v>-0.26117271505376344</v>
      </c>
      <c r="Z405" s="30">
        <f t="shared" si="612"/>
        <v>-6.9867328433711934E-2</v>
      </c>
      <c r="AA405" s="30">
        <f t="shared" si="612"/>
        <v>-5.2717096948907742E-2</v>
      </c>
      <c r="AB405" s="30">
        <f t="shared" si="612"/>
        <v>-0.12605510431597389</v>
      </c>
      <c r="AC405" s="30">
        <f t="shared" ref="AC405" si="613">IFERROR(AC404/AC402,0)</f>
        <v>-1.0729470916039536E-2</v>
      </c>
      <c r="AE405" s="30">
        <f t="shared" si="612"/>
        <v>-0.15786335403726709</v>
      </c>
      <c r="AF405" s="30">
        <f t="shared" si="612"/>
        <v>-0.20141189247895738</v>
      </c>
      <c r="AG405" s="30">
        <f t="shared" si="612"/>
        <v>-0.20520122910889604</v>
      </c>
      <c r="AH405" s="30">
        <f t="shared" si="612"/>
        <v>-0.20328489122022531</v>
      </c>
      <c r="AI405" s="30">
        <f t="shared" si="612"/>
        <v>-0.26117271505376344</v>
      </c>
      <c r="AJ405" s="30">
        <f t="shared" si="612"/>
        <v>-0.16000414096894297</v>
      </c>
    </row>
    <row r="406" spans="2:36" x14ac:dyDescent="0.25">
      <c r="B406" s="76" t="s">
        <v>141</v>
      </c>
      <c r="C406" s="77"/>
      <c r="D406" s="94">
        <f>_xlfn.MINIFS($G405:$AC405,$G405:$AC405,"&lt;0")</f>
        <v>-0.26117271505376344</v>
      </c>
    </row>
    <row r="407" spans="2:36" x14ac:dyDescent="0.25">
      <c r="B407" s="79" t="s">
        <v>169</v>
      </c>
      <c r="C407" s="80"/>
      <c r="D407" s="81">
        <f>AVERAGEIF($G405:$AC405,"&lt;0",$G405:$AC405)</f>
        <v>-0.14314478694597135</v>
      </c>
    </row>
    <row r="408" spans="2:36" x14ac:dyDescent="0.25">
      <c r="B408" s="79" t="s">
        <v>139</v>
      </c>
      <c r="C408" s="80"/>
      <c r="D408" s="81">
        <f>MEDIAN($G405:$AC405)</f>
        <v>0</v>
      </c>
    </row>
    <row r="409" spans="2:36" x14ac:dyDescent="0.25">
      <c r="B409" s="82" t="s">
        <v>140</v>
      </c>
      <c r="C409" s="83"/>
      <c r="D409" s="84">
        <f>_xlfn.MAXIFS($G405:$AC405,$G405:$AC405,"&lt;0")</f>
        <v>-1.0729470916039536E-2</v>
      </c>
    </row>
    <row r="411" spans="2:36" x14ac:dyDescent="0.25">
      <c r="B411" s="2" t="s">
        <v>221</v>
      </c>
      <c r="G411" s="30">
        <f>IF(IFERROR(G401/G402,0)&lt;0,0,IFERROR(G401/G402,0))</f>
        <v>1</v>
      </c>
      <c r="H411" s="30">
        <f t="shared" ref="H411:AJ411" si="614">IF(IFERROR(H401/H402,0)&lt;0,0,IFERROR(H401/H402,0))</f>
        <v>0</v>
      </c>
      <c r="I411" s="30">
        <f t="shared" si="614"/>
        <v>1</v>
      </c>
      <c r="J411" s="30">
        <f t="shared" si="614"/>
        <v>0</v>
      </c>
      <c r="K411" s="30">
        <f t="shared" si="614"/>
        <v>0</v>
      </c>
      <c r="L411" s="30">
        <f t="shared" si="614"/>
        <v>0</v>
      </c>
      <c r="M411" s="30">
        <f t="shared" si="614"/>
        <v>6.1797447732826499E-2</v>
      </c>
      <c r="N411" s="30">
        <f t="shared" si="614"/>
        <v>2.7616432569437112E-2</v>
      </c>
      <c r="O411" s="30">
        <f t="shared" si="614"/>
        <v>0</v>
      </c>
      <c r="P411" s="30">
        <f t="shared" si="614"/>
        <v>3.149103675727432E-2</v>
      </c>
      <c r="Q411" s="30">
        <f t="shared" si="614"/>
        <v>0</v>
      </c>
      <c r="R411" s="30">
        <f t="shared" si="614"/>
        <v>0.33699378881987579</v>
      </c>
      <c r="S411" s="30">
        <f t="shared" si="614"/>
        <v>0</v>
      </c>
      <c r="T411" s="30">
        <f t="shared" si="614"/>
        <v>0</v>
      </c>
      <c r="U411" s="30">
        <f t="shared" si="614"/>
        <v>0.25608392811075759</v>
      </c>
      <c r="V411" s="30">
        <f t="shared" si="614"/>
        <v>0</v>
      </c>
      <c r="W411" s="30">
        <f t="shared" si="614"/>
        <v>7.7661795407098125E-2</v>
      </c>
      <c r="X411" s="30">
        <f t="shared" si="614"/>
        <v>0</v>
      </c>
      <c r="Y411" s="30">
        <f t="shared" si="614"/>
        <v>0.89192708333333337</v>
      </c>
      <c r="Z411" s="30">
        <f t="shared" si="614"/>
        <v>0</v>
      </c>
      <c r="AA411" s="30">
        <f t="shared" si="614"/>
        <v>5.4251669976530061E-2</v>
      </c>
      <c r="AB411" s="30">
        <f t="shared" si="614"/>
        <v>0.11785316133142221</v>
      </c>
      <c r="AC411" s="30">
        <f t="shared" ref="AC411" si="615">IF(IFERROR(AC401/AC402,0)&lt;0,0,IFERROR(AC401/AC402,0))</f>
        <v>0.35336622748383534</v>
      </c>
      <c r="AD411" s="30"/>
      <c r="AE411" s="30">
        <f t="shared" si="614"/>
        <v>0</v>
      </c>
      <c r="AF411" s="30">
        <f t="shared" si="614"/>
        <v>0</v>
      </c>
      <c r="AG411" s="30">
        <f t="shared" si="614"/>
        <v>0</v>
      </c>
      <c r="AH411" s="30">
        <f t="shared" si="614"/>
        <v>0</v>
      </c>
      <c r="AI411" s="30">
        <f t="shared" si="614"/>
        <v>0.51155073924731187</v>
      </c>
      <c r="AJ411" s="30">
        <f t="shared" si="614"/>
        <v>0.38704185156613918</v>
      </c>
    </row>
    <row r="412" spans="2:36" x14ac:dyDescent="0.25">
      <c r="B412" s="76" t="s">
        <v>141</v>
      </c>
      <c r="C412" s="77"/>
      <c r="D412" s="94">
        <f>_xlfn.MINIFS($G411:$AC411,$G411:$AC411,"&lt;0")</f>
        <v>0</v>
      </c>
    </row>
    <row r="413" spans="2:36" x14ac:dyDescent="0.25">
      <c r="B413" s="79" t="s">
        <v>169</v>
      </c>
      <c r="C413" s="80"/>
      <c r="D413" s="81">
        <f>AVERAGEIF($G411:$AC411,"&gt;0",$G411:$AC411)</f>
        <v>0.35075354762686589</v>
      </c>
    </row>
    <row r="414" spans="2:36" x14ac:dyDescent="0.25">
      <c r="B414" s="79" t="s">
        <v>139</v>
      </c>
      <c r="C414" s="80"/>
      <c r="D414" s="81">
        <f>MEDIAN($G411:$AC411)</f>
        <v>2.7616432569437112E-2</v>
      </c>
    </row>
    <row r="415" spans="2:36" x14ac:dyDescent="0.25">
      <c r="B415" s="82" t="s">
        <v>140</v>
      </c>
      <c r="C415" s="83"/>
      <c r="D415" s="84">
        <f>_xlfn.MAXIFS($G411:$AC411,$G411:$AC411,"&lt;0")</f>
        <v>0</v>
      </c>
    </row>
    <row r="416" spans="2:36" x14ac:dyDescent="0.25">
      <c r="B416" s="80"/>
      <c r="C416" s="80"/>
      <c r="D416" s="118"/>
    </row>
    <row r="417" spans="2:36" x14ac:dyDescent="0.25">
      <c r="B417" s="80"/>
      <c r="C417" s="80"/>
      <c r="D417" s="118"/>
    </row>
    <row r="418" spans="2:36" x14ac:dyDescent="0.25">
      <c r="B418" s="73" t="s">
        <v>36</v>
      </c>
      <c r="C418" s="86"/>
      <c r="D418" s="86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</row>
    <row r="419" spans="2:36" x14ac:dyDescent="0.25">
      <c r="B419" s="2" t="s">
        <v>214</v>
      </c>
      <c r="G419" s="6">
        <f>F421</f>
        <v>403745</v>
      </c>
      <c r="H419" s="6">
        <f t="shared" ref="H419:AC419" si="616">G421</f>
        <v>403745</v>
      </c>
      <c r="I419" s="6">
        <f t="shared" si="616"/>
        <v>403745</v>
      </c>
      <c r="J419" s="6">
        <f t="shared" si="616"/>
        <v>404570</v>
      </c>
      <c r="K419" s="6">
        <f t="shared" si="616"/>
        <v>404570</v>
      </c>
      <c r="L419" s="6">
        <f t="shared" si="616"/>
        <v>404570</v>
      </c>
      <c r="M419" s="6">
        <f t="shared" si="616"/>
        <v>404570</v>
      </c>
      <c r="N419" s="6">
        <f t="shared" si="616"/>
        <v>404570</v>
      </c>
      <c r="O419" s="6">
        <f t="shared" si="616"/>
        <v>404570</v>
      </c>
      <c r="P419" s="6">
        <f t="shared" si="616"/>
        <v>404570</v>
      </c>
      <c r="Q419" s="6">
        <f t="shared" si="616"/>
        <v>404570</v>
      </c>
      <c r="R419" s="6">
        <f t="shared" si="616"/>
        <v>404570</v>
      </c>
      <c r="S419" s="6">
        <f t="shared" si="616"/>
        <v>404570</v>
      </c>
      <c r="T419" s="6">
        <f t="shared" si="616"/>
        <v>404570</v>
      </c>
      <c r="U419" s="6">
        <f t="shared" si="616"/>
        <v>404570</v>
      </c>
      <c r="V419" s="6">
        <f t="shared" si="616"/>
        <v>404570</v>
      </c>
      <c r="W419" s="6">
        <f t="shared" si="616"/>
        <v>404570</v>
      </c>
      <c r="X419" s="6">
        <f t="shared" si="616"/>
        <v>404570</v>
      </c>
      <c r="Y419" s="6">
        <f t="shared" si="616"/>
        <v>404570</v>
      </c>
      <c r="Z419" s="6">
        <f t="shared" si="616"/>
        <v>404570</v>
      </c>
      <c r="AA419" s="6">
        <f t="shared" si="616"/>
        <v>404570</v>
      </c>
      <c r="AB419" s="6">
        <f t="shared" si="616"/>
        <v>520263</v>
      </c>
      <c r="AC419" s="6">
        <f t="shared" si="616"/>
        <v>521733</v>
      </c>
      <c r="AF419" s="6">
        <f t="shared" ref="AF419:AJ419" si="617">AE421</f>
        <v>404570</v>
      </c>
      <c r="AG419" s="6">
        <f t="shared" si="617"/>
        <v>404570</v>
      </c>
      <c r="AH419" s="6">
        <f t="shared" si="617"/>
        <v>404570</v>
      </c>
      <c r="AI419" s="6">
        <f t="shared" si="617"/>
        <v>404570</v>
      </c>
      <c r="AJ419" s="6">
        <f t="shared" si="617"/>
        <v>404570</v>
      </c>
    </row>
    <row r="420" spans="2:36" x14ac:dyDescent="0.25">
      <c r="B420" s="2" t="s">
        <v>219</v>
      </c>
      <c r="F420" s="6">
        <f>F421-F419</f>
        <v>403745</v>
      </c>
      <c r="G420" s="6">
        <f t="shared" ref="G420" si="618">G421-G419</f>
        <v>0</v>
      </c>
      <c r="H420" s="6">
        <f t="shared" ref="H420" si="619">H421-H419</f>
        <v>0</v>
      </c>
      <c r="I420" s="6">
        <f t="shared" ref="I420" si="620">I421-I419</f>
        <v>825</v>
      </c>
      <c r="J420" s="6">
        <f t="shared" ref="J420" si="621">J421-J419</f>
        <v>0</v>
      </c>
      <c r="K420" s="6">
        <f t="shared" ref="K420" si="622">K421-K419</f>
        <v>0</v>
      </c>
      <c r="L420" s="6">
        <f t="shared" ref="L420" si="623">L421-L419</f>
        <v>0</v>
      </c>
      <c r="M420" s="6">
        <f t="shared" ref="M420" si="624">M421-M419</f>
        <v>0</v>
      </c>
      <c r="N420" s="6">
        <f t="shared" ref="N420" si="625">N421-N419</f>
        <v>0</v>
      </c>
      <c r="O420" s="6">
        <f t="shared" ref="O420" si="626">O421-O419</f>
        <v>0</v>
      </c>
      <c r="P420" s="6">
        <f t="shared" ref="P420" si="627">P421-P419</f>
        <v>0</v>
      </c>
      <c r="Q420" s="6">
        <f t="shared" ref="Q420" si="628">Q421-Q419</f>
        <v>0</v>
      </c>
      <c r="R420" s="6">
        <f t="shared" ref="R420" si="629">R421-R419</f>
        <v>0</v>
      </c>
      <c r="S420" s="6">
        <f t="shared" ref="S420" si="630">S421-S419</f>
        <v>0</v>
      </c>
      <c r="T420" s="6">
        <f t="shared" ref="T420" si="631">T421-T419</f>
        <v>0</v>
      </c>
      <c r="U420" s="6">
        <f t="shared" ref="U420" si="632">U421-U419</f>
        <v>0</v>
      </c>
      <c r="V420" s="6">
        <f t="shared" ref="V420" si="633">V421-V419</f>
        <v>0</v>
      </c>
      <c r="W420" s="6">
        <f t="shared" ref="W420" si="634">W421-W419</f>
        <v>0</v>
      </c>
      <c r="X420" s="6">
        <f t="shared" ref="X420" si="635">X421-X419</f>
        <v>0</v>
      </c>
      <c r="Y420" s="6">
        <f t="shared" ref="Y420" si="636">Y421-Y419</f>
        <v>0</v>
      </c>
      <c r="Z420" s="6">
        <f t="shared" ref="Z420" si="637">Z421-Z419</f>
        <v>0</v>
      </c>
      <c r="AA420" s="6">
        <f t="shared" ref="AA420" si="638">AA421-AA419</f>
        <v>115693</v>
      </c>
      <c r="AB420" s="6">
        <f t="shared" ref="AB420:AC420" si="639">AB421-AB419</f>
        <v>1470</v>
      </c>
      <c r="AC420" s="6">
        <f t="shared" si="639"/>
        <v>204318.152</v>
      </c>
      <c r="AF420" s="6">
        <f t="shared" ref="AF420" si="640">AF421-AF419</f>
        <v>0</v>
      </c>
      <c r="AG420" s="6">
        <f t="shared" ref="AG420" si="641">AG421-AG419</f>
        <v>0</v>
      </c>
      <c r="AH420" s="6">
        <f t="shared" ref="AH420" si="642">AH421-AH419</f>
        <v>0</v>
      </c>
      <c r="AI420" s="6">
        <f t="shared" ref="AI420" si="643">AI421-AI419</f>
        <v>0</v>
      </c>
      <c r="AJ420" s="6">
        <f t="shared" ref="AJ420" si="644">AJ421-AJ419</f>
        <v>321481.152</v>
      </c>
    </row>
    <row r="421" spans="2:36" x14ac:dyDescent="0.25">
      <c r="B421" s="8" t="s">
        <v>204</v>
      </c>
      <c r="C421" s="8"/>
      <c r="D421" s="8"/>
      <c r="E421" s="16"/>
      <c r="F421" s="16">
        <f t="shared" ref="F421:AB421" si="645">F69</f>
        <v>403745</v>
      </c>
      <c r="G421" s="16">
        <f t="shared" si="645"/>
        <v>403745</v>
      </c>
      <c r="H421" s="16">
        <f t="shared" si="645"/>
        <v>403745</v>
      </c>
      <c r="I421" s="16">
        <f t="shared" si="645"/>
        <v>404570</v>
      </c>
      <c r="J421" s="16">
        <f t="shared" si="645"/>
        <v>404570</v>
      </c>
      <c r="K421" s="16">
        <f t="shared" si="645"/>
        <v>404570</v>
      </c>
      <c r="L421" s="16">
        <f t="shared" si="645"/>
        <v>404570</v>
      </c>
      <c r="M421" s="16">
        <f t="shared" si="645"/>
        <v>404570</v>
      </c>
      <c r="N421" s="16">
        <f t="shared" si="645"/>
        <v>404570</v>
      </c>
      <c r="O421" s="16">
        <f t="shared" si="645"/>
        <v>404570</v>
      </c>
      <c r="P421" s="16">
        <f t="shared" si="645"/>
        <v>404570</v>
      </c>
      <c r="Q421" s="16">
        <f t="shared" si="645"/>
        <v>404570</v>
      </c>
      <c r="R421" s="16">
        <f t="shared" si="645"/>
        <v>404570</v>
      </c>
      <c r="S421" s="16">
        <f t="shared" si="645"/>
        <v>404570</v>
      </c>
      <c r="T421" s="16">
        <f t="shared" si="645"/>
        <v>404570</v>
      </c>
      <c r="U421" s="16">
        <f t="shared" si="645"/>
        <v>404570</v>
      </c>
      <c r="V421" s="16">
        <f t="shared" si="645"/>
        <v>404570</v>
      </c>
      <c r="W421" s="16">
        <f t="shared" si="645"/>
        <v>404570</v>
      </c>
      <c r="X421" s="16">
        <f t="shared" si="645"/>
        <v>404570</v>
      </c>
      <c r="Y421" s="16">
        <f t="shared" si="645"/>
        <v>404570</v>
      </c>
      <c r="Z421" s="16">
        <f t="shared" si="645"/>
        <v>404570</v>
      </c>
      <c r="AA421" s="16">
        <f t="shared" si="645"/>
        <v>520263</v>
      </c>
      <c r="AB421" s="16">
        <f t="shared" si="645"/>
        <v>521733</v>
      </c>
      <c r="AC421" s="16">
        <f t="shared" ref="AC421" si="646">AC69</f>
        <v>726051.152</v>
      </c>
      <c r="AE421" s="16">
        <f t="shared" ref="AE421:AJ421" si="647">AE69</f>
        <v>404570</v>
      </c>
      <c r="AF421" s="16">
        <f t="shared" si="647"/>
        <v>404570</v>
      </c>
      <c r="AG421" s="16">
        <f t="shared" si="647"/>
        <v>404570</v>
      </c>
      <c r="AH421" s="16">
        <f t="shared" si="647"/>
        <v>404570</v>
      </c>
      <c r="AI421" s="16">
        <f t="shared" si="647"/>
        <v>404570</v>
      </c>
      <c r="AJ421" s="16">
        <f t="shared" si="647"/>
        <v>726051.152</v>
      </c>
    </row>
    <row r="423" spans="2:36" x14ac:dyDescent="0.25">
      <c r="B423" s="2" t="s">
        <v>221</v>
      </c>
      <c r="G423" s="30">
        <f>IFERROR(G420/G419,0)</f>
        <v>0</v>
      </c>
      <c r="H423" s="30">
        <f t="shared" ref="H423:AB423" si="648">IFERROR(H420/H419,0)</f>
        <v>0</v>
      </c>
      <c r="I423" s="30">
        <f t="shared" si="648"/>
        <v>2.0433689581295126E-3</v>
      </c>
      <c r="J423" s="30">
        <f t="shared" si="648"/>
        <v>0</v>
      </c>
      <c r="K423" s="30">
        <f t="shared" si="648"/>
        <v>0</v>
      </c>
      <c r="L423" s="30">
        <f t="shared" si="648"/>
        <v>0</v>
      </c>
      <c r="M423" s="30">
        <f t="shared" si="648"/>
        <v>0</v>
      </c>
      <c r="N423" s="30">
        <f t="shared" si="648"/>
        <v>0</v>
      </c>
      <c r="O423" s="30">
        <f t="shared" si="648"/>
        <v>0</v>
      </c>
      <c r="P423" s="30">
        <f t="shared" si="648"/>
        <v>0</v>
      </c>
      <c r="Q423" s="30">
        <f t="shared" si="648"/>
        <v>0</v>
      </c>
      <c r="R423" s="30">
        <f t="shared" si="648"/>
        <v>0</v>
      </c>
      <c r="S423" s="30">
        <f t="shared" si="648"/>
        <v>0</v>
      </c>
      <c r="T423" s="30">
        <f t="shared" si="648"/>
        <v>0</v>
      </c>
      <c r="U423" s="30">
        <f t="shared" si="648"/>
        <v>0</v>
      </c>
      <c r="V423" s="30">
        <f t="shared" si="648"/>
        <v>0</v>
      </c>
      <c r="W423" s="30">
        <f t="shared" si="648"/>
        <v>0</v>
      </c>
      <c r="X423" s="30">
        <f t="shared" si="648"/>
        <v>0</v>
      </c>
      <c r="Y423" s="30">
        <f t="shared" si="648"/>
        <v>0</v>
      </c>
      <c r="Z423" s="30">
        <f t="shared" si="648"/>
        <v>0</v>
      </c>
      <c r="AA423" s="30">
        <f t="shared" si="648"/>
        <v>0.28596534592283163</v>
      </c>
      <c r="AB423" s="30">
        <f t="shared" si="648"/>
        <v>2.825494028981496E-3</v>
      </c>
      <c r="AC423" s="30">
        <f t="shared" ref="AC423" si="649">IFERROR(AC420/AC419,0)</f>
        <v>0.39161439280244875</v>
      </c>
      <c r="AE423" s="30">
        <f t="shared" ref="AE423:AJ423" si="650">IFERROR(AE420/AE419,0)</f>
        <v>0</v>
      </c>
      <c r="AF423" s="30">
        <f t="shared" si="650"/>
        <v>0</v>
      </c>
      <c r="AG423" s="30">
        <f t="shared" si="650"/>
        <v>0</v>
      </c>
      <c r="AH423" s="30">
        <f t="shared" si="650"/>
        <v>0</v>
      </c>
      <c r="AI423" s="30">
        <f t="shared" si="650"/>
        <v>0</v>
      </c>
      <c r="AJ423" s="30">
        <f t="shared" si="650"/>
        <v>0.7946242974021801</v>
      </c>
    </row>
    <row r="424" spans="2:36" x14ac:dyDescent="0.25">
      <c r="B424" s="76" t="s">
        <v>141</v>
      </c>
      <c r="C424" s="77"/>
      <c r="D424" s="94">
        <f>MAX($G423:$AC423)</f>
        <v>0.39161439280244875</v>
      </c>
    </row>
    <row r="425" spans="2:36" x14ac:dyDescent="0.25">
      <c r="B425" s="79" t="s">
        <v>169</v>
      </c>
      <c r="C425" s="80"/>
      <c r="D425" s="81">
        <f>AVERAGE($G423:$AC423)</f>
        <v>2.9671678335321364E-2</v>
      </c>
    </row>
    <row r="426" spans="2:36" x14ac:dyDescent="0.25">
      <c r="B426" s="79" t="s">
        <v>139</v>
      </c>
      <c r="C426" s="80"/>
      <c r="D426" s="81">
        <f>MEDIAN($G423:$AC423)</f>
        <v>0</v>
      </c>
    </row>
    <row r="427" spans="2:36" x14ac:dyDescent="0.25">
      <c r="B427" s="82" t="s">
        <v>140</v>
      </c>
      <c r="C427" s="83"/>
      <c r="D427" s="84">
        <f>MIN($G423:$AC423)</f>
        <v>0</v>
      </c>
    </row>
    <row r="430" spans="2:36" x14ac:dyDescent="0.25">
      <c r="B430" s="73" t="s">
        <v>199</v>
      </c>
      <c r="C430" s="86"/>
      <c r="D430" s="86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</row>
    <row r="431" spans="2:36" x14ac:dyDescent="0.25">
      <c r="B431" s="2" t="s">
        <v>214</v>
      </c>
      <c r="G431" s="6">
        <f>F434</f>
        <v>26541</v>
      </c>
      <c r="H431" s="6">
        <f t="shared" ref="H431:AC431" si="651">G434</f>
        <v>27975</v>
      </c>
      <c r="I431" s="6">
        <f t="shared" si="651"/>
        <v>48135</v>
      </c>
      <c r="J431" s="6">
        <f t="shared" si="651"/>
        <v>-12456</v>
      </c>
      <c r="K431" s="6">
        <f t="shared" si="651"/>
        <v>17131</v>
      </c>
      <c r="L431" s="6">
        <f t="shared" si="651"/>
        <v>36254</v>
      </c>
      <c r="M431" s="6">
        <f t="shared" si="651"/>
        <v>81799</v>
      </c>
      <c r="N431" s="6">
        <f t="shared" si="651"/>
        <v>44625</v>
      </c>
      <c r="O431" s="6">
        <f t="shared" si="651"/>
        <v>79748</v>
      </c>
      <c r="P431" s="6">
        <f t="shared" si="651"/>
        <v>101387</v>
      </c>
      <c r="Q431" s="6">
        <f t="shared" si="651"/>
        <v>104955</v>
      </c>
      <c r="R431" s="6">
        <f t="shared" si="651"/>
        <v>35689</v>
      </c>
      <c r="S431" s="6">
        <f t="shared" si="651"/>
        <v>79689</v>
      </c>
      <c r="T431" s="6">
        <f t="shared" si="651"/>
        <v>100645</v>
      </c>
      <c r="U431" s="6">
        <f t="shared" si="651"/>
        <v>155697</v>
      </c>
      <c r="V431" s="6">
        <f t="shared" si="651"/>
        <v>87941</v>
      </c>
      <c r="W431" s="6">
        <f t="shared" si="651"/>
        <v>118379</v>
      </c>
      <c r="X431" s="6">
        <f t="shared" si="651"/>
        <v>184572</v>
      </c>
      <c r="Y431" s="6">
        <f t="shared" si="651"/>
        <v>226880</v>
      </c>
      <c r="Z431" s="6">
        <f t="shared" si="651"/>
        <v>291090</v>
      </c>
      <c r="AA431" s="6">
        <f t="shared" si="651"/>
        <v>368840</v>
      </c>
      <c r="AB431" s="6">
        <f t="shared" si="651"/>
        <v>247837</v>
      </c>
      <c r="AC431" s="6">
        <f t="shared" si="651"/>
        <v>354517</v>
      </c>
      <c r="AF431" s="6">
        <f t="shared" ref="AF431:AJ431" si="652">AE434</f>
        <v>-12456</v>
      </c>
      <c r="AG431" s="6">
        <f t="shared" si="652"/>
        <v>44625</v>
      </c>
      <c r="AH431" s="6">
        <f t="shared" si="652"/>
        <v>35689</v>
      </c>
      <c r="AI431" s="6">
        <f t="shared" si="652"/>
        <v>87941</v>
      </c>
      <c r="AJ431" s="6">
        <f t="shared" si="652"/>
        <v>291090</v>
      </c>
    </row>
    <row r="432" spans="2:36" x14ac:dyDescent="0.25">
      <c r="B432" s="2" t="s">
        <v>112</v>
      </c>
      <c r="F432" s="6">
        <f t="shared" ref="F432:AB432" si="653">F32</f>
        <v>14469</v>
      </c>
      <c r="G432" s="6">
        <f t="shared" si="653"/>
        <v>17150</v>
      </c>
      <c r="H432" s="6">
        <f t="shared" si="653"/>
        <v>18984</v>
      </c>
      <c r="I432" s="6">
        <f t="shared" si="653"/>
        <v>35210</v>
      </c>
      <c r="J432" s="6">
        <f t="shared" si="653"/>
        <v>21767</v>
      </c>
      <c r="K432" s="6">
        <f t="shared" si="653"/>
        <v>24770</v>
      </c>
      <c r="L432" s="6">
        <f t="shared" si="653"/>
        <v>36702</v>
      </c>
      <c r="M432" s="6">
        <f t="shared" si="653"/>
        <v>33119</v>
      </c>
      <c r="N432" s="6">
        <f t="shared" si="653"/>
        <v>30372</v>
      </c>
      <c r="O432" s="6">
        <f t="shared" si="653"/>
        <v>19715</v>
      </c>
      <c r="P432" s="6">
        <f t="shared" si="653"/>
        <v>29354</v>
      </c>
      <c r="Q432" s="6">
        <f t="shared" si="653"/>
        <v>-79598</v>
      </c>
      <c r="R432" s="6">
        <f t="shared" si="653"/>
        <v>45698</v>
      </c>
      <c r="S432" s="6">
        <f t="shared" si="653"/>
        <v>47145</v>
      </c>
      <c r="T432" s="6">
        <f t="shared" si="653"/>
        <v>38119</v>
      </c>
      <c r="U432" s="6">
        <f t="shared" si="653"/>
        <v>159939</v>
      </c>
      <c r="V432" s="6">
        <f t="shared" si="653"/>
        <v>57902</v>
      </c>
      <c r="W432" s="6">
        <f t="shared" si="653"/>
        <v>54377</v>
      </c>
      <c r="X432" s="6">
        <f t="shared" si="653"/>
        <v>21413</v>
      </c>
      <c r="Y432" s="6">
        <f t="shared" si="653"/>
        <v>202987</v>
      </c>
      <c r="Z432" s="6">
        <f t="shared" si="653"/>
        <v>78518</v>
      </c>
      <c r="AA432" s="6">
        <f t="shared" si="653"/>
        <v>62478</v>
      </c>
      <c r="AB432" s="6">
        <f t="shared" si="653"/>
        <v>111764</v>
      </c>
      <c r="AC432" s="6">
        <f t="shared" ref="AC432" si="654">AC32</f>
        <v>230111.06400000022</v>
      </c>
      <c r="AE432" s="6">
        <f t="shared" ref="AE432:AJ432" si="655">AE32</f>
        <v>85813</v>
      </c>
      <c r="AF432" s="6">
        <f t="shared" si="655"/>
        <v>116358</v>
      </c>
      <c r="AG432" s="6">
        <f t="shared" si="655"/>
        <v>-157</v>
      </c>
      <c r="AH432" s="6">
        <f t="shared" si="655"/>
        <v>290901</v>
      </c>
      <c r="AI432" s="6">
        <f t="shared" si="655"/>
        <v>336679</v>
      </c>
      <c r="AJ432" s="6">
        <f t="shared" si="655"/>
        <v>482871.0640000003</v>
      </c>
    </row>
    <row r="433" spans="2:36" x14ac:dyDescent="0.25">
      <c r="B433" s="2" t="s">
        <v>225</v>
      </c>
      <c r="F433" s="6">
        <f>F434-SUM(F431:F432)</f>
        <v>12072</v>
      </c>
      <c r="G433" s="6">
        <f>G434-SUM(G431:G432)</f>
        <v>-15716</v>
      </c>
      <c r="H433" s="6">
        <f t="shared" ref="H433:AJ433" si="656">H434-SUM(H431:H432)</f>
        <v>1176</v>
      </c>
      <c r="I433" s="6">
        <f t="shared" si="656"/>
        <v>-95801</v>
      </c>
      <c r="J433" s="6">
        <f t="shared" si="656"/>
        <v>7820</v>
      </c>
      <c r="K433" s="6">
        <f t="shared" si="656"/>
        <v>-5647</v>
      </c>
      <c r="L433" s="6">
        <f t="shared" si="656"/>
        <v>8843</v>
      </c>
      <c r="M433" s="6">
        <f t="shared" si="656"/>
        <v>-70293</v>
      </c>
      <c r="N433" s="6">
        <f t="shared" si="656"/>
        <v>4751</v>
      </c>
      <c r="O433" s="6">
        <f t="shared" si="656"/>
        <v>1924</v>
      </c>
      <c r="P433" s="6">
        <f t="shared" si="656"/>
        <v>-25786</v>
      </c>
      <c r="Q433" s="6">
        <f t="shared" si="656"/>
        <v>10332</v>
      </c>
      <c r="R433" s="6">
        <f t="shared" si="656"/>
        <v>-1698</v>
      </c>
      <c r="S433" s="6">
        <f t="shared" si="656"/>
        <v>-26189</v>
      </c>
      <c r="T433" s="6">
        <f t="shared" si="656"/>
        <v>16933</v>
      </c>
      <c r="U433" s="6">
        <f t="shared" si="656"/>
        <v>-227695</v>
      </c>
      <c r="V433" s="6">
        <f t="shared" si="656"/>
        <v>-27464</v>
      </c>
      <c r="W433" s="6">
        <f t="shared" si="656"/>
        <v>11816</v>
      </c>
      <c r="X433" s="6">
        <f t="shared" si="656"/>
        <v>20895</v>
      </c>
      <c r="Y433" s="6">
        <f t="shared" si="656"/>
        <v>-138777</v>
      </c>
      <c r="Z433" s="6">
        <f t="shared" si="656"/>
        <v>-768</v>
      </c>
      <c r="AA433" s="6">
        <f t="shared" si="656"/>
        <v>-183481</v>
      </c>
      <c r="AB433" s="6">
        <f t="shared" si="656"/>
        <v>-5084</v>
      </c>
      <c r="AC433" s="6">
        <f t="shared" ref="AC433" si="657">AC434-SUM(AC431:AC432)</f>
        <v>-129654.11700000026</v>
      </c>
      <c r="AE433" s="6">
        <f t="shared" si="656"/>
        <v>-98269</v>
      </c>
      <c r="AF433" s="6">
        <f t="shared" si="656"/>
        <v>-59277</v>
      </c>
      <c r="AG433" s="6">
        <f t="shared" si="656"/>
        <v>-8779</v>
      </c>
      <c r="AH433" s="6">
        <f t="shared" si="656"/>
        <v>-238649</v>
      </c>
      <c r="AI433" s="6">
        <f t="shared" si="656"/>
        <v>-133530</v>
      </c>
      <c r="AJ433" s="6">
        <f t="shared" si="656"/>
        <v>-318987.11700000026</v>
      </c>
    </row>
    <row r="434" spans="2:36" x14ac:dyDescent="0.25">
      <c r="B434" s="8" t="s">
        <v>204</v>
      </c>
      <c r="C434" s="8"/>
      <c r="D434" s="8"/>
      <c r="E434" s="16"/>
      <c r="F434" s="16">
        <f t="shared" ref="F434:AB434" si="658">F70</f>
        <v>26541</v>
      </c>
      <c r="G434" s="16">
        <f t="shared" si="658"/>
        <v>27975</v>
      </c>
      <c r="H434" s="16">
        <f t="shared" si="658"/>
        <v>48135</v>
      </c>
      <c r="I434" s="16">
        <f t="shared" si="658"/>
        <v>-12456</v>
      </c>
      <c r="J434" s="16">
        <f t="shared" si="658"/>
        <v>17131</v>
      </c>
      <c r="K434" s="16">
        <f t="shared" si="658"/>
        <v>36254</v>
      </c>
      <c r="L434" s="16">
        <f t="shared" si="658"/>
        <v>81799</v>
      </c>
      <c r="M434" s="16">
        <f t="shared" si="658"/>
        <v>44625</v>
      </c>
      <c r="N434" s="16">
        <f t="shared" si="658"/>
        <v>79748</v>
      </c>
      <c r="O434" s="16">
        <f t="shared" si="658"/>
        <v>101387</v>
      </c>
      <c r="P434" s="16">
        <f t="shared" si="658"/>
        <v>104955</v>
      </c>
      <c r="Q434" s="16">
        <f t="shared" si="658"/>
        <v>35689</v>
      </c>
      <c r="R434" s="16">
        <f t="shared" si="658"/>
        <v>79689</v>
      </c>
      <c r="S434" s="16">
        <f t="shared" si="658"/>
        <v>100645</v>
      </c>
      <c r="T434" s="16">
        <f t="shared" si="658"/>
        <v>155697</v>
      </c>
      <c r="U434" s="16">
        <f t="shared" si="658"/>
        <v>87941</v>
      </c>
      <c r="V434" s="16">
        <f t="shared" si="658"/>
        <v>118379</v>
      </c>
      <c r="W434" s="16">
        <f t="shared" si="658"/>
        <v>184572</v>
      </c>
      <c r="X434" s="16">
        <f t="shared" si="658"/>
        <v>226880</v>
      </c>
      <c r="Y434" s="16">
        <f t="shared" si="658"/>
        <v>291090</v>
      </c>
      <c r="Z434" s="16">
        <f t="shared" si="658"/>
        <v>368840</v>
      </c>
      <c r="AA434" s="16">
        <f t="shared" si="658"/>
        <v>247837</v>
      </c>
      <c r="AB434" s="16">
        <f t="shared" si="658"/>
        <v>354517</v>
      </c>
      <c r="AC434" s="16">
        <f t="shared" ref="AC434" si="659">AC70</f>
        <v>454973.94699999999</v>
      </c>
      <c r="AE434" s="16">
        <f t="shared" ref="AE434:AJ434" si="660">AE70</f>
        <v>-12456</v>
      </c>
      <c r="AF434" s="16">
        <f t="shared" si="660"/>
        <v>44625</v>
      </c>
      <c r="AG434" s="16">
        <f t="shared" si="660"/>
        <v>35689</v>
      </c>
      <c r="AH434" s="16">
        <f t="shared" si="660"/>
        <v>87941</v>
      </c>
      <c r="AI434" s="16">
        <f t="shared" si="660"/>
        <v>291090</v>
      </c>
      <c r="AJ434" s="16">
        <f t="shared" si="660"/>
        <v>454973.94699999999</v>
      </c>
    </row>
    <row r="435" spans="2:36" x14ac:dyDescent="0.25">
      <c r="B435" s="4"/>
      <c r="C435" s="4"/>
      <c r="D435" s="4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E435" s="90"/>
      <c r="AF435" s="90"/>
      <c r="AG435" s="90"/>
      <c r="AH435" s="90"/>
      <c r="AI435" s="90"/>
      <c r="AJ435" s="90"/>
    </row>
    <row r="436" spans="2:36" x14ac:dyDescent="0.25">
      <c r="B436" s="2" t="s">
        <v>223</v>
      </c>
      <c r="F436" s="6">
        <f>'Raw Historical Financials'!C120</f>
        <v>0</v>
      </c>
      <c r="G436" s="6">
        <f>'Raw Historical Financials'!D120-'Raw Historical Financials'!C120</f>
        <v>0</v>
      </c>
      <c r="H436" s="6">
        <f>'Raw Historical Financials'!E120-'Raw Historical Financials'!D120</f>
        <v>0</v>
      </c>
      <c r="I436" s="6">
        <f>'Raw Historical Financials'!F120-'Raw Historical Financials'!E120</f>
        <v>0</v>
      </c>
      <c r="J436" s="6">
        <f>'Raw Historical Financials'!G120</f>
        <v>0</v>
      </c>
      <c r="K436" s="6">
        <f>'Raw Historical Financials'!H120-'Raw Historical Financials'!G120</f>
        <v>0</v>
      </c>
      <c r="L436" s="6">
        <f>'Raw Historical Financials'!I120-'Raw Historical Financials'!H120</f>
        <v>0</v>
      </c>
      <c r="M436" s="6">
        <f>'Raw Historical Financials'!J120-'Raw Historical Financials'!I120</f>
        <v>0</v>
      </c>
      <c r="N436" s="6">
        <f>'Raw Historical Financials'!K120</f>
        <v>0</v>
      </c>
      <c r="O436" s="6">
        <f>'Raw Historical Financials'!L120-'Raw Historical Financials'!K120</f>
        <v>0</v>
      </c>
      <c r="P436" s="6">
        <f>'Raw Historical Financials'!M120-'Raw Historical Financials'!L120</f>
        <v>0</v>
      </c>
      <c r="Q436" s="6">
        <f>'Raw Historical Financials'!N120-'Raw Historical Financials'!M120</f>
        <v>-15000</v>
      </c>
      <c r="R436" s="6">
        <f>'Raw Historical Financials'!O120</f>
        <v>0</v>
      </c>
      <c r="S436" s="6">
        <f>'Raw Historical Financials'!P120-'Raw Historical Financials'!O120</f>
        <v>0</v>
      </c>
      <c r="T436" s="6">
        <f>'Raw Historical Financials'!Q120-'Raw Historical Financials'!P120</f>
        <v>0</v>
      </c>
      <c r="U436" s="6">
        <f>'Raw Historical Financials'!R120-'Raw Historical Financials'!Q120</f>
        <v>0</v>
      </c>
      <c r="V436" s="6">
        <f>'Raw Historical Financials'!S120</f>
        <v>0</v>
      </c>
      <c r="W436" s="6">
        <f>'Raw Historical Financials'!T120-'Raw Historical Financials'!S120</f>
        <v>0</v>
      </c>
      <c r="X436" s="6">
        <f>'Raw Historical Financials'!U120-'Raw Historical Financials'!T120</f>
        <v>0</v>
      </c>
      <c r="Y436" s="6">
        <f>'Raw Historical Financials'!V120-'Raw Historical Financials'!U120</f>
        <v>0</v>
      </c>
      <c r="Z436" s="6">
        <f>'Raw Historical Financials'!W120</f>
        <v>0</v>
      </c>
      <c r="AA436" s="6">
        <f>'Raw Historical Financials'!X120-'Raw Historical Financials'!W120</f>
        <v>-75000</v>
      </c>
      <c r="AB436" s="6">
        <f>'Raw Historical Financials'!Y120-'Raw Historical Financials'!X120</f>
        <v>0</v>
      </c>
      <c r="AC436" s="6">
        <f>'Raw Historical Financials'!Z120-'Raw Historical Financials'!Y120</f>
        <v>0</v>
      </c>
      <c r="AE436" s="6">
        <f t="shared" ref="AE436:AJ436" si="661">SUMIF($F$2:$AB$2,AE$2,$F436:$AB436)</f>
        <v>0</v>
      </c>
      <c r="AF436" s="6">
        <f t="shared" si="661"/>
        <v>0</v>
      </c>
      <c r="AG436" s="6">
        <f t="shared" si="661"/>
        <v>-15000</v>
      </c>
      <c r="AH436" s="6">
        <f t="shared" si="661"/>
        <v>0</v>
      </c>
      <c r="AI436" s="6">
        <f t="shared" si="661"/>
        <v>0</v>
      </c>
      <c r="AJ436" s="6">
        <f t="shared" si="661"/>
        <v>-75000</v>
      </c>
    </row>
    <row r="437" spans="2:36" x14ac:dyDescent="0.25">
      <c r="B437" s="2" t="s">
        <v>224</v>
      </c>
      <c r="F437" s="30">
        <f>IFERROR(F436/F432,0)</f>
        <v>0</v>
      </c>
      <c r="G437" s="30">
        <f t="shared" ref="G437:AJ437" si="662">IFERROR(G436/G432,0)</f>
        <v>0</v>
      </c>
      <c r="H437" s="30">
        <f t="shared" si="662"/>
        <v>0</v>
      </c>
      <c r="I437" s="30">
        <f t="shared" si="662"/>
        <v>0</v>
      </c>
      <c r="J437" s="30">
        <f t="shared" si="662"/>
        <v>0</v>
      </c>
      <c r="K437" s="30">
        <f t="shared" si="662"/>
        <v>0</v>
      </c>
      <c r="L437" s="30">
        <f t="shared" si="662"/>
        <v>0</v>
      </c>
      <c r="M437" s="30">
        <f t="shared" si="662"/>
        <v>0</v>
      </c>
      <c r="N437" s="30">
        <f t="shared" si="662"/>
        <v>0</v>
      </c>
      <c r="O437" s="30">
        <f t="shared" si="662"/>
        <v>0</v>
      </c>
      <c r="P437" s="30">
        <f t="shared" si="662"/>
        <v>0</v>
      </c>
      <c r="Q437" s="30">
        <f t="shared" si="662"/>
        <v>0.18844694590316341</v>
      </c>
      <c r="R437" s="30">
        <f t="shared" si="662"/>
        <v>0</v>
      </c>
      <c r="S437" s="30">
        <f t="shared" si="662"/>
        <v>0</v>
      </c>
      <c r="T437" s="30">
        <f t="shared" si="662"/>
        <v>0</v>
      </c>
      <c r="U437" s="30">
        <f t="shared" si="662"/>
        <v>0</v>
      </c>
      <c r="V437" s="30">
        <f t="shared" si="662"/>
        <v>0</v>
      </c>
      <c r="W437" s="30">
        <f t="shared" si="662"/>
        <v>0</v>
      </c>
      <c r="X437" s="30">
        <f t="shared" si="662"/>
        <v>0</v>
      </c>
      <c r="Y437" s="30">
        <f t="shared" si="662"/>
        <v>0</v>
      </c>
      <c r="Z437" s="30">
        <f t="shared" si="662"/>
        <v>0</v>
      </c>
      <c r="AA437" s="30">
        <f t="shared" si="662"/>
        <v>-1.2004225487371554</v>
      </c>
      <c r="AB437" s="30">
        <f t="shared" si="662"/>
        <v>0</v>
      </c>
      <c r="AC437" s="30">
        <f t="shared" ref="AC437" si="663">IFERROR(AC436/AC432,0)</f>
        <v>0</v>
      </c>
      <c r="AE437" s="30">
        <f t="shared" si="662"/>
        <v>0</v>
      </c>
      <c r="AF437" s="30">
        <f t="shared" si="662"/>
        <v>0</v>
      </c>
      <c r="AG437" s="30">
        <f t="shared" si="662"/>
        <v>95.541401273885356</v>
      </c>
      <c r="AH437" s="30">
        <f t="shared" si="662"/>
        <v>0</v>
      </c>
      <c r="AI437" s="30">
        <f t="shared" si="662"/>
        <v>0</v>
      </c>
      <c r="AJ437" s="30">
        <f t="shared" si="662"/>
        <v>-0.15532096576406151</v>
      </c>
    </row>
    <row r="438" spans="2:36" x14ac:dyDescent="0.25">
      <c r="B438" s="76" t="s">
        <v>141</v>
      </c>
      <c r="C438" s="77"/>
      <c r="D438" s="94">
        <f>MAX($G437:$AC437)</f>
        <v>0.18844694590316341</v>
      </c>
    </row>
    <row r="439" spans="2:36" x14ac:dyDescent="0.25">
      <c r="B439" s="79" t="s">
        <v>169</v>
      </c>
      <c r="C439" s="80"/>
      <c r="D439" s="81">
        <f>AVERAGE($G437:$AC437)</f>
        <v>-4.3998939253651823E-2</v>
      </c>
    </row>
    <row r="440" spans="2:36" x14ac:dyDescent="0.25">
      <c r="B440" s="79" t="s">
        <v>139</v>
      </c>
      <c r="C440" s="80"/>
      <c r="D440" s="81">
        <f>MEDIAN($G437:$AC437)</f>
        <v>0</v>
      </c>
    </row>
    <row r="441" spans="2:36" x14ac:dyDescent="0.25">
      <c r="B441" s="82" t="s">
        <v>140</v>
      </c>
      <c r="C441" s="83"/>
      <c r="D441" s="84">
        <f>MIN($G437:$AC437)</f>
        <v>-1.2004225487371554</v>
      </c>
    </row>
    <row r="444" spans="2:36" x14ac:dyDescent="0.25">
      <c r="B444" s="73" t="s">
        <v>37</v>
      </c>
      <c r="C444" s="86"/>
      <c r="D444" s="86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</row>
    <row r="445" spans="2:36" x14ac:dyDescent="0.25">
      <c r="B445" s="2" t="s">
        <v>214</v>
      </c>
      <c r="G445" s="6">
        <f>F447</f>
        <v>50765</v>
      </c>
      <c r="H445" s="6">
        <f t="shared" ref="H445:AC445" si="664">G447</f>
        <v>50765</v>
      </c>
      <c r="I445" s="6">
        <f t="shared" si="664"/>
        <v>50765</v>
      </c>
      <c r="J445" s="6">
        <f t="shared" si="664"/>
        <v>56427</v>
      </c>
      <c r="K445" s="6">
        <f t="shared" si="664"/>
        <v>56427</v>
      </c>
      <c r="L445" s="6">
        <f t="shared" si="664"/>
        <v>56427</v>
      </c>
      <c r="M445" s="6">
        <f t="shared" si="664"/>
        <v>56427</v>
      </c>
      <c r="N445" s="6">
        <f t="shared" si="664"/>
        <v>56427</v>
      </c>
      <c r="O445" s="6">
        <f t="shared" si="664"/>
        <v>56427</v>
      </c>
      <c r="P445" s="6">
        <f t="shared" si="664"/>
        <v>56427</v>
      </c>
      <c r="Q445" s="6">
        <f t="shared" si="664"/>
        <v>56427</v>
      </c>
      <c r="R445" s="6">
        <f t="shared" si="664"/>
        <v>325693</v>
      </c>
      <c r="S445" s="6">
        <f t="shared" si="664"/>
        <v>325693</v>
      </c>
      <c r="T445" s="6">
        <f t="shared" si="664"/>
        <v>325693</v>
      </c>
      <c r="U445" s="6">
        <f t="shared" si="664"/>
        <v>325693</v>
      </c>
      <c r="V445" s="6">
        <f t="shared" si="664"/>
        <v>325693</v>
      </c>
      <c r="W445" s="6">
        <f t="shared" si="664"/>
        <v>325693</v>
      </c>
      <c r="X445" s="6">
        <f t="shared" si="664"/>
        <v>325693</v>
      </c>
      <c r="Y445" s="6">
        <f t="shared" si="664"/>
        <v>325693</v>
      </c>
      <c r="Z445" s="6">
        <f t="shared" si="664"/>
        <v>325693</v>
      </c>
      <c r="AA445" s="6">
        <f t="shared" si="664"/>
        <v>325693</v>
      </c>
      <c r="AB445" s="6">
        <f t="shared" si="664"/>
        <v>325693</v>
      </c>
      <c r="AC445" s="6">
        <f t="shared" si="664"/>
        <v>325693</v>
      </c>
      <c r="AF445" s="6">
        <f t="shared" ref="AF445:AJ445" si="665">AE447</f>
        <v>56427</v>
      </c>
      <c r="AG445" s="6">
        <f t="shared" si="665"/>
        <v>56427</v>
      </c>
      <c r="AH445" s="6">
        <f t="shared" si="665"/>
        <v>325693</v>
      </c>
      <c r="AI445" s="6">
        <f t="shared" si="665"/>
        <v>325693</v>
      </c>
      <c r="AJ445" s="6">
        <f t="shared" si="665"/>
        <v>325693</v>
      </c>
    </row>
    <row r="446" spans="2:36" x14ac:dyDescent="0.25">
      <c r="B446" s="2" t="s">
        <v>219</v>
      </c>
      <c r="F446" s="6">
        <f>F447-F445</f>
        <v>50765</v>
      </c>
      <c r="G446" s="6">
        <f t="shared" ref="G446" si="666">G447-G445</f>
        <v>0</v>
      </c>
      <c r="H446" s="6">
        <f t="shared" ref="H446" si="667">H447-H445</f>
        <v>0</v>
      </c>
      <c r="I446" s="6">
        <f t="shared" ref="I446" si="668">I447-I445</f>
        <v>5662</v>
      </c>
      <c r="J446" s="6">
        <f t="shared" ref="J446" si="669">J447-J445</f>
        <v>0</v>
      </c>
      <c r="K446" s="6">
        <f t="shared" ref="K446" si="670">K447-K445</f>
        <v>0</v>
      </c>
      <c r="L446" s="6">
        <f t="shared" ref="L446" si="671">L447-L445</f>
        <v>0</v>
      </c>
      <c r="M446" s="6">
        <f t="shared" ref="M446" si="672">M447-M445</f>
        <v>0</v>
      </c>
      <c r="N446" s="6">
        <f t="shared" ref="N446" si="673">N447-N445</f>
        <v>0</v>
      </c>
      <c r="O446" s="6">
        <f t="shared" ref="O446" si="674">O447-O445</f>
        <v>0</v>
      </c>
      <c r="P446" s="6">
        <f t="shared" ref="P446" si="675">P447-P445</f>
        <v>0</v>
      </c>
      <c r="Q446" s="6">
        <f t="shared" ref="Q446" si="676">Q447-Q445</f>
        <v>269266</v>
      </c>
      <c r="R446" s="6">
        <f t="shared" ref="R446" si="677">R447-R445</f>
        <v>0</v>
      </c>
      <c r="S446" s="6">
        <f t="shared" ref="S446" si="678">S447-S445</f>
        <v>0</v>
      </c>
      <c r="T446" s="6">
        <f t="shared" ref="T446" si="679">T447-T445</f>
        <v>0</v>
      </c>
      <c r="U446" s="6">
        <f t="shared" ref="U446" si="680">U447-U445</f>
        <v>0</v>
      </c>
      <c r="V446" s="6">
        <f t="shared" ref="V446" si="681">V447-V445</f>
        <v>0</v>
      </c>
      <c r="W446" s="6">
        <f t="shared" ref="W446" si="682">W447-W445</f>
        <v>0</v>
      </c>
      <c r="X446" s="6">
        <f t="shared" ref="X446" si="683">X447-X445</f>
        <v>0</v>
      </c>
      <c r="Y446" s="6">
        <f t="shared" ref="Y446" si="684">Y447-Y445</f>
        <v>0</v>
      </c>
      <c r="Z446" s="6">
        <f t="shared" ref="Z446" si="685">Z447-Z445</f>
        <v>0</v>
      </c>
      <c r="AA446" s="6">
        <f t="shared" ref="AA446" si="686">AA447-AA445</f>
        <v>0</v>
      </c>
      <c r="AB446" s="6">
        <f t="shared" ref="AB446:AC446" si="687">AB447-AB445</f>
        <v>0</v>
      </c>
      <c r="AC446" s="6">
        <f t="shared" si="687"/>
        <v>0.41399999998975545</v>
      </c>
      <c r="AF446" s="6">
        <f t="shared" ref="AF446" si="688">AF447-AF445</f>
        <v>0</v>
      </c>
      <c r="AG446" s="6">
        <f t="shared" ref="AG446" si="689">AG447-AG445</f>
        <v>269266</v>
      </c>
      <c r="AH446" s="6">
        <f t="shared" ref="AH446" si="690">AH447-AH445</f>
        <v>0</v>
      </c>
      <c r="AI446" s="6">
        <f t="shared" ref="AI446" si="691">AI447-AI445</f>
        <v>0</v>
      </c>
      <c r="AJ446" s="6">
        <f t="shared" ref="AJ446" si="692">AJ447-AJ445</f>
        <v>0.41399999998975545</v>
      </c>
    </row>
    <row r="447" spans="2:36" x14ac:dyDescent="0.25">
      <c r="B447" s="8" t="s">
        <v>204</v>
      </c>
      <c r="C447" s="8"/>
      <c r="D447" s="8"/>
      <c r="E447" s="16"/>
      <c r="F447" s="16">
        <f t="shared" ref="F447:AB447" si="693">F71</f>
        <v>50765</v>
      </c>
      <c r="G447" s="16">
        <f t="shared" si="693"/>
        <v>50765</v>
      </c>
      <c r="H447" s="16">
        <f t="shared" si="693"/>
        <v>50765</v>
      </c>
      <c r="I447" s="16">
        <f t="shared" si="693"/>
        <v>56427</v>
      </c>
      <c r="J447" s="16">
        <f t="shared" si="693"/>
        <v>56427</v>
      </c>
      <c r="K447" s="16">
        <f t="shared" si="693"/>
        <v>56427</v>
      </c>
      <c r="L447" s="16">
        <f t="shared" si="693"/>
        <v>56427</v>
      </c>
      <c r="M447" s="16">
        <f t="shared" si="693"/>
        <v>56427</v>
      </c>
      <c r="N447" s="16">
        <f t="shared" si="693"/>
        <v>56427</v>
      </c>
      <c r="O447" s="16">
        <f t="shared" si="693"/>
        <v>56427</v>
      </c>
      <c r="P447" s="16">
        <f t="shared" si="693"/>
        <v>56427</v>
      </c>
      <c r="Q447" s="16">
        <f t="shared" si="693"/>
        <v>325693</v>
      </c>
      <c r="R447" s="16">
        <f t="shared" si="693"/>
        <v>325693</v>
      </c>
      <c r="S447" s="16">
        <f t="shared" si="693"/>
        <v>325693</v>
      </c>
      <c r="T447" s="16">
        <f t="shared" si="693"/>
        <v>325693</v>
      </c>
      <c r="U447" s="16">
        <f t="shared" si="693"/>
        <v>325693</v>
      </c>
      <c r="V447" s="16">
        <f t="shared" si="693"/>
        <v>325693</v>
      </c>
      <c r="W447" s="16">
        <f t="shared" si="693"/>
        <v>325693</v>
      </c>
      <c r="X447" s="16">
        <f t="shared" si="693"/>
        <v>325693</v>
      </c>
      <c r="Y447" s="16">
        <f t="shared" si="693"/>
        <v>325693</v>
      </c>
      <c r="Z447" s="16">
        <f t="shared" si="693"/>
        <v>325693</v>
      </c>
      <c r="AA447" s="16">
        <f t="shared" si="693"/>
        <v>325693</v>
      </c>
      <c r="AB447" s="16">
        <f t="shared" si="693"/>
        <v>325693</v>
      </c>
      <c r="AC447" s="16">
        <f t="shared" ref="AC447" si="694">AC71</f>
        <v>325693.41399999999</v>
      </c>
      <c r="AE447" s="16">
        <f t="shared" ref="AE447:AJ447" si="695">AE71</f>
        <v>56427</v>
      </c>
      <c r="AF447" s="16">
        <f t="shared" si="695"/>
        <v>56427</v>
      </c>
      <c r="AG447" s="16">
        <f t="shared" si="695"/>
        <v>325693</v>
      </c>
      <c r="AH447" s="16">
        <f t="shared" si="695"/>
        <v>325693</v>
      </c>
      <c r="AI447" s="16">
        <f t="shared" si="695"/>
        <v>325693</v>
      </c>
      <c r="AJ447" s="16">
        <f t="shared" si="695"/>
        <v>325693.41399999999</v>
      </c>
    </row>
    <row r="449" spans="2:36" x14ac:dyDescent="0.25">
      <c r="B449" s="2" t="s">
        <v>221</v>
      </c>
      <c r="G449" s="30">
        <f>IFERROR(G446/G445,0)</f>
        <v>0</v>
      </c>
      <c r="H449" s="30">
        <f t="shared" ref="H449:AB449" si="696">IFERROR(H446/H445,0)</f>
        <v>0</v>
      </c>
      <c r="I449" s="30">
        <f t="shared" si="696"/>
        <v>0.11153353688564956</v>
      </c>
      <c r="J449" s="30">
        <f t="shared" si="696"/>
        <v>0</v>
      </c>
      <c r="K449" s="30">
        <f t="shared" si="696"/>
        <v>0</v>
      </c>
      <c r="L449" s="30">
        <f t="shared" si="696"/>
        <v>0</v>
      </c>
      <c r="M449" s="30">
        <f t="shared" si="696"/>
        <v>0</v>
      </c>
      <c r="N449" s="30">
        <f t="shared" si="696"/>
        <v>0</v>
      </c>
      <c r="O449" s="30">
        <f t="shared" si="696"/>
        <v>0</v>
      </c>
      <c r="P449" s="30">
        <f t="shared" si="696"/>
        <v>0</v>
      </c>
      <c r="Q449" s="30">
        <f t="shared" si="696"/>
        <v>4.7719354209864076</v>
      </c>
      <c r="R449" s="30">
        <f t="shared" si="696"/>
        <v>0</v>
      </c>
      <c r="S449" s="30">
        <f t="shared" si="696"/>
        <v>0</v>
      </c>
      <c r="T449" s="30">
        <f t="shared" si="696"/>
        <v>0</v>
      </c>
      <c r="U449" s="30">
        <f t="shared" si="696"/>
        <v>0</v>
      </c>
      <c r="V449" s="30">
        <f t="shared" si="696"/>
        <v>0</v>
      </c>
      <c r="W449" s="30">
        <f t="shared" si="696"/>
        <v>0</v>
      </c>
      <c r="X449" s="30">
        <f t="shared" si="696"/>
        <v>0</v>
      </c>
      <c r="Y449" s="30">
        <f t="shared" si="696"/>
        <v>0</v>
      </c>
      <c r="Z449" s="30">
        <f t="shared" si="696"/>
        <v>0</v>
      </c>
      <c r="AA449" s="30">
        <f t="shared" si="696"/>
        <v>0</v>
      </c>
      <c r="AB449" s="30">
        <f t="shared" si="696"/>
        <v>0</v>
      </c>
      <c r="AC449" s="30">
        <f t="shared" ref="AC449" si="697">IFERROR(AC446/AC445,0)</f>
        <v>1.2711357013806113E-6</v>
      </c>
      <c r="AE449" s="30">
        <f t="shared" ref="AE449:AJ449" si="698">IFERROR(AE446/AE445,0)</f>
        <v>0</v>
      </c>
      <c r="AF449" s="30">
        <f t="shared" si="698"/>
        <v>0</v>
      </c>
      <c r="AG449" s="30">
        <f t="shared" si="698"/>
        <v>4.7719354209864076</v>
      </c>
      <c r="AH449" s="30">
        <f t="shared" si="698"/>
        <v>0</v>
      </c>
      <c r="AI449" s="30">
        <f t="shared" si="698"/>
        <v>0</v>
      </c>
      <c r="AJ449" s="30">
        <f t="shared" si="698"/>
        <v>1.2711357013806113E-6</v>
      </c>
    </row>
    <row r="450" spans="2:36" x14ac:dyDescent="0.25">
      <c r="B450" s="76" t="s">
        <v>141</v>
      </c>
      <c r="C450" s="77"/>
      <c r="D450" s="94">
        <f>MAX($G449:$AC449)</f>
        <v>4.7719354209864076</v>
      </c>
    </row>
    <row r="451" spans="2:36" x14ac:dyDescent="0.25">
      <c r="B451" s="79" t="s">
        <v>169</v>
      </c>
      <c r="C451" s="80"/>
      <c r="D451" s="81">
        <f>AVERAGE($G449:$AC449)</f>
        <v>0.21232479256555473</v>
      </c>
    </row>
    <row r="452" spans="2:36" x14ac:dyDescent="0.25">
      <c r="B452" s="79" t="s">
        <v>139</v>
      </c>
      <c r="C452" s="80"/>
      <c r="D452" s="81">
        <f>MEDIAN($G449:$AC449)</f>
        <v>0</v>
      </c>
    </row>
    <row r="453" spans="2:36" x14ac:dyDescent="0.25">
      <c r="B453" s="82" t="s">
        <v>140</v>
      </c>
      <c r="C453" s="83"/>
      <c r="D453" s="84">
        <f>MIN($G449:$AC449)</f>
        <v>0</v>
      </c>
    </row>
    <row r="456" spans="2:36" x14ac:dyDescent="0.25">
      <c r="B456" s="73" t="s">
        <v>38</v>
      </c>
      <c r="C456" s="86"/>
      <c r="D456" s="86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</row>
    <row r="457" spans="2:36" x14ac:dyDescent="0.25">
      <c r="B457" s="2" t="s">
        <v>214</v>
      </c>
      <c r="G457" s="6">
        <f>F459</f>
        <v>51313</v>
      </c>
      <c r="H457" s="6">
        <f t="shared" ref="H457:AC457" si="699">G459</f>
        <v>51313</v>
      </c>
      <c r="I457" s="6">
        <f t="shared" si="699"/>
        <v>51313</v>
      </c>
      <c r="J457" s="6">
        <f t="shared" si="699"/>
        <v>94947</v>
      </c>
      <c r="K457" s="6">
        <f t="shared" si="699"/>
        <v>94947</v>
      </c>
      <c r="L457" s="6">
        <f t="shared" si="699"/>
        <v>94947</v>
      </c>
      <c r="M457" s="6">
        <f t="shared" si="699"/>
        <v>94947</v>
      </c>
      <c r="N457" s="6">
        <f t="shared" si="699"/>
        <v>153126</v>
      </c>
      <c r="O457" s="6">
        <f t="shared" si="699"/>
        <v>153126</v>
      </c>
      <c r="P457" s="6">
        <f t="shared" si="699"/>
        <v>153127</v>
      </c>
      <c r="Q457" s="6">
        <f t="shared" si="699"/>
        <v>153126</v>
      </c>
      <c r="R457" s="6">
        <f t="shared" si="699"/>
        <v>153126</v>
      </c>
      <c r="S457" s="6">
        <f t="shared" si="699"/>
        <v>153126</v>
      </c>
      <c r="T457" s="6">
        <f t="shared" si="699"/>
        <v>153126</v>
      </c>
      <c r="U457" s="6">
        <f t="shared" si="699"/>
        <v>153126</v>
      </c>
      <c r="V457" s="6">
        <f t="shared" si="699"/>
        <v>298577</v>
      </c>
      <c r="W457" s="6">
        <f t="shared" si="699"/>
        <v>298577</v>
      </c>
      <c r="X457" s="6">
        <f t="shared" si="699"/>
        <v>298577</v>
      </c>
      <c r="Y457" s="6">
        <f t="shared" si="699"/>
        <v>298577</v>
      </c>
      <c r="Z457" s="6">
        <f t="shared" si="699"/>
        <v>382743</v>
      </c>
      <c r="AA457" s="6">
        <f t="shared" si="699"/>
        <v>382743</v>
      </c>
      <c r="AB457" s="6">
        <f t="shared" si="699"/>
        <v>382743</v>
      </c>
      <c r="AC457" s="6">
        <f t="shared" si="699"/>
        <v>382743</v>
      </c>
      <c r="AF457" s="6">
        <f t="shared" ref="AF457:AJ457" si="700">AE459</f>
        <v>94947</v>
      </c>
      <c r="AG457" s="6">
        <f t="shared" si="700"/>
        <v>153126</v>
      </c>
      <c r="AH457" s="6">
        <f t="shared" si="700"/>
        <v>153126</v>
      </c>
      <c r="AI457" s="6">
        <f t="shared" si="700"/>
        <v>298577</v>
      </c>
      <c r="AJ457" s="6">
        <f t="shared" si="700"/>
        <v>382743</v>
      </c>
    </row>
    <row r="458" spans="2:36" x14ac:dyDescent="0.25">
      <c r="B458" s="2" t="s">
        <v>219</v>
      </c>
      <c r="F458" s="6">
        <f>F459-F457</f>
        <v>51313</v>
      </c>
      <c r="G458" s="6">
        <f t="shared" ref="G458" si="701">G459-G457</f>
        <v>0</v>
      </c>
      <c r="H458" s="6">
        <f t="shared" ref="H458" si="702">H459-H457</f>
        <v>0</v>
      </c>
      <c r="I458" s="6">
        <f t="shared" ref="I458" si="703">I459-I457</f>
        <v>43634</v>
      </c>
      <c r="J458" s="6">
        <f t="shared" ref="J458" si="704">J459-J457</f>
        <v>0</v>
      </c>
      <c r="K458" s="6">
        <f t="shared" ref="K458" si="705">K459-K457</f>
        <v>0</v>
      </c>
      <c r="L458" s="6">
        <f t="shared" ref="L458" si="706">L459-L457</f>
        <v>0</v>
      </c>
      <c r="M458" s="6">
        <f t="shared" ref="M458" si="707">M459-M457</f>
        <v>58179</v>
      </c>
      <c r="N458" s="6">
        <f t="shared" ref="N458" si="708">N459-N457</f>
        <v>0</v>
      </c>
      <c r="O458" s="6">
        <f t="shared" ref="O458" si="709">O459-O457</f>
        <v>1</v>
      </c>
      <c r="P458" s="6">
        <f t="shared" ref="P458" si="710">P459-P457</f>
        <v>-1</v>
      </c>
      <c r="Q458" s="6">
        <f t="shared" ref="Q458" si="711">Q459-Q457</f>
        <v>0</v>
      </c>
      <c r="R458" s="6">
        <f t="shared" ref="R458" si="712">R459-R457</f>
        <v>0</v>
      </c>
      <c r="S458" s="6">
        <f t="shared" ref="S458" si="713">S459-S457</f>
        <v>0</v>
      </c>
      <c r="T458" s="6">
        <f t="shared" ref="T458" si="714">T459-T457</f>
        <v>0</v>
      </c>
      <c r="U458" s="6">
        <f t="shared" ref="U458" si="715">U459-U457</f>
        <v>145451</v>
      </c>
      <c r="V458" s="6">
        <f t="shared" ref="V458" si="716">V459-V457</f>
        <v>0</v>
      </c>
      <c r="W458" s="6">
        <f t="shared" ref="W458" si="717">W459-W457</f>
        <v>0</v>
      </c>
      <c r="X458" s="6">
        <f t="shared" ref="X458" si="718">X459-X457</f>
        <v>0</v>
      </c>
      <c r="Y458" s="6">
        <f t="shared" ref="Y458" si="719">Y459-Y457</f>
        <v>84166</v>
      </c>
      <c r="Z458" s="6">
        <f t="shared" ref="Z458" si="720">Z459-Z457</f>
        <v>0</v>
      </c>
      <c r="AA458" s="6">
        <f t="shared" ref="AA458" si="721">AA459-AA457</f>
        <v>0</v>
      </c>
      <c r="AB458" s="6">
        <f t="shared" ref="AB458:AC458" si="722">AB459-AB457</f>
        <v>0</v>
      </c>
      <c r="AC458" s="6">
        <f t="shared" si="722"/>
        <v>120901.92499999999</v>
      </c>
      <c r="AF458" s="6">
        <f t="shared" ref="AF458" si="723">AF459-AF457</f>
        <v>58179</v>
      </c>
      <c r="AG458" s="6">
        <f t="shared" ref="AG458" si="724">AG459-AG457</f>
        <v>0</v>
      </c>
      <c r="AH458" s="6">
        <f t="shared" ref="AH458" si="725">AH459-AH457</f>
        <v>145451</v>
      </c>
      <c r="AI458" s="6">
        <f t="shared" ref="AI458" si="726">AI459-AI457</f>
        <v>84166</v>
      </c>
      <c r="AJ458" s="6">
        <f t="shared" ref="AJ458" si="727">AJ459-AJ457</f>
        <v>120901.92499999999</v>
      </c>
    </row>
    <row r="459" spans="2:36" x14ac:dyDescent="0.25">
      <c r="B459" s="8" t="s">
        <v>204</v>
      </c>
      <c r="C459" s="8"/>
      <c r="D459" s="8"/>
      <c r="E459" s="16"/>
      <c r="F459" s="16">
        <f t="shared" ref="F459:AB459" si="728">F73</f>
        <v>51313</v>
      </c>
      <c r="G459" s="16">
        <f t="shared" si="728"/>
        <v>51313</v>
      </c>
      <c r="H459" s="16">
        <f t="shared" si="728"/>
        <v>51313</v>
      </c>
      <c r="I459" s="16">
        <f t="shared" si="728"/>
        <v>94947</v>
      </c>
      <c r="J459" s="16">
        <f t="shared" si="728"/>
        <v>94947</v>
      </c>
      <c r="K459" s="16">
        <f t="shared" si="728"/>
        <v>94947</v>
      </c>
      <c r="L459" s="16">
        <f t="shared" si="728"/>
        <v>94947</v>
      </c>
      <c r="M459" s="16">
        <f t="shared" si="728"/>
        <v>153126</v>
      </c>
      <c r="N459" s="16">
        <f t="shared" si="728"/>
        <v>153126</v>
      </c>
      <c r="O459" s="16">
        <f t="shared" si="728"/>
        <v>153127</v>
      </c>
      <c r="P459" s="16">
        <f t="shared" si="728"/>
        <v>153126</v>
      </c>
      <c r="Q459" s="16">
        <f t="shared" si="728"/>
        <v>153126</v>
      </c>
      <c r="R459" s="16">
        <f t="shared" si="728"/>
        <v>153126</v>
      </c>
      <c r="S459" s="16">
        <f t="shared" si="728"/>
        <v>153126</v>
      </c>
      <c r="T459" s="16">
        <f t="shared" si="728"/>
        <v>153126</v>
      </c>
      <c r="U459" s="16">
        <f t="shared" si="728"/>
        <v>298577</v>
      </c>
      <c r="V459" s="16">
        <f t="shared" si="728"/>
        <v>298577</v>
      </c>
      <c r="W459" s="16">
        <f t="shared" si="728"/>
        <v>298577</v>
      </c>
      <c r="X459" s="16">
        <f t="shared" si="728"/>
        <v>298577</v>
      </c>
      <c r="Y459" s="16">
        <f t="shared" si="728"/>
        <v>382743</v>
      </c>
      <c r="Z459" s="16">
        <f t="shared" si="728"/>
        <v>382743</v>
      </c>
      <c r="AA459" s="16">
        <f t="shared" si="728"/>
        <v>382743</v>
      </c>
      <c r="AB459" s="16">
        <f t="shared" si="728"/>
        <v>382743</v>
      </c>
      <c r="AC459" s="16">
        <f t="shared" ref="AC459" si="729">AC73</f>
        <v>503644.92499999999</v>
      </c>
      <c r="AE459" s="16">
        <f t="shared" ref="AE459:AJ459" si="730">AE73</f>
        <v>94947</v>
      </c>
      <c r="AF459" s="16">
        <f t="shared" si="730"/>
        <v>153126</v>
      </c>
      <c r="AG459" s="16">
        <f t="shared" si="730"/>
        <v>153126</v>
      </c>
      <c r="AH459" s="16">
        <f t="shared" si="730"/>
        <v>298577</v>
      </c>
      <c r="AI459" s="16">
        <f t="shared" si="730"/>
        <v>382743</v>
      </c>
      <c r="AJ459" s="16">
        <f t="shared" si="730"/>
        <v>503644.92499999999</v>
      </c>
    </row>
    <row r="461" spans="2:36" x14ac:dyDescent="0.25">
      <c r="B461" s="2" t="s">
        <v>221</v>
      </c>
      <c r="G461" s="30">
        <f>IFERROR(G458/G457,0)</f>
        <v>0</v>
      </c>
      <c r="H461" s="30">
        <f t="shared" ref="H461:AB461" si="731">IFERROR(H458/H457,0)</f>
        <v>0</v>
      </c>
      <c r="I461" s="30">
        <f t="shared" si="731"/>
        <v>0.85034981388731901</v>
      </c>
      <c r="J461" s="30">
        <f t="shared" si="731"/>
        <v>0</v>
      </c>
      <c r="K461" s="30">
        <f t="shared" si="731"/>
        <v>0</v>
      </c>
      <c r="L461" s="30">
        <f t="shared" si="731"/>
        <v>0</v>
      </c>
      <c r="M461" s="30">
        <f t="shared" si="731"/>
        <v>0.61275237764226353</v>
      </c>
      <c r="N461" s="30">
        <f t="shared" si="731"/>
        <v>0</v>
      </c>
      <c r="O461" s="30">
        <f t="shared" si="731"/>
        <v>6.5305695962801875E-6</v>
      </c>
      <c r="P461" s="30">
        <f t="shared" si="731"/>
        <v>-6.5305269482194522E-6</v>
      </c>
      <c r="Q461" s="30">
        <f t="shared" si="731"/>
        <v>0</v>
      </c>
      <c r="R461" s="30">
        <f t="shared" si="731"/>
        <v>0</v>
      </c>
      <c r="S461" s="30">
        <f t="shared" si="731"/>
        <v>0</v>
      </c>
      <c r="T461" s="30">
        <f t="shared" si="731"/>
        <v>0</v>
      </c>
      <c r="U461" s="30">
        <f t="shared" si="731"/>
        <v>0.94987787834854953</v>
      </c>
      <c r="V461" s="30">
        <f t="shared" si="731"/>
        <v>0</v>
      </c>
      <c r="W461" s="30">
        <f t="shared" si="731"/>
        <v>0</v>
      </c>
      <c r="X461" s="30">
        <f t="shared" si="731"/>
        <v>0</v>
      </c>
      <c r="Y461" s="30">
        <f t="shared" si="731"/>
        <v>0.28189043362348742</v>
      </c>
      <c r="Z461" s="30">
        <f t="shared" si="731"/>
        <v>0</v>
      </c>
      <c r="AA461" s="30">
        <f t="shared" si="731"/>
        <v>0</v>
      </c>
      <c r="AB461" s="30">
        <f t="shared" si="731"/>
        <v>0</v>
      </c>
      <c r="AC461" s="30">
        <f t="shared" ref="AC461" si="732">IFERROR(AC458/AC457,0)</f>
        <v>0.31588278557674465</v>
      </c>
      <c r="AE461" s="30">
        <f t="shared" ref="AE461:AJ461" si="733">IFERROR(AE458/AE457,0)</f>
        <v>0</v>
      </c>
      <c r="AF461" s="30">
        <f t="shared" si="733"/>
        <v>0.61275237764226353</v>
      </c>
      <c r="AG461" s="30">
        <f t="shared" si="733"/>
        <v>0</v>
      </c>
      <c r="AH461" s="30">
        <f t="shared" si="733"/>
        <v>0.94987787834854953</v>
      </c>
      <c r="AI461" s="30">
        <f t="shared" si="733"/>
        <v>0.28189043362348742</v>
      </c>
      <c r="AJ461" s="30">
        <f t="shared" si="733"/>
        <v>0.31588278557674465</v>
      </c>
    </row>
    <row r="462" spans="2:36" x14ac:dyDescent="0.25">
      <c r="B462" s="76" t="s">
        <v>141</v>
      </c>
      <c r="C462" s="77"/>
      <c r="D462" s="94">
        <f>MAX($G461:$AC461)</f>
        <v>0.94987787834854953</v>
      </c>
    </row>
    <row r="463" spans="2:36" x14ac:dyDescent="0.25">
      <c r="B463" s="79" t="s">
        <v>169</v>
      </c>
      <c r="C463" s="80"/>
      <c r="D463" s="81">
        <f>AVERAGE($G461:$AC461)</f>
        <v>0.13090231691830487</v>
      </c>
    </row>
    <row r="464" spans="2:36" x14ac:dyDescent="0.25">
      <c r="B464" s="79" t="s">
        <v>139</v>
      </c>
      <c r="C464" s="80"/>
      <c r="D464" s="81">
        <f>MEDIAN($G461:$AC461)</f>
        <v>0</v>
      </c>
    </row>
    <row r="465" spans="2:36" x14ac:dyDescent="0.25">
      <c r="B465" s="82" t="s">
        <v>140</v>
      </c>
      <c r="C465" s="83"/>
      <c r="D465" s="84">
        <f>MIN($G461:$AC461)</f>
        <v>-6.5305269482194522E-6</v>
      </c>
    </row>
    <row r="468" spans="2:36" x14ac:dyDescent="0.25">
      <c r="B468" s="73" t="s">
        <v>39</v>
      </c>
      <c r="C468" s="86"/>
      <c r="D468" s="86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</row>
    <row r="469" spans="2:36" x14ac:dyDescent="0.25">
      <c r="B469" s="2" t="s">
        <v>214</v>
      </c>
      <c r="G469" s="6">
        <f>F471</f>
        <v>30221</v>
      </c>
      <c r="H469" s="6">
        <f t="shared" ref="H469:AC469" si="734">G471</f>
        <v>27187</v>
      </c>
      <c r="I469" s="6">
        <f t="shared" si="734"/>
        <v>26011</v>
      </c>
      <c r="J469" s="6">
        <f t="shared" si="734"/>
        <v>55299</v>
      </c>
      <c r="K469" s="6">
        <f t="shared" si="734"/>
        <v>47479</v>
      </c>
      <c r="L469" s="6">
        <f t="shared" si="734"/>
        <v>53126</v>
      </c>
      <c r="M469" s="6">
        <f t="shared" si="734"/>
        <v>44283</v>
      </c>
      <c r="N469" s="6">
        <f t="shared" si="734"/>
        <v>56397</v>
      </c>
      <c r="O469" s="6">
        <f t="shared" si="734"/>
        <v>51646</v>
      </c>
      <c r="P469" s="6">
        <f t="shared" si="734"/>
        <v>49721</v>
      </c>
      <c r="Q469" s="6">
        <f t="shared" si="734"/>
        <v>60508</v>
      </c>
      <c r="R469" s="6">
        <f t="shared" si="734"/>
        <v>50175</v>
      </c>
      <c r="S469" s="6">
        <f t="shared" si="734"/>
        <v>51873</v>
      </c>
      <c r="T469" s="6">
        <f t="shared" si="734"/>
        <v>78062</v>
      </c>
      <c r="U469" s="6">
        <f t="shared" si="734"/>
        <v>61129</v>
      </c>
      <c r="V469" s="6">
        <f t="shared" si="734"/>
        <v>143374</v>
      </c>
      <c r="W469" s="6">
        <f t="shared" si="734"/>
        <v>170838</v>
      </c>
      <c r="X469" s="6">
        <f t="shared" si="734"/>
        <v>159021</v>
      </c>
      <c r="Y469" s="6">
        <f t="shared" si="734"/>
        <v>138126</v>
      </c>
      <c r="Z469" s="6">
        <f t="shared" si="734"/>
        <v>192738</v>
      </c>
      <c r="AA469" s="6">
        <f t="shared" si="734"/>
        <v>193505</v>
      </c>
      <c r="AB469" s="6">
        <f t="shared" si="734"/>
        <v>186293</v>
      </c>
      <c r="AC469" s="6">
        <f t="shared" si="734"/>
        <v>189906</v>
      </c>
      <c r="AF469" s="6">
        <f t="shared" ref="AF469:AJ469" si="735">AE471</f>
        <v>55299</v>
      </c>
      <c r="AG469" s="6">
        <f t="shared" si="735"/>
        <v>56397</v>
      </c>
      <c r="AH469" s="6">
        <f t="shared" si="735"/>
        <v>50175</v>
      </c>
      <c r="AI469" s="6">
        <f t="shared" si="735"/>
        <v>143374</v>
      </c>
      <c r="AJ469" s="6">
        <f t="shared" si="735"/>
        <v>192738</v>
      </c>
    </row>
    <row r="470" spans="2:36" x14ac:dyDescent="0.25">
      <c r="B470" s="2" t="s">
        <v>219</v>
      </c>
      <c r="F470" s="6">
        <f>F471-F469</f>
        <v>30221</v>
      </c>
      <c r="G470" s="6">
        <f t="shared" ref="G470" si="736">G471-G469</f>
        <v>-3034</v>
      </c>
      <c r="H470" s="6">
        <f t="shared" ref="H470" si="737">H471-H469</f>
        <v>-1176</v>
      </c>
      <c r="I470" s="6">
        <f t="shared" ref="I470" si="738">I471-I469</f>
        <v>29288</v>
      </c>
      <c r="J470" s="6">
        <f t="shared" ref="J470" si="739">J471-J469</f>
        <v>-7820</v>
      </c>
      <c r="K470" s="6">
        <f t="shared" ref="K470" si="740">K471-K469</f>
        <v>5647</v>
      </c>
      <c r="L470" s="6">
        <f t="shared" ref="L470" si="741">L471-L469</f>
        <v>-8843</v>
      </c>
      <c r="M470" s="6">
        <f t="shared" ref="M470" si="742">M471-M469</f>
        <v>12114</v>
      </c>
      <c r="N470" s="6">
        <f t="shared" ref="N470" si="743">N471-N469</f>
        <v>-4751</v>
      </c>
      <c r="O470" s="6">
        <f t="shared" ref="O470" si="744">O471-O469</f>
        <v>-1925</v>
      </c>
      <c r="P470" s="6">
        <f t="shared" ref="P470" si="745">P471-P469</f>
        <v>10787</v>
      </c>
      <c r="Q470" s="6">
        <f t="shared" ref="Q470" si="746">Q471-Q469</f>
        <v>-10333</v>
      </c>
      <c r="R470" s="6">
        <f t="shared" ref="R470" si="747">R471-R469</f>
        <v>1698</v>
      </c>
      <c r="S470" s="6">
        <f t="shared" ref="S470" si="748">S471-S469</f>
        <v>26189</v>
      </c>
      <c r="T470" s="6">
        <f t="shared" ref="T470" si="749">T471-T469</f>
        <v>-16933</v>
      </c>
      <c r="U470" s="6">
        <f t="shared" ref="U470" si="750">U471-U469</f>
        <v>82245</v>
      </c>
      <c r="V470" s="6">
        <f t="shared" ref="V470" si="751">V471-V469</f>
        <v>27464</v>
      </c>
      <c r="W470" s="6">
        <f t="shared" ref="W470" si="752">W471-W469</f>
        <v>-11817</v>
      </c>
      <c r="X470" s="6">
        <f t="shared" ref="X470" si="753">X471-X469</f>
        <v>-20895</v>
      </c>
      <c r="Y470" s="6">
        <f t="shared" ref="Y470" si="754">Y471-Y469</f>
        <v>54612</v>
      </c>
      <c r="Z470" s="6">
        <f t="shared" ref="Z470" si="755">Z471-Z469</f>
        <v>767</v>
      </c>
      <c r="AA470" s="6">
        <f t="shared" ref="AA470" si="756">AA471-AA469</f>
        <v>-7212</v>
      </c>
      <c r="AB470" s="6">
        <f t="shared" ref="AB470:AC470" si="757">AB471-AB469</f>
        <v>3613</v>
      </c>
      <c r="AC470" s="6">
        <f t="shared" si="757"/>
        <v>6669.7539999999863</v>
      </c>
      <c r="AF470" s="6">
        <f t="shared" ref="AF470" si="758">AF471-AF469</f>
        <v>1098</v>
      </c>
      <c r="AG470" s="6">
        <f t="shared" ref="AG470" si="759">AG471-AG469</f>
        <v>-6222</v>
      </c>
      <c r="AH470" s="6">
        <f t="shared" ref="AH470" si="760">AH471-AH469</f>
        <v>93199</v>
      </c>
      <c r="AI470" s="6">
        <f t="shared" ref="AI470" si="761">AI471-AI469</f>
        <v>49364</v>
      </c>
      <c r="AJ470" s="6">
        <f t="shared" ref="AJ470" si="762">AJ471-AJ469</f>
        <v>3837.7539999999863</v>
      </c>
    </row>
    <row r="471" spans="2:36" x14ac:dyDescent="0.25">
      <c r="B471" s="8" t="s">
        <v>204</v>
      </c>
      <c r="C471" s="8"/>
      <c r="D471" s="8"/>
      <c r="E471" s="16"/>
      <c r="F471" s="16">
        <f t="shared" ref="F471:AB471" si="763">F74</f>
        <v>30221</v>
      </c>
      <c r="G471" s="16">
        <f t="shared" si="763"/>
        <v>27187</v>
      </c>
      <c r="H471" s="16">
        <f t="shared" si="763"/>
        <v>26011</v>
      </c>
      <c r="I471" s="16">
        <f t="shared" si="763"/>
        <v>55299</v>
      </c>
      <c r="J471" s="16">
        <f t="shared" si="763"/>
        <v>47479</v>
      </c>
      <c r="K471" s="16">
        <f t="shared" si="763"/>
        <v>53126</v>
      </c>
      <c r="L471" s="16">
        <f t="shared" si="763"/>
        <v>44283</v>
      </c>
      <c r="M471" s="16">
        <f t="shared" si="763"/>
        <v>56397</v>
      </c>
      <c r="N471" s="16">
        <f t="shared" si="763"/>
        <v>51646</v>
      </c>
      <c r="O471" s="16">
        <f t="shared" si="763"/>
        <v>49721</v>
      </c>
      <c r="P471" s="16">
        <f t="shared" si="763"/>
        <v>60508</v>
      </c>
      <c r="Q471" s="16">
        <f t="shared" si="763"/>
        <v>50175</v>
      </c>
      <c r="R471" s="16">
        <f t="shared" si="763"/>
        <v>51873</v>
      </c>
      <c r="S471" s="16">
        <f t="shared" si="763"/>
        <v>78062</v>
      </c>
      <c r="T471" s="16">
        <f t="shared" si="763"/>
        <v>61129</v>
      </c>
      <c r="U471" s="16">
        <f t="shared" si="763"/>
        <v>143374</v>
      </c>
      <c r="V471" s="16">
        <f t="shared" si="763"/>
        <v>170838</v>
      </c>
      <c r="W471" s="16">
        <f t="shared" si="763"/>
        <v>159021</v>
      </c>
      <c r="X471" s="16">
        <f t="shared" si="763"/>
        <v>138126</v>
      </c>
      <c r="Y471" s="16">
        <f t="shared" si="763"/>
        <v>192738</v>
      </c>
      <c r="Z471" s="16">
        <f t="shared" si="763"/>
        <v>193505</v>
      </c>
      <c r="AA471" s="16">
        <f t="shared" si="763"/>
        <v>186293</v>
      </c>
      <c r="AB471" s="16">
        <f t="shared" si="763"/>
        <v>189906</v>
      </c>
      <c r="AC471" s="16">
        <f t="shared" ref="AC471" si="764">AC74</f>
        <v>196575.75399999999</v>
      </c>
      <c r="AE471" s="16">
        <f t="shared" ref="AE471:AJ471" si="765">AE74</f>
        <v>55299</v>
      </c>
      <c r="AF471" s="16">
        <f t="shared" si="765"/>
        <v>56397</v>
      </c>
      <c r="AG471" s="16">
        <f t="shared" si="765"/>
        <v>50175</v>
      </c>
      <c r="AH471" s="16">
        <f t="shared" si="765"/>
        <v>143374</v>
      </c>
      <c r="AI471" s="16">
        <f t="shared" si="765"/>
        <v>192738</v>
      </c>
      <c r="AJ471" s="16">
        <f t="shared" si="765"/>
        <v>196575.75399999999</v>
      </c>
    </row>
    <row r="473" spans="2:36" x14ac:dyDescent="0.25">
      <c r="B473" s="2" t="s">
        <v>221</v>
      </c>
      <c r="G473" s="30">
        <f>IFERROR(G470/G469,0)</f>
        <v>-0.10039376592435724</v>
      </c>
      <c r="H473" s="30">
        <f t="shared" ref="H473:AB473" si="766">IFERROR(H470/H469,0)</f>
        <v>-4.3255967925846912E-2</v>
      </c>
      <c r="I473" s="30">
        <f t="shared" si="766"/>
        <v>1.1259851601245627</v>
      </c>
      <c r="J473" s="30">
        <f t="shared" si="766"/>
        <v>-0.14141304544385974</v>
      </c>
      <c r="K473" s="30">
        <f t="shared" si="766"/>
        <v>0.1189367931085322</v>
      </c>
      <c r="L473" s="30">
        <f t="shared" si="766"/>
        <v>-0.16645333734894402</v>
      </c>
      <c r="M473" s="30">
        <f t="shared" si="766"/>
        <v>0.27355870198496035</v>
      </c>
      <c r="N473" s="30">
        <f t="shared" si="766"/>
        <v>-8.4242069613631926E-2</v>
      </c>
      <c r="O473" s="30">
        <f t="shared" si="766"/>
        <v>-3.7272973705611279E-2</v>
      </c>
      <c r="P473" s="30">
        <f t="shared" si="766"/>
        <v>0.21695058426017175</v>
      </c>
      <c r="Q473" s="30">
        <f t="shared" si="766"/>
        <v>-0.17077080716599458</v>
      </c>
      <c r="R473" s="30">
        <f t="shared" si="766"/>
        <v>3.3841554559043349E-2</v>
      </c>
      <c r="S473" s="30">
        <f t="shared" si="766"/>
        <v>0.50486765754824281</v>
      </c>
      <c r="T473" s="30">
        <f t="shared" si="766"/>
        <v>-0.21691732212856449</v>
      </c>
      <c r="U473" s="30">
        <f t="shared" si="766"/>
        <v>1.3454334276693549</v>
      </c>
      <c r="V473" s="30">
        <f t="shared" si="766"/>
        <v>0.19155495417579199</v>
      </c>
      <c r="W473" s="30">
        <f t="shared" si="766"/>
        <v>-6.9170793383205142E-2</v>
      </c>
      <c r="X473" s="30">
        <f t="shared" si="766"/>
        <v>-0.13139773992114248</v>
      </c>
      <c r="Y473" s="30">
        <f t="shared" si="766"/>
        <v>0.39537813300899177</v>
      </c>
      <c r="Z473" s="30">
        <f t="shared" si="766"/>
        <v>3.9794954809119114E-3</v>
      </c>
      <c r="AA473" s="30">
        <f t="shared" si="766"/>
        <v>-3.7270354771194544E-2</v>
      </c>
      <c r="AB473" s="30">
        <f t="shared" si="766"/>
        <v>1.9394180135592857E-2</v>
      </c>
      <c r="AC473" s="30">
        <f t="shared" ref="AC473" si="767">IFERROR(AC470/AC469,0)</f>
        <v>3.5121344243994324E-2</v>
      </c>
      <c r="AE473" s="30">
        <f t="shared" ref="AE473:AJ473" si="768">IFERROR(AE470/AE469,0)</f>
        <v>0</v>
      </c>
      <c r="AF473" s="30">
        <f t="shared" si="768"/>
        <v>1.9855693593012532E-2</v>
      </c>
      <c r="AG473" s="30">
        <f t="shared" si="768"/>
        <v>-0.11032501728815362</v>
      </c>
      <c r="AH473" s="30">
        <f t="shared" si="768"/>
        <v>1.8574788241155955</v>
      </c>
      <c r="AI473" s="30">
        <f t="shared" si="768"/>
        <v>0.34430231422712626</v>
      </c>
      <c r="AJ473" s="30">
        <f t="shared" si="768"/>
        <v>1.9911766231879475E-2</v>
      </c>
    </row>
    <row r="474" spans="2:36" x14ac:dyDescent="0.25">
      <c r="B474" s="76" t="s">
        <v>141</v>
      </c>
      <c r="C474" s="77"/>
      <c r="D474" s="94">
        <f>MAX($G473:$AC473)</f>
        <v>1.3454334276693549</v>
      </c>
    </row>
    <row r="475" spans="2:36" x14ac:dyDescent="0.25">
      <c r="B475" s="79" t="s">
        <v>169</v>
      </c>
      <c r="C475" s="80"/>
      <c r="D475" s="81">
        <f>AVERAGE($G473:$AC473)</f>
        <v>0.1333236438681652</v>
      </c>
    </row>
    <row r="476" spans="2:36" x14ac:dyDescent="0.25">
      <c r="B476" s="79" t="s">
        <v>139</v>
      </c>
      <c r="C476" s="80"/>
      <c r="D476" s="81">
        <f>MEDIAN($G473:$AC473)</f>
        <v>3.9794954809119114E-3</v>
      </c>
    </row>
    <row r="477" spans="2:36" x14ac:dyDescent="0.25">
      <c r="B477" s="82" t="s">
        <v>140</v>
      </c>
      <c r="C477" s="83"/>
      <c r="D477" s="84">
        <f>MIN($G473:$AC473)</f>
        <v>-0.21691732212856449</v>
      </c>
    </row>
    <row r="480" spans="2:36" x14ac:dyDescent="0.25">
      <c r="B480" s="73" t="s">
        <v>40</v>
      </c>
      <c r="C480" s="86"/>
      <c r="D480" s="86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</row>
    <row r="481" spans="2:36" x14ac:dyDescent="0.25">
      <c r="B481" s="2" t="s">
        <v>214</v>
      </c>
      <c r="G481" s="6">
        <f>F483</f>
        <v>1472</v>
      </c>
      <c r="H481" s="6">
        <f t="shared" ref="H481:AC481" si="769">G483</f>
        <v>2630</v>
      </c>
      <c r="I481" s="6">
        <f t="shared" si="769"/>
        <v>-3753</v>
      </c>
      <c r="J481" s="6">
        <f t="shared" si="769"/>
        <v>0</v>
      </c>
      <c r="K481" s="6">
        <f t="shared" si="769"/>
        <v>0</v>
      </c>
      <c r="L481" s="6">
        <f t="shared" si="769"/>
        <v>0</v>
      </c>
      <c r="M481" s="6">
        <f t="shared" si="769"/>
        <v>0</v>
      </c>
      <c r="N481" s="6">
        <f t="shared" si="769"/>
        <v>0</v>
      </c>
      <c r="O481" s="6">
        <f t="shared" si="769"/>
        <v>0</v>
      </c>
      <c r="P481" s="6">
        <f t="shared" si="769"/>
        <v>0</v>
      </c>
      <c r="Q481" s="6">
        <f t="shared" si="769"/>
        <v>0</v>
      </c>
      <c r="R481" s="6">
        <f t="shared" si="769"/>
        <v>0</v>
      </c>
      <c r="S481" s="6">
        <f t="shared" si="769"/>
        <v>0</v>
      </c>
      <c r="T481" s="6">
        <f t="shared" si="769"/>
        <v>0</v>
      </c>
      <c r="U481" s="6">
        <f t="shared" si="769"/>
        <v>0</v>
      </c>
      <c r="V481" s="6">
        <f t="shared" si="769"/>
        <v>0</v>
      </c>
      <c r="W481" s="6">
        <f t="shared" si="769"/>
        <v>0</v>
      </c>
      <c r="X481" s="6">
        <f t="shared" si="769"/>
        <v>0</v>
      </c>
      <c r="Y481" s="6">
        <f t="shared" si="769"/>
        <v>0</v>
      </c>
      <c r="Z481" s="6">
        <f t="shared" si="769"/>
        <v>0</v>
      </c>
      <c r="AA481" s="6">
        <f t="shared" si="769"/>
        <v>0</v>
      </c>
      <c r="AB481" s="6">
        <f t="shared" si="769"/>
        <v>0</v>
      </c>
      <c r="AC481" s="6">
        <f t="shared" si="769"/>
        <v>0</v>
      </c>
      <c r="AF481" s="6">
        <f t="shared" ref="AF481:AJ481" si="770">AE483</f>
        <v>0</v>
      </c>
      <c r="AG481" s="6">
        <f t="shared" si="770"/>
        <v>0</v>
      </c>
      <c r="AH481" s="6">
        <f t="shared" si="770"/>
        <v>0</v>
      </c>
      <c r="AI481" s="6">
        <f t="shared" si="770"/>
        <v>0</v>
      </c>
      <c r="AJ481" s="6">
        <f t="shared" si="770"/>
        <v>0</v>
      </c>
    </row>
    <row r="482" spans="2:36" x14ac:dyDescent="0.25">
      <c r="B482" s="2" t="s">
        <v>219</v>
      </c>
      <c r="F482" s="6">
        <f>F483-F481</f>
        <v>1472</v>
      </c>
      <c r="G482" s="6">
        <f t="shared" ref="G482" si="771">G483-G481</f>
        <v>1158</v>
      </c>
      <c r="H482" s="6">
        <f t="shared" ref="H482" si="772">H483-H481</f>
        <v>-6383</v>
      </c>
      <c r="I482" s="6">
        <f t="shared" ref="I482" si="773">I483-I481</f>
        <v>3753</v>
      </c>
      <c r="J482" s="6">
        <f t="shared" ref="J482" si="774">J483-J481</f>
        <v>0</v>
      </c>
      <c r="K482" s="6">
        <f t="shared" ref="K482" si="775">K483-K481</f>
        <v>0</v>
      </c>
      <c r="L482" s="6">
        <f t="shared" ref="L482" si="776">L483-L481</f>
        <v>0</v>
      </c>
      <c r="M482" s="6">
        <f t="shared" ref="M482" si="777">M483-M481</f>
        <v>0</v>
      </c>
      <c r="N482" s="6">
        <f t="shared" ref="N482" si="778">N483-N481</f>
        <v>0</v>
      </c>
      <c r="O482" s="6">
        <f t="shared" ref="O482" si="779">O483-O481</f>
        <v>0</v>
      </c>
      <c r="P482" s="6">
        <f t="shared" ref="P482" si="780">P483-P481</f>
        <v>0</v>
      </c>
      <c r="Q482" s="6">
        <f t="shared" ref="Q482" si="781">Q483-Q481</f>
        <v>0</v>
      </c>
      <c r="R482" s="6">
        <f t="shared" ref="R482" si="782">R483-R481</f>
        <v>0</v>
      </c>
      <c r="S482" s="6">
        <f t="shared" ref="S482" si="783">S483-S481</f>
        <v>0</v>
      </c>
      <c r="T482" s="6">
        <f t="shared" ref="T482" si="784">T483-T481</f>
        <v>0</v>
      </c>
      <c r="U482" s="6">
        <f t="shared" ref="U482" si="785">U483-U481</f>
        <v>0</v>
      </c>
      <c r="V482" s="6">
        <f t="shared" ref="V482" si="786">V483-V481</f>
        <v>0</v>
      </c>
      <c r="W482" s="6">
        <f t="shared" ref="W482" si="787">W483-W481</f>
        <v>0</v>
      </c>
      <c r="X482" s="6">
        <f t="shared" ref="X482" si="788">X483-X481</f>
        <v>0</v>
      </c>
      <c r="Y482" s="6">
        <f t="shared" ref="Y482" si="789">Y483-Y481</f>
        <v>0</v>
      </c>
      <c r="Z482" s="6">
        <f t="shared" ref="Z482" si="790">Z483-Z481</f>
        <v>0</v>
      </c>
      <c r="AA482" s="6">
        <f t="shared" ref="AA482" si="791">AA483-AA481</f>
        <v>0</v>
      </c>
      <c r="AB482" s="6">
        <f t="shared" ref="AB482:AC482" si="792">AB483-AB481</f>
        <v>0</v>
      </c>
      <c r="AC482" s="6">
        <f t="shared" si="792"/>
        <v>0</v>
      </c>
      <c r="AF482" s="6">
        <f t="shared" ref="AF482" si="793">AF483-AF481</f>
        <v>0</v>
      </c>
      <c r="AG482" s="6">
        <f t="shared" ref="AG482" si="794">AG483-AG481</f>
        <v>0</v>
      </c>
      <c r="AH482" s="6">
        <f t="shared" ref="AH482" si="795">AH483-AH481</f>
        <v>0</v>
      </c>
      <c r="AI482" s="6">
        <f t="shared" ref="AI482" si="796">AI483-AI481</f>
        <v>0</v>
      </c>
      <c r="AJ482" s="6">
        <f t="shared" ref="AJ482" si="797">AJ483-AJ481</f>
        <v>0</v>
      </c>
    </row>
    <row r="483" spans="2:36" x14ac:dyDescent="0.25">
      <c r="B483" s="8" t="s">
        <v>204</v>
      </c>
      <c r="C483" s="8"/>
      <c r="D483" s="8"/>
      <c r="E483" s="16"/>
      <c r="F483" s="16">
        <f t="shared" ref="F483:AB483" si="798">F75</f>
        <v>1472</v>
      </c>
      <c r="G483" s="16">
        <f t="shared" si="798"/>
        <v>2630</v>
      </c>
      <c r="H483" s="16">
        <f t="shared" si="798"/>
        <v>-3753</v>
      </c>
      <c r="I483" s="16">
        <f t="shared" si="798"/>
        <v>0</v>
      </c>
      <c r="J483" s="16">
        <f t="shared" si="798"/>
        <v>0</v>
      </c>
      <c r="K483" s="16">
        <f t="shared" si="798"/>
        <v>0</v>
      </c>
      <c r="L483" s="16">
        <f t="shared" si="798"/>
        <v>0</v>
      </c>
      <c r="M483" s="16">
        <f t="shared" si="798"/>
        <v>0</v>
      </c>
      <c r="N483" s="16">
        <f t="shared" si="798"/>
        <v>0</v>
      </c>
      <c r="O483" s="16">
        <f t="shared" si="798"/>
        <v>0</v>
      </c>
      <c r="P483" s="16">
        <f t="shared" si="798"/>
        <v>0</v>
      </c>
      <c r="Q483" s="16">
        <f t="shared" si="798"/>
        <v>0</v>
      </c>
      <c r="R483" s="16">
        <f t="shared" si="798"/>
        <v>0</v>
      </c>
      <c r="S483" s="16">
        <f t="shared" si="798"/>
        <v>0</v>
      </c>
      <c r="T483" s="16">
        <f t="shared" si="798"/>
        <v>0</v>
      </c>
      <c r="U483" s="16">
        <f t="shared" si="798"/>
        <v>0</v>
      </c>
      <c r="V483" s="16">
        <f t="shared" si="798"/>
        <v>0</v>
      </c>
      <c r="W483" s="16">
        <f t="shared" si="798"/>
        <v>0</v>
      </c>
      <c r="X483" s="16">
        <f t="shared" si="798"/>
        <v>0</v>
      </c>
      <c r="Y483" s="16">
        <f t="shared" si="798"/>
        <v>0</v>
      </c>
      <c r="Z483" s="16">
        <f t="shared" si="798"/>
        <v>0</v>
      </c>
      <c r="AA483" s="16">
        <f t="shared" si="798"/>
        <v>0</v>
      </c>
      <c r="AB483" s="16">
        <f t="shared" si="798"/>
        <v>0</v>
      </c>
      <c r="AC483" s="16">
        <f t="shared" ref="AC483" si="799">AC75</f>
        <v>0</v>
      </c>
      <c r="AE483" s="16">
        <f t="shared" ref="AE483:AJ483" si="800">AE75</f>
        <v>0</v>
      </c>
      <c r="AF483" s="16">
        <f t="shared" si="800"/>
        <v>0</v>
      </c>
      <c r="AG483" s="16">
        <f t="shared" si="800"/>
        <v>0</v>
      </c>
      <c r="AH483" s="16">
        <f t="shared" si="800"/>
        <v>0</v>
      </c>
      <c r="AI483" s="16">
        <f t="shared" si="800"/>
        <v>0</v>
      </c>
      <c r="AJ483" s="16">
        <f t="shared" si="800"/>
        <v>0</v>
      </c>
    </row>
    <row r="485" spans="2:36" x14ac:dyDescent="0.25">
      <c r="B485" s="2" t="s">
        <v>221</v>
      </c>
      <c r="G485" s="30">
        <f>IFERROR(G482/G481,0)</f>
        <v>0.78668478260869568</v>
      </c>
      <c r="H485" s="30">
        <f t="shared" ref="H485:AB485" si="801">IFERROR(H482/H481,0)</f>
        <v>-2.4269961977186312</v>
      </c>
      <c r="I485" s="30">
        <f t="shared" si="801"/>
        <v>-1</v>
      </c>
      <c r="J485" s="30">
        <f t="shared" si="801"/>
        <v>0</v>
      </c>
      <c r="K485" s="30">
        <f t="shared" si="801"/>
        <v>0</v>
      </c>
      <c r="L485" s="30">
        <f t="shared" si="801"/>
        <v>0</v>
      </c>
      <c r="M485" s="30">
        <f t="shared" si="801"/>
        <v>0</v>
      </c>
      <c r="N485" s="30">
        <f t="shared" si="801"/>
        <v>0</v>
      </c>
      <c r="O485" s="30">
        <f t="shared" si="801"/>
        <v>0</v>
      </c>
      <c r="P485" s="30">
        <f t="shared" si="801"/>
        <v>0</v>
      </c>
      <c r="Q485" s="30">
        <f t="shared" si="801"/>
        <v>0</v>
      </c>
      <c r="R485" s="30">
        <f t="shared" si="801"/>
        <v>0</v>
      </c>
      <c r="S485" s="30">
        <f t="shared" si="801"/>
        <v>0</v>
      </c>
      <c r="T485" s="30">
        <f t="shared" si="801"/>
        <v>0</v>
      </c>
      <c r="U485" s="30">
        <f t="shared" si="801"/>
        <v>0</v>
      </c>
      <c r="V485" s="30">
        <f t="shared" si="801"/>
        <v>0</v>
      </c>
      <c r="W485" s="30">
        <f t="shared" si="801"/>
        <v>0</v>
      </c>
      <c r="X485" s="30">
        <f t="shared" si="801"/>
        <v>0</v>
      </c>
      <c r="Y485" s="30">
        <f t="shared" si="801"/>
        <v>0</v>
      </c>
      <c r="Z485" s="30">
        <f t="shared" si="801"/>
        <v>0</v>
      </c>
      <c r="AA485" s="30">
        <f t="shared" si="801"/>
        <v>0</v>
      </c>
      <c r="AB485" s="30">
        <f t="shared" si="801"/>
        <v>0</v>
      </c>
      <c r="AC485" s="30">
        <f t="shared" ref="AC485" si="802">IFERROR(AC482/AC481,0)</f>
        <v>0</v>
      </c>
      <c r="AE485" s="30">
        <f t="shared" ref="AE485:AJ485" si="803">IFERROR(AE482/AE481,0)</f>
        <v>0</v>
      </c>
      <c r="AF485" s="30">
        <f t="shared" si="803"/>
        <v>0</v>
      </c>
      <c r="AG485" s="30">
        <f t="shared" si="803"/>
        <v>0</v>
      </c>
      <c r="AH485" s="30">
        <f t="shared" si="803"/>
        <v>0</v>
      </c>
      <c r="AI485" s="30">
        <f t="shared" si="803"/>
        <v>0</v>
      </c>
      <c r="AJ485" s="30">
        <f t="shared" si="803"/>
        <v>0</v>
      </c>
    </row>
    <row r="486" spans="2:36" x14ac:dyDescent="0.25">
      <c r="B486" s="76" t="s">
        <v>141</v>
      </c>
      <c r="C486" s="77"/>
      <c r="D486" s="94">
        <f>MAX($G485:$AC485)</f>
        <v>0.78668478260869568</v>
      </c>
    </row>
    <row r="487" spans="2:36" x14ac:dyDescent="0.25">
      <c r="B487" s="79" t="s">
        <v>169</v>
      </c>
      <c r="C487" s="80"/>
      <c r="D487" s="81">
        <f>AVERAGE($G485:$AC485)</f>
        <v>-0.11479614848304066</v>
      </c>
    </row>
    <row r="488" spans="2:36" x14ac:dyDescent="0.25">
      <c r="B488" s="79" t="s">
        <v>139</v>
      </c>
      <c r="C488" s="80"/>
      <c r="D488" s="81">
        <f>MEDIAN($G485:$AC485)</f>
        <v>0</v>
      </c>
    </row>
    <row r="489" spans="2:36" x14ac:dyDescent="0.25">
      <c r="B489" s="82" t="s">
        <v>140</v>
      </c>
      <c r="C489" s="83"/>
      <c r="D489" s="84">
        <f>MIN($G485:$AC485)</f>
        <v>-2.4269961977186312</v>
      </c>
    </row>
  </sheetData>
  <conditionalFormatting sqref="F78:AC78 AE78:AJ7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ignoredErrors>
    <ignoredError sqref="AE11:AJ11 AE32:AJ32 AF29:AI29 AE14:AJ14 AE12:AI13 AE17:AJ17 AE15:AI16 AE25:AJ25 AE18:AI24 AE27:AJ27 AE26:AI26 AE30:AI31 AE28:AI28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5896-3816-4D56-9367-5D840AF8FE1A}">
  <sheetPr>
    <tabColor rgb="FFFFE1FF"/>
  </sheetPr>
  <dimension ref="A1:AV199"/>
  <sheetViews>
    <sheetView showGridLines="0" zoomScaleNormal="100" workbookViewId="0">
      <pane xSplit="2" ySplit="3" topLeftCell="Y43" activePane="bottomRight" state="frozen"/>
      <selection pane="topRight" activeCell="B1" sqref="B1"/>
      <selection pane="bottomLeft" activeCell="A4" sqref="A4"/>
      <selection pane="bottomRight" activeCell="A67" sqref="A67:XFD67"/>
    </sheetView>
  </sheetViews>
  <sheetFormatPr defaultColWidth="0" defaultRowHeight="10.8" x14ac:dyDescent="0.25"/>
  <cols>
    <col min="1" max="1" width="2.6640625" style="2" customWidth="1"/>
    <col min="2" max="2" width="44.88671875" style="2" bestFit="1" customWidth="1"/>
    <col min="3" max="5" width="16.5546875" style="2" bestFit="1" customWidth="1"/>
    <col min="6" max="6" width="17.88671875" style="214" bestFit="1" customWidth="1"/>
    <col min="7" max="9" width="16.5546875" style="2" bestFit="1" customWidth="1"/>
    <col min="10" max="10" width="17.33203125" style="214" bestFit="1" customWidth="1"/>
    <col min="11" max="13" width="16.5546875" style="2" bestFit="1" customWidth="1"/>
    <col min="14" max="14" width="16.5546875" style="214" bestFit="1" customWidth="1"/>
    <col min="15" max="17" width="16.5546875" style="2" bestFit="1" customWidth="1"/>
    <col min="18" max="18" width="18.109375" style="214" bestFit="1" customWidth="1"/>
    <col min="19" max="21" width="18.109375" style="2" bestFit="1" customWidth="1"/>
    <col min="22" max="22" width="18.109375" style="214" bestFit="1" customWidth="1"/>
    <col min="23" max="25" width="18.109375" style="2" bestFit="1" customWidth="1"/>
    <col min="26" max="26" width="18.109375" style="214" bestFit="1" customWidth="1"/>
    <col min="27" max="27" width="18.109375" style="2" bestFit="1" customWidth="1"/>
    <col min="28" max="28" width="4.6640625" style="2" customWidth="1"/>
    <col min="29" max="48" width="0" style="2" hidden="1" customWidth="1"/>
    <col min="49" max="16384" width="9.109375" style="2" hidden="1"/>
  </cols>
  <sheetData>
    <row r="1" spans="1:48" ht="23.25" customHeight="1" x14ac:dyDescent="0.25">
      <c r="B1" s="254" t="s">
        <v>0</v>
      </c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184"/>
      <c r="Z1" s="184"/>
      <c r="AA1" s="184"/>
    </row>
    <row r="2" spans="1:48" x14ac:dyDescent="0.25">
      <c r="B2" s="185" t="s">
        <v>1</v>
      </c>
      <c r="C2" s="255">
        <v>2020</v>
      </c>
      <c r="D2" s="255"/>
      <c r="E2" s="255"/>
      <c r="F2" s="256"/>
      <c r="G2" s="257">
        <v>2021</v>
      </c>
      <c r="H2" s="255"/>
      <c r="I2" s="255"/>
      <c r="J2" s="256"/>
      <c r="K2" s="255">
        <v>2022</v>
      </c>
      <c r="L2" s="255"/>
      <c r="M2" s="255"/>
      <c r="N2" s="186"/>
      <c r="O2" s="255">
        <v>2023</v>
      </c>
      <c r="P2" s="255"/>
      <c r="Q2" s="255"/>
      <c r="R2" s="186"/>
      <c r="S2" s="255">
        <v>2024</v>
      </c>
      <c r="T2" s="255"/>
      <c r="U2" s="255"/>
      <c r="V2" s="186"/>
      <c r="W2" s="229">
        <v>2025</v>
      </c>
      <c r="X2" s="229"/>
      <c r="Y2" s="229"/>
      <c r="Z2" s="230"/>
      <c r="AA2" s="225">
        <v>2026</v>
      </c>
      <c r="AB2" s="193"/>
    </row>
    <row r="3" spans="1:48" x14ac:dyDescent="0.25">
      <c r="B3" s="122" t="s">
        <v>288</v>
      </c>
      <c r="C3" s="226" t="s">
        <v>60</v>
      </c>
      <c r="D3" s="226" t="s">
        <v>61</v>
      </c>
      <c r="E3" s="226" t="s">
        <v>62</v>
      </c>
      <c r="F3" s="227" t="s">
        <v>382</v>
      </c>
      <c r="G3" s="228" t="s">
        <v>60</v>
      </c>
      <c r="H3" s="228" t="s">
        <v>61</v>
      </c>
      <c r="I3" s="228" t="s">
        <v>62</v>
      </c>
      <c r="J3" s="227" t="s">
        <v>382</v>
      </c>
      <c r="K3" s="226" t="s">
        <v>60</v>
      </c>
      <c r="L3" s="226" t="s">
        <v>61</v>
      </c>
      <c r="M3" s="226" t="s">
        <v>62</v>
      </c>
      <c r="N3" s="227" t="s">
        <v>382</v>
      </c>
      <c r="O3" s="228" t="s">
        <v>60</v>
      </c>
      <c r="P3" s="228" t="s">
        <v>61</v>
      </c>
      <c r="Q3" s="228" t="s">
        <v>62</v>
      </c>
      <c r="R3" s="227" t="s">
        <v>382</v>
      </c>
      <c r="S3" s="226" t="s">
        <v>60</v>
      </c>
      <c r="T3" s="226" t="s">
        <v>61</v>
      </c>
      <c r="U3" s="226" t="s">
        <v>62</v>
      </c>
      <c r="V3" s="227" t="s">
        <v>382</v>
      </c>
      <c r="W3" s="228" t="s">
        <v>60</v>
      </c>
      <c r="X3" s="228" t="s">
        <v>61</v>
      </c>
      <c r="Y3" s="228" t="s">
        <v>62</v>
      </c>
      <c r="Z3" s="227" t="s">
        <v>382</v>
      </c>
      <c r="AA3" s="228" t="s">
        <v>60</v>
      </c>
      <c r="AB3" s="193"/>
    </row>
    <row r="4" spans="1:48" s="160" customFormat="1" x14ac:dyDescent="0.25">
      <c r="A4" s="2"/>
      <c r="B4" s="187" t="s">
        <v>2</v>
      </c>
      <c r="C4" s="215">
        <v>64659</v>
      </c>
      <c r="D4" s="215">
        <v>132239</v>
      </c>
      <c r="E4" s="216">
        <v>201629</v>
      </c>
      <c r="F4" s="217">
        <v>280889</v>
      </c>
      <c r="G4" s="215">
        <v>74514</v>
      </c>
      <c r="H4" s="215">
        <v>155340</v>
      </c>
      <c r="I4" s="216">
        <v>244176</v>
      </c>
      <c r="J4" s="217">
        <v>385713</v>
      </c>
      <c r="K4" s="215">
        <v>103740</v>
      </c>
      <c r="L4" s="215">
        <v>205325</v>
      </c>
      <c r="M4" s="216">
        <v>357393</v>
      </c>
      <c r="N4" s="217">
        <v>571958</v>
      </c>
      <c r="O4" s="215">
        <v>192749</v>
      </c>
      <c r="P4" s="215">
        <v>374018</v>
      </c>
      <c r="Q4" s="216">
        <v>560300</v>
      </c>
      <c r="R4" s="217">
        <v>847589</v>
      </c>
      <c r="S4" s="215">
        <v>196483</v>
      </c>
      <c r="T4" s="215">
        <v>381127</v>
      </c>
      <c r="U4" s="216">
        <v>588913</v>
      </c>
      <c r="V4" s="217">
        <v>878489</v>
      </c>
      <c r="W4" s="215">
        <v>262481</v>
      </c>
      <c r="X4" s="215">
        <v>472758</v>
      </c>
      <c r="Y4" s="215">
        <v>748905</v>
      </c>
      <c r="Z4" s="217">
        <v>1430664.5660000001</v>
      </c>
      <c r="AA4" s="215"/>
      <c r="AB4" s="193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</row>
    <row r="5" spans="1:48" x14ac:dyDescent="0.25">
      <c r="B5" s="189" t="s">
        <v>3</v>
      </c>
      <c r="C5" s="215">
        <v>-20899</v>
      </c>
      <c r="D5" s="215">
        <v>-41136</v>
      </c>
      <c r="E5" s="216">
        <v>-61802</v>
      </c>
      <c r="F5" s="217">
        <v>-83245</v>
      </c>
      <c r="G5" s="215">
        <v>-19112</v>
      </c>
      <c r="H5" s="215">
        <v>-39183</v>
      </c>
      <c r="I5" s="216">
        <v>-60397</v>
      </c>
      <c r="J5" s="217">
        <v>-86962</v>
      </c>
      <c r="K5" s="215">
        <v>-25345</v>
      </c>
      <c r="L5" s="215">
        <v>-53594</v>
      </c>
      <c r="M5" s="216">
        <v>-95931</v>
      </c>
      <c r="N5" s="217">
        <v>-159461</v>
      </c>
      <c r="O5" s="215">
        <v>-54670</v>
      </c>
      <c r="P5" s="215">
        <v>-99164</v>
      </c>
      <c r="Q5" s="216">
        <v>-139588</v>
      </c>
      <c r="R5" s="217">
        <v>-185003</v>
      </c>
      <c r="S5" s="215">
        <v>-51822</v>
      </c>
      <c r="T5" s="215">
        <v>-110348</v>
      </c>
      <c r="U5" s="216">
        <v>-186274</v>
      </c>
      <c r="V5" s="217">
        <v>-302401</v>
      </c>
      <c r="W5" s="215">
        <v>-97346</v>
      </c>
      <c r="X5" s="215">
        <v>-226954</v>
      </c>
      <c r="Y5" s="215">
        <v>-365642</v>
      </c>
      <c r="Z5" s="217">
        <v>-468013.52399999998</v>
      </c>
      <c r="AA5" s="215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</row>
    <row r="6" spans="1:48" s="3" customFormat="1" x14ac:dyDescent="0.25">
      <c r="A6" s="2"/>
      <c r="B6" s="194" t="s">
        <v>4</v>
      </c>
      <c r="C6" s="195">
        <f>SUM(C4:C5)</f>
        <v>43760</v>
      </c>
      <c r="D6" s="195">
        <f>SUM(D4:D5)</f>
        <v>91103</v>
      </c>
      <c r="E6" s="195">
        <f t="shared" ref="E6:F6" si="0">SUM(E4:E5)</f>
        <v>139827</v>
      </c>
      <c r="F6" s="196">
        <f t="shared" si="0"/>
        <v>197644</v>
      </c>
      <c r="G6" s="195">
        <f t="shared" ref="G6" si="1">SUM(G4:G5)</f>
        <v>55402</v>
      </c>
      <c r="H6" s="195">
        <f t="shared" ref="H6" si="2">SUM(H4:H5)</f>
        <v>116157</v>
      </c>
      <c r="I6" s="195">
        <f t="shared" ref="I6" si="3">SUM(I4:I5)</f>
        <v>183779</v>
      </c>
      <c r="J6" s="196">
        <f t="shared" ref="J6" si="4">SUM(J4:J5)</f>
        <v>298751</v>
      </c>
      <c r="K6" s="195">
        <f>SUM(K4:K5)</f>
        <v>78395</v>
      </c>
      <c r="L6" s="195">
        <f>SUM(L4:L5)</f>
        <v>151731</v>
      </c>
      <c r="M6" s="195">
        <f t="shared" ref="M6:R6" si="5">SUM(M4:M5)</f>
        <v>261462</v>
      </c>
      <c r="N6" s="196">
        <f>SUM(N4:N5)</f>
        <v>412497</v>
      </c>
      <c r="O6" s="195">
        <f t="shared" si="5"/>
        <v>138079</v>
      </c>
      <c r="P6" s="195">
        <f t="shared" si="5"/>
        <v>274854</v>
      </c>
      <c r="Q6" s="195">
        <f t="shared" si="5"/>
        <v>420712</v>
      </c>
      <c r="R6" s="196">
        <f t="shared" si="5"/>
        <v>662586</v>
      </c>
      <c r="S6" s="195">
        <f t="shared" ref="S6" si="6">SUM(S4:S5)</f>
        <v>144661</v>
      </c>
      <c r="T6" s="195">
        <f t="shared" ref="T6" si="7">SUM(T4:T5)</f>
        <v>270779</v>
      </c>
      <c r="U6" s="195">
        <f t="shared" ref="U6:V6" si="8">SUM(U4:U5)</f>
        <v>402639</v>
      </c>
      <c r="V6" s="196">
        <f t="shared" si="8"/>
        <v>576088</v>
      </c>
      <c r="W6" s="195">
        <f t="shared" ref="W6" si="9">SUM(W4:W5)</f>
        <v>165135</v>
      </c>
      <c r="X6" s="195">
        <f t="shared" ref="X6" si="10">SUM(X4:X5)</f>
        <v>245804</v>
      </c>
      <c r="Y6" s="195">
        <f t="shared" ref="Y6" si="11">SUM(Y4:Y5)</f>
        <v>383263</v>
      </c>
      <c r="Z6" s="196">
        <f>SUM(Z4:Z5)</f>
        <v>962651.04200000013</v>
      </c>
      <c r="AA6" s="195"/>
      <c r="AB6" s="193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</row>
    <row r="7" spans="1:48" x14ac:dyDescent="0.25">
      <c r="B7" s="189" t="s">
        <v>5</v>
      </c>
      <c r="C7" s="215">
        <v>15737</v>
      </c>
      <c r="D7" s="215">
        <v>31824</v>
      </c>
      <c r="E7" s="216">
        <v>49976</v>
      </c>
      <c r="F7" s="217">
        <v>57441</v>
      </c>
      <c r="G7" s="215">
        <v>15288</v>
      </c>
      <c r="H7" s="215">
        <v>28502</v>
      </c>
      <c r="I7" s="216">
        <v>44601</v>
      </c>
      <c r="J7" s="217">
        <v>81412</v>
      </c>
      <c r="K7" s="215">
        <v>18434</v>
      </c>
      <c r="L7" s="215">
        <v>38332</v>
      </c>
      <c r="M7" s="216">
        <v>61587</v>
      </c>
      <c r="N7" s="217">
        <v>136636</v>
      </c>
      <c r="O7" s="215">
        <v>30857</v>
      </c>
      <c r="P7" s="215">
        <v>65576</v>
      </c>
      <c r="Q7" s="216">
        <v>104057</v>
      </c>
      <c r="R7" s="217">
        <v>183984</v>
      </c>
      <c r="S7" s="215">
        <v>32415</v>
      </c>
      <c r="T7" s="215">
        <v>86774</v>
      </c>
      <c r="U7" s="216">
        <v>140151</v>
      </c>
      <c r="V7" s="217">
        <v>279044</v>
      </c>
      <c r="W7" s="215">
        <v>57745</v>
      </c>
      <c r="X7" s="215">
        <v>137153</v>
      </c>
      <c r="Y7" s="215">
        <v>217452</v>
      </c>
      <c r="Z7" s="217">
        <v>293898.23700000002</v>
      </c>
      <c r="AA7" s="215"/>
      <c r="AB7" s="193"/>
      <c r="AC7" s="193"/>
      <c r="AD7" s="193"/>
      <c r="AE7" s="193"/>
      <c r="AF7" s="193"/>
      <c r="AG7" s="193"/>
      <c r="AH7" s="193"/>
      <c r="AI7" s="193"/>
      <c r="AJ7" s="193"/>
      <c r="AK7" s="193"/>
      <c r="AL7" s="193"/>
      <c r="AM7" s="193"/>
      <c r="AN7" s="193"/>
      <c r="AO7" s="193"/>
      <c r="AP7" s="193"/>
      <c r="AQ7" s="193"/>
      <c r="AR7" s="193"/>
      <c r="AS7" s="193"/>
      <c r="AT7" s="193"/>
      <c r="AU7" s="193"/>
      <c r="AV7" s="193"/>
    </row>
    <row r="8" spans="1:48" x14ac:dyDescent="0.25">
      <c r="B8" s="189" t="s">
        <v>77</v>
      </c>
      <c r="C8" s="190"/>
      <c r="D8" s="190"/>
      <c r="E8" s="191"/>
      <c r="F8" s="217">
        <v>-12482</v>
      </c>
      <c r="G8" s="190"/>
      <c r="H8" s="190"/>
      <c r="I8" s="191"/>
      <c r="J8" s="217">
        <v>-24812</v>
      </c>
      <c r="K8" s="190"/>
      <c r="L8" s="190"/>
      <c r="M8" s="191"/>
      <c r="N8" s="217">
        <v>-41449</v>
      </c>
      <c r="O8" s="190"/>
      <c r="P8" s="190"/>
      <c r="Q8" s="191"/>
      <c r="R8" s="217">
        <v>-60118</v>
      </c>
      <c r="S8" s="190"/>
      <c r="T8" s="190"/>
      <c r="U8" s="191"/>
      <c r="V8" s="217">
        <v>-98846</v>
      </c>
      <c r="W8" s="215">
        <v>-26840</v>
      </c>
      <c r="X8" s="215">
        <v>-65593</v>
      </c>
      <c r="Y8" s="215">
        <v>-88122</v>
      </c>
      <c r="Z8" s="217">
        <v>-117548.08500000001</v>
      </c>
      <c r="AA8" s="215"/>
      <c r="AB8" s="193"/>
      <c r="AC8" s="193"/>
      <c r="AD8" s="193"/>
      <c r="AE8" s="193"/>
      <c r="AF8" s="193"/>
      <c r="AG8" s="193"/>
      <c r="AH8" s="193"/>
      <c r="AI8" s="193"/>
      <c r="AJ8" s="193"/>
      <c r="AK8" s="193"/>
      <c r="AL8" s="193"/>
      <c r="AM8" s="193"/>
      <c r="AN8" s="193"/>
      <c r="AO8" s="193"/>
      <c r="AP8" s="193"/>
      <c r="AQ8" s="193"/>
      <c r="AR8" s="193"/>
      <c r="AS8" s="193"/>
      <c r="AT8" s="193"/>
      <c r="AU8" s="193"/>
      <c r="AV8" s="193"/>
    </row>
    <row r="9" spans="1:48" x14ac:dyDescent="0.25">
      <c r="B9" s="189" t="s">
        <v>6</v>
      </c>
      <c r="C9" s="215">
        <v>13247</v>
      </c>
      <c r="D9" s="215">
        <v>25281</v>
      </c>
      <c r="E9" s="216">
        <v>34343</v>
      </c>
      <c r="F9" s="217">
        <v>67547</v>
      </c>
      <c r="G9" s="215">
        <v>7979</v>
      </c>
      <c r="H9" s="215">
        <v>15572</v>
      </c>
      <c r="I9" s="216">
        <v>22326</v>
      </c>
      <c r="J9" s="217">
        <v>33596</v>
      </c>
      <c r="K9" s="215">
        <v>15985</v>
      </c>
      <c r="L9" s="215">
        <v>19135</v>
      </c>
      <c r="M9" s="216">
        <v>16547</v>
      </c>
      <c r="N9" s="217">
        <v>6847</v>
      </c>
      <c r="O9" s="215">
        <v>28302</v>
      </c>
      <c r="P9" s="215">
        <v>49671</v>
      </c>
      <c r="Q9" s="216">
        <v>65922</v>
      </c>
      <c r="R9" s="217">
        <v>254854</v>
      </c>
      <c r="S9" s="215">
        <v>22827</v>
      </c>
      <c r="T9" s="215">
        <v>38250</v>
      </c>
      <c r="U9" s="216">
        <v>57556</v>
      </c>
      <c r="V9" s="217">
        <v>335653</v>
      </c>
      <c r="W9" s="215">
        <v>13104</v>
      </c>
      <c r="X9" s="215">
        <v>85496</v>
      </c>
      <c r="Y9" s="215">
        <v>113389</v>
      </c>
      <c r="Z9" s="217">
        <v>160276.804</v>
      </c>
      <c r="AA9" s="215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</row>
    <row r="10" spans="1:48" x14ac:dyDescent="0.25">
      <c r="B10" s="189" t="s">
        <v>63</v>
      </c>
      <c r="C10" s="215">
        <v>152</v>
      </c>
      <c r="D10" s="215">
        <v>562</v>
      </c>
      <c r="E10" s="216">
        <v>1635</v>
      </c>
      <c r="F10" s="217">
        <v>-5485</v>
      </c>
      <c r="G10" s="215">
        <v>275</v>
      </c>
      <c r="H10" s="215">
        <v>567</v>
      </c>
      <c r="I10" s="216">
        <v>900</v>
      </c>
      <c r="J10" s="217">
        <v>1997</v>
      </c>
      <c r="K10" s="215">
        <v>345</v>
      </c>
      <c r="L10" s="215">
        <v>2494</v>
      </c>
      <c r="M10" s="216">
        <v>2565</v>
      </c>
      <c r="N10" s="217">
        <v>2056</v>
      </c>
      <c r="O10" s="215">
        <v>323</v>
      </c>
      <c r="P10" s="215">
        <v>323</v>
      </c>
      <c r="Q10" s="216">
        <v>495</v>
      </c>
      <c r="R10" s="217">
        <v>3719</v>
      </c>
      <c r="S10" s="215">
        <v>530</v>
      </c>
      <c r="T10" s="215">
        <v>540</v>
      </c>
      <c r="U10" s="216">
        <v>555</v>
      </c>
      <c r="V10" s="217">
        <v>863</v>
      </c>
      <c r="W10" s="215">
        <v>2007</v>
      </c>
      <c r="X10" s="215">
        <v>2138</v>
      </c>
      <c r="Y10" s="215">
        <v>2811</v>
      </c>
      <c r="Z10" s="217">
        <v>3137.3879999999999</v>
      </c>
      <c r="AA10" s="215"/>
      <c r="AB10" s="193"/>
      <c r="AC10" s="193"/>
      <c r="AD10" s="193"/>
      <c r="AE10" s="193"/>
      <c r="AF10" s="193"/>
      <c r="AG10" s="193"/>
      <c r="AH10" s="193"/>
      <c r="AI10" s="193"/>
      <c r="AJ10" s="193"/>
      <c r="AK10" s="193"/>
      <c r="AL10" s="193"/>
      <c r="AM10" s="193"/>
      <c r="AN10" s="193"/>
      <c r="AO10" s="193"/>
      <c r="AP10" s="193"/>
      <c r="AQ10" s="193"/>
      <c r="AR10" s="193"/>
      <c r="AS10" s="193"/>
      <c r="AT10" s="193"/>
      <c r="AU10" s="193"/>
      <c r="AV10" s="193"/>
    </row>
    <row r="11" spans="1:48" s="3" customFormat="1" x14ac:dyDescent="0.25">
      <c r="A11" s="2"/>
      <c r="B11" s="194" t="s">
        <v>7</v>
      </c>
      <c r="C11" s="195">
        <f t="shared" ref="C11:J11" si="12">SUM(C6:C10)</f>
        <v>72896</v>
      </c>
      <c r="D11" s="195">
        <f t="shared" si="12"/>
        <v>148770</v>
      </c>
      <c r="E11" s="195">
        <f t="shared" si="12"/>
        <v>225781</v>
      </c>
      <c r="F11" s="196">
        <f t="shared" si="12"/>
        <v>304665</v>
      </c>
      <c r="G11" s="195">
        <f t="shared" si="12"/>
        <v>78944</v>
      </c>
      <c r="H11" s="195">
        <f t="shared" si="12"/>
        <v>160798</v>
      </c>
      <c r="I11" s="195">
        <f t="shared" si="12"/>
        <v>251606</v>
      </c>
      <c r="J11" s="196">
        <f t="shared" si="12"/>
        <v>390944</v>
      </c>
      <c r="K11" s="195">
        <f t="shared" ref="K11:R11" si="13">SUM(K6:K10)</f>
        <v>113159</v>
      </c>
      <c r="L11" s="195">
        <f t="shared" si="13"/>
        <v>211692</v>
      </c>
      <c r="M11" s="195">
        <f t="shared" si="13"/>
        <v>342161</v>
      </c>
      <c r="N11" s="196">
        <f>SUM(N6:N10)</f>
        <v>516587</v>
      </c>
      <c r="O11" s="195">
        <f t="shared" si="13"/>
        <v>197561</v>
      </c>
      <c r="P11" s="195">
        <f t="shared" si="13"/>
        <v>390424</v>
      </c>
      <c r="Q11" s="195">
        <f t="shared" si="13"/>
        <v>591186</v>
      </c>
      <c r="R11" s="196">
        <f t="shared" si="13"/>
        <v>1045025</v>
      </c>
      <c r="S11" s="195">
        <f t="shared" ref="S11:Z11" si="14">SUM(S6:S10)</f>
        <v>200433</v>
      </c>
      <c r="T11" s="195">
        <f t="shared" si="14"/>
        <v>396343</v>
      </c>
      <c r="U11" s="195">
        <f t="shared" si="14"/>
        <v>600901</v>
      </c>
      <c r="V11" s="196">
        <f t="shared" si="14"/>
        <v>1092802</v>
      </c>
      <c r="W11" s="195">
        <f t="shared" si="14"/>
        <v>211151</v>
      </c>
      <c r="X11" s="195">
        <f t="shared" si="14"/>
        <v>404998</v>
      </c>
      <c r="Y11" s="195">
        <f t="shared" si="14"/>
        <v>628793</v>
      </c>
      <c r="Z11" s="196">
        <f t="shared" si="14"/>
        <v>1302415.3860000002</v>
      </c>
      <c r="AA11" s="195"/>
      <c r="AB11" s="193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</row>
    <row r="12" spans="1:48" x14ac:dyDescent="0.25">
      <c r="B12" s="189" t="s">
        <v>8</v>
      </c>
      <c r="C12" s="215">
        <v>-7000</v>
      </c>
      <c r="D12" s="215">
        <v>-16146</v>
      </c>
      <c r="E12" s="216">
        <v>-25093</v>
      </c>
      <c r="F12" s="217">
        <v>-32493</v>
      </c>
      <c r="G12" s="215">
        <v>-7618</v>
      </c>
      <c r="H12" s="215">
        <v>-8206</v>
      </c>
      <c r="I12" s="216">
        <v>-8735</v>
      </c>
      <c r="J12" s="217">
        <v>-17809</v>
      </c>
      <c r="K12" s="215">
        <v>-10462</v>
      </c>
      <c r="L12" s="215">
        <v>-16444</v>
      </c>
      <c r="M12" s="216">
        <v>-36296</v>
      </c>
      <c r="N12" s="217">
        <v>-229824</v>
      </c>
      <c r="O12" s="215">
        <v>-55740</v>
      </c>
      <c r="P12" s="215">
        <v>-93775</v>
      </c>
      <c r="Q12" s="216">
        <v>-144306</v>
      </c>
      <c r="R12" s="217">
        <v>-77307</v>
      </c>
      <c r="S12" s="215">
        <v>-10015</v>
      </c>
      <c r="T12" s="215">
        <v>-25638</v>
      </c>
      <c r="U12" s="216">
        <v>-101095</v>
      </c>
      <c r="V12" s="217">
        <v>-38529</v>
      </c>
      <c r="W12" s="215">
        <v>25416</v>
      </c>
      <c r="X12" s="215">
        <v>52044</v>
      </c>
      <c r="Y12" s="215">
        <v>98704</v>
      </c>
      <c r="Z12" s="217">
        <v>-79601.395999999993</v>
      </c>
      <c r="AA12" s="215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  <c r="AT12" s="193"/>
      <c r="AU12" s="193"/>
      <c r="AV12" s="193"/>
    </row>
    <row r="13" spans="1:48" x14ac:dyDescent="0.25">
      <c r="B13" s="189" t="s">
        <v>96</v>
      </c>
      <c r="C13" s="190"/>
      <c r="D13" s="190"/>
      <c r="E13" s="191"/>
      <c r="F13" s="192"/>
      <c r="G13" s="190"/>
      <c r="H13" s="190"/>
      <c r="I13" s="191"/>
      <c r="J13" s="192"/>
      <c r="K13" s="190"/>
      <c r="L13" s="190"/>
      <c r="M13" s="191"/>
      <c r="N13" s="192"/>
      <c r="O13" s="190"/>
      <c r="P13" s="190"/>
      <c r="Q13" s="191"/>
      <c r="R13" s="217">
        <v>-289120</v>
      </c>
      <c r="S13" s="190"/>
      <c r="T13" s="190"/>
      <c r="U13" s="191"/>
      <c r="V13" s="217">
        <v>0</v>
      </c>
      <c r="W13" s="190"/>
      <c r="X13" s="190"/>
      <c r="Y13" s="190"/>
      <c r="Z13" s="217"/>
      <c r="AA13" s="190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193"/>
      <c r="AU13" s="193"/>
      <c r="AV13" s="193"/>
    </row>
    <row r="14" spans="1:48" x14ac:dyDescent="0.25">
      <c r="B14" s="189" t="s">
        <v>9</v>
      </c>
      <c r="C14" s="215">
        <v>-19294</v>
      </c>
      <c r="D14" s="215">
        <v>-38378</v>
      </c>
      <c r="E14" s="216">
        <v>-56706</v>
      </c>
      <c r="F14" s="217">
        <v>-74681</v>
      </c>
      <c r="G14" s="215">
        <v>-17662</v>
      </c>
      <c r="H14" s="215">
        <v>-39321</v>
      </c>
      <c r="I14" s="216">
        <v>-62240</v>
      </c>
      <c r="J14" s="217">
        <v>-102733</v>
      </c>
      <c r="K14" s="215">
        <v>-25734</v>
      </c>
      <c r="L14" s="215">
        <v>-51702</v>
      </c>
      <c r="M14" s="216">
        <v>-78885</v>
      </c>
      <c r="N14" s="217">
        <v>-112947</v>
      </c>
      <c r="O14" s="215">
        <v>-29760</v>
      </c>
      <c r="P14" s="215">
        <v>-67979</v>
      </c>
      <c r="Q14" s="216">
        <v>-100302</v>
      </c>
      <c r="R14" s="218">
        <v>-145807</v>
      </c>
      <c r="S14" s="215">
        <v>-43138</v>
      </c>
      <c r="T14" s="215">
        <v>-86023</v>
      </c>
      <c r="U14" s="216">
        <v>-129331</v>
      </c>
      <c r="V14" s="217">
        <v>-256611</v>
      </c>
      <c r="W14" s="215">
        <v>-46453</v>
      </c>
      <c r="X14" s="215">
        <v>-93208</v>
      </c>
      <c r="Y14" s="215">
        <v>-139371</v>
      </c>
      <c r="Z14" s="217">
        <v>-259250.86300000001</v>
      </c>
      <c r="AA14" s="215"/>
      <c r="AB14" s="193"/>
      <c r="AC14" s="193"/>
      <c r="AD14" s="193"/>
      <c r="AE14" s="193"/>
      <c r="AF14" s="193"/>
      <c r="AG14" s="193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93"/>
      <c r="AS14" s="193"/>
      <c r="AT14" s="193"/>
      <c r="AU14" s="193"/>
      <c r="AV14" s="193"/>
    </row>
    <row r="15" spans="1:48" x14ac:dyDescent="0.25">
      <c r="B15" s="189" t="s">
        <v>10</v>
      </c>
      <c r="C15" s="215">
        <v>-3877</v>
      </c>
      <c r="D15" s="215">
        <v>-10242</v>
      </c>
      <c r="E15" s="216">
        <v>-15340</v>
      </c>
      <c r="F15" s="217">
        <v>-20777</v>
      </c>
      <c r="G15" s="215">
        <v>-5542</v>
      </c>
      <c r="H15" s="215">
        <v>-10975</v>
      </c>
      <c r="I15" s="216">
        <v>-16422</v>
      </c>
      <c r="J15" s="217">
        <v>-23023</v>
      </c>
      <c r="K15" s="215">
        <v>-6701</v>
      </c>
      <c r="L15" s="215">
        <v>-13289</v>
      </c>
      <c r="M15" s="216">
        <v>-19753</v>
      </c>
      <c r="N15" s="217">
        <v>-22293</v>
      </c>
      <c r="O15" s="215">
        <v>-8291</v>
      </c>
      <c r="P15" s="215">
        <v>-16717</v>
      </c>
      <c r="Q15" s="216">
        <v>-25032</v>
      </c>
      <c r="R15" s="217">
        <v>-32208</v>
      </c>
      <c r="S15" s="215">
        <v>-11436</v>
      </c>
      <c r="T15" s="215">
        <v>-22912</v>
      </c>
      <c r="U15" s="216">
        <v>-35560</v>
      </c>
      <c r="V15" s="217">
        <v>-45388</v>
      </c>
      <c r="W15" s="215">
        <v>-10964</v>
      </c>
      <c r="X15" s="215">
        <v>-25624</v>
      </c>
      <c r="Y15" s="215">
        <v>-41237</v>
      </c>
      <c r="Z15" s="217">
        <v>-59564.089</v>
      </c>
      <c r="AA15" s="215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  <c r="AS15" s="193"/>
      <c r="AT15" s="193"/>
      <c r="AU15" s="193"/>
      <c r="AV15" s="193"/>
    </row>
    <row r="16" spans="1:48" ht="15.75" customHeight="1" x14ac:dyDescent="0.25">
      <c r="B16" s="189" t="s">
        <v>11</v>
      </c>
      <c r="C16" s="215">
        <v>-22054</v>
      </c>
      <c r="D16" s="215">
        <v>-37118</v>
      </c>
      <c r="E16" s="216">
        <v>-56351</v>
      </c>
      <c r="F16" s="217">
        <v>-70845</v>
      </c>
      <c r="G16" s="215">
        <v>-17027</v>
      </c>
      <c r="H16" s="215">
        <v>-35814</v>
      </c>
      <c r="I16" s="216">
        <v>-56888</v>
      </c>
      <c r="J16" s="217">
        <v>-88046</v>
      </c>
      <c r="K16" s="215">
        <v>-26503</v>
      </c>
      <c r="L16" s="215">
        <v>-52933</v>
      </c>
      <c r="M16" s="216">
        <v>-86250</v>
      </c>
      <c r="N16" s="217">
        <v>-127129</v>
      </c>
      <c r="O16" s="215">
        <v>-33704</v>
      </c>
      <c r="P16" s="215">
        <v>-72564</v>
      </c>
      <c r="Q16" s="216">
        <v>-118312</v>
      </c>
      <c r="R16" s="217">
        <v>-175107</v>
      </c>
      <c r="S16" s="215">
        <v>-44770</v>
      </c>
      <c r="T16" s="215">
        <v>-87041</v>
      </c>
      <c r="U16" s="216">
        <v>-127241</v>
      </c>
      <c r="V16" s="217">
        <v>-207131</v>
      </c>
      <c r="W16" s="215">
        <v>-56889</v>
      </c>
      <c r="X16" s="215">
        <v>-118661</v>
      </c>
      <c r="Y16" s="215">
        <v>-169808</v>
      </c>
      <c r="Z16" s="217">
        <v>-195506.95499999999</v>
      </c>
      <c r="AA16" s="215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</row>
    <row r="17" spans="1:48" x14ac:dyDescent="0.25">
      <c r="B17" s="189" t="s">
        <v>78</v>
      </c>
      <c r="C17" s="190"/>
      <c r="D17" s="190"/>
      <c r="E17" s="191"/>
      <c r="F17" s="217">
        <v>-3177</v>
      </c>
      <c r="G17" s="190"/>
      <c r="H17" s="190"/>
      <c r="I17" s="191"/>
      <c r="J17" s="217">
        <v>-3709</v>
      </c>
      <c r="K17" s="190"/>
      <c r="L17" s="190"/>
      <c r="M17" s="191"/>
      <c r="N17" s="217">
        <v>-2738</v>
      </c>
      <c r="O17" s="190"/>
      <c r="P17" s="190"/>
      <c r="Q17" s="191"/>
      <c r="R17" s="217">
        <v>-2364</v>
      </c>
      <c r="S17" s="190"/>
      <c r="T17" s="190"/>
      <c r="U17" s="191"/>
      <c r="V17" s="217">
        <v>-6218</v>
      </c>
      <c r="W17" s="215">
        <v>-1464</v>
      </c>
      <c r="X17" s="215">
        <v>-2632</v>
      </c>
      <c r="Y17" s="215">
        <v>-5798</v>
      </c>
      <c r="Z17" s="217">
        <v>-6214.7449999999999</v>
      </c>
      <c r="AA17" s="215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</row>
    <row r="18" spans="1:48" x14ac:dyDescent="0.25">
      <c r="B18" s="189" t="s">
        <v>12</v>
      </c>
      <c r="C18" s="215">
        <v>0</v>
      </c>
      <c r="D18" s="215">
        <v>-1715</v>
      </c>
      <c r="E18" s="216">
        <v>0</v>
      </c>
      <c r="F18" s="192"/>
      <c r="G18" s="215">
        <v>0</v>
      </c>
      <c r="H18" s="215">
        <v>0</v>
      </c>
      <c r="I18" s="216">
        <v>0</v>
      </c>
      <c r="J18" s="192"/>
      <c r="K18" s="215">
        <v>0</v>
      </c>
      <c r="L18" s="215">
        <v>0</v>
      </c>
      <c r="M18" s="216">
        <v>0</v>
      </c>
      <c r="N18" s="217">
        <v>0</v>
      </c>
      <c r="O18" s="215">
        <v>0</v>
      </c>
      <c r="P18" s="215">
        <v>0</v>
      </c>
      <c r="Q18" s="216">
        <v>0</v>
      </c>
      <c r="R18" s="217">
        <v>0</v>
      </c>
      <c r="S18" s="215">
        <v>0</v>
      </c>
      <c r="T18" s="215">
        <v>0</v>
      </c>
      <c r="U18" s="216">
        <v>0</v>
      </c>
      <c r="V18" s="217">
        <v>0</v>
      </c>
      <c r="W18" s="215">
        <v>0</v>
      </c>
      <c r="X18" s="215">
        <v>0</v>
      </c>
      <c r="Y18" s="215">
        <v>0</v>
      </c>
      <c r="Z18" s="217">
        <v>0</v>
      </c>
      <c r="AA18" s="215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</row>
    <row r="19" spans="1:48" x14ac:dyDescent="0.25">
      <c r="B19" s="189" t="s">
        <v>84</v>
      </c>
      <c r="C19" s="190"/>
      <c r="D19" s="190"/>
      <c r="E19" s="191"/>
      <c r="F19" s="217">
        <v>94</v>
      </c>
      <c r="G19" s="190"/>
      <c r="H19" s="190"/>
      <c r="I19" s="191"/>
      <c r="J19" s="217">
        <v>227</v>
      </c>
      <c r="K19" s="190"/>
      <c r="L19" s="190"/>
      <c r="M19" s="191"/>
      <c r="N19" s="217">
        <v>299</v>
      </c>
      <c r="O19" s="190"/>
      <c r="P19" s="190"/>
      <c r="Q19" s="191"/>
      <c r="R19" s="217">
        <v>230</v>
      </c>
      <c r="S19" s="190"/>
      <c r="T19" s="190"/>
      <c r="U19" s="191"/>
      <c r="V19" s="217">
        <v>377</v>
      </c>
      <c r="W19" s="190"/>
      <c r="X19" s="190"/>
      <c r="Y19" s="215">
        <v>422</v>
      </c>
      <c r="Z19" s="217">
        <v>717.11599999999999</v>
      </c>
      <c r="AA19" s="190"/>
      <c r="AB19" s="193"/>
      <c r="AC19" s="193"/>
      <c r="AD19" s="193"/>
      <c r="AE19" s="193"/>
      <c r="AF19" s="193"/>
      <c r="AG19" s="193"/>
      <c r="AH19" s="193"/>
      <c r="AI19" s="193"/>
      <c r="AJ19" s="193"/>
      <c r="AK19" s="193"/>
      <c r="AL19" s="193"/>
      <c r="AM19" s="193"/>
      <c r="AN19" s="193"/>
      <c r="AO19" s="193"/>
      <c r="AP19" s="193"/>
      <c r="AQ19" s="193"/>
      <c r="AR19" s="193"/>
      <c r="AS19" s="193"/>
      <c r="AT19" s="193"/>
      <c r="AU19" s="193"/>
      <c r="AV19" s="193"/>
    </row>
    <row r="20" spans="1:48" s="3" customFormat="1" x14ac:dyDescent="0.25">
      <c r="A20" s="2"/>
      <c r="B20" s="194" t="s">
        <v>13</v>
      </c>
      <c r="C20" s="195">
        <f>SUM(C11:C18)</f>
        <v>20671</v>
      </c>
      <c r="D20" s="195">
        <f t="shared" ref="D20:R20" si="15">SUM(D11:D19)</f>
        <v>45171</v>
      </c>
      <c r="E20" s="195">
        <f t="shared" si="15"/>
        <v>72291</v>
      </c>
      <c r="F20" s="196">
        <f t="shared" si="15"/>
        <v>102786</v>
      </c>
      <c r="G20" s="195">
        <f t="shared" si="15"/>
        <v>31095</v>
      </c>
      <c r="H20" s="195">
        <f t="shared" si="15"/>
        <v>66482</v>
      </c>
      <c r="I20" s="195">
        <f t="shared" si="15"/>
        <v>107321</v>
      </c>
      <c r="J20" s="196">
        <f t="shared" si="15"/>
        <v>155851</v>
      </c>
      <c r="K20" s="195">
        <f t="shared" si="15"/>
        <v>43759</v>
      </c>
      <c r="L20" s="195">
        <f t="shared" si="15"/>
        <v>77324</v>
      </c>
      <c r="M20" s="195">
        <f t="shared" si="15"/>
        <v>120977</v>
      </c>
      <c r="N20" s="196">
        <f t="shared" si="15"/>
        <v>21955</v>
      </c>
      <c r="O20" s="195">
        <f t="shared" si="15"/>
        <v>70066</v>
      </c>
      <c r="P20" s="195">
        <f t="shared" si="15"/>
        <v>139389</v>
      </c>
      <c r="Q20" s="195">
        <f t="shared" si="15"/>
        <v>203234</v>
      </c>
      <c r="R20" s="196">
        <f t="shared" si="15"/>
        <v>323342</v>
      </c>
      <c r="S20" s="195">
        <f t="shared" ref="S20:V20" si="16">SUM(S11:S19)</f>
        <v>91074</v>
      </c>
      <c r="T20" s="195">
        <f t="shared" si="16"/>
        <v>174729</v>
      </c>
      <c r="U20" s="195">
        <f t="shared" si="16"/>
        <v>207674</v>
      </c>
      <c r="V20" s="196">
        <f t="shared" si="16"/>
        <v>539302</v>
      </c>
      <c r="W20" s="195">
        <f t="shared" ref="W20" si="17">SUM(W11:W18)</f>
        <v>120797</v>
      </c>
      <c r="X20" s="195">
        <f t="shared" ref="X20" si="18">SUM(X11:X18)</f>
        <v>216917</v>
      </c>
      <c r="Y20" s="195">
        <f>SUM(Y11:Y19)</f>
        <v>371705</v>
      </c>
      <c r="Z20" s="196">
        <f>SUM(Z11:Z19)</f>
        <v>702994.45400000026</v>
      </c>
      <c r="AA20" s="195"/>
      <c r="AB20" s="193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</row>
    <row r="21" spans="1:48" x14ac:dyDescent="0.25">
      <c r="B21" s="189" t="s">
        <v>14</v>
      </c>
      <c r="C21" s="215">
        <v>-5168</v>
      </c>
      <c r="D21" s="215">
        <v>-11293</v>
      </c>
      <c r="E21" s="216">
        <v>-18073</v>
      </c>
      <c r="F21" s="217">
        <v>-11834</v>
      </c>
      <c r="G21" s="215">
        <v>-7774</v>
      </c>
      <c r="H21" s="215">
        <v>-16621</v>
      </c>
      <c r="I21" s="216">
        <v>-14691</v>
      </c>
      <c r="J21" s="217">
        <v>-25856</v>
      </c>
      <c r="K21" s="215">
        <v>-10187</v>
      </c>
      <c r="L21" s="215">
        <v>-20681</v>
      </c>
      <c r="M21" s="216">
        <v>-29438</v>
      </c>
      <c r="N21" s="217">
        <v>-19946</v>
      </c>
      <c r="O21" s="215">
        <v>-17362</v>
      </c>
      <c r="P21" s="215">
        <v>-32608</v>
      </c>
      <c r="Q21" s="216">
        <v>-51948</v>
      </c>
      <c r="R21" s="217">
        <v>-107</v>
      </c>
      <c r="S21" s="215">
        <v>-24064</v>
      </c>
      <c r="T21" s="215">
        <v>-44978</v>
      </c>
      <c r="U21" s="216">
        <v>-53214</v>
      </c>
      <c r="V21" s="217">
        <v>-148719</v>
      </c>
      <c r="W21" s="215">
        <v>-30199</v>
      </c>
      <c r="X21" s="215">
        <v>-54229</v>
      </c>
      <c r="Y21" s="215">
        <v>-81775</v>
      </c>
      <c r="Z21" s="217">
        <v>-149777.63099999999</v>
      </c>
      <c r="AA21" s="215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</row>
    <row r="22" spans="1:48" x14ac:dyDescent="0.25">
      <c r="B22" s="189" t="s">
        <v>15</v>
      </c>
      <c r="C22" s="215">
        <v>-1034</v>
      </c>
      <c r="D22" s="215">
        <v>-2259</v>
      </c>
      <c r="E22" s="216">
        <v>-3615</v>
      </c>
      <c r="F22" s="217">
        <v>-5139</v>
      </c>
      <c r="G22" s="215">
        <v>-1554</v>
      </c>
      <c r="H22" s="215">
        <v>-3324</v>
      </c>
      <c r="I22" s="216">
        <v>-5366</v>
      </c>
      <c r="J22" s="217">
        <v>-7793</v>
      </c>
      <c r="K22" s="215">
        <v>-1600</v>
      </c>
      <c r="L22" s="215">
        <v>-3278</v>
      </c>
      <c r="M22" s="216">
        <v>-6049</v>
      </c>
      <c r="N22" s="219">
        <v>0</v>
      </c>
      <c r="O22" s="215">
        <v>0</v>
      </c>
      <c r="P22" s="215">
        <v>0</v>
      </c>
      <c r="Q22" s="216">
        <v>0</v>
      </c>
      <c r="R22" s="218">
        <v>0</v>
      </c>
      <c r="S22" s="215">
        <v>0</v>
      </c>
      <c r="T22" s="215">
        <v>0</v>
      </c>
      <c r="U22" s="216">
        <v>0</v>
      </c>
      <c r="V22" s="217">
        <v>0</v>
      </c>
      <c r="W22" s="215">
        <v>0</v>
      </c>
      <c r="X22" s="215">
        <v>0</v>
      </c>
      <c r="Y22" s="215">
        <v>-18585</v>
      </c>
      <c r="Z22" s="217">
        <v>-35149.654999999999</v>
      </c>
      <c r="AA22" s="215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</row>
    <row r="23" spans="1:48" x14ac:dyDescent="0.25">
      <c r="B23" s="189" t="s">
        <v>72</v>
      </c>
      <c r="C23" s="190"/>
      <c r="D23" s="190"/>
      <c r="E23" s="191"/>
      <c r="F23" s="217">
        <v>0</v>
      </c>
      <c r="G23" s="215">
        <v>0</v>
      </c>
      <c r="H23" s="215">
        <v>0</v>
      </c>
      <c r="I23" s="216">
        <v>0</v>
      </c>
      <c r="J23" s="217">
        <v>0</v>
      </c>
      <c r="K23" s="215">
        <v>0</v>
      </c>
      <c r="L23" s="215">
        <v>0</v>
      </c>
      <c r="M23" s="216">
        <v>0</v>
      </c>
      <c r="N23" s="217">
        <v>-1083</v>
      </c>
      <c r="O23" s="215">
        <v>-3503</v>
      </c>
      <c r="P23" s="215">
        <v>-6969</v>
      </c>
      <c r="Q23" s="216">
        <v>-10162</v>
      </c>
      <c r="R23" s="217">
        <v>-16167</v>
      </c>
      <c r="S23" s="215">
        <v>-4554</v>
      </c>
      <c r="T23" s="215">
        <v>-8736</v>
      </c>
      <c r="U23" s="216">
        <v>-10384</v>
      </c>
      <c r="V23" s="217">
        <v>-26952</v>
      </c>
      <c r="W23" s="215">
        <v>-6040</v>
      </c>
      <c r="X23" s="215">
        <v>-10846</v>
      </c>
      <c r="Y23" s="215">
        <v>0</v>
      </c>
      <c r="Z23" s="217">
        <v>-35196.103999999999</v>
      </c>
      <c r="AA23" s="215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</row>
    <row r="24" spans="1:48" x14ac:dyDescent="0.25">
      <c r="B24" s="189" t="s">
        <v>67</v>
      </c>
      <c r="C24" s="190"/>
      <c r="D24" s="190"/>
      <c r="E24" s="191"/>
      <c r="F24" s="217">
        <v>0</v>
      </c>
      <c r="G24" s="190"/>
      <c r="H24" s="215">
        <v>0</v>
      </c>
      <c r="I24" s="216">
        <v>-4025</v>
      </c>
      <c r="J24" s="217">
        <v>-5844</v>
      </c>
      <c r="K24" s="215">
        <v>-1600</v>
      </c>
      <c r="L24" s="215">
        <v>-3278</v>
      </c>
      <c r="M24" s="216">
        <v>-6049</v>
      </c>
      <c r="N24" s="217">
        <v>-1083</v>
      </c>
      <c r="O24" s="215">
        <v>-3503</v>
      </c>
      <c r="P24" s="215">
        <v>-6969</v>
      </c>
      <c r="Q24" s="216">
        <v>-10162</v>
      </c>
      <c r="R24" s="217">
        <v>-16167</v>
      </c>
      <c r="S24" s="215">
        <v>-4554</v>
      </c>
      <c r="T24" s="215">
        <v>-8736</v>
      </c>
      <c r="U24" s="216">
        <v>-10384</v>
      </c>
      <c r="V24" s="217">
        <v>-26952</v>
      </c>
      <c r="W24" s="215">
        <v>-6040</v>
      </c>
      <c r="X24" s="215">
        <v>-10846</v>
      </c>
      <c r="Y24" s="215">
        <v>-18585</v>
      </c>
      <c r="Z24" s="217">
        <v>0</v>
      </c>
      <c r="AA24" s="215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</row>
    <row r="25" spans="1:48" x14ac:dyDescent="0.25">
      <c r="B25" s="199" t="s">
        <v>93</v>
      </c>
      <c r="C25" s="200">
        <f>SUM(C20:C22)</f>
        <v>14469</v>
      </c>
      <c r="D25" s="200">
        <f>SUM(D20:D22)</f>
        <v>31619</v>
      </c>
      <c r="E25" s="200">
        <f t="shared" ref="E25:I25" si="19">SUM(E20:E22)</f>
        <v>50603</v>
      </c>
      <c r="F25" s="201">
        <f>SUM(F20:F24)</f>
        <v>85813</v>
      </c>
      <c r="G25" s="200">
        <f t="shared" si="19"/>
        <v>21767</v>
      </c>
      <c r="H25" s="200">
        <f t="shared" si="19"/>
        <v>46537</v>
      </c>
      <c r="I25" s="200">
        <f t="shared" si="19"/>
        <v>87264</v>
      </c>
      <c r="J25" s="201">
        <f>SUM(J20:J24)</f>
        <v>116358</v>
      </c>
      <c r="K25" s="200">
        <f t="shared" ref="K25:V25" si="20">SUM(K20:K24)</f>
        <v>30372</v>
      </c>
      <c r="L25" s="200">
        <f t="shared" si="20"/>
        <v>50087</v>
      </c>
      <c r="M25" s="200">
        <f>SUM(M20:M24)</f>
        <v>79441</v>
      </c>
      <c r="N25" s="201">
        <f>SUM(N20:N24)</f>
        <v>-157</v>
      </c>
      <c r="O25" s="200">
        <f t="shared" si="20"/>
        <v>45698</v>
      </c>
      <c r="P25" s="200">
        <f t="shared" si="20"/>
        <v>92843</v>
      </c>
      <c r="Q25" s="200">
        <f t="shared" si="20"/>
        <v>130962</v>
      </c>
      <c r="R25" s="201">
        <f t="shared" si="20"/>
        <v>290901</v>
      </c>
      <c r="S25" s="200">
        <f t="shared" si="20"/>
        <v>57902</v>
      </c>
      <c r="T25" s="200">
        <f t="shared" si="20"/>
        <v>112279</v>
      </c>
      <c r="U25" s="200">
        <f t="shared" si="20"/>
        <v>133692</v>
      </c>
      <c r="V25" s="201">
        <f t="shared" si="20"/>
        <v>336679</v>
      </c>
      <c r="W25" s="200">
        <f t="shared" ref="W25" si="21">SUM(W20:W24)</f>
        <v>78518</v>
      </c>
      <c r="X25" s="200">
        <f t="shared" ref="X25" si="22">SUM(X20:X24)</f>
        <v>140996</v>
      </c>
      <c r="Y25" s="200">
        <f t="shared" ref="Y25:Z25" si="23">SUM(Y20:Y24)</f>
        <v>252760</v>
      </c>
      <c r="Z25" s="201">
        <f t="shared" si="23"/>
        <v>482871.0640000003</v>
      </c>
      <c r="AA25" s="200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</row>
    <row r="26" spans="1:48" x14ac:dyDescent="0.25">
      <c r="C26" s="190"/>
      <c r="D26" s="190"/>
      <c r="E26" s="191"/>
      <c r="F26" s="192"/>
      <c r="G26" s="190"/>
      <c r="H26" s="190"/>
      <c r="I26" s="191"/>
      <c r="J26" s="192"/>
      <c r="K26" s="190"/>
      <c r="L26" s="190"/>
      <c r="M26" s="191"/>
      <c r="N26" s="192"/>
      <c r="O26" s="190"/>
      <c r="P26" s="190"/>
      <c r="Q26" s="191"/>
      <c r="R26" s="192"/>
      <c r="S26" s="190"/>
      <c r="T26" s="190"/>
      <c r="U26" s="191"/>
      <c r="V26" s="192"/>
      <c r="W26" s="190"/>
      <c r="X26" s="190"/>
      <c r="Y26" s="190"/>
      <c r="Z26" s="192"/>
      <c r="AA26" s="190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193"/>
      <c r="AR26" s="193"/>
      <c r="AS26" s="193"/>
      <c r="AT26" s="193"/>
      <c r="AU26" s="193"/>
      <c r="AV26" s="193"/>
    </row>
    <row r="27" spans="1:48" x14ac:dyDescent="0.25">
      <c r="B27" s="4" t="s">
        <v>16</v>
      </c>
      <c r="C27" s="190"/>
      <c r="D27" s="190"/>
      <c r="E27" s="191"/>
      <c r="F27" s="192"/>
      <c r="G27" s="190"/>
      <c r="H27" s="190"/>
      <c r="I27" s="191"/>
      <c r="J27" s="192"/>
      <c r="K27" s="190"/>
      <c r="L27" s="190"/>
      <c r="M27" s="191"/>
      <c r="N27" s="192"/>
      <c r="O27" s="190"/>
      <c r="P27" s="190"/>
      <c r="Q27" s="191"/>
      <c r="R27" s="192"/>
      <c r="S27" s="190"/>
      <c r="T27" s="190"/>
      <c r="U27" s="191"/>
      <c r="V27" s="192"/>
      <c r="W27" s="190"/>
      <c r="X27" s="190"/>
      <c r="Y27" s="190"/>
      <c r="Z27" s="192"/>
      <c r="AA27" s="190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193"/>
      <c r="AU27" s="193"/>
      <c r="AV27" s="193"/>
    </row>
    <row r="28" spans="1:48" ht="21.6" x14ac:dyDescent="0.25">
      <c r="B28" s="202" t="s">
        <v>17</v>
      </c>
      <c r="C28" s="215">
        <v>2731</v>
      </c>
      <c r="D28" s="215">
        <v>3889</v>
      </c>
      <c r="E28" s="216">
        <v>-2493</v>
      </c>
      <c r="F28" s="217">
        <v>0</v>
      </c>
      <c r="G28" s="215">
        <v>0</v>
      </c>
      <c r="H28" s="215">
        <v>0</v>
      </c>
      <c r="I28" s="191"/>
      <c r="J28" s="217">
        <v>0</v>
      </c>
      <c r="K28" s="215">
        <v>0</v>
      </c>
      <c r="L28" s="215">
        <v>0</v>
      </c>
      <c r="M28" s="216">
        <v>0</v>
      </c>
      <c r="N28" s="192"/>
      <c r="O28" s="215">
        <v>0</v>
      </c>
      <c r="P28" s="215">
        <v>0</v>
      </c>
      <c r="Q28" s="191"/>
      <c r="R28" s="217">
        <v>0</v>
      </c>
      <c r="S28" s="215">
        <v>0</v>
      </c>
      <c r="T28" s="215">
        <v>0</v>
      </c>
      <c r="U28" s="216">
        <v>0</v>
      </c>
      <c r="V28" s="192"/>
      <c r="W28" s="215">
        <v>0</v>
      </c>
      <c r="X28" s="215">
        <v>0</v>
      </c>
      <c r="Y28" s="215">
        <v>0</v>
      </c>
      <c r="Z28" s="192"/>
      <c r="AA28" s="215"/>
      <c r="AB28" s="5"/>
      <c r="AC28" s="5"/>
      <c r="AD28" s="193"/>
      <c r="AE28" s="193"/>
      <c r="AF28" s="193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193"/>
      <c r="AR28" s="193"/>
      <c r="AS28" s="193"/>
      <c r="AT28" s="193"/>
      <c r="AU28" s="193"/>
      <c r="AV28" s="193"/>
    </row>
    <row r="29" spans="1:48" x14ac:dyDescent="0.25">
      <c r="B29" s="203" t="s">
        <v>18</v>
      </c>
      <c r="C29" s="204">
        <f>C25+C28</f>
        <v>17200</v>
      </c>
      <c r="D29" s="204">
        <f>D25+D28</f>
        <v>35508</v>
      </c>
      <c r="E29" s="205">
        <f>E25+E28</f>
        <v>48110</v>
      </c>
      <c r="F29" s="206">
        <f>F25+F28</f>
        <v>85813</v>
      </c>
      <c r="G29" s="204">
        <f>G25+G28</f>
        <v>21767</v>
      </c>
      <c r="H29" s="204">
        <f t="shared" ref="H29:L29" si="24">H25+H28</f>
        <v>46537</v>
      </c>
      <c r="I29" s="205">
        <f t="shared" si="24"/>
        <v>87264</v>
      </c>
      <c r="J29" s="206">
        <f t="shared" si="24"/>
        <v>116358</v>
      </c>
      <c r="K29" s="204">
        <f t="shared" si="24"/>
        <v>30372</v>
      </c>
      <c r="L29" s="204">
        <f t="shared" si="24"/>
        <v>50087</v>
      </c>
      <c r="M29" s="205">
        <f t="shared" ref="M29:N29" si="25">M25+M28</f>
        <v>79441</v>
      </c>
      <c r="N29" s="206">
        <f t="shared" si="25"/>
        <v>-157</v>
      </c>
      <c r="O29" s="204">
        <f t="shared" ref="O29" si="26">O25+O28</f>
        <v>45698</v>
      </c>
      <c r="P29" s="204">
        <f t="shared" ref="P29" si="27">P25+P28</f>
        <v>92843</v>
      </c>
      <c r="Q29" s="205">
        <f t="shared" ref="Q29:R29" si="28">Q25+Q28</f>
        <v>130962</v>
      </c>
      <c r="R29" s="206">
        <f t="shared" si="28"/>
        <v>290901</v>
      </c>
      <c r="S29" s="204">
        <f t="shared" ref="S29" si="29">S25+S28</f>
        <v>57902</v>
      </c>
      <c r="T29" s="204">
        <f t="shared" ref="T29" si="30">T25+T28</f>
        <v>112279</v>
      </c>
      <c r="U29" s="205">
        <f t="shared" ref="U29:V29" si="31">U25+U28</f>
        <v>133692</v>
      </c>
      <c r="V29" s="206">
        <f t="shared" si="31"/>
        <v>336679</v>
      </c>
      <c r="W29" s="204">
        <f t="shared" ref="W29" si="32">W25+W28</f>
        <v>78518</v>
      </c>
      <c r="X29" s="204">
        <f t="shared" ref="X29" si="33">X25+X28</f>
        <v>140996</v>
      </c>
      <c r="Y29" s="204">
        <f t="shared" ref="Y29:Z29" si="34">Y25+Y28</f>
        <v>252760</v>
      </c>
      <c r="Z29" s="206">
        <f t="shared" si="34"/>
        <v>482871.0640000003</v>
      </c>
      <c r="AA29" s="204"/>
      <c r="AB29" s="193"/>
      <c r="AC29" s="193"/>
      <c r="AD29" s="193"/>
      <c r="AE29" s="193"/>
      <c r="AF29" s="193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193"/>
      <c r="AS29" s="193"/>
      <c r="AT29" s="193"/>
      <c r="AU29" s="193"/>
      <c r="AV29" s="193"/>
    </row>
    <row r="30" spans="1:48" x14ac:dyDescent="0.25">
      <c r="C30" s="190"/>
      <c r="D30" s="190"/>
      <c r="E30" s="191"/>
      <c r="F30" s="192"/>
      <c r="G30" s="190"/>
      <c r="H30" s="190"/>
      <c r="I30" s="191"/>
      <c r="J30" s="192"/>
      <c r="K30" s="190"/>
      <c r="L30" s="190"/>
      <c r="M30" s="191"/>
      <c r="N30" s="192"/>
      <c r="O30" s="190"/>
      <c r="P30" s="190"/>
      <c r="Q30" s="191"/>
      <c r="R30" s="192"/>
      <c r="S30" s="190"/>
      <c r="T30" s="190"/>
      <c r="U30" s="191"/>
      <c r="V30" s="192"/>
      <c r="W30" s="190"/>
      <c r="X30" s="190"/>
      <c r="Y30" s="190"/>
      <c r="Z30" s="192"/>
      <c r="AA30" s="190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</row>
    <row r="31" spans="1:48" x14ac:dyDescent="0.25">
      <c r="B31" s="4" t="s">
        <v>94</v>
      </c>
      <c r="C31" s="190"/>
      <c r="D31" s="190"/>
      <c r="E31" s="191"/>
      <c r="F31" s="217">
        <v>26.63</v>
      </c>
      <c r="G31" s="190"/>
      <c r="H31" s="190"/>
      <c r="I31" s="191"/>
      <c r="J31" s="217">
        <v>34.81</v>
      </c>
      <c r="K31" s="190"/>
      <c r="L31" s="190"/>
      <c r="M31" s="191"/>
      <c r="N31" s="217">
        <v>-0.05</v>
      </c>
      <c r="O31" s="190"/>
      <c r="P31" s="190"/>
      <c r="Q31" s="191"/>
      <c r="R31" s="217">
        <v>87.05</v>
      </c>
      <c r="S31" s="190"/>
      <c r="T31" s="190"/>
      <c r="U31" s="191"/>
      <c r="V31" s="217">
        <v>1</v>
      </c>
      <c r="W31" s="190"/>
      <c r="X31" s="190"/>
      <c r="Y31" s="190"/>
      <c r="Z31" s="231">
        <v>1.37</v>
      </c>
      <c r="AA31" s="190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</row>
    <row r="32" spans="1:48" x14ac:dyDescent="0.25">
      <c r="C32" s="190"/>
      <c r="D32" s="190"/>
      <c r="E32" s="191"/>
      <c r="F32" s="192"/>
      <c r="G32" s="190"/>
      <c r="H32" s="190"/>
      <c r="I32" s="191"/>
      <c r="J32" s="192"/>
      <c r="K32" s="190"/>
      <c r="L32" s="190"/>
      <c r="M32" s="191"/>
      <c r="N32" s="192"/>
      <c r="O32" s="190"/>
      <c r="P32" s="190"/>
      <c r="Q32" s="191"/>
      <c r="R32" s="192"/>
      <c r="S32" s="190"/>
      <c r="T32" s="190"/>
      <c r="U32" s="191"/>
      <c r="V32" s="192"/>
      <c r="W32" s="190"/>
      <c r="X32" s="190"/>
      <c r="Y32" s="190"/>
      <c r="Z32" s="192"/>
      <c r="AA32" s="190"/>
      <c r="AB32" s="193"/>
      <c r="AC32" s="193"/>
      <c r="AD32" s="193"/>
      <c r="AE32" s="193"/>
      <c r="AF32" s="193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</row>
    <row r="33" spans="2:48" x14ac:dyDescent="0.25">
      <c r="C33" s="190"/>
      <c r="D33" s="190"/>
      <c r="E33" s="191"/>
      <c r="F33" s="192"/>
      <c r="G33" s="190"/>
      <c r="H33" s="190"/>
      <c r="I33" s="191"/>
      <c r="J33" s="192"/>
      <c r="K33" s="190"/>
      <c r="L33" s="190"/>
      <c r="M33" s="191"/>
      <c r="N33" s="192"/>
      <c r="O33" s="190"/>
      <c r="P33" s="190"/>
      <c r="Q33" s="191"/>
      <c r="R33" s="192"/>
      <c r="S33" s="190"/>
      <c r="T33" s="190"/>
      <c r="U33" s="191"/>
      <c r="V33" s="192"/>
      <c r="W33" s="190"/>
      <c r="X33" s="190"/>
      <c r="Y33" s="190"/>
      <c r="Z33" s="192"/>
      <c r="AA33" s="190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</row>
    <row r="34" spans="2:48" x14ac:dyDescent="0.25">
      <c r="B34" s="207" t="s">
        <v>19</v>
      </c>
      <c r="C34" s="208"/>
      <c r="D34" s="208"/>
      <c r="E34" s="209"/>
      <c r="F34" s="210"/>
      <c r="G34" s="208"/>
      <c r="H34" s="208"/>
      <c r="I34" s="209"/>
      <c r="J34" s="210"/>
      <c r="K34" s="208"/>
      <c r="L34" s="208"/>
      <c r="M34" s="209"/>
      <c r="N34" s="210"/>
      <c r="O34" s="208"/>
      <c r="P34" s="208"/>
      <c r="Q34" s="209"/>
      <c r="R34" s="210"/>
      <c r="S34" s="208"/>
      <c r="T34" s="208"/>
      <c r="U34" s="209"/>
      <c r="V34" s="210"/>
      <c r="W34" s="208"/>
      <c r="X34" s="208"/>
      <c r="Y34" s="208"/>
      <c r="Z34" s="210"/>
      <c r="AA34" s="208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</row>
    <row r="35" spans="2:48" x14ac:dyDescent="0.25">
      <c r="B35" s="4" t="s">
        <v>20</v>
      </c>
      <c r="C35" s="190"/>
      <c r="D35" s="190"/>
      <c r="E35" s="191"/>
      <c r="F35" s="192"/>
      <c r="G35" s="190"/>
      <c r="H35" s="190"/>
      <c r="I35" s="191"/>
      <c r="J35" s="192"/>
      <c r="K35" s="190"/>
      <c r="L35" s="190"/>
      <c r="M35" s="191"/>
      <c r="N35" s="192"/>
      <c r="O35" s="190"/>
      <c r="P35" s="190"/>
      <c r="Q35" s="191"/>
      <c r="R35" s="192"/>
      <c r="S35" s="190"/>
      <c r="T35" s="190"/>
      <c r="U35" s="191"/>
      <c r="V35" s="192"/>
      <c r="W35" s="190"/>
      <c r="X35" s="190"/>
      <c r="Y35" s="190"/>
      <c r="Z35" s="192"/>
      <c r="AA35" s="190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3"/>
    </row>
    <row r="36" spans="2:48" x14ac:dyDescent="0.25">
      <c r="B36" s="2" t="s">
        <v>21</v>
      </c>
      <c r="C36" s="215">
        <v>664482</v>
      </c>
      <c r="D36" s="215">
        <v>553668</v>
      </c>
      <c r="E36" s="216">
        <v>688100</v>
      </c>
      <c r="F36" s="217">
        <v>771158</v>
      </c>
      <c r="G36" s="215">
        <v>702206</v>
      </c>
      <c r="H36" s="215">
        <v>604605</v>
      </c>
      <c r="I36" s="216">
        <v>718939</v>
      </c>
      <c r="J36" s="217">
        <v>961689</v>
      </c>
      <c r="K36" s="215">
        <v>1167148</v>
      </c>
      <c r="L36" s="215">
        <v>1596265</v>
      </c>
      <c r="M36" s="216">
        <v>2089414</v>
      </c>
      <c r="N36" s="217">
        <v>1990143</v>
      </c>
      <c r="O36" s="215">
        <v>1243805</v>
      </c>
      <c r="P36" s="215">
        <v>2105879</v>
      </c>
      <c r="Q36" s="216">
        <v>2156478</v>
      </c>
      <c r="R36" s="217">
        <v>3226881</v>
      </c>
      <c r="S36" s="215">
        <v>3633851</v>
      </c>
      <c r="T36" s="215">
        <v>4076923</v>
      </c>
      <c r="U36" s="216">
        <v>3756035</v>
      </c>
      <c r="V36" s="217">
        <v>4600045</v>
      </c>
      <c r="W36" s="215">
        <v>4294542</v>
      </c>
      <c r="X36" s="215">
        <v>3972659</v>
      </c>
      <c r="Y36" s="215">
        <v>3312929</v>
      </c>
      <c r="Z36" s="217">
        <v>8104418.8439999996</v>
      </c>
      <c r="AA36" s="215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</row>
    <row r="37" spans="2:48" x14ac:dyDescent="0.25">
      <c r="B37" s="2" t="s">
        <v>383</v>
      </c>
      <c r="C37" s="215"/>
      <c r="D37" s="215"/>
      <c r="E37" s="216"/>
      <c r="F37" s="217"/>
      <c r="G37" s="215"/>
      <c r="H37" s="215"/>
      <c r="I37" s="216"/>
      <c r="J37" s="217"/>
      <c r="K37" s="215"/>
      <c r="L37" s="215"/>
      <c r="M37" s="216"/>
      <c r="N37" s="217"/>
      <c r="O37" s="215"/>
      <c r="P37" s="215"/>
      <c r="Q37" s="216"/>
      <c r="R37" s="217"/>
      <c r="S37" s="215"/>
      <c r="T37" s="215"/>
      <c r="U37" s="216"/>
      <c r="V37" s="217"/>
      <c r="W37" s="215"/>
      <c r="X37" s="215"/>
      <c r="Y37" s="215"/>
      <c r="Z37" s="217">
        <v>58041.703999999998</v>
      </c>
      <c r="AA37" s="215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</row>
    <row r="38" spans="2:48" x14ac:dyDescent="0.25">
      <c r="B38" s="2" t="s">
        <v>71</v>
      </c>
      <c r="C38" s="215">
        <v>841803</v>
      </c>
      <c r="D38" s="215">
        <v>1121649</v>
      </c>
      <c r="E38" s="216">
        <v>1085506</v>
      </c>
      <c r="F38" s="217">
        <v>857232</v>
      </c>
      <c r="G38" s="215">
        <v>1182364</v>
      </c>
      <c r="H38" s="215">
        <v>1384113</v>
      </c>
      <c r="I38" s="216">
        <v>1392672</v>
      </c>
      <c r="J38" s="217">
        <v>820239</v>
      </c>
      <c r="K38" s="215">
        <v>1302694</v>
      </c>
      <c r="L38" s="215">
        <v>1149342</v>
      </c>
      <c r="M38" s="216">
        <v>1880011</v>
      </c>
      <c r="N38" s="217">
        <v>1661135</v>
      </c>
      <c r="O38" s="215">
        <v>2448633</v>
      </c>
      <c r="P38" s="215">
        <v>2093026</v>
      </c>
      <c r="Q38" s="216">
        <v>2304294</v>
      </c>
      <c r="R38" s="217">
        <v>2059376</v>
      </c>
      <c r="S38" s="215">
        <v>2366023</v>
      </c>
      <c r="T38" s="215">
        <v>2099235</v>
      </c>
      <c r="U38" s="216">
        <v>2403637</v>
      </c>
      <c r="V38" s="217">
        <v>2647258</v>
      </c>
      <c r="W38" s="215">
        <v>2389898</v>
      </c>
      <c r="X38" s="215">
        <v>3217511</v>
      </c>
      <c r="Y38" s="215">
        <v>3580300</v>
      </c>
      <c r="Z38" s="217">
        <v>3178870.372</v>
      </c>
      <c r="AA38" s="215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</row>
    <row r="39" spans="2:48" x14ac:dyDescent="0.25">
      <c r="B39" s="2" t="s">
        <v>22</v>
      </c>
      <c r="C39" s="215">
        <v>595758</v>
      </c>
      <c r="D39" s="215">
        <v>514565</v>
      </c>
      <c r="E39" s="216">
        <v>622388</v>
      </c>
      <c r="F39" s="217">
        <v>609414</v>
      </c>
      <c r="G39" s="215">
        <v>633698</v>
      </c>
      <c r="H39" s="215">
        <v>574039</v>
      </c>
      <c r="I39" s="216">
        <v>728616</v>
      </c>
      <c r="J39" s="217">
        <v>1011135</v>
      </c>
      <c r="K39" s="215">
        <v>1181132</v>
      </c>
      <c r="L39" s="215">
        <v>1104448</v>
      </c>
      <c r="M39" s="216">
        <v>1320685</v>
      </c>
      <c r="N39" s="217">
        <v>1486925</v>
      </c>
      <c r="O39" s="215">
        <v>1687854</v>
      </c>
      <c r="P39" s="215">
        <v>1768475</v>
      </c>
      <c r="Q39" s="216">
        <v>1760844</v>
      </c>
      <c r="R39" s="217">
        <v>1702104</v>
      </c>
      <c r="S39" s="215">
        <v>1510128</v>
      </c>
      <c r="T39" s="215">
        <v>1345040</v>
      </c>
      <c r="U39" s="216">
        <v>1423356</v>
      </c>
      <c r="V39" s="217">
        <v>1927368</v>
      </c>
      <c r="W39" s="215">
        <v>1560859</v>
      </c>
      <c r="X39" s="215">
        <v>1414797</v>
      </c>
      <c r="Y39" s="215">
        <v>1516490</v>
      </c>
      <c r="Z39" s="217">
        <v>1947024.824</v>
      </c>
      <c r="AA39" s="215"/>
      <c r="AB39" s="193"/>
      <c r="AC39" s="193"/>
      <c r="AD39" s="193"/>
      <c r="AE39" s="193"/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</row>
    <row r="40" spans="2:48" x14ac:dyDescent="0.25">
      <c r="B40" s="2" t="s">
        <v>88</v>
      </c>
      <c r="C40" s="190"/>
      <c r="D40" s="190"/>
      <c r="E40" s="191"/>
      <c r="F40" s="217">
        <v>435577</v>
      </c>
      <c r="G40" s="190"/>
      <c r="H40" s="190"/>
      <c r="I40" s="191"/>
      <c r="J40" s="217">
        <v>462282</v>
      </c>
      <c r="K40" s="190"/>
      <c r="L40" s="190"/>
      <c r="M40" s="191"/>
      <c r="N40" s="217">
        <v>0</v>
      </c>
      <c r="O40" s="190"/>
      <c r="P40" s="190"/>
      <c r="Q40" s="191"/>
      <c r="R40" s="217">
        <v>8411</v>
      </c>
      <c r="S40" s="190"/>
      <c r="T40" s="190"/>
      <c r="U40" s="191"/>
      <c r="V40" s="217">
        <v>0</v>
      </c>
      <c r="W40" s="190"/>
      <c r="X40" s="190"/>
      <c r="Y40" s="190"/>
      <c r="Z40" s="217">
        <v>0</v>
      </c>
      <c r="AA40" s="190"/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</row>
    <row r="41" spans="2:48" x14ac:dyDescent="0.25">
      <c r="B41" s="2" t="s">
        <v>95</v>
      </c>
      <c r="C41" s="190"/>
      <c r="D41" s="190"/>
      <c r="E41" s="191"/>
      <c r="F41" s="217">
        <v>15594</v>
      </c>
      <c r="G41" s="190"/>
      <c r="H41" s="190"/>
      <c r="I41" s="191"/>
      <c r="J41" s="217">
        <v>167867</v>
      </c>
      <c r="K41" s="190"/>
      <c r="L41" s="190"/>
      <c r="M41" s="191"/>
      <c r="N41" s="217">
        <v>0</v>
      </c>
      <c r="O41" s="190"/>
      <c r="P41" s="190"/>
      <c r="Q41" s="191"/>
      <c r="R41" s="217">
        <v>0</v>
      </c>
      <c r="S41" s="190"/>
      <c r="T41" s="190"/>
      <c r="U41" s="191"/>
      <c r="V41" s="217">
        <v>0</v>
      </c>
      <c r="W41" s="190"/>
      <c r="X41" s="190"/>
      <c r="Y41" s="190"/>
      <c r="Z41" s="217">
        <v>0</v>
      </c>
      <c r="AA41" s="190"/>
      <c r="AB41" s="193"/>
      <c r="AC41" s="193"/>
      <c r="AD41" s="193"/>
      <c r="AE41" s="193"/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3"/>
      <c r="AU41" s="193"/>
      <c r="AV41" s="193"/>
    </row>
    <row r="42" spans="2:48" x14ac:dyDescent="0.25">
      <c r="B42" s="2" t="s">
        <v>23</v>
      </c>
      <c r="C42" s="215">
        <v>18877</v>
      </c>
      <c r="D42" s="215">
        <v>127</v>
      </c>
      <c r="E42" s="216">
        <v>127</v>
      </c>
      <c r="F42" s="217">
        <v>449</v>
      </c>
      <c r="G42" s="215">
        <v>449</v>
      </c>
      <c r="H42" s="215">
        <v>449</v>
      </c>
      <c r="I42" s="216">
        <v>449</v>
      </c>
      <c r="J42" s="217">
        <v>1176</v>
      </c>
      <c r="K42" s="215">
        <v>1176</v>
      </c>
      <c r="L42" s="215">
        <v>1176</v>
      </c>
      <c r="M42" s="216">
        <v>2686</v>
      </c>
      <c r="N42" s="217">
        <v>1474</v>
      </c>
      <c r="O42" s="215">
        <v>1474</v>
      </c>
      <c r="P42" s="215">
        <v>2834</v>
      </c>
      <c r="Q42" s="216">
        <v>1704</v>
      </c>
      <c r="R42" s="217">
        <v>1705</v>
      </c>
      <c r="S42" s="215">
        <v>1704</v>
      </c>
      <c r="T42" s="215">
        <v>1704</v>
      </c>
      <c r="U42" s="216">
        <v>1704</v>
      </c>
      <c r="V42" s="217">
        <v>2082</v>
      </c>
      <c r="W42" s="215">
        <v>2082</v>
      </c>
      <c r="X42" s="215">
        <v>2082</v>
      </c>
      <c r="Y42" s="215">
        <v>2505</v>
      </c>
      <c r="Z42" s="217">
        <v>2799.3820000000001</v>
      </c>
      <c r="AA42" s="215"/>
      <c r="AB42" s="193"/>
      <c r="AC42" s="193"/>
      <c r="AD42" s="193"/>
      <c r="AE42" s="193"/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</row>
    <row r="43" spans="2:48" x14ac:dyDescent="0.25">
      <c r="B43" s="2" t="s">
        <v>79</v>
      </c>
      <c r="C43" s="190"/>
      <c r="D43" s="190"/>
      <c r="E43" s="191"/>
      <c r="F43" s="217">
        <v>0</v>
      </c>
      <c r="G43" s="190"/>
      <c r="H43" s="190"/>
      <c r="I43" s="191"/>
      <c r="J43" s="217">
        <v>0</v>
      </c>
      <c r="K43" s="190"/>
      <c r="L43" s="190"/>
      <c r="M43" s="191"/>
      <c r="N43" s="217">
        <v>0</v>
      </c>
      <c r="O43" s="190"/>
      <c r="P43" s="190"/>
      <c r="Q43" s="191"/>
      <c r="R43" s="217">
        <v>3025</v>
      </c>
      <c r="S43" s="190"/>
      <c r="T43" s="190"/>
      <c r="U43" s="191"/>
      <c r="V43" s="217">
        <v>3025</v>
      </c>
      <c r="W43" s="215">
        <v>3025</v>
      </c>
      <c r="X43" s="215">
        <v>3025</v>
      </c>
      <c r="Y43" s="215">
        <v>3025</v>
      </c>
      <c r="Z43" s="217">
        <v>0</v>
      </c>
      <c r="AA43" s="215"/>
      <c r="AB43" s="193"/>
      <c r="AC43" s="193"/>
      <c r="AD43" s="193"/>
      <c r="AE43" s="193"/>
      <c r="AF43" s="193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</row>
    <row r="44" spans="2:48" x14ac:dyDescent="0.25">
      <c r="B44" s="2" t="s">
        <v>24</v>
      </c>
      <c r="C44" s="215">
        <v>0</v>
      </c>
      <c r="D44" s="215">
        <v>0</v>
      </c>
      <c r="E44" s="216">
        <v>0</v>
      </c>
      <c r="F44" s="217">
        <v>12383</v>
      </c>
      <c r="G44" s="215">
        <v>9609</v>
      </c>
      <c r="H44" s="215">
        <v>5762</v>
      </c>
      <c r="I44" s="216">
        <v>12221</v>
      </c>
      <c r="J44" s="217">
        <v>13569</v>
      </c>
      <c r="K44" s="215">
        <v>14962</v>
      </c>
      <c r="L44" s="215">
        <v>16906</v>
      </c>
      <c r="M44" s="216">
        <v>21627</v>
      </c>
      <c r="N44" s="217">
        <v>9670</v>
      </c>
      <c r="O44" s="215">
        <v>0</v>
      </c>
      <c r="P44" s="215">
        <v>0</v>
      </c>
      <c r="Q44" s="216">
        <v>0</v>
      </c>
      <c r="R44" s="217">
        <v>64714</v>
      </c>
      <c r="S44" s="215">
        <v>80744</v>
      </c>
      <c r="T44" s="215">
        <v>178821</v>
      </c>
      <c r="U44" s="216">
        <v>158337</v>
      </c>
      <c r="V44" s="217">
        <v>59744</v>
      </c>
      <c r="W44" s="215">
        <v>161011</v>
      </c>
      <c r="X44" s="215">
        <v>188481</v>
      </c>
      <c r="Y44" s="215">
        <v>191807</v>
      </c>
      <c r="Z44" s="217">
        <v>244879.81</v>
      </c>
      <c r="AA44" s="215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</row>
    <row r="45" spans="2:48" x14ac:dyDescent="0.25">
      <c r="B45" s="2" t="s">
        <v>73</v>
      </c>
      <c r="C45" s="190"/>
      <c r="D45" s="190"/>
      <c r="E45" s="191"/>
      <c r="F45" s="217">
        <v>0</v>
      </c>
      <c r="G45" s="190"/>
      <c r="H45" s="190"/>
      <c r="I45" s="191"/>
      <c r="J45" s="217">
        <v>0</v>
      </c>
      <c r="K45" s="190"/>
      <c r="L45" s="190"/>
      <c r="M45" s="191"/>
      <c r="N45" s="217">
        <v>0</v>
      </c>
      <c r="O45" s="215">
        <v>0</v>
      </c>
      <c r="P45" s="215">
        <v>0</v>
      </c>
      <c r="Q45" s="216">
        <v>0</v>
      </c>
      <c r="R45" s="217">
        <v>8954</v>
      </c>
      <c r="S45" s="215">
        <v>8954</v>
      </c>
      <c r="T45" s="215">
        <v>8954</v>
      </c>
      <c r="U45" s="216">
        <v>8954</v>
      </c>
      <c r="V45" s="217">
        <v>8827</v>
      </c>
      <c r="W45" s="215">
        <v>8827</v>
      </c>
      <c r="X45" s="215">
        <v>8827</v>
      </c>
      <c r="Y45" s="215">
        <v>8827</v>
      </c>
      <c r="Z45" s="217">
        <v>0</v>
      </c>
      <c r="AA45" s="215"/>
      <c r="AB45" s="193"/>
      <c r="AC45" s="193"/>
      <c r="AD45" s="193"/>
      <c r="AE45" s="193"/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93"/>
      <c r="AU45" s="193"/>
      <c r="AV45" s="193"/>
    </row>
    <row r="46" spans="2:48" x14ac:dyDescent="0.25">
      <c r="B46" s="2" t="s">
        <v>80</v>
      </c>
      <c r="C46" s="190"/>
      <c r="D46" s="190"/>
      <c r="E46" s="191"/>
      <c r="F46" s="217">
        <v>0</v>
      </c>
      <c r="G46" s="190"/>
      <c r="H46" s="190"/>
      <c r="I46" s="191"/>
      <c r="J46" s="217">
        <v>0</v>
      </c>
      <c r="K46" s="215">
        <v>0</v>
      </c>
      <c r="L46" s="215">
        <v>0</v>
      </c>
      <c r="M46" s="216">
        <v>0</v>
      </c>
      <c r="N46" s="217">
        <v>0</v>
      </c>
      <c r="O46" s="215">
        <v>0</v>
      </c>
      <c r="P46" s="215">
        <v>0</v>
      </c>
      <c r="Q46" s="216">
        <v>0</v>
      </c>
      <c r="R46" s="217">
        <v>0</v>
      </c>
      <c r="S46" s="215">
        <v>0</v>
      </c>
      <c r="T46" s="215">
        <v>0</v>
      </c>
      <c r="U46" s="216">
        <v>0</v>
      </c>
      <c r="V46" s="217">
        <v>1795</v>
      </c>
      <c r="W46" s="215">
        <v>21110</v>
      </c>
      <c r="X46" s="215">
        <v>27816</v>
      </c>
      <c r="Y46" s="215">
        <v>37747</v>
      </c>
      <c r="Z46" s="217">
        <v>0</v>
      </c>
      <c r="AA46" s="215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</row>
    <row r="47" spans="2:48" x14ac:dyDescent="0.25">
      <c r="B47" s="2" t="s">
        <v>25</v>
      </c>
      <c r="C47" s="215">
        <v>7080</v>
      </c>
      <c r="D47" s="215">
        <v>6535</v>
      </c>
      <c r="E47" s="216">
        <v>6781</v>
      </c>
      <c r="F47" s="217">
        <v>5074</v>
      </c>
      <c r="G47" s="215">
        <v>4573</v>
      </c>
      <c r="H47" s="215">
        <v>4175</v>
      </c>
      <c r="I47" s="216">
        <v>5136</v>
      </c>
      <c r="J47" s="217">
        <v>5992</v>
      </c>
      <c r="K47" s="215">
        <v>5817</v>
      </c>
      <c r="L47" s="215">
        <v>5429</v>
      </c>
      <c r="M47" s="216">
        <v>5519</v>
      </c>
      <c r="N47" s="217">
        <v>6242</v>
      </c>
      <c r="O47" s="215">
        <v>5760</v>
      </c>
      <c r="P47" s="215">
        <v>7005</v>
      </c>
      <c r="Q47" s="216">
        <v>7036</v>
      </c>
      <c r="R47" s="217">
        <v>20115</v>
      </c>
      <c r="S47" s="215">
        <v>22148</v>
      </c>
      <c r="T47" s="215">
        <v>21127</v>
      </c>
      <c r="U47" s="216">
        <v>26764</v>
      </c>
      <c r="V47" s="217">
        <v>30299</v>
      </c>
      <c r="W47" s="215">
        <v>29559</v>
      </c>
      <c r="X47" s="215">
        <v>30247</v>
      </c>
      <c r="Y47" s="215">
        <v>33244</v>
      </c>
      <c r="Z47" s="217">
        <v>31109.296999999999</v>
      </c>
      <c r="AA47" s="215"/>
      <c r="AB47" s="193"/>
      <c r="AC47" s="193"/>
      <c r="AD47" s="193"/>
      <c r="AE47" s="193"/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</row>
    <row r="48" spans="2:48" x14ac:dyDescent="0.25">
      <c r="B48" s="2" t="s">
        <v>91</v>
      </c>
      <c r="C48" s="215">
        <v>388208</v>
      </c>
      <c r="D48" s="215">
        <v>410318</v>
      </c>
      <c r="E48" s="216">
        <v>480024</v>
      </c>
      <c r="F48" s="217">
        <v>462525</v>
      </c>
      <c r="G48" s="215">
        <v>634309</v>
      </c>
      <c r="H48" s="215">
        <v>794049</v>
      </c>
      <c r="I48" s="216">
        <v>1065110</v>
      </c>
      <c r="J48" s="217">
        <v>1023488</v>
      </c>
      <c r="K48" s="215">
        <v>965939</v>
      </c>
      <c r="L48" s="215">
        <v>966207</v>
      </c>
      <c r="M48" s="216">
        <v>823969</v>
      </c>
      <c r="N48" s="217">
        <v>1699885</v>
      </c>
      <c r="O48" s="215">
        <v>1524859</v>
      </c>
      <c r="P48" s="215">
        <v>1776752</v>
      </c>
      <c r="Q48" s="216">
        <v>1840464</v>
      </c>
      <c r="R48" s="217">
        <v>2786728</v>
      </c>
      <c r="S48" s="215">
        <v>2339133</v>
      </c>
      <c r="T48" s="215">
        <v>2694417</v>
      </c>
      <c r="U48" s="216">
        <v>3894462</v>
      </c>
      <c r="V48" s="217">
        <v>3464563</v>
      </c>
      <c r="W48" s="215">
        <v>3298570</v>
      </c>
      <c r="X48" s="215">
        <v>4677349</v>
      </c>
      <c r="Y48" s="215">
        <v>6363787</v>
      </c>
      <c r="Z48" s="217">
        <v>5017670.5980000002</v>
      </c>
      <c r="AA48" s="215"/>
      <c r="AB48" s="193"/>
      <c r="AC48" s="193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</row>
    <row r="49" spans="2:48" x14ac:dyDescent="0.25">
      <c r="B49" s="2" t="s">
        <v>26</v>
      </c>
      <c r="C49" s="215">
        <v>167975</v>
      </c>
      <c r="D49" s="215">
        <v>154854</v>
      </c>
      <c r="E49" s="216">
        <v>183156</v>
      </c>
      <c r="F49" s="217">
        <v>169866</v>
      </c>
      <c r="G49" s="215">
        <v>166788</v>
      </c>
      <c r="H49" s="215">
        <v>167680</v>
      </c>
      <c r="I49" s="216">
        <v>177552</v>
      </c>
      <c r="J49" s="217">
        <v>181642</v>
      </c>
      <c r="K49" s="215">
        <v>178922</v>
      </c>
      <c r="L49" s="215">
        <v>182088</v>
      </c>
      <c r="M49" s="216">
        <v>197442</v>
      </c>
      <c r="N49" s="217">
        <v>553615</v>
      </c>
      <c r="O49" s="215">
        <v>550114</v>
      </c>
      <c r="P49" s="215">
        <v>580617</v>
      </c>
      <c r="Q49" s="216">
        <v>566144</v>
      </c>
      <c r="R49" s="217">
        <v>559232</v>
      </c>
      <c r="S49" s="215">
        <v>542949</v>
      </c>
      <c r="T49" s="215">
        <v>537294</v>
      </c>
      <c r="U49" s="216">
        <v>568602</v>
      </c>
      <c r="V49" s="217">
        <v>552619</v>
      </c>
      <c r="W49" s="215">
        <v>596405</v>
      </c>
      <c r="X49" s="215">
        <v>588736</v>
      </c>
      <c r="Y49" s="215">
        <v>583596</v>
      </c>
      <c r="Z49" s="217">
        <v>568767.63699999999</v>
      </c>
      <c r="AA49" s="215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3"/>
      <c r="AU49" s="193"/>
      <c r="AV49" s="193"/>
    </row>
    <row r="50" spans="2:48" x14ac:dyDescent="0.25">
      <c r="B50" s="2" t="s">
        <v>64</v>
      </c>
      <c r="C50" s="215">
        <v>0</v>
      </c>
      <c r="D50" s="215">
        <v>28038</v>
      </c>
      <c r="E50" s="216">
        <v>0</v>
      </c>
      <c r="F50" s="217">
        <v>23875</v>
      </c>
      <c r="G50" s="215">
        <v>23875</v>
      </c>
      <c r="H50" s="215">
        <v>21537</v>
      </c>
      <c r="I50" s="216">
        <v>20337</v>
      </c>
      <c r="J50" s="217">
        <v>25921</v>
      </c>
      <c r="K50" s="215">
        <v>24529</v>
      </c>
      <c r="L50" s="215">
        <v>23574</v>
      </c>
      <c r="M50" s="216">
        <v>22629</v>
      </c>
      <c r="N50" s="217">
        <v>19202</v>
      </c>
      <c r="O50" s="215">
        <v>23875</v>
      </c>
      <c r="P50" s="215">
        <v>23875</v>
      </c>
      <c r="Q50" s="216">
        <v>16369</v>
      </c>
      <c r="R50" s="217">
        <v>25014</v>
      </c>
      <c r="S50" s="215">
        <v>24352</v>
      </c>
      <c r="T50" s="215">
        <v>23739</v>
      </c>
      <c r="U50" s="216">
        <v>22177</v>
      </c>
      <c r="V50" s="217">
        <v>25700</v>
      </c>
      <c r="W50" s="215">
        <v>23459</v>
      </c>
      <c r="X50" s="215">
        <v>22696</v>
      </c>
      <c r="Y50" s="215">
        <v>22696</v>
      </c>
      <c r="Z50" s="217">
        <v>39409.089999999997</v>
      </c>
      <c r="AA50" s="215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</row>
    <row r="51" spans="2:48" x14ac:dyDescent="0.25">
      <c r="B51" s="211" t="s">
        <v>27</v>
      </c>
      <c r="C51" s="200">
        <f>SUM(C36:C50)</f>
        <v>2684183</v>
      </c>
      <c r="D51" s="200">
        <f>SUM(D36:D50)</f>
        <v>2789754</v>
      </c>
      <c r="E51" s="200">
        <f t="shared" ref="E51" si="35">SUM(E36:E50)</f>
        <v>3066082</v>
      </c>
      <c r="F51" s="201">
        <f t="shared" ref="F51" si="36">SUM(F36:F50)</f>
        <v>3363147</v>
      </c>
      <c r="G51" s="200">
        <f t="shared" ref="G51" si="37">SUM(G36:G50)</f>
        <v>3357871</v>
      </c>
      <c r="H51" s="200">
        <f t="shared" ref="H51" si="38">SUM(H36:H50)</f>
        <v>3556409</v>
      </c>
      <c r="I51" s="200">
        <f t="shared" ref="I51" si="39">SUM(I36:I50)</f>
        <v>4121032</v>
      </c>
      <c r="J51" s="201">
        <f t="shared" ref="J51" si="40">SUM(J36:J50)</f>
        <v>4675000</v>
      </c>
      <c r="K51" s="200">
        <f>SUM(K36:K50)</f>
        <v>4842319</v>
      </c>
      <c r="L51" s="200">
        <f>SUM(L36:L50)</f>
        <v>5045435</v>
      </c>
      <c r="M51" s="200">
        <f t="shared" ref="M51:R51" si="41">SUM(M36:M50)</f>
        <v>6363982</v>
      </c>
      <c r="N51" s="201">
        <f>SUM(N36:N50)</f>
        <v>7428291</v>
      </c>
      <c r="O51" s="200">
        <f t="shared" si="41"/>
        <v>7486374</v>
      </c>
      <c r="P51" s="200">
        <f t="shared" si="41"/>
        <v>8358463</v>
      </c>
      <c r="Q51" s="200">
        <f t="shared" si="41"/>
        <v>8653333</v>
      </c>
      <c r="R51" s="201">
        <f t="shared" si="41"/>
        <v>10466259</v>
      </c>
      <c r="S51" s="200">
        <f t="shared" ref="S51" si="42">SUM(S36:S50)</f>
        <v>10529986</v>
      </c>
      <c r="T51" s="200">
        <f t="shared" ref="T51" si="43">SUM(T36:T50)</f>
        <v>10987254</v>
      </c>
      <c r="U51" s="200">
        <f t="shared" ref="U51" si="44">SUM(U36:U50)</f>
        <v>12264028</v>
      </c>
      <c r="V51" s="201">
        <f t="shared" ref="V51" si="45">SUM(V36:V50)</f>
        <v>13323325</v>
      </c>
      <c r="W51" s="200">
        <f t="shared" ref="W51" si="46">SUM(W36:W50)</f>
        <v>12389347</v>
      </c>
      <c r="X51" s="200">
        <f t="shared" ref="X51" si="47">SUM(X36:X50)</f>
        <v>14154226</v>
      </c>
      <c r="Y51" s="200">
        <f t="shared" ref="Y51:Z51" si="48">SUM(Y36:Y50)</f>
        <v>15656953</v>
      </c>
      <c r="Z51" s="201">
        <f t="shared" si="48"/>
        <v>19192991.557999998</v>
      </c>
      <c r="AA51" s="200"/>
      <c r="AB51" s="193"/>
      <c r="AC51" s="193"/>
      <c r="AD51" s="193"/>
      <c r="AE51" s="193"/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193"/>
      <c r="AR51" s="193"/>
      <c r="AS51" s="193"/>
      <c r="AT51" s="193"/>
      <c r="AU51" s="193"/>
      <c r="AV51" s="193"/>
    </row>
    <row r="52" spans="2:48" x14ac:dyDescent="0.25">
      <c r="C52" s="190"/>
      <c r="D52" s="190"/>
      <c r="E52" s="191"/>
      <c r="F52" s="192"/>
      <c r="G52" s="190"/>
      <c r="H52" s="190"/>
      <c r="I52" s="191"/>
      <c r="J52" s="192"/>
      <c r="K52" s="190"/>
      <c r="L52" s="190"/>
      <c r="M52" s="191"/>
      <c r="N52" s="192"/>
      <c r="O52" s="190"/>
      <c r="P52" s="190"/>
      <c r="Q52" s="191"/>
      <c r="R52" s="192"/>
      <c r="S52" s="190"/>
      <c r="T52" s="190"/>
      <c r="U52" s="191"/>
      <c r="V52" s="192"/>
      <c r="W52" s="190"/>
      <c r="X52" s="190"/>
      <c r="Y52" s="190"/>
      <c r="Z52" s="192"/>
      <c r="AA52" s="190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</row>
    <row r="53" spans="2:48" x14ac:dyDescent="0.25">
      <c r="B53" s="4" t="s">
        <v>31</v>
      </c>
      <c r="C53" s="190"/>
      <c r="D53" s="190"/>
      <c r="E53" s="191"/>
      <c r="F53" s="192"/>
      <c r="G53" s="190"/>
      <c r="H53" s="190"/>
      <c r="I53" s="191"/>
      <c r="J53" s="192"/>
      <c r="K53" s="190"/>
      <c r="L53" s="190"/>
      <c r="M53" s="191"/>
      <c r="N53" s="192"/>
      <c r="O53" s="190"/>
      <c r="P53" s="190"/>
      <c r="Q53" s="191"/>
      <c r="R53" s="192"/>
      <c r="S53" s="190"/>
      <c r="T53" s="190"/>
      <c r="U53" s="191"/>
      <c r="V53" s="192"/>
      <c r="W53" s="190"/>
      <c r="X53" s="190"/>
      <c r="Y53" s="190"/>
      <c r="Z53" s="192"/>
      <c r="AA53" s="190"/>
      <c r="AB53" s="193"/>
      <c r="AC53" s="193"/>
      <c r="AD53" s="193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  <c r="AO53" s="193"/>
      <c r="AP53" s="193"/>
      <c r="AQ53" s="193"/>
      <c r="AR53" s="193"/>
      <c r="AS53" s="193"/>
      <c r="AT53" s="193"/>
      <c r="AU53" s="193"/>
      <c r="AV53" s="193"/>
    </row>
    <row r="54" spans="2:48" x14ac:dyDescent="0.25">
      <c r="B54" s="2" t="s">
        <v>28</v>
      </c>
      <c r="C54" s="215">
        <v>33762</v>
      </c>
      <c r="D54" s="215">
        <v>30684</v>
      </c>
      <c r="E54" s="216">
        <v>31354</v>
      </c>
      <c r="F54" s="217">
        <v>42370</v>
      </c>
      <c r="G54" s="215">
        <v>0</v>
      </c>
      <c r="H54" s="215">
        <v>28816</v>
      </c>
      <c r="I54" s="216">
        <v>10194</v>
      </c>
      <c r="J54" s="217">
        <v>88726</v>
      </c>
      <c r="K54" s="215">
        <v>59407</v>
      </c>
      <c r="L54" s="215">
        <v>96009</v>
      </c>
      <c r="M54" s="216">
        <v>893054</v>
      </c>
      <c r="N54" s="217">
        <v>189415</v>
      </c>
      <c r="O54" s="215">
        <v>0</v>
      </c>
      <c r="P54" s="215">
        <v>0</v>
      </c>
      <c r="Q54" s="216">
        <v>0</v>
      </c>
      <c r="R54" s="217">
        <v>150377</v>
      </c>
      <c r="S54" s="215">
        <v>0</v>
      </c>
      <c r="T54" s="215">
        <v>0</v>
      </c>
      <c r="U54" s="216">
        <v>47571</v>
      </c>
      <c r="V54" s="217">
        <v>0</v>
      </c>
      <c r="W54" s="215">
        <v>0</v>
      </c>
      <c r="X54" s="215">
        <v>0</v>
      </c>
      <c r="Y54" s="215">
        <v>0</v>
      </c>
      <c r="Z54" s="217">
        <v>0</v>
      </c>
      <c r="AA54" s="215"/>
      <c r="AB54" s="193"/>
      <c r="AC54" s="193"/>
      <c r="AD54" s="193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193"/>
      <c r="AS54" s="193"/>
      <c r="AT54" s="193"/>
      <c r="AU54" s="193"/>
      <c r="AV54" s="193"/>
    </row>
    <row r="55" spans="2:48" x14ac:dyDescent="0.25">
      <c r="B55" s="2" t="s">
        <v>29</v>
      </c>
      <c r="C55" s="215">
        <v>2026215</v>
      </c>
      <c r="D55" s="215">
        <v>2098575</v>
      </c>
      <c r="E55" s="216">
        <v>2331723</v>
      </c>
      <c r="F55" s="217">
        <v>2649300</v>
      </c>
      <c r="G55" s="215">
        <v>2671829</v>
      </c>
      <c r="H55" s="215">
        <v>2828833</v>
      </c>
      <c r="I55" s="216">
        <v>3378721</v>
      </c>
      <c r="J55" s="217">
        <v>3772886</v>
      </c>
      <c r="K55" s="215">
        <v>3946225</v>
      </c>
      <c r="L55" s="215">
        <v>4095234</v>
      </c>
      <c r="M55" s="216">
        <v>4600430</v>
      </c>
      <c r="N55" s="217">
        <v>6119100</v>
      </c>
      <c r="O55" s="215">
        <v>6284012</v>
      </c>
      <c r="P55" s="215">
        <v>7171690</v>
      </c>
      <c r="Q55" s="216">
        <v>7438764</v>
      </c>
      <c r="R55" s="217">
        <v>8972969</v>
      </c>
      <c r="S55" s="215">
        <v>9113288</v>
      </c>
      <c r="T55" s="215">
        <v>9597536</v>
      </c>
      <c r="U55" s="216">
        <v>10697303</v>
      </c>
      <c r="V55" s="217">
        <v>11611039</v>
      </c>
      <c r="W55" s="215">
        <v>10600590</v>
      </c>
      <c r="X55" s="215">
        <v>12439255</v>
      </c>
      <c r="Y55" s="215">
        <v>13833495</v>
      </c>
      <c r="Z55" s="217">
        <v>16642449.622</v>
      </c>
      <c r="AA55" s="215"/>
      <c r="AB55" s="193"/>
      <c r="AC55" s="193"/>
      <c r="AD55" s="193"/>
      <c r="AE55" s="193"/>
      <c r="AF55" s="193"/>
      <c r="AG55" s="193"/>
      <c r="AH55" s="193"/>
      <c r="AI55" s="193"/>
      <c r="AJ55" s="193"/>
      <c r="AK55" s="193"/>
      <c r="AL55" s="193"/>
      <c r="AM55" s="193"/>
      <c r="AN55" s="193"/>
      <c r="AO55" s="193"/>
      <c r="AP55" s="193"/>
      <c r="AQ55" s="193"/>
      <c r="AR55" s="193"/>
      <c r="AS55" s="193"/>
      <c r="AT55" s="193"/>
      <c r="AU55" s="193"/>
      <c r="AV55" s="193"/>
    </row>
    <row r="56" spans="2:48" x14ac:dyDescent="0.25">
      <c r="B56" s="2" t="s">
        <v>30</v>
      </c>
      <c r="C56" s="215">
        <v>1023</v>
      </c>
      <c r="D56" s="215">
        <v>5518</v>
      </c>
      <c r="E56" s="216">
        <v>6477</v>
      </c>
      <c r="F56" s="217">
        <v>0</v>
      </c>
      <c r="G56" s="215">
        <v>0</v>
      </c>
      <c r="H56" s="215">
        <v>0</v>
      </c>
      <c r="I56" s="216">
        <v>0</v>
      </c>
      <c r="J56" s="217">
        <v>0</v>
      </c>
      <c r="K56" s="215">
        <v>0</v>
      </c>
      <c r="L56" s="215">
        <v>0</v>
      </c>
      <c r="M56" s="216">
        <v>0</v>
      </c>
      <c r="N56" s="217">
        <v>0</v>
      </c>
      <c r="O56" s="215">
        <v>1153</v>
      </c>
      <c r="P56" s="215">
        <v>2221</v>
      </c>
      <c r="Q56" s="216">
        <v>12162</v>
      </c>
      <c r="R56" s="217">
        <v>0</v>
      </c>
      <c r="S56" s="215">
        <v>0</v>
      </c>
      <c r="T56" s="215">
        <v>0</v>
      </c>
      <c r="U56" s="216">
        <v>0</v>
      </c>
      <c r="V56" s="217">
        <v>0</v>
      </c>
      <c r="W56" s="215">
        <v>0</v>
      </c>
      <c r="X56" s="215">
        <v>0</v>
      </c>
      <c r="Y56" s="215">
        <v>0</v>
      </c>
      <c r="Z56" s="217">
        <v>0</v>
      </c>
      <c r="AA56" s="215"/>
      <c r="AB56" s="193"/>
      <c r="AC56" s="193"/>
      <c r="AD56" s="193"/>
      <c r="AE56" s="193"/>
      <c r="AF56" s="193"/>
      <c r="AG56" s="193"/>
      <c r="AH56" s="193"/>
      <c r="AI56" s="193"/>
      <c r="AJ56" s="193"/>
      <c r="AK56" s="193"/>
      <c r="AL56" s="193"/>
      <c r="AM56" s="193"/>
      <c r="AN56" s="193"/>
      <c r="AO56" s="193"/>
      <c r="AP56" s="193"/>
      <c r="AQ56" s="193"/>
      <c r="AR56" s="193"/>
      <c r="AS56" s="193"/>
      <c r="AT56" s="193"/>
      <c r="AU56" s="193"/>
      <c r="AV56" s="193"/>
    </row>
    <row r="57" spans="2:48" x14ac:dyDescent="0.25">
      <c r="B57" s="2" t="s">
        <v>384</v>
      </c>
      <c r="C57" s="215"/>
      <c r="D57" s="215"/>
      <c r="E57" s="216"/>
      <c r="F57" s="217"/>
      <c r="G57" s="215"/>
      <c r="H57" s="215"/>
      <c r="I57" s="216"/>
      <c r="J57" s="217"/>
      <c r="K57" s="215"/>
      <c r="L57" s="215"/>
      <c r="M57" s="216"/>
      <c r="N57" s="217"/>
      <c r="O57" s="215"/>
      <c r="P57" s="215"/>
      <c r="Q57" s="216"/>
      <c r="R57" s="217"/>
      <c r="S57" s="215"/>
      <c r="T57" s="215"/>
      <c r="U57" s="216"/>
      <c r="V57" s="217"/>
      <c r="W57" s="215"/>
      <c r="X57" s="215"/>
      <c r="Y57" s="215"/>
      <c r="Z57" s="217">
        <v>8491.3430000000008</v>
      </c>
      <c r="AA57" s="215"/>
      <c r="AB57" s="193"/>
      <c r="AC57" s="193"/>
      <c r="AD57" s="193"/>
      <c r="AE57" s="193"/>
      <c r="AF57" s="193"/>
      <c r="AG57" s="193"/>
      <c r="AH57" s="193"/>
      <c r="AI57" s="193"/>
      <c r="AJ57" s="193"/>
      <c r="AK57" s="193"/>
      <c r="AL57" s="193"/>
      <c r="AM57" s="193"/>
      <c r="AN57" s="193"/>
      <c r="AO57" s="193"/>
      <c r="AP57" s="193"/>
      <c r="AQ57" s="193"/>
      <c r="AR57" s="193"/>
      <c r="AS57" s="193"/>
      <c r="AT57" s="193"/>
      <c r="AU57" s="193"/>
      <c r="AV57" s="193"/>
    </row>
    <row r="58" spans="2:48" x14ac:dyDescent="0.25">
      <c r="B58" s="2" t="s">
        <v>32</v>
      </c>
      <c r="C58" s="215">
        <v>17828</v>
      </c>
      <c r="D58" s="215">
        <v>18214</v>
      </c>
      <c r="E58" s="216">
        <v>16086</v>
      </c>
      <c r="F58" s="217">
        <v>10250</v>
      </c>
      <c r="G58" s="215">
        <v>10250</v>
      </c>
      <c r="H58" s="215">
        <v>10250</v>
      </c>
      <c r="I58" s="216">
        <v>10250</v>
      </c>
      <c r="J58" s="217">
        <v>11219</v>
      </c>
      <c r="K58" s="215">
        <v>11219</v>
      </c>
      <c r="L58" s="215">
        <v>11219</v>
      </c>
      <c r="M58" s="216">
        <v>11219</v>
      </c>
      <c r="N58" s="217">
        <v>55272</v>
      </c>
      <c r="O58" s="215">
        <v>55272</v>
      </c>
      <c r="P58" s="215">
        <v>55272</v>
      </c>
      <c r="Q58" s="216">
        <v>55272</v>
      </c>
      <c r="R58" s="217">
        <v>0</v>
      </c>
      <c r="S58" s="215">
        <v>0</v>
      </c>
      <c r="T58" s="215">
        <v>0</v>
      </c>
      <c r="U58" s="216">
        <v>0</v>
      </c>
      <c r="V58" s="217">
        <v>0</v>
      </c>
      <c r="W58" s="215">
        <v>0</v>
      </c>
      <c r="X58" s="215">
        <v>0</v>
      </c>
      <c r="Y58" s="215">
        <v>0</v>
      </c>
      <c r="Z58" s="217">
        <v>173127.59</v>
      </c>
      <c r="AA58" s="215"/>
      <c r="AB58" s="193"/>
      <c r="AC58" s="193"/>
      <c r="AD58" s="193"/>
      <c r="AE58" s="193"/>
      <c r="AF58" s="193"/>
      <c r="AG58" s="193"/>
      <c r="AH58" s="193"/>
      <c r="AI58" s="193"/>
      <c r="AJ58" s="193"/>
      <c r="AK58" s="193"/>
      <c r="AL58" s="193"/>
      <c r="AM58" s="193"/>
      <c r="AN58" s="193"/>
      <c r="AO58" s="193"/>
      <c r="AP58" s="193"/>
      <c r="AQ58" s="193"/>
      <c r="AR58" s="193"/>
      <c r="AS58" s="193"/>
      <c r="AT58" s="193"/>
      <c r="AU58" s="193"/>
      <c r="AV58" s="193"/>
    </row>
    <row r="59" spans="2:48" x14ac:dyDescent="0.25">
      <c r="B59" s="2" t="s">
        <v>33</v>
      </c>
      <c r="C59" s="215">
        <v>41298</v>
      </c>
      <c r="D59" s="215">
        <v>50261</v>
      </c>
      <c r="E59" s="216">
        <v>104226</v>
      </c>
      <c r="F59" s="217">
        <v>42315</v>
      </c>
      <c r="G59" s="215">
        <v>35113</v>
      </c>
      <c r="H59" s="215">
        <v>24326</v>
      </c>
      <c r="I59" s="216">
        <v>22564</v>
      </c>
      <c r="J59" s="217">
        <v>68609</v>
      </c>
      <c r="K59" s="215">
        <v>61013</v>
      </c>
      <c r="L59" s="215">
        <v>59534</v>
      </c>
      <c r="M59" s="216">
        <v>60894</v>
      </c>
      <c r="N59" s="217">
        <v>81908</v>
      </c>
      <c r="O59" s="215">
        <v>110861</v>
      </c>
      <c r="P59" s="215">
        <v>55875</v>
      </c>
      <c r="Q59" s="216">
        <v>38269</v>
      </c>
      <c r="R59" s="217">
        <v>71129</v>
      </c>
      <c r="S59" s="215">
        <v>89805</v>
      </c>
      <c r="T59" s="215">
        <v>7705</v>
      </c>
      <c r="U59" s="216">
        <v>122735</v>
      </c>
      <c r="V59" s="217">
        <v>91644</v>
      </c>
      <c r="W59" s="215">
        <v>92452</v>
      </c>
      <c r="X59" s="215">
        <v>29986</v>
      </c>
      <c r="Y59" s="215">
        <v>23750</v>
      </c>
      <c r="Z59" s="217">
        <v>121687.18799999999</v>
      </c>
      <c r="AA59" s="215"/>
      <c r="AB59" s="193"/>
      <c r="AC59" s="193"/>
      <c r="AD59" s="193"/>
      <c r="AE59" s="193"/>
      <c r="AF59" s="193"/>
      <c r="AG59" s="193"/>
      <c r="AH59" s="193"/>
      <c r="AI59" s="193"/>
      <c r="AJ59" s="193"/>
      <c r="AK59" s="193"/>
      <c r="AL59" s="193"/>
      <c r="AM59" s="193"/>
      <c r="AN59" s="193"/>
      <c r="AO59" s="193"/>
      <c r="AP59" s="193"/>
      <c r="AQ59" s="193"/>
      <c r="AR59" s="193"/>
      <c r="AS59" s="193"/>
      <c r="AT59" s="193"/>
      <c r="AU59" s="193"/>
      <c r="AV59" s="193"/>
    </row>
    <row r="60" spans="2:48" x14ac:dyDescent="0.25">
      <c r="B60" s="2" t="s">
        <v>65</v>
      </c>
      <c r="C60" s="215">
        <v>0</v>
      </c>
      <c r="D60" s="215">
        <v>22885</v>
      </c>
      <c r="E60" s="216">
        <v>0</v>
      </c>
      <c r="F60" s="217">
        <v>20125</v>
      </c>
      <c r="G60" s="215">
        <v>20125</v>
      </c>
      <c r="H60" s="215">
        <v>18860</v>
      </c>
      <c r="I60" s="216">
        <v>17277</v>
      </c>
      <c r="J60" s="217">
        <v>18415</v>
      </c>
      <c r="K60" s="215">
        <v>18938</v>
      </c>
      <c r="L60" s="215">
        <v>18207</v>
      </c>
      <c r="M60" s="216">
        <v>18799</v>
      </c>
      <c r="N60" s="217">
        <v>13343</v>
      </c>
      <c r="O60" s="215">
        <v>20125</v>
      </c>
      <c r="P60" s="215">
        <v>11309</v>
      </c>
      <c r="Q60" s="216">
        <v>8651</v>
      </c>
      <c r="R60" s="217">
        <v>11629</v>
      </c>
      <c r="S60" s="215">
        <v>8836</v>
      </c>
      <c r="T60" s="215">
        <v>9580</v>
      </c>
      <c r="U60" s="216">
        <v>2573</v>
      </c>
      <c r="V60" s="217">
        <v>23808</v>
      </c>
      <c r="W60" s="215">
        <v>20954</v>
      </c>
      <c r="X60" s="215">
        <v>22156</v>
      </c>
      <c r="Y60" s="215">
        <v>25116</v>
      </c>
      <c r="Z60" s="217">
        <v>38841.150999999998</v>
      </c>
      <c r="AA60" s="215"/>
      <c r="AB60" s="193"/>
      <c r="AC60" s="193"/>
      <c r="AD60" s="193"/>
      <c r="AE60" s="193"/>
      <c r="AF60" s="193"/>
      <c r="AG60" s="193"/>
      <c r="AH60" s="193"/>
      <c r="AI60" s="193"/>
      <c r="AJ60" s="193"/>
      <c r="AK60" s="193"/>
      <c r="AL60" s="193"/>
      <c r="AM60" s="193"/>
      <c r="AN60" s="193"/>
      <c r="AO60" s="193"/>
      <c r="AP60" s="193"/>
      <c r="AQ60" s="193"/>
      <c r="AR60" s="193"/>
      <c r="AS60" s="193"/>
      <c r="AT60" s="193"/>
      <c r="AU60" s="193"/>
      <c r="AV60" s="193"/>
    </row>
    <row r="61" spans="2:48" x14ac:dyDescent="0.25">
      <c r="B61" s="211" t="s">
        <v>34</v>
      </c>
      <c r="C61" s="200">
        <f t="shared" ref="C61:J61" si="49">SUM(C54:C60)</f>
        <v>2120126</v>
      </c>
      <c r="D61" s="200">
        <f t="shared" si="49"/>
        <v>2226137</v>
      </c>
      <c r="E61" s="200">
        <f t="shared" ref="E61" si="50">SUM(E54:E60)</f>
        <v>2489866</v>
      </c>
      <c r="F61" s="201">
        <f t="shared" ref="F61" si="51">SUM(F54:F60)</f>
        <v>2764360</v>
      </c>
      <c r="G61" s="200">
        <f t="shared" ref="G61" si="52">SUM(G54:G60)</f>
        <v>2737317</v>
      </c>
      <c r="H61" s="200">
        <f t="shared" ref="H61" si="53">SUM(H54:H60)</f>
        <v>2911085</v>
      </c>
      <c r="I61" s="200">
        <f t="shared" ref="I61" si="54">SUM(I54:I60)</f>
        <v>3439006</v>
      </c>
      <c r="J61" s="201">
        <f t="shared" si="49"/>
        <v>3959855</v>
      </c>
      <c r="K61" s="200">
        <f t="shared" ref="K61:V61" si="55">SUM(K54:K60)</f>
        <v>4096802</v>
      </c>
      <c r="L61" s="200">
        <f t="shared" si="55"/>
        <v>4280203</v>
      </c>
      <c r="M61" s="200">
        <f t="shared" si="55"/>
        <v>5584396</v>
      </c>
      <c r="N61" s="201">
        <f t="shared" si="55"/>
        <v>6459038</v>
      </c>
      <c r="O61" s="200">
        <f t="shared" si="55"/>
        <v>6471423</v>
      </c>
      <c r="P61" s="200">
        <f t="shared" si="55"/>
        <v>7296367</v>
      </c>
      <c r="Q61" s="200">
        <f t="shared" si="55"/>
        <v>7553118</v>
      </c>
      <c r="R61" s="201">
        <f t="shared" si="55"/>
        <v>9206104</v>
      </c>
      <c r="S61" s="200">
        <f t="shared" si="55"/>
        <v>9211929</v>
      </c>
      <c r="T61" s="200">
        <f t="shared" si="55"/>
        <v>9614821</v>
      </c>
      <c r="U61" s="200">
        <f t="shared" si="55"/>
        <v>10870182</v>
      </c>
      <c r="V61" s="201">
        <f t="shared" si="55"/>
        <v>11726491</v>
      </c>
      <c r="W61" s="200">
        <f t="shared" ref="W61" si="56">SUM(W54:W60)</f>
        <v>10713996</v>
      </c>
      <c r="X61" s="200">
        <f t="shared" ref="X61" si="57">SUM(X54:X60)</f>
        <v>12491397</v>
      </c>
      <c r="Y61" s="200">
        <f t="shared" ref="Y61:Z61" si="58">SUM(Y54:Y60)</f>
        <v>13882361</v>
      </c>
      <c r="Z61" s="201">
        <f t="shared" si="58"/>
        <v>16984596.894000001</v>
      </c>
      <c r="AA61" s="200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  <c r="AM61" s="193"/>
      <c r="AN61" s="193"/>
      <c r="AO61" s="193"/>
      <c r="AP61" s="193"/>
      <c r="AQ61" s="193"/>
      <c r="AR61" s="193"/>
      <c r="AS61" s="193"/>
      <c r="AT61" s="193"/>
      <c r="AU61" s="193"/>
      <c r="AV61" s="193"/>
    </row>
    <row r="62" spans="2:48" x14ac:dyDescent="0.25">
      <c r="C62" s="190"/>
      <c r="D62" s="190"/>
      <c r="E62" s="191"/>
      <c r="F62" s="192"/>
      <c r="G62" s="190"/>
      <c r="H62" s="190"/>
      <c r="I62" s="191"/>
      <c r="J62" s="192"/>
      <c r="K62" s="190"/>
      <c r="L62" s="190"/>
      <c r="M62" s="191"/>
      <c r="N62" s="192"/>
      <c r="O62" s="190"/>
      <c r="P62" s="190"/>
      <c r="Q62" s="191"/>
      <c r="R62" s="192"/>
      <c r="S62" s="190"/>
      <c r="T62" s="190"/>
      <c r="U62" s="191"/>
      <c r="V62" s="192"/>
      <c r="W62" s="190"/>
      <c r="X62" s="190"/>
      <c r="Y62" s="190"/>
      <c r="Z62" s="192"/>
      <c r="AA62" s="190"/>
      <c r="AB62" s="193"/>
      <c r="AC62" s="193"/>
      <c r="AD62" s="193"/>
      <c r="AE62" s="193"/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193"/>
      <c r="AR62" s="193"/>
      <c r="AS62" s="193"/>
      <c r="AT62" s="193"/>
      <c r="AU62" s="193"/>
      <c r="AV62" s="193"/>
    </row>
    <row r="63" spans="2:48" x14ac:dyDescent="0.25">
      <c r="B63" s="4" t="s">
        <v>35</v>
      </c>
      <c r="C63" s="190"/>
      <c r="D63" s="190"/>
      <c r="E63" s="191"/>
      <c r="F63" s="192"/>
      <c r="G63" s="190"/>
      <c r="H63" s="190"/>
      <c r="I63" s="191"/>
      <c r="J63" s="192"/>
      <c r="K63" s="190"/>
      <c r="L63" s="190"/>
      <c r="M63" s="191"/>
      <c r="N63" s="192"/>
      <c r="O63" s="190"/>
      <c r="P63" s="190"/>
      <c r="Q63" s="191"/>
      <c r="R63" s="192"/>
      <c r="S63" s="190"/>
      <c r="T63" s="190"/>
      <c r="U63" s="191"/>
      <c r="V63" s="192"/>
      <c r="W63" s="190"/>
      <c r="X63" s="190"/>
      <c r="Y63" s="190"/>
      <c r="Z63" s="192"/>
      <c r="AA63" s="190"/>
      <c r="AB63" s="193"/>
      <c r="AC63" s="193"/>
      <c r="AD63" s="193"/>
      <c r="AE63" s="193"/>
      <c r="AF63" s="193"/>
      <c r="AG63" s="193"/>
      <c r="AH63" s="193"/>
      <c r="AI63" s="193"/>
      <c r="AJ63" s="193"/>
      <c r="AK63" s="193"/>
      <c r="AL63" s="193"/>
      <c r="AM63" s="193"/>
      <c r="AN63" s="193"/>
      <c r="AO63" s="193"/>
      <c r="AP63" s="193"/>
      <c r="AQ63" s="193"/>
      <c r="AR63" s="193"/>
      <c r="AS63" s="193"/>
      <c r="AT63" s="193"/>
      <c r="AU63" s="193"/>
      <c r="AV63" s="193"/>
    </row>
    <row r="64" spans="2:48" x14ac:dyDescent="0.25">
      <c r="B64" s="2" t="s">
        <v>36</v>
      </c>
      <c r="C64" s="215">
        <v>403745</v>
      </c>
      <c r="D64" s="215">
        <v>403745</v>
      </c>
      <c r="E64" s="216">
        <v>403745</v>
      </c>
      <c r="F64" s="217">
        <v>404570</v>
      </c>
      <c r="G64" s="215">
        <v>404570</v>
      </c>
      <c r="H64" s="215">
        <v>404570</v>
      </c>
      <c r="I64" s="216">
        <v>404570</v>
      </c>
      <c r="J64" s="217">
        <v>404570</v>
      </c>
      <c r="K64" s="215">
        <v>404570</v>
      </c>
      <c r="L64" s="215">
        <v>404570</v>
      </c>
      <c r="M64" s="216">
        <v>404570</v>
      </c>
      <c r="N64" s="217">
        <v>404570</v>
      </c>
      <c r="O64" s="215">
        <v>404570</v>
      </c>
      <c r="P64" s="215">
        <v>404570</v>
      </c>
      <c r="Q64" s="216">
        <v>404570</v>
      </c>
      <c r="R64" s="217">
        <v>404570</v>
      </c>
      <c r="S64" s="215">
        <v>404570</v>
      </c>
      <c r="T64" s="215">
        <v>404570</v>
      </c>
      <c r="U64" s="216">
        <v>404570</v>
      </c>
      <c r="V64" s="217">
        <v>404570</v>
      </c>
      <c r="W64" s="215">
        <v>404570</v>
      </c>
      <c r="X64" s="215">
        <v>520263</v>
      </c>
      <c r="Y64" s="215">
        <v>521733</v>
      </c>
      <c r="Z64" s="217">
        <v>726051.152</v>
      </c>
      <c r="AA64" s="215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  <c r="AM64" s="193"/>
      <c r="AN64" s="193"/>
      <c r="AO64" s="193"/>
      <c r="AP64" s="193"/>
      <c r="AQ64" s="193"/>
      <c r="AR64" s="193"/>
      <c r="AS64" s="193"/>
      <c r="AT64" s="193"/>
      <c r="AU64" s="193"/>
      <c r="AV64" s="193"/>
    </row>
    <row r="65" spans="2:48" x14ac:dyDescent="0.25">
      <c r="B65" s="2" t="s">
        <v>81</v>
      </c>
      <c r="C65" s="215">
        <v>26541</v>
      </c>
      <c r="D65" s="215">
        <v>27975</v>
      </c>
      <c r="E65" s="216">
        <v>48135</v>
      </c>
      <c r="F65" s="217">
        <v>-12456</v>
      </c>
      <c r="G65" s="215">
        <v>17131</v>
      </c>
      <c r="H65" s="215">
        <v>36254</v>
      </c>
      <c r="I65" s="216">
        <v>81799</v>
      </c>
      <c r="J65" s="217">
        <v>44625</v>
      </c>
      <c r="K65" s="215">
        <v>79748</v>
      </c>
      <c r="L65" s="215">
        <v>101387</v>
      </c>
      <c r="M65" s="216">
        <v>104955</v>
      </c>
      <c r="N65" s="217">
        <v>35689</v>
      </c>
      <c r="O65" s="215">
        <v>79689</v>
      </c>
      <c r="P65" s="215">
        <v>100645</v>
      </c>
      <c r="Q65" s="216">
        <v>155697</v>
      </c>
      <c r="R65" s="217">
        <v>87941</v>
      </c>
      <c r="S65" s="215">
        <v>118379</v>
      </c>
      <c r="T65" s="215">
        <v>184572</v>
      </c>
      <c r="U65" s="216">
        <v>226880</v>
      </c>
      <c r="V65" s="217">
        <v>291090</v>
      </c>
      <c r="W65" s="215">
        <v>368840</v>
      </c>
      <c r="X65" s="215">
        <v>247837</v>
      </c>
      <c r="Y65" s="215">
        <v>354517</v>
      </c>
      <c r="Z65" s="217">
        <v>454973.94699999999</v>
      </c>
      <c r="AA65" s="215"/>
      <c r="AB65" s="193"/>
      <c r="AC65" s="193"/>
      <c r="AD65" s="193"/>
      <c r="AE65" s="193"/>
      <c r="AF65" s="193"/>
      <c r="AG65" s="193"/>
      <c r="AH65" s="193"/>
      <c r="AI65" s="193"/>
      <c r="AJ65" s="193"/>
      <c r="AK65" s="193"/>
      <c r="AL65" s="193"/>
      <c r="AM65" s="193"/>
      <c r="AN65" s="193"/>
      <c r="AO65" s="193"/>
      <c r="AP65" s="193"/>
      <c r="AQ65" s="193"/>
      <c r="AR65" s="193"/>
      <c r="AS65" s="193"/>
      <c r="AT65" s="193"/>
      <c r="AU65" s="193"/>
      <c r="AV65" s="193"/>
    </row>
    <row r="66" spans="2:48" x14ac:dyDescent="0.25">
      <c r="B66" s="2" t="s">
        <v>37</v>
      </c>
      <c r="C66" s="215">
        <v>50765</v>
      </c>
      <c r="D66" s="215">
        <v>50765</v>
      </c>
      <c r="E66" s="216">
        <v>50765</v>
      </c>
      <c r="F66" s="217">
        <v>56427</v>
      </c>
      <c r="G66" s="215">
        <v>56427</v>
      </c>
      <c r="H66" s="215">
        <v>56427</v>
      </c>
      <c r="I66" s="216">
        <v>56427</v>
      </c>
      <c r="J66" s="217">
        <v>56427</v>
      </c>
      <c r="K66" s="215">
        <v>56427</v>
      </c>
      <c r="L66" s="215">
        <v>56427</v>
      </c>
      <c r="M66" s="216">
        <v>56427</v>
      </c>
      <c r="N66" s="217">
        <v>325693</v>
      </c>
      <c r="O66" s="215">
        <v>325693</v>
      </c>
      <c r="P66" s="215">
        <v>325693</v>
      </c>
      <c r="Q66" s="216">
        <v>325693</v>
      </c>
      <c r="R66" s="217">
        <v>325693</v>
      </c>
      <c r="S66" s="215">
        <v>325693</v>
      </c>
      <c r="T66" s="215">
        <v>325693</v>
      </c>
      <c r="U66" s="216">
        <v>325693</v>
      </c>
      <c r="V66" s="217">
        <v>325693</v>
      </c>
      <c r="W66" s="215">
        <v>325693</v>
      </c>
      <c r="X66" s="215">
        <v>325693</v>
      </c>
      <c r="Y66" s="215">
        <v>325693</v>
      </c>
      <c r="Z66" s="217">
        <v>325693.41399999999</v>
      </c>
      <c r="AA66" s="215"/>
      <c r="AB66" s="193"/>
      <c r="AC66" s="193"/>
      <c r="AD66" s="193"/>
      <c r="AE66" s="193"/>
      <c r="AF66" s="193"/>
      <c r="AG66" s="193"/>
      <c r="AH66" s="193"/>
      <c r="AI66" s="193"/>
      <c r="AJ66" s="193"/>
      <c r="AK66" s="193"/>
      <c r="AL66" s="193"/>
      <c r="AM66" s="193"/>
      <c r="AN66" s="193"/>
      <c r="AO66" s="193"/>
      <c r="AP66" s="193"/>
      <c r="AQ66" s="193"/>
      <c r="AR66" s="193"/>
      <c r="AS66" s="193"/>
      <c r="AT66" s="193"/>
      <c r="AU66" s="193"/>
      <c r="AV66" s="193"/>
    </row>
    <row r="67" spans="2:48" x14ac:dyDescent="0.25">
      <c r="B67" s="2" t="s">
        <v>385</v>
      </c>
      <c r="C67" s="215"/>
      <c r="D67" s="215"/>
      <c r="E67" s="216"/>
      <c r="F67" s="217"/>
      <c r="G67" s="215"/>
      <c r="H67" s="215"/>
      <c r="I67" s="216"/>
      <c r="J67" s="217"/>
      <c r="K67" s="215"/>
      <c r="L67" s="215"/>
      <c r="M67" s="216"/>
      <c r="N67" s="217"/>
      <c r="O67" s="215"/>
      <c r="P67" s="215"/>
      <c r="Q67" s="216"/>
      <c r="R67" s="217"/>
      <c r="S67" s="215"/>
      <c r="T67" s="215"/>
      <c r="U67" s="216"/>
      <c r="V67" s="217"/>
      <c r="W67" s="215"/>
      <c r="X67" s="215"/>
      <c r="Y67" s="215"/>
      <c r="Z67" s="217">
        <v>1455.473</v>
      </c>
      <c r="AA67" s="215"/>
      <c r="AB67" s="193"/>
      <c r="AC67" s="193"/>
      <c r="AD67" s="193"/>
      <c r="AE67" s="193"/>
      <c r="AF67" s="193"/>
      <c r="AG67" s="193"/>
      <c r="AH67" s="193"/>
      <c r="AI67" s="193"/>
      <c r="AJ67" s="193"/>
      <c r="AK67" s="193"/>
      <c r="AL67" s="193"/>
      <c r="AM67" s="193"/>
      <c r="AN67" s="193"/>
      <c r="AO67" s="193"/>
      <c r="AP67" s="193"/>
      <c r="AQ67" s="193"/>
      <c r="AR67" s="193"/>
      <c r="AS67" s="193"/>
      <c r="AT67" s="193"/>
      <c r="AU67" s="193"/>
      <c r="AV67" s="193"/>
    </row>
    <row r="68" spans="2:48" x14ac:dyDescent="0.25">
      <c r="B68" s="2" t="s">
        <v>38</v>
      </c>
      <c r="C68" s="215">
        <v>51313</v>
      </c>
      <c r="D68" s="215">
        <v>51313</v>
      </c>
      <c r="E68" s="216">
        <v>51313</v>
      </c>
      <c r="F68" s="217">
        <v>94947</v>
      </c>
      <c r="G68" s="215">
        <v>94947</v>
      </c>
      <c r="H68" s="215">
        <v>94947</v>
      </c>
      <c r="I68" s="216">
        <v>94947</v>
      </c>
      <c r="J68" s="217">
        <v>153126</v>
      </c>
      <c r="K68" s="215">
        <v>153126</v>
      </c>
      <c r="L68" s="215">
        <v>153127</v>
      </c>
      <c r="M68" s="216">
        <v>153126</v>
      </c>
      <c r="N68" s="217">
        <v>153126</v>
      </c>
      <c r="O68" s="215">
        <v>153126</v>
      </c>
      <c r="P68" s="215">
        <v>153126</v>
      </c>
      <c r="Q68" s="216">
        <v>153126</v>
      </c>
      <c r="R68" s="217">
        <v>298577</v>
      </c>
      <c r="S68" s="215">
        <v>298577</v>
      </c>
      <c r="T68" s="215">
        <v>298577</v>
      </c>
      <c r="U68" s="216">
        <v>298577</v>
      </c>
      <c r="V68" s="217">
        <v>382743</v>
      </c>
      <c r="W68" s="215">
        <v>382743</v>
      </c>
      <c r="X68" s="215">
        <v>382743</v>
      </c>
      <c r="Y68" s="215">
        <v>382743</v>
      </c>
      <c r="Z68" s="217">
        <v>503644.92499999999</v>
      </c>
      <c r="AA68" s="215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  <c r="AM68" s="193"/>
      <c r="AN68" s="193"/>
      <c r="AO68" s="193"/>
      <c r="AP68" s="193"/>
      <c r="AQ68" s="193"/>
      <c r="AR68" s="193"/>
      <c r="AS68" s="193"/>
      <c r="AT68" s="193"/>
      <c r="AU68" s="193"/>
      <c r="AV68" s="193"/>
    </row>
    <row r="69" spans="2:48" x14ac:dyDescent="0.25">
      <c r="B69" s="2" t="s">
        <v>39</v>
      </c>
      <c r="C69" s="215">
        <v>30221</v>
      </c>
      <c r="D69" s="215">
        <v>27187</v>
      </c>
      <c r="E69" s="216">
        <v>26011</v>
      </c>
      <c r="F69" s="217">
        <v>55299</v>
      </c>
      <c r="G69" s="215">
        <v>47479</v>
      </c>
      <c r="H69" s="215">
        <v>53126</v>
      </c>
      <c r="I69" s="216">
        <v>44283</v>
      </c>
      <c r="J69" s="217">
        <v>56397</v>
      </c>
      <c r="K69" s="215">
        <v>51646</v>
      </c>
      <c r="L69" s="215">
        <v>49721</v>
      </c>
      <c r="M69" s="216">
        <v>60508</v>
      </c>
      <c r="N69" s="217">
        <v>50175</v>
      </c>
      <c r="O69" s="215">
        <v>51873</v>
      </c>
      <c r="P69" s="215">
        <v>78062</v>
      </c>
      <c r="Q69" s="216">
        <v>61129</v>
      </c>
      <c r="R69" s="217">
        <v>143374</v>
      </c>
      <c r="S69" s="215">
        <v>170838</v>
      </c>
      <c r="T69" s="215">
        <v>159021</v>
      </c>
      <c r="U69" s="216">
        <v>138126</v>
      </c>
      <c r="V69" s="217">
        <v>192738</v>
      </c>
      <c r="W69" s="215">
        <v>193505</v>
      </c>
      <c r="X69" s="215">
        <v>186293</v>
      </c>
      <c r="Y69" s="215">
        <v>189906</v>
      </c>
      <c r="Z69" s="217">
        <v>196575.75399999999</v>
      </c>
      <c r="AA69" s="215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  <c r="AM69" s="193"/>
      <c r="AN69" s="193"/>
      <c r="AO69" s="193"/>
      <c r="AP69" s="193"/>
      <c r="AQ69" s="193"/>
      <c r="AR69" s="193"/>
      <c r="AS69" s="193"/>
      <c r="AT69" s="193"/>
      <c r="AU69" s="193"/>
      <c r="AV69" s="193"/>
    </row>
    <row r="70" spans="2:48" x14ac:dyDescent="0.25">
      <c r="B70" s="2" t="s">
        <v>40</v>
      </c>
      <c r="C70" s="215">
        <v>1472</v>
      </c>
      <c r="D70" s="215">
        <v>2630</v>
      </c>
      <c r="E70" s="216">
        <v>-3753</v>
      </c>
      <c r="F70" s="217">
        <v>0</v>
      </c>
      <c r="G70" s="215">
        <v>0</v>
      </c>
      <c r="H70" s="215">
        <v>0</v>
      </c>
      <c r="I70" s="216">
        <v>0</v>
      </c>
      <c r="J70" s="217">
        <v>0</v>
      </c>
      <c r="K70" s="215">
        <v>0</v>
      </c>
      <c r="L70" s="215">
        <v>0</v>
      </c>
      <c r="M70" s="216">
        <v>0</v>
      </c>
      <c r="N70" s="192"/>
      <c r="O70" s="215">
        <v>0</v>
      </c>
      <c r="P70" s="215">
        <v>0</v>
      </c>
      <c r="Q70" s="216">
        <v>0</v>
      </c>
      <c r="R70" s="217">
        <v>0</v>
      </c>
      <c r="S70" s="215">
        <v>0</v>
      </c>
      <c r="T70" s="215">
        <v>0</v>
      </c>
      <c r="U70" s="216">
        <v>0</v>
      </c>
      <c r="V70" s="217">
        <v>0</v>
      </c>
      <c r="W70" s="215">
        <v>0</v>
      </c>
      <c r="X70" s="215">
        <v>0</v>
      </c>
      <c r="Y70" s="215">
        <v>0</v>
      </c>
      <c r="Z70" s="217">
        <v>0</v>
      </c>
      <c r="AA70" s="215"/>
      <c r="AB70" s="193"/>
      <c r="AC70" s="193"/>
      <c r="AD70" s="193"/>
      <c r="AE70" s="193"/>
      <c r="AF70" s="193"/>
      <c r="AG70" s="193"/>
      <c r="AH70" s="193"/>
      <c r="AI70" s="193"/>
      <c r="AJ70" s="193"/>
      <c r="AK70" s="193"/>
      <c r="AL70" s="193"/>
      <c r="AM70" s="193"/>
      <c r="AN70" s="193"/>
      <c r="AO70" s="193"/>
      <c r="AP70" s="193"/>
      <c r="AQ70" s="193"/>
      <c r="AR70" s="193"/>
      <c r="AS70" s="193"/>
      <c r="AT70" s="193"/>
      <c r="AU70" s="193"/>
      <c r="AV70" s="193"/>
    </row>
    <row r="71" spans="2:48" x14ac:dyDescent="0.25">
      <c r="B71" s="211" t="s">
        <v>41</v>
      </c>
      <c r="C71" s="200">
        <f t="shared" ref="C71:Z71" si="59">SUM(C64:C70)</f>
        <v>564057</v>
      </c>
      <c r="D71" s="200">
        <f t="shared" si="59"/>
        <v>563615</v>
      </c>
      <c r="E71" s="200">
        <f t="shared" ref="E71" si="60">SUM(E64:E70)</f>
        <v>576216</v>
      </c>
      <c r="F71" s="201">
        <f t="shared" ref="F71" si="61">SUM(F64:F70)</f>
        <v>598787</v>
      </c>
      <c r="G71" s="200">
        <f t="shared" ref="G71" si="62">SUM(G64:G70)</f>
        <v>620554</v>
      </c>
      <c r="H71" s="200">
        <f t="shared" ref="H71" si="63">SUM(H64:H70)</f>
        <v>645324</v>
      </c>
      <c r="I71" s="200">
        <f t="shared" ref="I71" si="64">SUM(I64:I70)</f>
        <v>682026</v>
      </c>
      <c r="J71" s="201">
        <f t="shared" ref="J71" si="65">SUM(J64:J70)</f>
        <v>715145</v>
      </c>
      <c r="K71" s="200">
        <f t="shared" si="59"/>
        <v>745517</v>
      </c>
      <c r="L71" s="200">
        <f t="shared" si="59"/>
        <v>765232</v>
      </c>
      <c r="M71" s="200">
        <f>SUM(M64:M70)</f>
        <v>779586</v>
      </c>
      <c r="N71" s="201">
        <f t="shared" si="59"/>
        <v>969253</v>
      </c>
      <c r="O71" s="200">
        <f t="shared" si="59"/>
        <v>1014951</v>
      </c>
      <c r="P71" s="200">
        <f t="shared" si="59"/>
        <v>1062096</v>
      </c>
      <c r="Q71" s="200">
        <f t="shared" si="59"/>
        <v>1100215</v>
      </c>
      <c r="R71" s="201">
        <f t="shared" si="59"/>
        <v>1260155</v>
      </c>
      <c r="S71" s="200">
        <f t="shared" si="59"/>
        <v>1318057</v>
      </c>
      <c r="T71" s="200">
        <f t="shared" si="59"/>
        <v>1372433</v>
      </c>
      <c r="U71" s="200">
        <f t="shared" si="59"/>
        <v>1393846</v>
      </c>
      <c r="V71" s="201">
        <f t="shared" si="59"/>
        <v>1596834</v>
      </c>
      <c r="W71" s="200">
        <f t="shared" si="59"/>
        <v>1675351</v>
      </c>
      <c r="X71" s="200">
        <f t="shared" si="59"/>
        <v>1662829</v>
      </c>
      <c r="Y71" s="200">
        <f t="shared" si="59"/>
        <v>1774592</v>
      </c>
      <c r="Z71" s="201">
        <f t="shared" si="59"/>
        <v>2208394.665</v>
      </c>
      <c r="AA71" s="200"/>
      <c r="AB71" s="193"/>
      <c r="AC71" s="193"/>
      <c r="AD71" s="193"/>
      <c r="AE71" s="193"/>
      <c r="AF71" s="193"/>
      <c r="AG71" s="193"/>
      <c r="AH71" s="193"/>
      <c r="AI71" s="193"/>
      <c r="AJ71" s="193"/>
      <c r="AK71" s="193"/>
      <c r="AL71" s="193"/>
      <c r="AM71" s="193"/>
      <c r="AN71" s="193"/>
      <c r="AO71" s="193"/>
      <c r="AP71" s="193"/>
      <c r="AQ71" s="193"/>
      <c r="AR71" s="193"/>
      <c r="AS71" s="193"/>
      <c r="AT71" s="193"/>
      <c r="AU71" s="193"/>
      <c r="AV71" s="193"/>
    </row>
    <row r="72" spans="2:48" x14ac:dyDescent="0.25">
      <c r="C72" s="190"/>
      <c r="D72" s="190"/>
      <c r="E72" s="191"/>
      <c r="F72" s="192"/>
      <c r="G72" s="190"/>
      <c r="H72" s="190"/>
      <c r="I72" s="191"/>
      <c r="J72" s="192"/>
      <c r="K72" s="190"/>
      <c r="L72" s="190"/>
      <c r="M72" s="191"/>
      <c r="N72" s="192"/>
      <c r="O72" s="190"/>
      <c r="P72" s="190"/>
      <c r="Q72" s="191"/>
      <c r="R72" s="192"/>
      <c r="S72" s="190"/>
      <c r="T72" s="190"/>
      <c r="U72" s="191"/>
      <c r="V72" s="192"/>
      <c r="W72" s="190"/>
      <c r="X72" s="190"/>
      <c r="Y72" s="190"/>
      <c r="Z72" s="192"/>
      <c r="AA72" s="190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193"/>
      <c r="AR72" s="193"/>
      <c r="AS72" s="193"/>
      <c r="AT72" s="193"/>
      <c r="AU72" s="193"/>
      <c r="AV72" s="193"/>
    </row>
    <row r="73" spans="2:48" x14ac:dyDescent="0.25">
      <c r="B73" s="4" t="s">
        <v>42</v>
      </c>
      <c r="C73" s="204">
        <f t="shared" ref="C73:Z73" si="66">C71+C61</f>
        <v>2684183</v>
      </c>
      <c r="D73" s="204">
        <f t="shared" si="66"/>
        <v>2789752</v>
      </c>
      <c r="E73" s="205">
        <f t="shared" si="66"/>
        <v>3066082</v>
      </c>
      <c r="F73" s="206">
        <f t="shared" si="66"/>
        <v>3363147</v>
      </c>
      <c r="G73" s="205">
        <f t="shared" si="66"/>
        <v>3357871</v>
      </c>
      <c r="H73" s="205">
        <f t="shared" si="66"/>
        <v>3556409</v>
      </c>
      <c r="I73" s="205">
        <f t="shared" si="66"/>
        <v>4121032</v>
      </c>
      <c r="J73" s="206">
        <f t="shared" si="66"/>
        <v>4675000</v>
      </c>
      <c r="K73" s="204">
        <f t="shared" si="66"/>
        <v>4842319</v>
      </c>
      <c r="L73" s="204">
        <f t="shared" si="66"/>
        <v>5045435</v>
      </c>
      <c r="M73" s="205">
        <f t="shared" si="66"/>
        <v>6363982</v>
      </c>
      <c r="N73" s="206">
        <f t="shared" si="66"/>
        <v>7428291</v>
      </c>
      <c r="O73" s="205">
        <f t="shared" si="66"/>
        <v>7486374</v>
      </c>
      <c r="P73" s="205">
        <f t="shared" si="66"/>
        <v>8358463</v>
      </c>
      <c r="Q73" s="205">
        <f t="shared" si="66"/>
        <v>8653333</v>
      </c>
      <c r="R73" s="206">
        <f t="shared" si="66"/>
        <v>10466259</v>
      </c>
      <c r="S73" s="205">
        <f t="shared" si="66"/>
        <v>10529986</v>
      </c>
      <c r="T73" s="205">
        <f t="shared" si="66"/>
        <v>10987254</v>
      </c>
      <c r="U73" s="205">
        <f t="shared" si="66"/>
        <v>12264028</v>
      </c>
      <c r="V73" s="206">
        <f t="shared" si="66"/>
        <v>13323325</v>
      </c>
      <c r="W73" s="204">
        <f t="shared" si="66"/>
        <v>12389347</v>
      </c>
      <c r="X73" s="204">
        <f t="shared" si="66"/>
        <v>14154226</v>
      </c>
      <c r="Y73" s="204">
        <f t="shared" si="66"/>
        <v>15656953</v>
      </c>
      <c r="Z73" s="206">
        <f t="shared" si="66"/>
        <v>19192991.559</v>
      </c>
      <c r="AA73" s="204"/>
      <c r="AB73" s="193"/>
      <c r="AC73" s="193"/>
      <c r="AD73" s="193"/>
      <c r="AE73" s="193"/>
      <c r="AF73" s="193"/>
      <c r="AG73" s="193"/>
      <c r="AH73" s="193"/>
      <c r="AI73" s="193"/>
      <c r="AJ73" s="193"/>
      <c r="AK73" s="193"/>
      <c r="AL73" s="193"/>
      <c r="AM73" s="193"/>
      <c r="AN73" s="193"/>
      <c r="AO73" s="193"/>
      <c r="AP73" s="193"/>
      <c r="AQ73" s="193"/>
      <c r="AR73" s="193"/>
      <c r="AS73" s="193"/>
      <c r="AT73" s="193"/>
      <c r="AU73" s="193"/>
      <c r="AV73" s="193"/>
    </row>
    <row r="74" spans="2:48" x14ac:dyDescent="0.25">
      <c r="C74" s="190"/>
      <c r="D74" s="190"/>
      <c r="E74" s="191"/>
      <c r="F74" s="192"/>
      <c r="G74" s="190"/>
      <c r="H74" s="190"/>
      <c r="I74" s="191"/>
      <c r="J74" s="192"/>
      <c r="K74" s="190"/>
      <c r="L74" s="190"/>
      <c r="M74" s="191"/>
      <c r="N74" s="192"/>
      <c r="O74" s="190"/>
      <c r="P74" s="190"/>
      <c r="Q74" s="191"/>
      <c r="R74" s="192"/>
      <c r="S74" s="190"/>
      <c r="T74" s="190"/>
      <c r="U74" s="191"/>
      <c r="V74" s="192"/>
      <c r="W74" s="190"/>
      <c r="X74" s="190"/>
      <c r="Y74" s="190"/>
      <c r="Z74" s="192"/>
      <c r="AA74" s="190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3"/>
      <c r="AQ74" s="193"/>
      <c r="AR74" s="193"/>
      <c r="AS74" s="193"/>
      <c r="AT74" s="193"/>
      <c r="AU74" s="193"/>
      <c r="AV74" s="193"/>
    </row>
    <row r="75" spans="2:48" x14ac:dyDescent="0.25">
      <c r="C75" s="190"/>
      <c r="D75" s="190"/>
      <c r="E75" s="191"/>
      <c r="F75" s="192"/>
      <c r="G75" s="190"/>
      <c r="H75" s="190"/>
      <c r="I75" s="191"/>
      <c r="J75" s="192"/>
      <c r="K75" s="190"/>
      <c r="L75" s="190"/>
      <c r="M75" s="191"/>
      <c r="N75" s="192"/>
      <c r="O75" s="190"/>
      <c r="P75" s="190"/>
      <c r="Q75" s="191"/>
      <c r="R75" s="192"/>
      <c r="S75" s="190"/>
      <c r="T75" s="190"/>
      <c r="U75" s="191"/>
      <c r="V75" s="192"/>
      <c r="W75" s="190"/>
      <c r="X75" s="190"/>
      <c r="Y75" s="190"/>
      <c r="Z75" s="192"/>
      <c r="AA75" s="190"/>
      <c r="AB75" s="193"/>
      <c r="AC75" s="193"/>
      <c r="AD75" s="193"/>
      <c r="AE75" s="193"/>
      <c r="AF75" s="193"/>
      <c r="AG75" s="193"/>
      <c r="AH75" s="193"/>
      <c r="AI75" s="193"/>
      <c r="AJ75" s="193"/>
      <c r="AK75" s="193"/>
      <c r="AL75" s="193"/>
      <c r="AM75" s="193"/>
      <c r="AN75" s="193"/>
      <c r="AO75" s="193"/>
      <c r="AP75" s="193"/>
      <c r="AQ75" s="193"/>
      <c r="AR75" s="193"/>
      <c r="AS75" s="193"/>
      <c r="AT75" s="193"/>
      <c r="AU75" s="193"/>
      <c r="AV75" s="193"/>
    </row>
    <row r="76" spans="2:48" x14ac:dyDescent="0.25">
      <c r="C76" s="190"/>
      <c r="D76" s="190"/>
      <c r="E76" s="191"/>
      <c r="F76" s="192"/>
      <c r="G76" s="190"/>
      <c r="H76" s="190"/>
      <c r="I76" s="191"/>
      <c r="J76" s="192"/>
      <c r="K76" s="190"/>
      <c r="L76" s="190"/>
      <c r="M76" s="191"/>
      <c r="N76" s="192"/>
      <c r="O76" s="190"/>
      <c r="P76" s="190"/>
      <c r="Q76" s="191"/>
      <c r="R76" s="192"/>
      <c r="S76" s="190"/>
      <c r="T76" s="190"/>
      <c r="U76" s="191"/>
      <c r="V76" s="192"/>
      <c r="W76" s="190"/>
      <c r="X76" s="190"/>
      <c r="Y76" s="190"/>
      <c r="Z76" s="192"/>
      <c r="AA76" s="190"/>
      <c r="AB76" s="193"/>
      <c r="AC76" s="193"/>
      <c r="AD76" s="193"/>
      <c r="AE76" s="193"/>
      <c r="AF76" s="193"/>
      <c r="AG76" s="193"/>
      <c r="AH76" s="193"/>
      <c r="AI76" s="193"/>
      <c r="AJ76" s="193"/>
      <c r="AK76" s="193"/>
      <c r="AL76" s="193"/>
      <c r="AM76" s="193"/>
      <c r="AN76" s="193"/>
      <c r="AO76" s="193"/>
      <c r="AP76" s="193"/>
      <c r="AQ76" s="193"/>
      <c r="AR76" s="193"/>
      <c r="AS76" s="193"/>
      <c r="AT76" s="193"/>
      <c r="AU76" s="193"/>
      <c r="AV76" s="193"/>
    </row>
    <row r="77" spans="2:48" x14ac:dyDescent="0.25">
      <c r="B77" s="207" t="s">
        <v>43</v>
      </c>
      <c r="C77" s="208"/>
      <c r="D77" s="208"/>
      <c r="E77" s="209"/>
      <c r="F77" s="210"/>
      <c r="G77" s="208"/>
      <c r="H77" s="208"/>
      <c r="I77" s="209"/>
      <c r="J77" s="210"/>
      <c r="K77" s="208"/>
      <c r="L77" s="208"/>
      <c r="M77" s="209"/>
      <c r="N77" s="210"/>
      <c r="O77" s="208"/>
      <c r="P77" s="208"/>
      <c r="Q77" s="209"/>
      <c r="R77" s="210"/>
      <c r="S77" s="208"/>
      <c r="T77" s="208"/>
      <c r="U77" s="209"/>
      <c r="V77" s="210"/>
      <c r="W77" s="208"/>
      <c r="X77" s="208"/>
      <c r="Y77" s="208"/>
      <c r="Z77" s="210"/>
      <c r="AA77" s="208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  <c r="AM77" s="193"/>
      <c r="AN77" s="193"/>
      <c r="AO77" s="193"/>
      <c r="AP77" s="193"/>
      <c r="AQ77" s="193"/>
      <c r="AR77" s="193"/>
      <c r="AS77" s="193"/>
      <c r="AT77" s="193"/>
      <c r="AU77" s="193"/>
      <c r="AV77" s="193"/>
    </row>
    <row r="78" spans="2:48" x14ac:dyDescent="0.25">
      <c r="B78" s="4" t="s">
        <v>44</v>
      </c>
      <c r="C78" s="190"/>
      <c r="D78" s="190"/>
      <c r="E78" s="191"/>
      <c r="F78" s="192"/>
      <c r="G78" s="190"/>
      <c r="H78" s="190"/>
      <c r="I78" s="191"/>
      <c r="J78" s="192"/>
      <c r="K78" s="190"/>
      <c r="L78" s="190"/>
      <c r="M78" s="191"/>
      <c r="N78" s="192"/>
      <c r="O78" s="190"/>
      <c r="P78" s="190"/>
      <c r="Q78" s="191"/>
      <c r="R78" s="192"/>
      <c r="S78" s="190"/>
      <c r="T78" s="190"/>
      <c r="U78" s="191"/>
      <c r="V78" s="192"/>
      <c r="W78" s="190"/>
      <c r="X78" s="190"/>
      <c r="Y78" s="190"/>
      <c r="Z78" s="192"/>
      <c r="AA78" s="190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</row>
    <row r="79" spans="2:48" x14ac:dyDescent="0.25">
      <c r="B79" s="2" t="s">
        <v>85</v>
      </c>
      <c r="C79" s="215">
        <v>20670</v>
      </c>
      <c r="D79" s="215">
        <v>45172</v>
      </c>
      <c r="E79" s="216">
        <v>72291</v>
      </c>
      <c r="F79" s="192"/>
      <c r="G79" s="215">
        <v>0</v>
      </c>
      <c r="H79" s="215">
        <v>0</v>
      </c>
      <c r="I79" s="216">
        <v>0</v>
      </c>
      <c r="J79" s="192"/>
      <c r="K79" s="215">
        <v>0</v>
      </c>
      <c r="L79" s="215">
        <v>0</v>
      </c>
      <c r="M79" s="216">
        <v>0</v>
      </c>
      <c r="N79" s="217">
        <v>21955</v>
      </c>
      <c r="O79" s="215">
        <v>70066</v>
      </c>
      <c r="P79" s="215">
        <v>139389</v>
      </c>
      <c r="Q79" s="216">
        <v>203234</v>
      </c>
      <c r="R79" s="217">
        <v>323343</v>
      </c>
      <c r="S79" s="215">
        <v>91074</v>
      </c>
      <c r="T79" s="215">
        <v>174729</v>
      </c>
      <c r="U79" s="216">
        <v>207674</v>
      </c>
      <c r="V79" s="217">
        <v>539920.58600000001</v>
      </c>
      <c r="W79" s="215">
        <v>120797</v>
      </c>
      <c r="X79" s="215">
        <v>216917</v>
      </c>
      <c r="Y79" s="215">
        <v>371705</v>
      </c>
      <c r="Z79" s="217">
        <v>702994.45499999996</v>
      </c>
      <c r="AA79" s="215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  <c r="AL79" s="193"/>
      <c r="AM79" s="193"/>
      <c r="AN79" s="193"/>
      <c r="AO79" s="193"/>
      <c r="AP79" s="193"/>
      <c r="AQ79" s="193"/>
      <c r="AR79" s="193"/>
      <c r="AS79" s="193"/>
      <c r="AT79" s="193"/>
      <c r="AU79" s="193"/>
      <c r="AV79" s="193"/>
    </row>
    <row r="80" spans="2:48" x14ac:dyDescent="0.25">
      <c r="B80" s="2" t="s">
        <v>45</v>
      </c>
      <c r="C80" s="190"/>
      <c r="D80" s="6"/>
      <c r="E80" s="191"/>
      <c r="F80" s="192"/>
      <c r="G80" s="215">
        <v>0</v>
      </c>
      <c r="H80" s="215">
        <v>0</v>
      </c>
      <c r="I80" s="216">
        <v>0</v>
      </c>
      <c r="J80" s="192"/>
      <c r="K80" s="215">
        <v>0</v>
      </c>
      <c r="L80" s="215">
        <v>0</v>
      </c>
      <c r="M80" s="216">
        <v>0</v>
      </c>
      <c r="N80" s="192"/>
      <c r="O80" s="190"/>
      <c r="P80" s="190"/>
      <c r="Q80" s="191"/>
      <c r="R80" s="192"/>
      <c r="S80" s="190"/>
      <c r="T80" s="190"/>
      <c r="U80" s="191"/>
      <c r="V80" s="192"/>
      <c r="W80" s="190"/>
      <c r="X80" s="190"/>
      <c r="Y80" s="190"/>
      <c r="Z80" s="192"/>
      <c r="AA80" s="190"/>
      <c r="AB80" s="193"/>
      <c r="AC80" s="193"/>
      <c r="AD80" s="193"/>
      <c r="AE80" s="193"/>
      <c r="AF80" s="193"/>
      <c r="AG80" s="193"/>
      <c r="AH80" s="193"/>
      <c r="AI80" s="193"/>
      <c r="AJ80" s="193"/>
      <c r="AK80" s="193"/>
      <c r="AL80" s="193"/>
      <c r="AM80" s="193"/>
      <c r="AN80" s="193"/>
      <c r="AO80" s="193"/>
      <c r="AP80" s="193"/>
      <c r="AQ80" s="193"/>
      <c r="AR80" s="193"/>
      <c r="AS80" s="193"/>
      <c r="AT80" s="193"/>
      <c r="AU80" s="193"/>
      <c r="AV80" s="193"/>
    </row>
    <row r="81" spans="2:48" x14ac:dyDescent="0.25">
      <c r="B81" s="2" t="s">
        <v>10</v>
      </c>
      <c r="C81" s="215">
        <v>3877</v>
      </c>
      <c r="D81" s="215">
        <v>10242</v>
      </c>
      <c r="E81" s="216">
        <v>15340</v>
      </c>
      <c r="F81" s="192"/>
      <c r="G81" s="215">
        <v>0</v>
      </c>
      <c r="H81" s="215">
        <v>0</v>
      </c>
      <c r="I81" s="216">
        <v>0</v>
      </c>
      <c r="J81" s="192"/>
      <c r="K81" s="215">
        <v>0</v>
      </c>
      <c r="L81" s="215">
        <v>0</v>
      </c>
      <c r="M81" s="216">
        <v>0</v>
      </c>
      <c r="N81" s="217">
        <v>22293</v>
      </c>
      <c r="O81" s="215">
        <v>8291</v>
      </c>
      <c r="P81" s="215">
        <v>16717</v>
      </c>
      <c r="Q81" s="216">
        <v>25032</v>
      </c>
      <c r="R81" s="217">
        <v>25658</v>
      </c>
      <c r="S81" s="215">
        <v>11436</v>
      </c>
      <c r="T81" s="215">
        <v>22912</v>
      </c>
      <c r="U81" s="216">
        <v>35560</v>
      </c>
      <c r="V81" s="217">
        <f>37288.812+3995.842+4220.028</f>
        <v>45504.681999999993</v>
      </c>
      <c r="W81" s="215">
        <v>10964</v>
      </c>
      <c r="X81" s="215">
        <v>25624</v>
      </c>
      <c r="Y81" s="215">
        <v>41237</v>
      </c>
      <c r="Z81" s="217">
        <f>48366.284+5727.197+5470.607</f>
        <v>59564.088000000003</v>
      </c>
      <c r="AA81" s="215"/>
      <c r="AB81" s="193"/>
      <c r="AC81" s="193"/>
      <c r="AD81" s="193"/>
      <c r="AE81" s="193"/>
      <c r="AF81" s="193"/>
      <c r="AG81" s="193"/>
      <c r="AH81" s="193"/>
      <c r="AI81" s="193"/>
      <c r="AJ81" s="193"/>
      <c r="AK81" s="193"/>
      <c r="AL81" s="193"/>
      <c r="AM81" s="193"/>
      <c r="AN81" s="193"/>
      <c r="AO81" s="193"/>
      <c r="AP81" s="193"/>
      <c r="AQ81" s="193"/>
      <c r="AR81" s="193"/>
      <c r="AS81" s="193"/>
      <c r="AT81" s="193"/>
      <c r="AU81" s="193"/>
      <c r="AV81" s="193"/>
    </row>
    <row r="82" spans="2:48" x14ac:dyDescent="0.25">
      <c r="B82" s="2" t="s">
        <v>46</v>
      </c>
      <c r="C82" s="215">
        <v>7000</v>
      </c>
      <c r="D82" s="215">
        <v>16146</v>
      </c>
      <c r="E82" s="216">
        <v>25093</v>
      </c>
      <c r="F82" s="192"/>
      <c r="G82" s="215">
        <v>0</v>
      </c>
      <c r="H82" s="215">
        <v>0</v>
      </c>
      <c r="I82" s="216">
        <v>0</v>
      </c>
      <c r="J82" s="192"/>
      <c r="K82" s="215">
        <v>0</v>
      </c>
      <c r="L82" s="215">
        <v>0</v>
      </c>
      <c r="M82" s="216">
        <v>0</v>
      </c>
      <c r="N82" s="217">
        <v>229824</v>
      </c>
      <c r="O82" s="215">
        <v>55740</v>
      </c>
      <c r="P82" s="215">
        <v>93775</v>
      </c>
      <c r="Q82" s="216">
        <v>144306</v>
      </c>
      <c r="R82" s="217">
        <v>366427</v>
      </c>
      <c r="S82" s="215">
        <v>10015</v>
      </c>
      <c r="T82" s="215">
        <v>25638</v>
      </c>
      <c r="U82" s="216">
        <v>101095</v>
      </c>
      <c r="V82" s="217">
        <v>38529.284</v>
      </c>
      <c r="W82" s="215">
        <v>-25416</v>
      </c>
      <c r="X82" s="215">
        <v>-52045</v>
      </c>
      <c r="Y82" s="215">
        <v>-98704</v>
      </c>
      <c r="Z82" s="217">
        <v>79601.395999999993</v>
      </c>
      <c r="AA82" s="215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  <c r="AL82" s="193"/>
      <c r="AM82" s="193"/>
      <c r="AN82" s="193"/>
      <c r="AO82" s="193"/>
      <c r="AP82" s="193"/>
      <c r="AQ82" s="193"/>
      <c r="AR82" s="193"/>
      <c r="AS82" s="193"/>
      <c r="AT82" s="193"/>
      <c r="AU82" s="193"/>
      <c r="AV82" s="193"/>
    </row>
    <row r="83" spans="2:48" x14ac:dyDescent="0.25">
      <c r="B83" s="2" t="s">
        <v>386</v>
      </c>
      <c r="C83" s="215"/>
      <c r="D83" s="215"/>
      <c r="E83" s="216"/>
      <c r="F83" s="192"/>
      <c r="G83" s="215"/>
      <c r="H83" s="215"/>
      <c r="I83" s="216"/>
      <c r="J83" s="192"/>
      <c r="K83" s="215"/>
      <c r="L83" s="215"/>
      <c r="M83" s="216"/>
      <c r="N83" s="217"/>
      <c r="O83" s="215"/>
      <c r="P83" s="215"/>
      <c r="Q83" s="216"/>
      <c r="R83" s="217"/>
      <c r="S83" s="215"/>
      <c r="T83" s="215"/>
      <c r="U83" s="216"/>
      <c r="V83" s="217">
        <v>-22323.752</v>
      </c>
      <c r="W83" s="215"/>
      <c r="X83" s="215"/>
      <c r="Y83" s="215"/>
      <c r="Z83" s="217">
        <v>269103.94500000001</v>
      </c>
      <c r="AA83" s="215"/>
      <c r="AB83" s="193"/>
      <c r="AC83" s="193"/>
      <c r="AD83" s="193"/>
      <c r="AE83" s="193"/>
      <c r="AF83" s="193"/>
      <c r="AG83" s="193"/>
      <c r="AH83" s="193"/>
      <c r="AI83" s="193"/>
      <c r="AJ83" s="193"/>
      <c r="AK83" s="193"/>
      <c r="AL83" s="193"/>
      <c r="AM83" s="193"/>
      <c r="AN83" s="193"/>
      <c r="AO83" s="193"/>
      <c r="AP83" s="193"/>
      <c r="AQ83" s="193"/>
      <c r="AR83" s="193"/>
      <c r="AS83" s="193"/>
      <c r="AT83" s="193"/>
      <c r="AU83" s="193"/>
      <c r="AV83" s="193"/>
    </row>
    <row r="84" spans="2:48" x14ac:dyDescent="0.25">
      <c r="B84" s="2" t="s">
        <v>86</v>
      </c>
      <c r="C84" s="190"/>
      <c r="D84" s="190"/>
      <c r="E84" s="191"/>
      <c r="F84" s="192"/>
      <c r="G84" s="190"/>
      <c r="H84" s="190"/>
      <c r="I84" s="191"/>
      <c r="J84" s="192"/>
      <c r="K84" s="190"/>
      <c r="L84" s="190"/>
      <c r="M84" s="191"/>
      <c r="N84" s="217">
        <v>-1832</v>
      </c>
      <c r="O84" s="215">
        <v>-323</v>
      </c>
      <c r="P84" s="215">
        <v>-323</v>
      </c>
      <c r="Q84" s="216">
        <v>335</v>
      </c>
      <c r="R84" s="217">
        <v>-365</v>
      </c>
      <c r="S84" s="215">
        <v>-383</v>
      </c>
      <c r="T84" s="215">
        <v>-383</v>
      </c>
      <c r="U84" s="216">
        <v>-446</v>
      </c>
      <c r="V84" s="218">
        <v>-744.03700000000003</v>
      </c>
      <c r="W84" s="215">
        <v>-1630</v>
      </c>
      <c r="X84" s="215">
        <v>-1665</v>
      </c>
      <c r="Y84" s="215">
        <v>-2385</v>
      </c>
      <c r="Z84" s="218">
        <v>-2481.692</v>
      </c>
      <c r="AA84" s="215"/>
      <c r="AB84" s="193"/>
      <c r="AC84" s="193"/>
      <c r="AD84" s="193"/>
      <c r="AE84" s="193"/>
      <c r="AF84" s="193"/>
      <c r="AG84" s="193"/>
      <c r="AH84" s="193"/>
      <c r="AI84" s="193"/>
      <c r="AJ84" s="193"/>
      <c r="AK84" s="193"/>
      <c r="AL84" s="193"/>
      <c r="AM84" s="193"/>
      <c r="AN84" s="193"/>
      <c r="AO84" s="193"/>
      <c r="AP84" s="193"/>
      <c r="AQ84" s="193"/>
      <c r="AR84" s="193"/>
      <c r="AS84" s="193"/>
      <c r="AT84" s="193"/>
      <c r="AU84" s="193"/>
      <c r="AV84" s="193"/>
    </row>
    <row r="85" spans="2:48" x14ac:dyDescent="0.25">
      <c r="B85" s="2" t="s">
        <v>87</v>
      </c>
      <c r="C85" s="190"/>
      <c r="D85" s="190"/>
      <c r="E85" s="191"/>
      <c r="F85" s="192"/>
      <c r="G85" s="190"/>
      <c r="H85" s="190"/>
      <c r="I85" s="191"/>
      <c r="J85" s="192"/>
      <c r="K85" s="190"/>
      <c r="L85" s="190"/>
      <c r="M85" s="191"/>
      <c r="N85" s="217">
        <v>2738</v>
      </c>
      <c r="O85" s="215">
        <v>662</v>
      </c>
      <c r="P85" s="215">
        <v>1323</v>
      </c>
      <c r="Q85" s="216">
        <v>-1921</v>
      </c>
      <c r="R85" s="217">
        <v>2364</v>
      </c>
      <c r="S85" s="215">
        <v>-514</v>
      </c>
      <c r="T85" s="215">
        <v>1259</v>
      </c>
      <c r="U85" s="216">
        <v>-1995</v>
      </c>
      <c r="V85" s="217">
        <v>6296.94</v>
      </c>
      <c r="W85" s="215">
        <v>1464</v>
      </c>
      <c r="X85" s="215">
        <v>2632</v>
      </c>
      <c r="Y85" s="215">
        <v>6047</v>
      </c>
      <c r="Z85" s="217">
        <v>6214.7449999999999</v>
      </c>
      <c r="AA85" s="215"/>
      <c r="AB85" s="193"/>
      <c r="AC85" s="193"/>
      <c r="AD85" s="193"/>
      <c r="AE85" s="193"/>
      <c r="AF85" s="193"/>
      <c r="AG85" s="193"/>
      <c r="AH85" s="193"/>
      <c r="AI85" s="193"/>
      <c r="AJ85" s="193"/>
      <c r="AK85" s="193"/>
      <c r="AL85" s="193"/>
      <c r="AM85" s="193"/>
      <c r="AN85" s="193"/>
      <c r="AO85" s="193"/>
      <c r="AP85" s="193"/>
      <c r="AQ85" s="193"/>
      <c r="AR85" s="193"/>
      <c r="AS85" s="193"/>
      <c r="AT85" s="193"/>
      <c r="AU85" s="193"/>
      <c r="AV85" s="193"/>
    </row>
    <row r="86" spans="2:48" x14ac:dyDescent="0.25">
      <c r="B86" s="2" t="s">
        <v>92</v>
      </c>
      <c r="C86" s="190"/>
      <c r="D86" s="190"/>
      <c r="E86" s="191"/>
      <c r="F86" s="192"/>
      <c r="G86" s="190"/>
      <c r="H86" s="190"/>
      <c r="I86" s="191"/>
      <c r="J86" s="192"/>
      <c r="K86" s="190"/>
      <c r="L86" s="190"/>
      <c r="M86" s="191"/>
      <c r="N86" s="217">
        <v>-299</v>
      </c>
      <c r="O86" s="190"/>
      <c r="P86" s="190"/>
      <c r="Q86" s="191"/>
      <c r="R86" s="217">
        <v>-231</v>
      </c>
      <c r="S86" s="190"/>
      <c r="T86" s="190"/>
      <c r="U86" s="191"/>
      <c r="V86" s="217">
        <v>-377.47</v>
      </c>
      <c r="W86" s="215">
        <v>-377</v>
      </c>
      <c r="X86" s="215">
        <v>0</v>
      </c>
      <c r="Y86" s="215">
        <v>-422</v>
      </c>
      <c r="Z86" s="217">
        <v>-717.11599999999999</v>
      </c>
      <c r="AA86" s="215"/>
      <c r="AB86" s="193"/>
      <c r="AC86" s="193"/>
      <c r="AD86" s="193"/>
      <c r="AE86" s="193"/>
      <c r="AF86" s="193"/>
      <c r="AG86" s="193"/>
      <c r="AH86" s="193"/>
      <c r="AI86" s="193"/>
      <c r="AJ86" s="193"/>
      <c r="AK86" s="193"/>
      <c r="AL86" s="193"/>
      <c r="AM86" s="193"/>
      <c r="AN86" s="193"/>
      <c r="AO86" s="193"/>
      <c r="AP86" s="193"/>
      <c r="AQ86" s="193"/>
      <c r="AR86" s="193"/>
      <c r="AS86" s="193"/>
      <c r="AT86" s="193"/>
      <c r="AU86" s="193"/>
      <c r="AV86" s="193"/>
    </row>
    <row r="87" spans="2:48" x14ac:dyDescent="0.25">
      <c r="B87" s="2" t="s">
        <v>47</v>
      </c>
      <c r="C87" s="215">
        <v>-43760</v>
      </c>
      <c r="D87" s="215">
        <v>-91103</v>
      </c>
      <c r="E87" s="216">
        <v>-139827</v>
      </c>
      <c r="F87" s="192"/>
      <c r="G87" s="215">
        <v>0</v>
      </c>
      <c r="H87" s="215">
        <v>0</v>
      </c>
      <c r="I87" s="216">
        <v>0</v>
      </c>
      <c r="J87" s="192"/>
      <c r="K87" s="215">
        <v>0</v>
      </c>
      <c r="L87" s="215">
        <v>0</v>
      </c>
      <c r="M87" s="216">
        <v>0</v>
      </c>
      <c r="N87" s="217">
        <v>0</v>
      </c>
      <c r="O87" s="190"/>
      <c r="P87" s="190"/>
      <c r="Q87" s="191"/>
      <c r="R87" s="192"/>
      <c r="S87" s="190"/>
      <c r="T87" s="190"/>
      <c r="U87" s="191"/>
      <c r="V87" s="192"/>
      <c r="W87" s="190"/>
      <c r="X87" s="190"/>
      <c r="Y87" s="190"/>
      <c r="Z87" s="192">
        <v>0</v>
      </c>
      <c r="AA87" s="190"/>
      <c r="AB87" s="193"/>
      <c r="AC87" s="193"/>
      <c r="AD87" s="193"/>
      <c r="AE87" s="193"/>
      <c r="AF87" s="193"/>
      <c r="AG87" s="193"/>
      <c r="AH87" s="193"/>
      <c r="AI87" s="193"/>
      <c r="AJ87" s="193"/>
      <c r="AK87" s="193"/>
      <c r="AL87" s="193"/>
      <c r="AM87" s="193"/>
      <c r="AN87" s="193"/>
      <c r="AO87" s="193"/>
      <c r="AP87" s="193"/>
      <c r="AQ87" s="193"/>
      <c r="AR87" s="193"/>
      <c r="AS87" s="193"/>
      <c r="AT87" s="193"/>
      <c r="AU87" s="193"/>
      <c r="AV87" s="193"/>
    </row>
    <row r="88" spans="2:48" x14ac:dyDescent="0.25">
      <c r="B88" s="2" t="s">
        <v>66</v>
      </c>
      <c r="C88" s="215">
        <v>0</v>
      </c>
      <c r="D88" s="215">
        <v>1715</v>
      </c>
      <c r="E88" s="216">
        <v>0</v>
      </c>
      <c r="F88" s="192"/>
      <c r="G88" s="190"/>
      <c r="H88" s="190"/>
      <c r="I88" s="191"/>
      <c r="J88" s="192"/>
      <c r="K88" s="190"/>
      <c r="L88" s="190"/>
      <c r="M88" s="191"/>
      <c r="N88" s="217">
        <v>0</v>
      </c>
      <c r="O88" s="190"/>
      <c r="P88" s="190"/>
      <c r="Q88" s="191"/>
      <c r="R88" s="192"/>
      <c r="S88" s="190"/>
      <c r="T88" s="190"/>
      <c r="U88" s="191"/>
      <c r="V88" s="192"/>
      <c r="W88" s="190"/>
      <c r="X88" s="190"/>
      <c r="Y88" s="190"/>
      <c r="Z88" s="192">
        <v>0</v>
      </c>
      <c r="AA88" s="190"/>
      <c r="AB88" s="193"/>
      <c r="AC88" s="193"/>
      <c r="AD88" s="193"/>
      <c r="AE88" s="193"/>
      <c r="AF88" s="193"/>
      <c r="AG88" s="193"/>
      <c r="AH88" s="193"/>
      <c r="AI88" s="193"/>
      <c r="AJ88" s="193"/>
      <c r="AK88" s="193"/>
      <c r="AL88" s="193"/>
      <c r="AM88" s="193"/>
      <c r="AN88" s="193"/>
      <c r="AO88" s="193"/>
      <c r="AP88" s="193"/>
      <c r="AQ88" s="193"/>
      <c r="AR88" s="193"/>
      <c r="AS88" s="193"/>
      <c r="AT88" s="193"/>
      <c r="AU88" s="193"/>
      <c r="AV88" s="193"/>
    </row>
    <row r="89" spans="2:48" x14ac:dyDescent="0.25">
      <c r="C89" s="200">
        <f>C79+C81+C82+C87</f>
        <v>-12213</v>
      </c>
      <c r="D89" s="200">
        <f>D79+D81+D82+D87+D88</f>
        <v>-17828</v>
      </c>
      <c r="E89" s="205">
        <f>E79+E81+E82+E87+E88</f>
        <v>-27103</v>
      </c>
      <c r="F89" s="206"/>
      <c r="G89" s="205"/>
      <c r="H89" s="205"/>
      <c r="I89" s="205"/>
      <c r="J89" s="206"/>
      <c r="K89" s="205"/>
      <c r="L89" s="205"/>
      <c r="M89" s="205"/>
      <c r="N89" s="217">
        <v>0</v>
      </c>
      <c r="O89" s="205"/>
      <c r="P89" s="205"/>
      <c r="Q89" s="205"/>
      <c r="R89" s="206"/>
      <c r="S89" s="205"/>
      <c r="T89" s="205"/>
      <c r="U89" s="205"/>
      <c r="V89" s="206"/>
      <c r="W89" s="190"/>
      <c r="X89" s="190"/>
      <c r="Y89" s="190"/>
      <c r="Z89" s="206"/>
      <c r="AA89" s="190"/>
      <c r="AB89" s="193"/>
      <c r="AC89" s="193"/>
      <c r="AD89" s="193"/>
      <c r="AE89" s="193"/>
      <c r="AF89" s="193"/>
      <c r="AG89" s="193"/>
      <c r="AH89" s="193"/>
      <c r="AI89" s="193"/>
      <c r="AJ89" s="193"/>
      <c r="AK89" s="193"/>
      <c r="AL89" s="193"/>
      <c r="AM89" s="193"/>
      <c r="AN89" s="193"/>
      <c r="AO89" s="193"/>
      <c r="AP89" s="193"/>
      <c r="AQ89" s="193"/>
      <c r="AR89" s="193"/>
      <c r="AS89" s="193"/>
      <c r="AT89" s="193"/>
      <c r="AU89" s="193"/>
      <c r="AV89" s="193"/>
    </row>
    <row r="90" spans="2:48" x14ac:dyDescent="0.25">
      <c r="C90" s="190"/>
      <c r="D90" s="190"/>
      <c r="E90" s="191"/>
      <c r="F90" s="192"/>
      <c r="G90" s="190"/>
      <c r="H90" s="190"/>
      <c r="I90" s="191"/>
      <c r="J90" s="192"/>
      <c r="K90" s="190"/>
      <c r="L90" s="190"/>
      <c r="M90" s="191"/>
      <c r="N90" s="217">
        <v>0</v>
      </c>
      <c r="O90" s="190"/>
      <c r="P90" s="190"/>
      <c r="Q90" s="191"/>
      <c r="R90" s="192"/>
      <c r="S90" s="190"/>
      <c r="T90" s="190"/>
      <c r="U90" s="191"/>
      <c r="V90" s="192"/>
      <c r="W90" s="190"/>
      <c r="X90" s="190"/>
      <c r="Y90" s="190"/>
      <c r="Z90" s="192"/>
      <c r="AA90" s="190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  <c r="AM90" s="193"/>
      <c r="AN90" s="193"/>
      <c r="AO90" s="193"/>
      <c r="AP90" s="193"/>
      <c r="AQ90" s="193"/>
      <c r="AR90" s="193"/>
      <c r="AS90" s="193"/>
      <c r="AT90" s="193"/>
      <c r="AU90" s="193"/>
      <c r="AV90" s="193"/>
    </row>
    <row r="91" spans="2:48" x14ac:dyDescent="0.25">
      <c r="B91" s="7" t="s">
        <v>90</v>
      </c>
      <c r="C91" s="190"/>
      <c r="D91" s="190"/>
      <c r="E91" s="191"/>
      <c r="F91" s="192"/>
      <c r="G91" s="190"/>
      <c r="H91" s="190"/>
      <c r="I91" s="191"/>
      <c r="J91" s="192"/>
      <c r="K91" s="190"/>
      <c r="L91" s="190"/>
      <c r="M91" s="191"/>
      <c r="N91" s="217">
        <v>0</v>
      </c>
      <c r="O91" s="190"/>
      <c r="P91" s="190"/>
      <c r="Q91" s="191"/>
      <c r="R91" s="192"/>
      <c r="S91" s="190"/>
      <c r="T91" s="190"/>
      <c r="U91" s="191"/>
      <c r="V91" s="192"/>
      <c r="W91" s="190"/>
      <c r="X91" s="190"/>
      <c r="Y91" s="190"/>
      <c r="Z91" s="192"/>
      <c r="AA91" s="190"/>
      <c r="AB91" s="193"/>
      <c r="AC91" s="193"/>
      <c r="AD91" s="193"/>
      <c r="AE91" s="193"/>
      <c r="AF91" s="193"/>
      <c r="AG91" s="193"/>
      <c r="AH91" s="193"/>
      <c r="AI91" s="193"/>
      <c r="AJ91" s="193"/>
      <c r="AK91" s="193"/>
      <c r="AL91" s="193"/>
      <c r="AM91" s="193"/>
      <c r="AN91" s="193"/>
      <c r="AO91" s="193"/>
      <c r="AP91" s="193"/>
      <c r="AQ91" s="193"/>
      <c r="AR91" s="193"/>
      <c r="AS91" s="193"/>
      <c r="AT91" s="193"/>
      <c r="AU91" s="193"/>
      <c r="AV91" s="193"/>
    </row>
    <row r="92" spans="2:48" x14ac:dyDescent="0.25">
      <c r="B92" s="2" t="s">
        <v>71</v>
      </c>
      <c r="C92" s="215">
        <v>202703</v>
      </c>
      <c r="D92" s="215">
        <v>-73665</v>
      </c>
      <c r="E92" s="216">
        <v>13645</v>
      </c>
      <c r="F92" s="192"/>
      <c r="G92" s="215">
        <v>0</v>
      </c>
      <c r="H92" s="215">
        <v>0</v>
      </c>
      <c r="I92" s="216">
        <v>0</v>
      </c>
      <c r="J92" s="192"/>
      <c r="K92" s="215">
        <v>0</v>
      </c>
      <c r="L92" s="215">
        <v>0</v>
      </c>
      <c r="M92" s="216">
        <v>0</v>
      </c>
      <c r="N92" s="217">
        <v>-935090</v>
      </c>
      <c r="O92" s="215">
        <v>-622359</v>
      </c>
      <c r="P92" s="215">
        <v>-493532</v>
      </c>
      <c r="Q92" s="216">
        <v>-710357</v>
      </c>
      <c r="R92" s="217">
        <v>-380398</v>
      </c>
      <c r="S92" s="215">
        <v>-300917</v>
      </c>
      <c r="T92" s="215">
        <v>-31447</v>
      </c>
      <c r="U92" s="216">
        <v>-298913</v>
      </c>
      <c r="V92" s="217">
        <v>-596293.10400000005</v>
      </c>
      <c r="W92" s="215">
        <v>257360</v>
      </c>
      <c r="X92" s="215">
        <v>-570253</v>
      </c>
      <c r="Y92" s="215">
        <v>-933042</v>
      </c>
      <c r="Z92" s="217">
        <v>-1520601.9950000001</v>
      </c>
      <c r="AA92" s="215"/>
      <c r="AB92" s="193"/>
      <c r="AC92" s="193"/>
      <c r="AD92" s="193"/>
      <c r="AE92" s="193"/>
      <c r="AF92" s="193"/>
      <c r="AG92" s="193"/>
      <c r="AH92" s="193"/>
      <c r="AI92" s="193"/>
      <c r="AJ92" s="193"/>
      <c r="AK92" s="193"/>
      <c r="AL92" s="193"/>
      <c r="AM92" s="193"/>
      <c r="AN92" s="193"/>
      <c r="AO92" s="193"/>
      <c r="AP92" s="193"/>
      <c r="AQ92" s="193"/>
      <c r="AR92" s="193"/>
      <c r="AS92" s="193"/>
      <c r="AT92" s="193"/>
      <c r="AU92" s="193"/>
      <c r="AV92" s="193"/>
    </row>
    <row r="93" spans="2:48" x14ac:dyDescent="0.25">
      <c r="B93" s="2" t="s">
        <v>22</v>
      </c>
      <c r="C93" s="215">
        <v>-123591</v>
      </c>
      <c r="D93" s="215">
        <v>-41159</v>
      </c>
      <c r="E93" s="216">
        <v>-187313</v>
      </c>
      <c r="F93" s="192"/>
      <c r="G93" s="215">
        <v>0</v>
      </c>
      <c r="H93" s="215">
        <v>0</v>
      </c>
      <c r="I93" s="216">
        <v>0</v>
      </c>
      <c r="J93" s="192"/>
      <c r="K93" s="215">
        <v>0</v>
      </c>
      <c r="L93" s="215">
        <v>0</v>
      </c>
      <c r="M93" s="216">
        <v>0</v>
      </c>
      <c r="N93" s="217">
        <v>-530698</v>
      </c>
      <c r="O93" s="215">
        <v>-208689</v>
      </c>
      <c r="P93" s="215">
        <v>-317938</v>
      </c>
      <c r="Q93" s="216">
        <v>-312500</v>
      </c>
      <c r="R93" s="217">
        <v>-943439</v>
      </c>
      <c r="S93" s="215">
        <v>199480</v>
      </c>
      <c r="T93" s="215">
        <v>355026</v>
      </c>
      <c r="U93" s="216">
        <v>-237949</v>
      </c>
      <c r="V93" s="217">
        <v>-938606.61</v>
      </c>
      <c r="W93" s="215">
        <v>366510</v>
      </c>
      <c r="X93" s="215">
        <v>512571</v>
      </c>
      <c r="Y93" s="215">
        <v>410878</v>
      </c>
      <c r="Z93" s="217">
        <v>-387649.18400000001</v>
      </c>
      <c r="AA93" s="215"/>
      <c r="AB93" s="193"/>
      <c r="AC93" s="193"/>
      <c r="AD93" s="193"/>
      <c r="AE93" s="193"/>
      <c r="AF93" s="193"/>
      <c r="AG93" s="193"/>
      <c r="AH93" s="193"/>
      <c r="AI93" s="193"/>
      <c r="AJ93" s="193"/>
      <c r="AK93" s="193"/>
      <c r="AL93" s="193"/>
      <c r="AM93" s="193"/>
      <c r="AN93" s="193"/>
      <c r="AO93" s="193"/>
      <c r="AP93" s="193"/>
      <c r="AQ93" s="193"/>
      <c r="AR93" s="193"/>
      <c r="AS93" s="193"/>
      <c r="AT93" s="193"/>
      <c r="AU93" s="193"/>
      <c r="AV93" s="193"/>
    </row>
    <row r="94" spans="2:48" x14ac:dyDescent="0.25">
      <c r="B94" s="2" t="s">
        <v>89</v>
      </c>
      <c r="C94" s="190"/>
      <c r="D94" s="190"/>
      <c r="E94" s="191"/>
      <c r="F94" s="192"/>
      <c r="G94" s="190"/>
      <c r="H94" s="190"/>
      <c r="I94" s="191"/>
      <c r="J94" s="192"/>
      <c r="K94" s="190"/>
      <c r="L94" s="190"/>
      <c r="M94" s="191"/>
      <c r="N94" s="217">
        <v>0</v>
      </c>
      <c r="O94" s="190"/>
      <c r="P94" s="215">
        <v>-45069</v>
      </c>
      <c r="Q94" s="191"/>
      <c r="R94" s="217">
        <v>0</v>
      </c>
      <c r="S94" s="190"/>
      <c r="T94" s="215">
        <v>-479603</v>
      </c>
      <c r="U94" s="191"/>
      <c r="V94" s="217">
        <v>0</v>
      </c>
      <c r="W94" s="190"/>
      <c r="X94" s="190"/>
      <c r="Y94" s="190"/>
      <c r="Z94" s="217">
        <v>0</v>
      </c>
      <c r="AA94" s="190"/>
      <c r="AB94" s="193"/>
      <c r="AC94" s="193"/>
      <c r="AD94" s="193"/>
      <c r="AE94" s="193"/>
      <c r="AF94" s="193"/>
      <c r="AG94" s="193"/>
      <c r="AH94" s="193"/>
      <c r="AI94" s="193"/>
      <c r="AJ94" s="193"/>
      <c r="AK94" s="193"/>
      <c r="AL94" s="193"/>
      <c r="AM94" s="193"/>
      <c r="AN94" s="193"/>
      <c r="AO94" s="193"/>
      <c r="AP94" s="193"/>
      <c r="AQ94" s="193"/>
      <c r="AR94" s="193"/>
      <c r="AS94" s="193"/>
      <c r="AT94" s="193"/>
      <c r="AU94" s="193"/>
      <c r="AV94" s="193"/>
    </row>
    <row r="95" spans="2:48" x14ac:dyDescent="0.25">
      <c r="B95" s="2" t="s">
        <v>88</v>
      </c>
      <c r="C95" s="190"/>
      <c r="D95" s="190"/>
      <c r="E95" s="191"/>
      <c r="F95" s="192"/>
      <c r="G95" s="190"/>
      <c r="H95" s="190"/>
      <c r="I95" s="191"/>
      <c r="J95" s="192"/>
      <c r="K95" s="190"/>
      <c r="L95" s="190"/>
      <c r="M95" s="191"/>
      <c r="N95" s="217">
        <v>462282</v>
      </c>
      <c r="O95" s="190"/>
      <c r="P95" s="215">
        <v>153199</v>
      </c>
      <c r="Q95" s="191"/>
      <c r="R95" s="217">
        <v>-8411</v>
      </c>
      <c r="S95" s="190"/>
      <c r="T95" s="215">
        <v>-262516</v>
      </c>
      <c r="U95" s="191"/>
      <c r="V95" s="217">
        <v>8411.4740000000002</v>
      </c>
      <c r="W95" s="190"/>
      <c r="X95" s="190"/>
      <c r="Y95" s="190"/>
      <c r="Z95" s="217"/>
      <c r="AA95" s="190"/>
      <c r="AB95" s="193"/>
      <c r="AC95" s="193"/>
      <c r="AD95" s="193"/>
      <c r="AE95" s="193"/>
      <c r="AF95" s="193"/>
      <c r="AG95" s="193"/>
      <c r="AH95" s="193"/>
      <c r="AI95" s="193"/>
      <c r="AJ95" s="193"/>
      <c r="AK95" s="193"/>
      <c r="AL95" s="193"/>
      <c r="AM95" s="193"/>
      <c r="AN95" s="193"/>
      <c r="AO95" s="193"/>
      <c r="AP95" s="193"/>
      <c r="AQ95" s="193"/>
      <c r="AR95" s="193"/>
      <c r="AS95" s="193"/>
      <c r="AT95" s="193"/>
      <c r="AU95" s="193"/>
      <c r="AV95" s="193"/>
    </row>
    <row r="96" spans="2:48" x14ac:dyDescent="0.25">
      <c r="B96" s="2" t="s">
        <v>91</v>
      </c>
      <c r="C96" s="215">
        <v>-1854</v>
      </c>
      <c r="D96" s="215">
        <v>-53785</v>
      </c>
      <c r="E96" s="216">
        <v>-91018</v>
      </c>
      <c r="F96" s="192"/>
      <c r="G96" s="215">
        <v>0</v>
      </c>
      <c r="H96" s="215">
        <v>0</v>
      </c>
      <c r="I96" s="216">
        <v>0</v>
      </c>
      <c r="J96" s="192"/>
      <c r="K96" s="215">
        <v>0</v>
      </c>
      <c r="L96" s="215">
        <v>0</v>
      </c>
      <c r="M96" s="216">
        <v>0</v>
      </c>
      <c r="N96" s="217">
        <v>-660772</v>
      </c>
      <c r="O96" s="215">
        <v>211849</v>
      </c>
      <c r="P96" s="215">
        <v>-177279</v>
      </c>
      <c r="Q96" s="191"/>
      <c r="R96" s="217">
        <v>-1375255</v>
      </c>
      <c r="S96" s="215">
        <v>33420</v>
      </c>
      <c r="T96" s="215">
        <v>815196</v>
      </c>
      <c r="U96" s="216">
        <v>-734894</v>
      </c>
      <c r="V96" s="217">
        <v>-2240401.9300000002</v>
      </c>
      <c r="W96" s="215">
        <v>132545</v>
      </c>
      <c r="X96" s="215">
        <v>-1290723</v>
      </c>
      <c r="Y96" s="215">
        <v>2945817</v>
      </c>
      <c r="Z96" s="217">
        <v>-563496.05599999998</v>
      </c>
      <c r="AA96" s="215"/>
      <c r="AB96" s="193"/>
      <c r="AC96" s="193"/>
      <c r="AD96" s="193"/>
      <c r="AE96" s="193"/>
      <c r="AF96" s="193"/>
      <c r="AG96" s="193"/>
      <c r="AH96" s="193"/>
      <c r="AI96" s="193"/>
      <c r="AJ96" s="193"/>
      <c r="AK96" s="193"/>
      <c r="AL96" s="193"/>
      <c r="AM96" s="193"/>
      <c r="AN96" s="193"/>
      <c r="AO96" s="193"/>
      <c r="AP96" s="193"/>
      <c r="AQ96" s="193"/>
      <c r="AR96" s="193"/>
      <c r="AS96" s="193"/>
      <c r="AT96" s="193"/>
      <c r="AU96" s="193"/>
      <c r="AV96" s="193"/>
    </row>
    <row r="97" spans="2:48" x14ac:dyDescent="0.25">
      <c r="B97" s="2" t="s">
        <v>28</v>
      </c>
      <c r="C97" s="215">
        <v>-1057</v>
      </c>
      <c r="D97" s="215">
        <v>-4129</v>
      </c>
      <c r="E97" s="216">
        <v>-6537</v>
      </c>
      <c r="F97" s="192"/>
      <c r="G97" s="215">
        <v>0</v>
      </c>
      <c r="H97" s="215">
        <v>0</v>
      </c>
      <c r="I97" s="216">
        <v>0</v>
      </c>
      <c r="J97" s="192"/>
      <c r="K97" s="215">
        <v>0</v>
      </c>
      <c r="L97" s="215">
        <v>0</v>
      </c>
      <c r="M97" s="216">
        <v>0</v>
      </c>
      <c r="N97" s="217">
        <v>100689</v>
      </c>
      <c r="O97" s="215">
        <v>0</v>
      </c>
      <c r="P97" s="215">
        <v>-189275</v>
      </c>
      <c r="Q97" s="216">
        <v>-127637</v>
      </c>
      <c r="R97" s="217">
        <v>-39038</v>
      </c>
      <c r="S97" s="215">
        <v>0</v>
      </c>
      <c r="T97" s="215">
        <v>-150377</v>
      </c>
      <c r="U97" s="216">
        <v>-102806</v>
      </c>
      <c r="V97" s="217">
        <v>-150377.25</v>
      </c>
      <c r="W97" s="215">
        <v>0</v>
      </c>
      <c r="X97" s="215">
        <v>0</v>
      </c>
      <c r="Y97" s="215">
        <v>0</v>
      </c>
      <c r="Z97" s="217">
        <v>148087.97200000001</v>
      </c>
      <c r="AA97" s="215"/>
      <c r="AB97" s="193"/>
      <c r="AC97" s="193"/>
      <c r="AD97" s="193"/>
      <c r="AE97" s="193"/>
      <c r="AF97" s="193"/>
      <c r="AG97" s="193"/>
      <c r="AH97" s="193"/>
      <c r="AI97" s="193"/>
      <c r="AJ97" s="193"/>
      <c r="AK97" s="193"/>
      <c r="AL97" s="193"/>
      <c r="AM97" s="193"/>
      <c r="AN97" s="193"/>
      <c r="AO97" s="193"/>
      <c r="AP97" s="193"/>
      <c r="AQ97" s="193"/>
      <c r="AR97" s="193"/>
      <c r="AS97" s="193"/>
      <c r="AT97" s="193"/>
      <c r="AU97" s="193"/>
      <c r="AV97" s="193"/>
    </row>
    <row r="98" spans="2:48" x14ac:dyDescent="0.25">
      <c r="B98" s="2" t="s">
        <v>29</v>
      </c>
      <c r="C98" s="215">
        <v>-300140</v>
      </c>
      <c r="D98" s="215">
        <v>-231667</v>
      </c>
      <c r="E98" s="216">
        <v>4428</v>
      </c>
      <c r="F98" s="192"/>
      <c r="G98" s="215">
        <v>0</v>
      </c>
      <c r="H98" s="215">
        <v>0</v>
      </c>
      <c r="I98" s="216">
        <v>0</v>
      </c>
      <c r="J98" s="192"/>
      <c r="K98" s="215">
        <v>0</v>
      </c>
      <c r="L98" s="215">
        <v>0</v>
      </c>
      <c r="M98" s="216">
        <v>0</v>
      </c>
      <c r="N98" s="217">
        <v>2346213</v>
      </c>
      <c r="O98" s="215">
        <v>139323</v>
      </c>
      <c r="P98" s="215">
        <v>1035427</v>
      </c>
      <c r="Q98" s="216">
        <v>1302501</v>
      </c>
      <c r="R98" s="217">
        <v>3023874</v>
      </c>
      <c r="S98" s="215">
        <v>138633</v>
      </c>
      <c r="T98" s="215">
        <v>624567</v>
      </c>
      <c r="U98" s="216">
        <v>1704186</v>
      </c>
      <c r="V98" s="217">
        <v>2913942.18</v>
      </c>
      <c r="W98" s="215">
        <v>1010183</v>
      </c>
      <c r="X98" s="215">
        <v>828215</v>
      </c>
      <c r="Y98" s="215">
        <v>2222456</v>
      </c>
      <c r="Z98" s="217">
        <v>5347965.2719999999</v>
      </c>
      <c r="AA98" s="215"/>
      <c r="AB98" s="193"/>
      <c r="AC98" s="193"/>
      <c r="AD98" s="193"/>
      <c r="AE98" s="193"/>
      <c r="AF98" s="193"/>
      <c r="AG98" s="193"/>
      <c r="AH98" s="193"/>
      <c r="AI98" s="193"/>
      <c r="AJ98" s="193"/>
      <c r="AK98" s="193"/>
      <c r="AL98" s="193"/>
      <c r="AM98" s="193"/>
      <c r="AN98" s="193"/>
      <c r="AO98" s="193"/>
      <c r="AP98" s="193"/>
      <c r="AQ98" s="193"/>
      <c r="AR98" s="193"/>
      <c r="AS98" s="193"/>
      <c r="AT98" s="193"/>
      <c r="AU98" s="193"/>
      <c r="AV98" s="193"/>
    </row>
    <row r="99" spans="2:48" x14ac:dyDescent="0.25">
      <c r="B99" s="2" t="s">
        <v>76</v>
      </c>
      <c r="C99" s="190"/>
      <c r="D99" s="190"/>
      <c r="E99" s="191"/>
      <c r="F99" s="192"/>
      <c r="G99" s="190"/>
      <c r="H99" s="190"/>
      <c r="I99" s="191"/>
      <c r="J99" s="192"/>
      <c r="K99" s="190"/>
      <c r="L99" s="190"/>
      <c r="M99" s="191"/>
      <c r="N99" s="217">
        <v>0</v>
      </c>
      <c r="O99" s="215">
        <v>189415</v>
      </c>
      <c r="P99" s="215">
        <v>0</v>
      </c>
      <c r="Q99" s="216">
        <v>0</v>
      </c>
      <c r="R99" s="217">
        <v>0</v>
      </c>
      <c r="S99" s="215">
        <v>150377</v>
      </c>
      <c r="T99" s="215">
        <v>0</v>
      </c>
      <c r="U99" s="216">
        <v>0</v>
      </c>
      <c r="V99" s="217">
        <v>0</v>
      </c>
      <c r="W99" s="215">
        <v>0</v>
      </c>
      <c r="X99" s="215">
        <v>0</v>
      </c>
      <c r="Y99" s="215">
        <v>0</v>
      </c>
      <c r="Z99" s="217">
        <v>0</v>
      </c>
      <c r="AA99" s="215"/>
      <c r="AB99" s="193"/>
      <c r="AC99" s="193"/>
      <c r="AD99" s="193"/>
      <c r="AE99" s="193"/>
      <c r="AF99" s="193"/>
      <c r="AG99" s="193"/>
      <c r="AH99" s="193"/>
      <c r="AI99" s="193"/>
      <c r="AJ99" s="193"/>
      <c r="AK99" s="193"/>
      <c r="AL99" s="193"/>
      <c r="AM99" s="193"/>
      <c r="AN99" s="193"/>
      <c r="AO99" s="193"/>
      <c r="AP99" s="193"/>
      <c r="AQ99" s="193"/>
      <c r="AR99" s="193"/>
      <c r="AS99" s="193"/>
      <c r="AT99" s="193"/>
      <c r="AU99" s="193"/>
      <c r="AV99" s="193"/>
    </row>
    <row r="100" spans="2:48" x14ac:dyDescent="0.25">
      <c r="B100" s="2" t="s">
        <v>33</v>
      </c>
      <c r="C100" s="215">
        <v>-3017</v>
      </c>
      <c r="D100" s="215">
        <v>41099</v>
      </c>
      <c r="E100" s="216">
        <v>-3373</v>
      </c>
      <c r="F100" s="192"/>
      <c r="G100" s="215">
        <v>0</v>
      </c>
      <c r="H100" s="215">
        <v>0</v>
      </c>
      <c r="I100" s="216">
        <v>0</v>
      </c>
      <c r="J100" s="192"/>
      <c r="K100" s="215">
        <v>0</v>
      </c>
      <c r="L100" s="215">
        <v>0</v>
      </c>
      <c r="M100" s="216">
        <v>0</v>
      </c>
      <c r="N100" s="217">
        <v>11937</v>
      </c>
      <c r="O100" s="115">
        <v>-43095</v>
      </c>
      <c r="P100" s="215">
        <v>-26069</v>
      </c>
      <c r="Q100" s="216">
        <v>-36388</v>
      </c>
      <c r="R100" s="217">
        <v>-15682</v>
      </c>
      <c r="S100" s="215">
        <v>137716</v>
      </c>
      <c r="T100" s="215">
        <v>-61179</v>
      </c>
      <c r="U100" s="216">
        <v>51605</v>
      </c>
      <c r="V100" s="217">
        <v>21313.775000000001</v>
      </c>
      <c r="W100" s="215">
        <v>-58235</v>
      </c>
      <c r="X100" s="215">
        <v>-63310</v>
      </c>
      <c r="Y100" s="215">
        <v>-66587</v>
      </c>
      <c r="Z100" s="217">
        <v>28383.304</v>
      </c>
      <c r="AA100" s="215"/>
      <c r="AB100" s="193"/>
      <c r="AC100" s="193"/>
      <c r="AD100" s="193"/>
      <c r="AE100" s="193"/>
      <c r="AF100" s="193"/>
      <c r="AG100" s="193"/>
      <c r="AH100" s="193"/>
      <c r="AI100" s="193"/>
      <c r="AJ100" s="193"/>
      <c r="AK100" s="193"/>
      <c r="AL100" s="193"/>
      <c r="AM100" s="193"/>
      <c r="AN100" s="193"/>
      <c r="AO100" s="193"/>
      <c r="AP100" s="193"/>
      <c r="AQ100" s="193"/>
      <c r="AR100" s="193"/>
      <c r="AS100" s="193"/>
      <c r="AT100" s="193"/>
      <c r="AU100" s="193"/>
      <c r="AV100" s="193"/>
    </row>
    <row r="101" spans="2:48" x14ac:dyDescent="0.25">
      <c r="C101" s="204">
        <f>SUM(C92:C100)</f>
        <v>-226956</v>
      </c>
      <c r="D101" s="204">
        <f>SUM(D92:D100)</f>
        <v>-363306</v>
      </c>
      <c r="E101" s="205">
        <f>SUM(E92:E100)</f>
        <v>-270168</v>
      </c>
      <c r="F101" s="206"/>
      <c r="G101" s="220">
        <v>0</v>
      </c>
      <c r="H101" s="220">
        <v>0</v>
      </c>
      <c r="I101" s="221">
        <v>0</v>
      </c>
      <c r="J101" s="206"/>
      <c r="K101" s="220">
        <v>0</v>
      </c>
      <c r="L101" s="220">
        <v>0</v>
      </c>
      <c r="M101" s="221">
        <v>0</v>
      </c>
      <c r="N101" s="192"/>
      <c r="O101" s="190"/>
      <c r="P101" s="204"/>
      <c r="Q101" s="205"/>
      <c r="R101" s="206"/>
      <c r="S101" s="204"/>
      <c r="T101" s="204"/>
      <c r="U101" s="205"/>
      <c r="V101" s="206"/>
      <c r="W101" s="190"/>
      <c r="X101" s="190"/>
      <c r="Y101" s="190"/>
      <c r="Z101" s="206"/>
      <c r="AA101" s="190"/>
      <c r="AB101" s="193"/>
      <c r="AC101" s="193"/>
      <c r="AD101" s="193"/>
      <c r="AE101" s="193"/>
      <c r="AF101" s="193"/>
      <c r="AG101" s="193"/>
      <c r="AH101" s="193"/>
      <c r="AI101" s="193"/>
      <c r="AJ101" s="193"/>
      <c r="AK101" s="193"/>
      <c r="AL101" s="193"/>
      <c r="AM101" s="193"/>
      <c r="AN101" s="193"/>
      <c r="AO101" s="193"/>
      <c r="AP101" s="193"/>
      <c r="AQ101" s="193"/>
      <c r="AR101" s="193"/>
      <c r="AS101" s="193"/>
      <c r="AT101" s="193"/>
      <c r="AU101" s="193"/>
      <c r="AV101" s="193"/>
    </row>
    <row r="102" spans="2:48" x14ac:dyDescent="0.25">
      <c r="C102" s="190"/>
      <c r="D102" s="190"/>
      <c r="E102" s="191"/>
      <c r="F102" s="192"/>
      <c r="G102" s="190"/>
      <c r="H102" s="190"/>
      <c r="I102" s="191"/>
      <c r="J102" s="192"/>
      <c r="K102" s="190"/>
      <c r="L102" s="190"/>
      <c r="M102" s="191"/>
      <c r="N102" s="192"/>
      <c r="O102" s="190"/>
      <c r="P102" s="190"/>
      <c r="Q102" s="191"/>
      <c r="R102" s="192"/>
      <c r="S102" s="190"/>
      <c r="T102" s="190"/>
      <c r="U102" s="191"/>
      <c r="V102" s="198"/>
      <c r="W102" s="190"/>
      <c r="X102" s="190"/>
      <c r="Y102" s="190"/>
      <c r="Z102" s="198"/>
      <c r="AA102" s="190"/>
      <c r="AB102" s="193"/>
      <c r="AC102" s="193"/>
      <c r="AD102" s="193"/>
      <c r="AE102" s="193"/>
      <c r="AF102" s="193"/>
      <c r="AG102" s="193"/>
      <c r="AH102" s="193"/>
      <c r="AI102" s="193"/>
      <c r="AJ102" s="193"/>
      <c r="AK102" s="193"/>
      <c r="AL102" s="193"/>
      <c r="AM102" s="193"/>
      <c r="AN102" s="193"/>
      <c r="AO102" s="193"/>
      <c r="AP102" s="193"/>
      <c r="AQ102" s="193"/>
      <c r="AR102" s="193"/>
      <c r="AS102" s="193"/>
      <c r="AT102" s="193"/>
      <c r="AU102" s="193"/>
      <c r="AV102" s="193"/>
    </row>
    <row r="103" spans="2:48" x14ac:dyDescent="0.25">
      <c r="B103" s="2" t="s">
        <v>48</v>
      </c>
      <c r="C103" s="215">
        <v>56008</v>
      </c>
      <c r="D103" s="215">
        <v>123579</v>
      </c>
      <c r="E103" s="216">
        <v>198666</v>
      </c>
      <c r="F103" s="192"/>
      <c r="G103" s="215">
        <v>0</v>
      </c>
      <c r="H103" s="215">
        <v>0</v>
      </c>
      <c r="I103" s="216">
        <v>0</v>
      </c>
      <c r="J103" s="192"/>
      <c r="K103" s="215">
        <v>0</v>
      </c>
      <c r="L103" s="215">
        <v>0</v>
      </c>
      <c r="M103" s="216">
        <v>0</v>
      </c>
      <c r="N103" s="192"/>
      <c r="O103" s="190"/>
      <c r="P103" s="190"/>
      <c r="Q103" s="191"/>
      <c r="R103" s="218">
        <v>641644</v>
      </c>
      <c r="S103" s="190"/>
      <c r="T103" s="190"/>
      <c r="U103" s="191"/>
      <c r="V103" s="217">
        <v>681638.60600000003</v>
      </c>
      <c r="W103" s="190"/>
      <c r="X103" s="190"/>
      <c r="Y103" s="190"/>
      <c r="Z103" s="217">
        <v>1406474.7790000001</v>
      </c>
      <c r="AA103" s="190"/>
      <c r="AB103" s="193"/>
      <c r="AC103" s="193"/>
      <c r="AD103" s="193"/>
      <c r="AE103" s="193"/>
      <c r="AF103" s="193"/>
      <c r="AG103" s="193"/>
      <c r="AH103" s="193"/>
      <c r="AI103" s="193"/>
      <c r="AJ103" s="193"/>
      <c r="AK103" s="193"/>
      <c r="AL103" s="193"/>
      <c r="AM103" s="193"/>
      <c r="AN103" s="193"/>
      <c r="AO103" s="193"/>
      <c r="AP103" s="193"/>
      <c r="AQ103" s="193"/>
      <c r="AR103" s="193"/>
      <c r="AS103" s="193"/>
      <c r="AT103" s="193"/>
      <c r="AU103" s="193"/>
      <c r="AV103" s="193"/>
    </row>
    <row r="104" spans="2:48" x14ac:dyDescent="0.25">
      <c r="B104" s="2" t="s">
        <v>49</v>
      </c>
      <c r="C104" s="215">
        <v>-20618</v>
      </c>
      <c r="D104" s="215">
        <v>-43899</v>
      </c>
      <c r="E104" s="216">
        <v>-66035</v>
      </c>
      <c r="F104" s="192"/>
      <c r="G104" s="215">
        <v>0</v>
      </c>
      <c r="H104" s="215">
        <v>0</v>
      </c>
      <c r="I104" s="216">
        <v>0</v>
      </c>
      <c r="J104" s="192"/>
      <c r="K104" s="215">
        <v>0</v>
      </c>
      <c r="L104" s="215">
        <v>0</v>
      </c>
      <c r="M104" s="216">
        <v>0</v>
      </c>
      <c r="N104" s="192"/>
      <c r="O104" s="190"/>
      <c r="P104" s="190"/>
      <c r="Q104" s="191"/>
      <c r="R104" s="217">
        <v>-170004</v>
      </c>
      <c r="S104" s="190"/>
      <c r="T104" s="190"/>
      <c r="U104" s="191"/>
      <c r="V104" s="217">
        <v>-275871.74200000003</v>
      </c>
      <c r="W104" s="190"/>
      <c r="X104" s="190"/>
      <c r="Y104" s="190"/>
      <c r="Z104" s="217">
        <v>-471482.864</v>
      </c>
      <c r="AA104" s="190"/>
      <c r="AB104" s="193"/>
      <c r="AC104" s="193"/>
      <c r="AD104" s="193"/>
      <c r="AE104" s="193"/>
      <c r="AF104" s="193"/>
      <c r="AG104" s="193"/>
      <c r="AH104" s="193"/>
      <c r="AI104" s="193"/>
      <c r="AJ104" s="193"/>
      <c r="AK104" s="193"/>
      <c r="AL104" s="193"/>
      <c r="AM104" s="193"/>
      <c r="AN104" s="193"/>
      <c r="AO104" s="193"/>
      <c r="AP104" s="193"/>
      <c r="AQ104" s="193"/>
      <c r="AR104" s="193"/>
      <c r="AS104" s="193"/>
      <c r="AT104" s="193"/>
      <c r="AU104" s="193"/>
      <c r="AV104" s="193"/>
    </row>
    <row r="105" spans="2:48" x14ac:dyDescent="0.25">
      <c r="B105" s="2" t="s">
        <v>50</v>
      </c>
      <c r="C105" s="215">
        <v>-4500</v>
      </c>
      <c r="D105" s="215">
        <v>-9600</v>
      </c>
      <c r="E105" s="216">
        <v>-16800</v>
      </c>
      <c r="F105" s="192"/>
      <c r="G105" s="215">
        <v>0</v>
      </c>
      <c r="H105" s="215">
        <v>0</v>
      </c>
      <c r="I105" s="216">
        <v>0</v>
      </c>
      <c r="J105" s="192"/>
      <c r="K105" s="215">
        <v>0</v>
      </c>
      <c r="L105" s="215">
        <v>0</v>
      </c>
      <c r="M105" s="216">
        <v>0</v>
      </c>
      <c r="N105" s="192"/>
      <c r="O105" s="190"/>
      <c r="P105" s="190"/>
      <c r="Q105" s="191"/>
      <c r="R105" s="192"/>
      <c r="S105" s="190"/>
      <c r="T105" s="190"/>
      <c r="U105" s="191"/>
      <c r="V105" s="218">
        <v>0</v>
      </c>
      <c r="W105" s="190"/>
      <c r="X105" s="190"/>
      <c r="Y105" s="190"/>
      <c r="Z105" s="218">
        <v>0</v>
      </c>
      <c r="AA105" s="190"/>
      <c r="AB105" s="193"/>
      <c r="AC105" s="193"/>
      <c r="AD105" s="193"/>
      <c r="AE105" s="193"/>
      <c r="AF105" s="193"/>
      <c r="AG105" s="193"/>
      <c r="AH105" s="193"/>
      <c r="AI105" s="193"/>
      <c r="AJ105" s="193"/>
      <c r="AK105" s="193"/>
      <c r="AL105" s="193"/>
      <c r="AM105" s="193"/>
      <c r="AN105" s="193"/>
      <c r="AO105" s="193"/>
      <c r="AP105" s="193"/>
      <c r="AQ105" s="193"/>
      <c r="AR105" s="193"/>
      <c r="AS105" s="193"/>
      <c r="AT105" s="193"/>
      <c r="AU105" s="193"/>
      <c r="AV105" s="193"/>
    </row>
    <row r="106" spans="2:48" x14ac:dyDescent="0.25">
      <c r="C106" s="190"/>
      <c r="D106" s="190"/>
      <c r="E106" s="191"/>
      <c r="F106" s="192"/>
      <c r="G106" s="190"/>
      <c r="H106" s="190"/>
      <c r="I106" s="191"/>
      <c r="J106" s="192"/>
      <c r="K106" s="190"/>
      <c r="L106" s="190"/>
      <c r="M106" s="191"/>
      <c r="N106" s="192"/>
      <c r="O106" s="190"/>
      <c r="P106" s="190"/>
      <c r="Q106" s="191"/>
      <c r="R106" s="192"/>
      <c r="S106" s="190"/>
      <c r="T106" s="190"/>
      <c r="U106" s="191"/>
      <c r="V106" s="192"/>
      <c r="W106" s="190"/>
      <c r="X106" s="190"/>
      <c r="Y106" s="190"/>
      <c r="Z106" s="192"/>
      <c r="AA106" s="190"/>
      <c r="AB106" s="193"/>
      <c r="AC106" s="193"/>
      <c r="AD106" s="193"/>
      <c r="AE106" s="193"/>
      <c r="AF106" s="193"/>
      <c r="AG106" s="193"/>
      <c r="AH106" s="193"/>
      <c r="AI106" s="193"/>
      <c r="AJ106" s="193"/>
      <c r="AK106" s="193"/>
      <c r="AL106" s="193"/>
      <c r="AM106" s="193"/>
      <c r="AN106" s="193"/>
      <c r="AO106" s="193"/>
      <c r="AP106" s="193"/>
      <c r="AQ106" s="193"/>
      <c r="AR106" s="193"/>
      <c r="AS106" s="193"/>
      <c r="AT106" s="193"/>
      <c r="AU106" s="193"/>
      <c r="AV106" s="193"/>
    </row>
    <row r="107" spans="2:48" x14ac:dyDescent="0.25">
      <c r="B107" s="4" t="s">
        <v>74</v>
      </c>
      <c r="C107" s="190"/>
      <c r="D107" s="190"/>
      <c r="E107" s="191"/>
      <c r="F107" s="222">
        <v>237823</v>
      </c>
      <c r="G107" s="220">
        <v>-60250</v>
      </c>
      <c r="H107" s="220">
        <v>-143782</v>
      </c>
      <c r="I107" s="221">
        <v>-8184</v>
      </c>
      <c r="J107" s="222">
        <v>-266765</v>
      </c>
      <c r="K107" s="220">
        <v>224201</v>
      </c>
      <c r="L107" s="220">
        <v>677075</v>
      </c>
      <c r="M107" s="221">
        <v>1207881</v>
      </c>
      <c r="N107" s="222">
        <v>1152436</v>
      </c>
      <c r="O107" s="220">
        <v>-199120</v>
      </c>
      <c r="P107" s="220">
        <v>190345</v>
      </c>
      <c r="Q107" s="221">
        <v>297330</v>
      </c>
      <c r="R107" s="217">
        <v>905502</v>
      </c>
      <c r="S107" s="220">
        <v>470337</v>
      </c>
      <c r="T107" s="220">
        <v>1033822</v>
      </c>
      <c r="U107" s="221">
        <v>723117</v>
      </c>
      <c r="V107" s="222">
        <f>-661408.402-V108</f>
        <v>-473165.85200000001</v>
      </c>
      <c r="W107" s="220">
        <v>-206201</v>
      </c>
      <c r="X107" s="220">
        <v>-392037</v>
      </c>
      <c r="Y107" s="220">
        <v>-994634</v>
      </c>
      <c r="Z107" s="222">
        <v>5102681.0490000006</v>
      </c>
      <c r="AA107" s="220"/>
      <c r="AB107" s="193"/>
      <c r="AC107" s="193"/>
      <c r="AD107" s="193"/>
      <c r="AE107" s="193"/>
      <c r="AF107" s="193"/>
      <c r="AG107" s="193"/>
      <c r="AH107" s="193"/>
      <c r="AI107" s="193"/>
      <c r="AJ107" s="193"/>
      <c r="AK107" s="193"/>
      <c r="AL107" s="193"/>
      <c r="AM107" s="193"/>
      <c r="AN107" s="193"/>
      <c r="AO107" s="193"/>
      <c r="AP107" s="193"/>
      <c r="AQ107" s="193"/>
      <c r="AR107" s="193"/>
      <c r="AS107" s="193"/>
      <c r="AT107" s="193"/>
      <c r="AU107" s="193"/>
      <c r="AV107" s="193"/>
    </row>
    <row r="108" spans="2:48" x14ac:dyDescent="0.25">
      <c r="B108" s="2" t="s">
        <v>82</v>
      </c>
      <c r="C108" s="190"/>
      <c r="D108" s="190"/>
      <c r="E108" s="191"/>
      <c r="F108" s="217">
        <v>-18800</v>
      </c>
      <c r="G108" s="215">
        <v>-6000</v>
      </c>
      <c r="H108" s="215">
        <v>-14976</v>
      </c>
      <c r="I108" s="216">
        <v>-23405</v>
      </c>
      <c r="J108" s="217">
        <v>-39635</v>
      </c>
      <c r="K108" s="215">
        <v>-15579</v>
      </c>
      <c r="L108" s="215">
        <v>-32228</v>
      </c>
      <c r="M108" s="216">
        <v>-48915</v>
      </c>
      <c r="N108" s="217">
        <v>-79709</v>
      </c>
      <c r="O108" s="215">
        <v>-8421</v>
      </c>
      <c r="P108" s="215">
        <v>-48791</v>
      </c>
      <c r="Q108" s="216">
        <v>-92815</v>
      </c>
      <c r="R108" s="217">
        <v>-146807</v>
      </c>
      <c r="S108" s="215">
        <v>-38065</v>
      </c>
      <c r="T108" s="215">
        <v>-152245</v>
      </c>
      <c r="U108" s="216">
        <v>-152245</v>
      </c>
      <c r="V108" s="217">
        <v>-188242.55</v>
      </c>
      <c r="W108" s="215">
        <v>-57293</v>
      </c>
      <c r="X108" s="215">
        <v>-125111</v>
      </c>
      <c r="Y108" s="215">
        <v>-181392</v>
      </c>
      <c r="Z108" s="217">
        <v>-213019.587</v>
      </c>
      <c r="AA108" s="215"/>
      <c r="AB108" s="193"/>
      <c r="AC108" s="193"/>
      <c r="AD108" s="193"/>
      <c r="AE108" s="193"/>
      <c r="AF108" s="193"/>
      <c r="AG108" s="193"/>
      <c r="AH108" s="193"/>
      <c r="AI108" s="193"/>
      <c r="AJ108" s="193"/>
      <c r="AK108" s="193"/>
      <c r="AL108" s="193"/>
      <c r="AM108" s="193"/>
      <c r="AN108" s="193"/>
      <c r="AO108" s="193"/>
      <c r="AP108" s="193"/>
      <c r="AQ108" s="193"/>
      <c r="AR108" s="193"/>
      <c r="AS108" s="193"/>
      <c r="AT108" s="193"/>
      <c r="AU108" s="193"/>
      <c r="AV108" s="193"/>
    </row>
    <row r="109" spans="2:48" x14ac:dyDescent="0.25">
      <c r="B109" s="8" t="s">
        <v>51</v>
      </c>
      <c r="C109" s="195">
        <f>C101+C103+C104+C105+C89</f>
        <v>-208279</v>
      </c>
      <c r="D109" s="195">
        <f>D101+D103+D104+D105+D89</f>
        <v>-311054</v>
      </c>
      <c r="E109" s="205">
        <f>E101+E103+E104+E105+E89</f>
        <v>-181440</v>
      </c>
      <c r="F109" s="196">
        <f>SUM(F107:F108)</f>
        <v>219023</v>
      </c>
      <c r="G109" s="195">
        <f>SUM(G107:G108)</f>
        <v>-66250</v>
      </c>
      <c r="H109" s="195">
        <f t="shared" ref="H109:J109" si="67">SUM(H107:H108)</f>
        <v>-158758</v>
      </c>
      <c r="I109" s="195">
        <f t="shared" si="67"/>
        <v>-31589</v>
      </c>
      <c r="J109" s="196">
        <f t="shared" si="67"/>
        <v>-306400</v>
      </c>
      <c r="K109" s="195">
        <f t="shared" ref="K109" si="68">SUM(K107:K108)</f>
        <v>208622</v>
      </c>
      <c r="L109" s="195">
        <f t="shared" ref="L109:V109" si="69">SUM(L107:L108)</f>
        <v>644847</v>
      </c>
      <c r="M109" s="195">
        <f t="shared" si="69"/>
        <v>1158966</v>
      </c>
      <c r="N109" s="196">
        <f t="shared" si="69"/>
        <v>1072727</v>
      </c>
      <c r="O109" s="195">
        <f t="shared" si="69"/>
        <v>-207541</v>
      </c>
      <c r="P109" s="195">
        <f t="shared" si="69"/>
        <v>141554</v>
      </c>
      <c r="Q109" s="195">
        <f t="shared" si="69"/>
        <v>204515</v>
      </c>
      <c r="R109" s="196">
        <f>SUM(R103:R108)</f>
        <v>1230335</v>
      </c>
      <c r="S109" s="195">
        <f t="shared" si="69"/>
        <v>432272</v>
      </c>
      <c r="T109" s="195">
        <f t="shared" si="69"/>
        <v>881577</v>
      </c>
      <c r="U109" s="195">
        <f t="shared" si="69"/>
        <v>570872</v>
      </c>
      <c r="V109" s="196">
        <f t="shared" si="69"/>
        <v>-661408.402</v>
      </c>
      <c r="W109" s="195">
        <f t="shared" ref="W109" si="70">SUM(W107:W108)</f>
        <v>-263494</v>
      </c>
      <c r="X109" s="195">
        <f t="shared" ref="X109" si="71">SUM(X107:X108)</f>
        <v>-517148</v>
      </c>
      <c r="Y109" s="195">
        <f t="shared" ref="Y109:Z109" si="72">SUM(Y107:Y108)</f>
        <v>-1176026</v>
      </c>
      <c r="Z109" s="196">
        <f t="shared" si="72"/>
        <v>4889661.4620000003</v>
      </c>
      <c r="AA109" s="195"/>
      <c r="AB109" s="193"/>
      <c r="AC109" s="193"/>
      <c r="AD109" s="193"/>
      <c r="AE109" s="193"/>
      <c r="AF109" s="193"/>
      <c r="AG109" s="193"/>
      <c r="AH109" s="193"/>
      <c r="AI109" s="193"/>
      <c r="AJ109" s="193"/>
      <c r="AK109" s="193"/>
      <c r="AL109" s="193"/>
      <c r="AM109" s="193"/>
      <c r="AN109" s="193"/>
      <c r="AO109" s="193"/>
      <c r="AP109" s="193"/>
      <c r="AQ109" s="193"/>
      <c r="AR109" s="193"/>
      <c r="AS109" s="193"/>
      <c r="AT109" s="193"/>
      <c r="AU109" s="193"/>
      <c r="AV109" s="193"/>
    </row>
    <row r="110" spans="2:48" x14ac:dyDescent="0.25">
      <c r="C110" s="191"/>
      <c r="D110" s="191"/>
      <c r="E110" s="191"/>
      <c r="F110" s="192"/>
      <c r="G110" s="191"/>
      <c r="H110" s="191"/>
      <c r="I110" s="191"/>
      <c r="J110" s="192"/>
      <c r="K110" s="191"/>
      <c r="L110" s="191"/>
      <c r="M110" s="191"/>
      <c r="N110" s="192"/>
      <c r="O110" s="191"/>
      <c r="P110" s="191"/>
      <c r="Q110" s="191"/>
      <c r="R110" s="192"/>
      <c r="S110" s="191"/>
      <c r="T110" s="191"/>
      <c r="U110" s="191"/>
      <c r="V110" s="192"/>
      <c r="W110" s="191"/>
      <c r="X110" s="191"/>
      <c r="Y110" s="191"/>
      <c r="Z110" s="192"/>
      <c r="AA110" s="191"/>
      <c r="AB110" s="193"/>
      <c r="AC110" s="193"/>
      <c r="AD110" s="193"/>
      <c r="AE110" s="193"/>
      <c r="AF110" s="193"/>
      <c r="AG110" s="193"/>
      <c r="AH110" s="193"/>
      <c r="AI110" s="193"/>
      <c r="AJ110" s="193"/>
      <c r="AK110" s="193"/>
      <c r="AL110" s="193"/>
      <c r="AM110" s="193"/>
      <c r="AN110" s="193"/>
      <c r="AO110" s="193"/>
      <c r="AP110" s="193"/>
      <c r="AQ110" s="193"/>
      <c r="AR110" s="193"/>
      <c r="AS110" s="193"/>
      <c r="AT110" s="193"/>
      <c r="AU110" s="193"/>
      <c r="AV110" s="193"/>
    </row>
    <row r="111" spans="2:48" x14ac:dyDescent="0.25">
      <c r="B111" s="4" t="s">
        <v>52</v>
      </c>
      <c r="C111" s="190"/>
      <c r="D111" s="190"/>
      <c r="E111" s="191"/>
      <c r="F111" s="192"/>
      <c r="G111" s="190"/>
      <c r="H111" s="190"/>
      <c r="I111" s="191"/>
      <c r="J111" s="192"/>
      <c r="K111" s="190"/>
      <c r="L111" s="190"/>
      <c r="M111" s="191"/>
      <c r="N111" s="192"/>
      <c r="O111" s="190"/>
      <c r="P111" s="190"/>
      <c r="Q111" s="191"/>
      <c r="R111" s="192"/>
      <c r="S111" s="190"/>
      <c r="T111" s="190"/>
      <c r="U111" s="191"/>
      <c r="V111" s="192"/>
      <c r="W111" s="190"/>
      <c r="X111" s="190"/>
      <c r="Y111" s="190"/>
      <c r="Z111" s="192"/>
      <c r="AA111" s="190"/>
      <c r="AB111" s="193"/>
      <c r="AC111" s="193"/>
      <c r="AD111" s="193"/>
      <c r="AE111" s="193"/>
      <c r="AF111" s="193"/>
      <c r="AG111" s="193"/>
      <c r="AH111" s="193"/>
      <c r="AI111" s="193"/>
      <c r="AJ111" s="193"/>
      <c r="AK111" s="193"/>
      <c r="AL111" s="193"/>
      <c r="AM111" s="193"/>
      <c r="AN111" s="193"/>
      <c r="AO111" s="193"/>
      <c r="AP111" s="193"/>
      <c r="AQ111" s="193"/>
      <c r="AR111" s="193"/>
      <c r="AS111" s="193"/>
      <c r="AT111" s="193"/>
      <c r="AU111" s="193"/>
      <c r="AV111" s="193"/>
    </row>
    <row r="112" spans="2:48" x14ac:dyDescent="0.25">
      <c r="B112" s="2" t="s">
        <v>53</v>
      </c>
      <c r="C112" s="215">
        <v>698</v>
      </c>
      <c r="D112" s="215">
        <v>-5576</v>
      </c>
      <c r="E112" s="216">
        <v>0</v>
      </c>
      <c r="F112" s="217">
        <v>-24702</v>
      </c>
      <c r="G112" s="215">
        <v>-1963</v>
      </c>
      <c r="H112" s="215">
        <v>-5197</v>
      </c>
      <c r="I112" s="216">
        <v>-14742</v>
      </c>
      <c r="J112" s="217">
        <v>-29275</v>
      </c>
      <c r="K112" s="215">
        <v>-2515</v>
      </c>
      <c r="L112" s="215">
        <v>-10328</v>
      </c>
      <c r="M112" s="216">
        <v>-30683</v>
      </c>
      <c r="N112" s="217">
        <v>-33153</v>
      </c>
      <c r="O112" s="215">
        <v>-9108</v>
      </c>
      <c r="P112" s="215">
        <v>-21416</v>
      </c>
      <c r="Q112" s="216">
        <v>-29890</v>
      </c>
      <c r="R112" s="217">
        <v>-31857</v>
      </c>
      <c r="S112" s="215">
        <v>-19309</v>
      </c>
      <c r="T112" s="215">
        <v>-23786</v>
      </c>
      <c r="U112" s="216">
        <v>-28584</v>
      </c>
      <c r="V112" s="217">
        <v>-32271.434000000001</v>
      </c>
      <c r="W112" s="215">
        <v>-40200</v>
      </c>
      <c r="X112" s="215">
        <v>-33113</v>
      </c>
      <c r="Y112" s="215">
        <v>-27973</v>
      </c>
      <c r="Z112" s="217">
        <v>-65023.652000000002</v>
      </c>
      <c r="AA112" s="215"/>
      <c r="AB112" s="193"/>
      <c r="AC112" s="193"/>
      <c r="AD112" s="193"/>
      <c r="AE112" s="193"/>
      <c r="AF112" s="193"/>
      <c r="AG112" s="193"/>
      <c r="AH112" s="193"/>
      <c r="AI112" s="193"/>
      <c r="AJ112" s="193"/>
      <c r="AK112" s="193"/>
      <c r="AL112" s="193"/>
      <c r="AM112" s="193"/>
      <c r="AN112" s="193"/>
      <c r="AO112" s="193"/>
      <c r="AP112" s="193"/>
      <c r="AQ112" s="193"/>
      <c r="AR112" s="193"/>
      <c r="AS112" s="193"/>
      <c r="AT112" s="193"/>
      <c r="AU112" s="193"/>
      <c r="AV112" s="193"/>
    </row>
    <row r="113" spans="2:48" x14ac:dyDescent="0.25">
      <c r="B113" s="2" t="s">
        <v>54</v>
      </c>
      <c r="C113" s="215">
        <v>0</v>
      </c>
      <c r="D113" s="215">
        <v>-1764</v>
      </c>
      <c r="E113" s="216">
        <v>-2522</v>
      </c>
      <c r="F113" s="217">
        <v>-2522</v>
      </c>
      <c r="G113" s="215">
        <v>0</v>
      </c>
      <c r="H113" s="215">
        <v>0</v>
      </c>
      <c r="I113" s="216">
        <v>-929</v>
      </c>
      <c r="J113" s="217">
        <v>-1462</v>
      </c>
      <c r="K113" s="215">
        <v>-320</v>
      </c>
      <c r="L113" s="215">
        <v>-414</v>
      </c>
      <c r="M113" s="216">
        <v>-979</v>
      </c>
      <c r="N113" s="217">
        <v>-1515</v>
      </c>
      <c r="O113" s="215">
        <v>0</v>
      </c>
      <c r="P113" s="215">
        <v>-1736</v>
      </c>
      <c r="Q113" s="216">
        <v>-2311</v>
      </c>
      <c r="R113" s="217">
        <v>-16439</v>
      </c>
      <c r="S113" s="215">
        <v>-3069</v>
      </c>
      <c r="T113" s="215">
        <v>0</v>
      </c>
      <c r="U113" s="216">
        <v>-10085</v>
      </c>
      <c r="V113" s="217">
        <v>-12801.619000000001</v>
      </c>
      <c r="W113" s="215">
        <v>739</v>
      </c>
      <c r="X113" s="215">
        <v>0</v>
      </c>
      <c r="Y113" s="215">
        <v>-2946</v>
      </c>
      <c r="Z113" s="217">
        <v>-6251.7269999999999</v>
      </c>
      <c r="AA113" s="215"/>
      <c r="AB113" s="193"/>
      <c r="AC113" s="193"/>
      <c r="AD113" s="193"/>
      <c r="AE113" s="193"/>
      <c r="AF113" s="193"/>
      <c r="AG113" s="193"/>
      <c r="AH113" s="193"/>
      <c r="AI113" s="193"/>
      <c r="AJ113" s="193"/>
      <c r="AK113" s="193"/>
      <c r="AL113" s="193"/>
      <c r="AM113" s="193"/>
      <c r="AN113" s="193"/>
      <c r="AO113" s="193"/>
      <c r="AP113" s="193"/>
      <c r="AQ113" s="193"/>
      <c r="AR113" s="193"/>
      <c r="AS113" s="193"/>
      <c r="AT113" s="193"/>
      <c r="AU113" s="193"/>
      <c r="AV113" s="193"/>
    </row>
    <row r="114" spans="2:48" x14ac:dyDescent="0.25">
      <c r="B114" s="2" t="s">
        <v>68</v>
      </c>
      <c r="C114" s="190"/>
      <c r="D114" s="190"/>
      <c r="E114" s="216">
        <v>0</v>
      </c>
      <c r="F114" s="217">
        <v>759</v>
      </c>
      <c r="G114" s="215">
        <v>258</v>
      </c>
      <c r="H114" s="215">
        <v>256</v>
      </c>
      <c r="I114" s="216">
        <v>378</v>
      </c>
      <c r="J114" s="217">
        <v>614</v>
      </c>
      <c r="K114" s="215">
        <v>225</v>
      </c>
      <c r="L114" s="215">
        <v>2360</v>
      </c>
      <c r="M114" s="216">
        <v>2381</v>
      </c>
      <c r="N114" s="217">
        <v>4931</v>
      </c>
      <c r="O114" s="215">
        <v>324</v>
      </c>
      <c r="P114" s="215">
        <v>724</v>
      </c>
      <c r="Q114" s="216">
        <v>736</v>
      </c>
      <c r="R114" s="217">
        <v>947</v>
      </c>
      <c r="S114" s="215">
        <v>383</v>
      </c>
      <c r="T114" s="215">
        <v>383</v>
      </c>
      <c r="U114" s="216">
        <v>446</v>
      </c>
      <c r="V114" s="217">
        <v>744.03700000000003</v>
      </c>
      <c r="W114" s="215">
        <v>1630</v>
      </c>
      <c r="X114" s="215">
        <v>1665</v>
      </c>
      <c r="Y114" s="215">
        <v>2337</v>
      </c>
      <c r="Z114" s="217">
        <v>2994.0120000000002</v>
      </c>
      <c r="AA114" s="215"/>
      <c r="AB114" s="193"/>
      <c r="AC114" s="193"/>
      <c r="AD114" s="193"/>
      <c r="AE114" s="193"/>
      <c r="AF114" s="193"/>
      <c r="AG114" s="193"/>
      <c r="AH114" s="193"/>
      <c r="AI114" s="193"/>
      <c r="AJ114" s="193"/>
      <c r="AK114" s="193"/>
      <c r="AL114" s="193"/>
      <c r="AM114" s="193"/>
      <c r="AN114" s="193"/>
      <c r="AO114" s="193"/>
      <c r="AP114" s="193"/>
      <c r="AQ114" s="193"/>
      <c r="AR114" s="193"/>
      <c r="AS114" s="193"/>
      <c r="AT114" s="193"/>
      <c r="AU114" s="193"/>
      <c r="AV114" s="193"/>
    </row>
    <row r="115" spans="2:48" x14ac:dyDescent="0.25">
      <c r="B115" s="2" t="s">
        <v>75</v>
      </c>
      <c r="C115" s="190"/>
      <c r="D115" s="190"/>
      <c r="E115" s="191"/>
      <c r="F115" s="217">
        <v>0</v>
      </c>
      <c r="G115" s="190"/>
      <c r="H115" s="190"/>
      <c r="I115" s="191"/>
      <c r="J115" s="217">
        <v>-500</v>
      </c>
      <c r="K115" s="190"/>
      <c r="L115" s="190"/>
      <c r="M115" s="191"/>
      <c r="N115" s="217">
        <v>0</v>
      </c>
      <c r="O115" s="215">
        <v>-35</v>
      </c>
      <c r="P115" s="215">
        <v>-35</v>
      </c>
      <c r="Q115" s="216">
        <v>-102</v>
      </c>
      <c r="R115" s="217">
        <v>0</v>
      </c>
      <c r="S115" s="215">
        <v>0</v>
      </c>
      <c r="T115" s="215">
        <v>0</v>
      </c>
      <c r="U115" s="216">
        <v>0</v>
      </c>
      <c r="V115" s="192"/>
      <c r="W115" s="190"/>
      <c r="X115" s="215">
        <v>0</v>
      </c>
      <c r="Y115" s="215">
        <v>0</v>
      </c>
      <c r="Z115" s="192">
        <v>0</v>
      </c>
      <c r="AA115" s="190"/>
      <c r="AB115" s="193"/>
      <c r="AC115" s="193"/>
      <c r="AD115" s="193"/>
      <c r="AE115" s="193"/>
      <c r="AF115" s="193"/>
      <c r="AG115" s="193"/>
      <c r="AH115" s="193"/>
      <c r="AI115" s="193"/>
      <c r="AJ115" s="193"/>
      <c r="AK115" s="193"/>
      <c r="AL115" s="193"/>
      <c r="AM115" s="193"/>
      <c r="AN115" s="193"/>
      <c r="AO115" s="193"/>
      <c r="AP115" s="193"/>
      <c r="AQ115" s="193"/>
      <c r="AR115" s="193"/>
      <c r="AS115" s="193"/>
      <c r="AT115" s="193"/>
      <c r="AU115" s="193"/>
      <c r="AV115" s="193"/>
    </row>
    <row r="116" spans="2:48" x14ac:dyDescent="0.25">
      <c r="B116" s="8" t="s">
        <v>55</v>
      </c>
      <c r="C116" s="195">
        <f>SUM(C112:C113)</f>
        <v>698</v>
      </c>
      <c r="D116" s="195">
        <f>SUM(D112:D113)</f>
        <v>-7340</v>
      </c>
      <c r="E116" s="205">
        <f t="shared" ref="E116:Q116" si="73">SUM(E112:E114)</f>
        <v>-2522</v>
      </c>
      <c r="F116" s="196">
        <f t="shared" si="73"/>
        <v>-26465</v>
      </c>
      <c r="G116" s="195">
        <f t="shared" si="73"/>
        <v>-1705</v>
      </c>
      <c r="H116" s="195">
        <f t="shared" si="73"/>
        <v>-4941</v>
      </c>
      <c r="I116" s="195">
        <f t="shared" si="73"/>
        <v>-15293</v>
      </c>
      <c r="J116" s="196">
        <f>SUM(J112:J115)</f>
        <v>-30623</v>
      </c>
      <c r="K116" s="195">
        <f t="shared" si="73"/>
        <v>-2610</v>
      </c>
      <c r="L116" s="195">
        <f t="shared" si="73"/>
        <v>-8382</v>
      </c>
      <c r="M116" s="195">
        <f t="shared" si="73"/>
        <v>-29281</v>
      </c>
      <c r="N116" s="196">
        <f t="shared" si="73"/>
        <v>-29737</v>
      </c>
      <c r="O116" s="195">
        <f t="shared" si="73"/>
        <v>-8784</v>
      </c>
      <c r="P116" s="195">
        <f t="shared" si="73"/>
        <v>-22428</v>
      </c>
      <c r="Q116" s="195">
        <f t="shared" si="73"/>
        <v>-31465</v>
      </c>
      <c r="R116" s="196">
        <f>SUM(R112:R115)</f>
        <v>-47349</v>
      </c>
      <c r="S116" s="195">
        <f t="shared" ref="S116:W116" si="74">SUM(S112:S115)</f>
        <v>-21995</v>
      </c>
      <c r="T116" s="195">
        <f t="shared" si="74"/>
        <v>-23403</v>
      </c>
      <c r="U116" s="195">
        <f t="shared" si="74"/>
        <v>-38223</v>
      </c>
      <c r="V116" s="196">
        <f>SUM(V112:V115)</f>
        <v>-44329.016000000003</v>
      </c>
      <c r="W116" s="195">
        <f t="shared" si="74"/>
        <v>-37831</v>
      </c>
      <c r="X116" s="195">
        <f t="shared" ref="X116:Y116" si="75">SUM(X112:X115)</f>
        <v>-31448</v>
      </c>
      <c r="Y116" s="195">
        <f t="shared" si="75"/>
        <v>-28582</v>
      </c>
      <c r="Z116" s="196">
        <f>SUM(Z112:Z115)</f>
        <v>-68281.366999999998</v>
      </c>
      <c r="AA116" s="195"/>
      <c r="AB116" s="193"/>
      <c r="AC116" s="193"/>
      <c r="AD116" s="193"/>
      <c r="AE116" s="193"/>
      <c r="AF116" s="193"/>
      <c r="AG116" s="193"/>
      <c r="AH116" s="193"/>
      <c r="AI116" s="193"/>
      <c r="AJ116" s="193"/>
      <c r="AK116" s="193"/>
      <c r="AL116" s="193"/>
      <c r="AM116" s="193"/>
      <c r="AN116" s="193"/>
      <c r="AO116" s="193"/>
      <c r="AP116" s="193"/>
      <c r="AQ116" s="193"/>
      <c r="AR116" s="193"/>
      <c r="AS116" s="193"/>
      <c r="AT116" s="193"/>
      <c r="AU116" s="193"/>
      <c r="AV116" s="193"/>
    </row>
    <row r="117" spans="2:48" x14ac:dyDescent="0.25">
      <c r="C117" s="190"/>
      <c r="D117" s="190"/>
      <c r="E117" s="191"/>
      <c r="F117" s="192"/>
      <c r="G117" s="190"/>
      <c r="H117" s="190"/>
      <c r="I117" s="191"/>
      <c r="J117" s="192"/>
      <c r="K117" s="190"/>
      <c r="L117" s="190"/>
      <c r="M117" s="191"/>
      <c r="N117" s="192"/>
      <c r="O117" s="190"/>
      <c r="P117" s="190"/>
      <c r="Q117" s="191"/>
      <c r="R117" s="192"/>
      <c r="S117" s="190"/>
      <c r="T117" s="190"/>
      <c r="U117" s="191"/>
      <c r="V117" s="192"/>
      <c r="W117" s="190"/>
      <c r="X117" s="190"/>
      <c r="Y117" s="190"/>
      <c r="Z117" s="192"/>
      <c r="AA117" s="190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  <c r="AL117" s="193"/>
      <c r="AM117" s="193"/>
      <c r="AN117" s="193"/>
      <c r="AO117" s="193"/>
      <c r="AP117" s="193"/>
      <c r="AQ117" s="193"/>
      <c r="AR117" s="193"/>
      <c r="AS117" s="193"/>
      <c r="AT117" s="193"/>
      <c r="AU117" s="193"/>
      <c r="AV117" s="193"/>
    </row>
    <row r="118" spans="2:48" x14ac:dyDescent="0.25">
      <c r="B118" s="4" t="s">
        <v>56</v>
      </c>
      <c r="C118" s="190"/>
      <c r="D118" s="190"/>
      <c r="E118" s="191"/>
      <c r="F118" s="192"/>
      <c r="G118" s="190"/>
      <c r="H118" s="190"/>
      <c r="I118" s="191"/>
      <c r="J118" s="192"/>
      <c r="K118" s="190"/>
      <c r="L118" s="190"/>
      <c r="M118" s="191"/>
      <c r="N118" s="192"/>
      <c r="O118" s="190"/>
      <c r="P118" s="190"/>
      <c r="Q118" s="191"/>
      <c r="R118" s="192"/>
      <c r="S118" s="190"/>
      <c r="T118" s="190"/>
      <c r="U118" s="191"/>
      <c r="V118" s="192"/>
      <c r="W118" s="190"/>
      <c r="X118" s="190"/>
      <c r="Y118" s="190"/>
      <c r="Z118" s="192"/>
      <c r="AA118" s="190"/>
      <c r="AB118" s="193"/>
      <c r="AC118" s="193"/>
      <c r="AD118" s="193"/>
      <c r="AE118" s="193"/>
      <c r="AF118" s="193"/>
      <c r="AG118" s="193"/>
      <c r="AH118" s="193"/>
      <c r="AI118" s="193"/>
      <c r="AJ118" s="193"/>
      <c r="AK118" s="193"/>
      <c r="AL118" s="193"/>
      <c r="AM118" s="193"/>
      <c r="AN118" s="193"/>
      <c r="AO118" s="193"/>
      <c r="AP118" s="193"/>
      <c r="AQ118" s="193"/>
      <c r="AR118" s="193"/>
      <c r="AS118" s="193"/>
      <c r="AT118" s="193"/>
      <c r="AU118" s="193"/>
      <c r="AV118" s="193"/>
    </row>
    <row r="119" spans="2:48" x14ac:dyDescent="0.25">
      <c r="B119" s="2" t="s">
        <v>69</v>
      </c>
      <c r="C119" s="190"/>
      <c r="D119" s="190"/>
      <c r="E119" s="191"/>
      <c r="F119" s="217">
        <v>-3217</v>
      </c>
      <c r="G119" s="215">
        <v>-997</v>
      </c>
      <c r="H119" s="215">
        <v>-2854</v>
      </c>
      <c r="I119" s="216">
        <v>-5337</v>
      </c>
      <c r="J119" s="217">
        <v>-12706</v>
      </c>
      <c r="K119" s="215">
        <v>-552</v>
      </c>
      <c r="L119" s="215">
        <v>-1888</v>
      </c>
      <c r="M119" s="216">
        <v>-1960</v>
      </c>
      <c r="N119" s="217">
        <v>-5394</v>
      </c>
      <c r="O119" s="215">
        <v>-2178</v>
      </c>
      <c r="P119" s="215">
        <v>-3356</v>
      </c>
      <c r="Q119" s="216">
        <v>-6613</v>
      </c>
      <c r="R119" s="217">
        <v>-13925</v>
      </c>
      <c r="S119" s="215">
        <v>-3307</v>
      </c>
      <c r="T119" s="215">
        <v>-8132</v>
      </c>
      <c r="U119" s="216">
        <v>-3495</v>
      </c>
      <c r="V119" s="217">
        <v>-9526.9</v>
      </c>
      <c r="W119" s="215">
        <v>-4178</v>
      </c>
      <c r="X119" s="215">
        <v>-3790</v>
      </c>
      <c r="Y119" s="215">
        <v>-7508</v>
      </c>
      <c r="Z119" s="217">
        <v>-8030.268</v>
      </c>
      <c r="AA119" s="215"/>
      <c r="AB119" s="193"/>
      <c r="AC119" s="193"/>
      <c r="AD119" s="193"/>
      <c r="AE119" s="193"/>
      <c r="AF119" s="193"/>
      <c r="AG119" s="193"/>
      <c r="AH119" s="193"/>
      <c r="AI119" s="193"/>
      <c r="AJ119" s="193"/>
      <c r="AK119" s="193"/>
      <c r="AL119" s="193"/>
      <c r="AM119" s="193"/>
      <c r="AN119" s="193"/>
      <c r="AO119" s="193"/>
      <c r="AP119" s="193"/>
      <c r="AQ119" s="193"/>
      <c r="AR119" s="193"/>
      <c r="AS119" s="193"/>
      <c r="AT119" s="193"/>
      <c r="AU119" s="193"/>
      <c r="AV119" s="193"/>
    </row>
    <row r="120" spans="2:48" x14ac:dyDescent="0.25">
      <c r="B120" s="2" t="s">
        <v>83</v>
      </c>
      <c r="C120" s="190"/>
      <c r="D120" s="190"/>
      <c r="E120" s="191"/>
      <c r="F120" s="192"/>
      <c r="G120" s="190"/>
      <c r="H120" s="190"/>
      <c r="I120" s="191"/>
      <c r="J120" s="192"/>
      <c r="K120" s="190"/>
      <c r="L120" s="190"/>
      <c r="M120" s="191"/>
      <c r="N120" s="217">
        <v>-15000</v>
      </c>
      <c r="O120" s="190"/>
      <c r="P120" s="190"/>
      <c r="Q120" s="191"/>
      <c r="R120" s="217">
        <v>0</v>
      </c>
      <c r="S120" s="190"/>
      <c r="T120" s="190"/>
      <c r="U120" s="191"/>
      <c r="V120" s="217">
        <v>0</v>
      </c>
      <c r="W120" s="190"/>
      <c r="X120" s="215">
        <v>-75000</v>
      </c>
      <c r="Y120" s="215">
        <v>-75000</v>
      </c>
      <c r="Z120" s="217">
        <v>-75000</v>
      </c>
      <c r="AA120" s="190"/>
      <c r="AB120" s="193"/>
      <c r="AC120" s="193"/>
      <c r="AD120" s="193"/>
      <c r="AE120" s="193"/>
      <c r="AF120" s="193"/>
      <c r="AG120" s="193"/>
      <c r="AH120" s="193"/>
      <c r="AI120" s="193"/>
      <c r="AJ120" s="193"/>
      <c r="AK120" s="193"/>
      <c r="AL120" s="193"/>
      <c r="AM120" s="193"/>
      <c r="AN120" s="193"/>
      <c r="AO120" s="193"/>
      <c r="AP120" s="193"/>
      <c r="AQ120" s="193"/>
      <c r="AR120" s="193"/>
      <c r="AS120" s="193"/>
      <c r="AT120" s="193"/>
      <c r="AU120" s="193"/>
      <c r="AV120" s="193"/>
    </row>
    <row r="121" spans="2:48" x14ac:dyDescent="0.25">
      <c r="B121" s="2" t="s">
        <v>387</v>
      </c>
      <c r="C121" s="190"/>
      <c r="D121" s="190"/>
      <c r="E121" s="191"/>
      <c r="F121" s="192"/>
      <c r="G121" s="190"/>
      <c r="H121" s="190"/>
      <c r="I121" s="191"/>
      <c r="J121" s="192"/>
      <c r="K121" s="190"/>
      <c r="L121" s="190"/>
      <c r="M121" s="191"/>
      <c r="N121" s="217"/>
      <c r="O121" s="190"/>
      <c r="P121" s="190"/>
      <c r="Q121" s="191"/>
      <c r="R121" s="217"/>
      <c r="S121" s="190"/>
      <c r="T121" s="190"/>
      <c r="U121" s="191"/>
      <c r="V121" s="217"/>
      <c r="W121" s="190"/>
      <c r="X121" s="215"/>
      <c r="Y121" s="215"/>
      <c r="Z121" s="217">
        <v>204317.94200000001</v>
      </c>
      <c r="AA121" s="190"/>
      <c r="AB121" s="193"/>
      <c r="AC121" s="193"/>
      <c r="AD121" s="193"/>
      <c r="AE121" s="193"/>
      <c r="AF121" s="193"/>
      <c r="AG121" s="193"/>
      <c r="AH121" s="193"/>
      <c r="AI121" s="193"/>
      <c r="AJ121" s="193"/>
      <c r="AK121" s="193"/>
      <c r="AL121" s="193"/>
      <c r="AM121" s="193"/>
      <c r="AN121" s="193"/>
      <c r="AO121" s="193"/>
      <c r="AP121" s="193"/>
      <c r="AQ121" s="193"/>
      <c r="AR121" s="193"/>
      <c r="AS121" s="193"/>
      <c r="AT121" s="193"/>
      <c r="AU121" s="193"/>
      <c r="AV121" s="193"/>
    </row>
    <row r="122" spans="2:48" x14ac:dyDescent="0.25">
      <c r="B122" s="4" t="s">
        <v>57</v>
      </c>
      <c r="C122" s="220">
        <v>0</v>
      </c>
      <c r="D122" s="220">
        <v>0</v>
      </c>
      <c r="E122" s="221">
        <v>0</v>
      </c>
      <c r="F122" s="206">
        <f t="shared" ref="F122:W122" si="76">SUM(F119:F119)</f>
        <v>-3217</v>
      </c>
      <c r="G122" s="204">
        <f t="shared" si="76"/>
        <v>-997</v>
      </c>
      <c r="H122" s="204">
        <f t="shared" si="76"/>
        <v>-2854</v>
      </c>
      <c r="I122" s="204">
        <f t="shared" si="76"/>
        <v>-5337</v>
      </c>
      <c r="J122" s="206">
        <f t="shared" si="76"/>
        <v>-12706</v>
      </c>
      <c r="K122" s="204">
        <f t="shared" si="76"/>
        <v>-552</v>
      </c>
      <c r="L122" s="204">
        <f t="shared" si="76"/>
        <v>-1888</v>
      </c>
      <c r="M122" s="205">
        <f t="shared" si="76"/>
        <v>-1960</v>
      </c>
      <c r="N122" s="206">
        <f>SUM(N119:N120)</f>
        <v>-20394</v>
      </c>
      <c r="O122" s="205">
        <f t="shared" ref="O122:R122" si="77">SUM(O119:O120)</f>
        <v>-2178</v>
      </c>
      <c r="P122" s="205">
        <f t="shared" si="77"/>
        <v>-3356</v>
      </c>
      <c r="Q122" s="205">
        <f t="shared" si="77"/>
        <v>-6613</v>
      </c>
      <c r="R122" s="206">
        <f t="shared" si="77"/>
        <v>-13925</v>
      </c>
      <c r="S122" s="205">
        <f t="shared" ref="S122" si="78">SUM(S119:S120)</f>
        <v>-3307</v>
      </c>
      <c r="T122" s="205">
        <f t="shared" ref="T122" si="79">SUM(T119:T120)</f>
        <v>-8132</v>
      </c>
      <c r="U122" s="205">
        <f t="shared" ref="U122" si="80">SUM(U119:U120)</f>
        <v>-3495</v>
      </c>
      <c r="V122" s="206">
        <f t="shared" ref="V122" si="81">SUM(V119:V120)</f>
        <v>-9526.9</v>
      </c>
      <c r="W122" s="204">
        <f t="shared" si="76"/>
        <v>-4178</v>
      </c>
      <c r="X122" s="204">
        <f>SUM(X119:X120)</f>
        <v>-78790</v>
      </c>
      <c r="Y122" s="204">
        <f>SUM(Y119:Y120)</f>
        <v>-82508</v>
      </c>
      <c r="Z122" s="206">
        <f>SUM(Z119:Z121)</f>
        <v>121287.67400000001</v>
      </c>
      <c r="AA122" s="204"/>
      <c r="AB122" s="193"/>
      <c r="AC122" s="193"/>
      <c r="AD122" s="193"/>
      <c r="AE122" s="193"/>
      <c r="AF122" s="193"/>
      <c r="AG122" s="193"/>
      <c r="AH122" s="193"/>
      <c r="AI122" s="193"/>
      <c r="AJ122" s="193"/>
      <c r="AK122" s="193"/>
      <c r="AL122" s="193"/>
      <c r="AM122" s="193"/>
      <c r="AN122" s="193"/>
      <c r="AO122" s="193"/>
      <c r="AP122" s="193"/>
      <c r="AQ122" s="193"/>
      <c r="AR122" s="193"/>
      <c r="AS122" s="193"/>
      <c r="AT122" s="193"/>
      <c r="AU122" s="193"/>
      <c r="AV122" s="193"/>
    </row>
    <row r="123" spans="2:48" x14ac:dyDescent="0.25">
      <c r="C123" s="190"/>
      <c r="D123" s="190"/>
      <c r="E123" s="191"/>
      <c r="F123" s="192"/>
      <c r="G123" s="190"/>
      <c r="H123" s="190"/>
      <c r="I123" s="191"/>
      <c r="J123" s="192"/>
      <c r="K123" s="190"/>
      <c r="L123" s="190"/>
      <c r="M123" s="191"/>
      <c r="N123" s="192"/>
      <c r="O123" s="190"/>
      <c r="P123" s="190"/>
      <c r="Q123" s="191"/>
      <c r="R123" s="192"/>
      <c r="S123" s="190"/>
      <c r="T123" s="190"/>
      <c r="U123" s="191"/>
      <c r="V123" s="192"/>
      <c r="W123" s="190"/>
      <c r="X123" s="190"/>
      <c r="Y123" s="190"/>
      <c r="Z123" s="192"/>
      <c r="AA123" s="190"/>
      <c r="AB123" s="193"/>
      <c r="AC123" s="193"/>
      <c r="AD123" s="193"/>
      <c r="AE123" s="193"/>
      <c r="AF123" s="193"/>
      <c r="AG123" s="193"/>
      <c r="AH123" s="193"/>
      <c r="AI123" s="193"/>
      <c r="AJ123" s="193"/>
      <c r="AK123" s="193"/>
      <c r="AL123" s="193"/>
      <c r="AM123" s="193"/>
      <c r="AN123" s="193"/>
      <c r="AO123" s="193"/>
      <c r="AP123" s="193"/>
      <c r="AQ123" s="193"/>
      <c r="AR123" s="193"/>
      <c r="AS123" s="193"/>
      <c r="AT123" s="193"/>
      <c r="AU123" s="193"/>
      <c r="AV123" s="193"/>
    </row>
    <row r="124" spans="2:48" x14ac:dyDescent="0.25">
      <c r="B124" s="4" t="s">
        <v>70</v>
      </c>
      <c r="C124" s="204">
        <f>C109+C116</f>
        <v>-207581</v>
      </c>
      <c r="D124" s="220">
        <v>-318395</v>
      </c>
      <c r="E124" s="221">
        <v>-183962</v>
      </c>
      <c r="F124" s="222">
        <v>189341</v>
      </c>
      <c r="G124" s="220">
        <v>-68952</v>
      </c>
      <c r="H124" s="220">
        <v>-166553</v>
      </c>
      <c r="I124" s="221">
        <v>-52219</v>
      </c>
      <c r="J124" s="222">
        <v>-349729</v>
      </c>
      <c r="K124" s="220">
        <v>205460</v>
      </c>
      <c r="L124" s="220">
        <v>634577</v>
      </c>
      <c r="M124" s="221">
        <v>1127725</v>
      </c>
      <c r="N124" s="222">
        <v>1022596</v>
      </c>
      <c r="O124" s="220">
        <v>-218538</v>
      </c>
      <c r="P124" s="220">
        <v>115735</v>
      </c>
      <c r="Q124" s="221">
        <v>166335</v>
      </c>
      <c r="R124" s="222">
        <v>1169061</v>
      </c>
      <c r="S124" s="220">
        <v>406970</v>
      </c>
      <c r="T124" s="220">
        <v>850042</v>
      </c>
      <c r="U124" s="216">
        <v>529154</v>
      </c>
      <c r="V124" s="217">
        <f>V109+V116+V122</f>
        <v>-715264.31800000009</v>
      </c>
      <c r="W124" s="215">
        <v>-305503</v>
      </c>
      <c r="X124" s="215">
        <v>-627386</v>
      </c>
      <c r="Y124" s="215">
        <v>-1287116</v>
      </c>
      <c r="Z124" s="217">
        <f>Z109+Z116+Z122</f>
        <v>4942667.7690000003</v>
      </c>
      <c r="AA124" s="215"/>
      <c r="AB124" s="193"/>
      <c r="AC124" s="193"/>
      <c r="AD124" s="193"/>
      <c r="AE124" s="193"/>
      <c r="AF124" s="193"/>
      <c r="AG124" s="193"/>
      <c r="AH124" s="193"/>
      <c r="AI124" s="193"/>
      <c r="AJ124" s="193"/>
      <c r="AK124" s="193"/>
      <c r="AL124" s="193"/>
      <c r="AM124" s="193"/>
      <c r="AN124" s="193"/>
      <c r="AO124" s="193"/>
      <c r="AP124" s="193"/>
      <c r="AQ124" s="193"/>
      <c r="AR124" s="193"/>
      <c r="AS124" s="193"/>
      <c r="AT124" s="193"/>
      <c r="AU124" s="193"/>
      <c r="AV124" s="193"/>
    </row>
    <row r="125" spans="2:48" x14ac:dyDescent="0.25">
      <c r="B125" s="2" t="s">
        <v>58</v>
      </c>
      <c r="C125" s="215">
        <v>872063</v>
      </c>
      <c r="D125" s="215">
        <v>872063</v>
      </c>
      <c r="E125" s="216">
        <v>872062</v>
      </c>
      <c r="F125" s="217">
        <v>600135</v>
      </c>
      <c r="G125" s="215">
        <v>771158</v>
      </c>
      <c r="H125" s="215">
        <v>771158</v>
      </c>
      <c r="I125" s="216">
        <v>771158</v>
      </c>
      <c r="J125" s="217">
        <v>789476</v>
      </c>
      <c r="K125" s="215">
        <v>961688</v>
      </c>
      <c r="L125" s="215">
        <v>961688</v>
      </c>
      <c r="M125" s="216">
        <v>961689</v>
      </c>
      <c r="N125" s="217">
        <v>439747</v>
      </c>
      <c r="O125" s="215">
        <v>1462343</v>
      </c>
      <c r="P125" s="215">
        <v>1990144</v>
      </c>
      <c r="Q125" s="216">
        <v>1990143</v>
      </c>
      <c r="R125" s="217">
        <v>1462343</v>
      </c>
      <c r="S125" s="215">
        <v>3226881</v>
      </c>
      <c r="T125" s="215">
        <v>3226881</v>
      </c>
      <c r="U125" s="216">
        <v>3226881</v>
      </c>
      <c r="V125" s="217">
        <v>2714311.65</v>
      </c>
      <c r="W125" s="215">
        <v>4600045</v>
      </c>
      <c r="X125" s="215">
        <v>4600045</v>
      </c>
      <c r="Y125" s="215">
        <v>4600045</v>
      </c>
      <c r="Z125" s="217">
        <v>1984987.929</v>
      </c>
      <c r="AA125" s="215"/>
      <c r="AB125" s="193"/>
      <c r="AC125" s="193"/>
      <c r="AD125" s="193"/>
      <c r="AE125" s="193"/>
      <c r="AF125" s="193"/>
      <c r="AG125" s="193"/>
      <c r="AH125" s="193"/>
      <c r="AI125" s="193"/>
      <c r="AJ125" s="193"/>
      <c r="AK125" s="193"/>
      <c r="AL125" s="193"/>
      <c r="AM125" s="193"/>
      <c r="AN125" s="193"/>
      <c r="AO125" s="193"/>
      <c r="AP125" s="193"/>
      <c r="AQ125" s="193"/>
      <c r="AR125" s="193"/>
      <c r="AS125" s="193"/>
      <c r="AT125" s="193"/>
      <c r="AU125" s="193"/>
      <c r="AV125" s="193"/>
    </row>
    <row r="126" spans="2:48" x14ac:dyDescent="0.25">
      <c r="B126" s="4" t="s">
        <v>97</v>
      </c>
      <c r="C126" s="190"/>
      <c r="D126" s="190"/>
      <c r="E126" s="191"/>
      <c r="F126" s="192"/>
      <c r="G126" s="190"/>
      <c r="H126" s="190"/>
      <c r="I126" s="191"/>
      <c r="J126" s="192"/>
      <c r="K126" s="190"/>
      <c r="L126" s="190"/>
      <c r="M126" s="191"/>
      <c r="N126" s="192"/>
      <c r="O126" s="190"/>
      <c r="P126" s="190"/>
      <c r="Q126" s="191"/>
      <c r="R126" s="217">
        <v>80974</v>
      </c>
      <c r="S126" s="190"/>
      <c r="T126" s="190"/>
      <c r="U126" s="191"/>
      <c r="V126" s="217">
        <v>-14059.403</v>
      </c>
      <c r="W126" s="190"/>
      <c r="X126" s="190"/>
      <c r="Y126" s="190"/>
      <c r="Z126" s="217">
        <v>-313162.49099999998</v>
      </c>
      <c r="AA126" s="190"/>
      <c r="AB126" s="193"/>
      <c r="AC126" s="193"/>
      <c r="AD126" s="193"/>
      <c r="AE126" s="193"/>
      <c r="AF126" s="193"/>
      <c r="AG126" s="193"/>
      <c r="AH126" s="193"/>
      <c r="AI126" s="193"/>
      <c r="AJ126" s="193"/>
      <c r="AK126" s="193"/>
      <c r="AL126" s="193"/>
      <c r="AM126" s="193"/>
      <c r="AN126" s="193"/>
      <c r="AO126" s="193"/>
      <c r="AP126" s="193"/>
      <c r="AQ126" s="193"/>
      <c r="AR126" s="193"/>
      <c r="AS126" s="193"/>
      <c r="AT126" s="193"/>
      <c r="AU126" s="193"/>
      <c r="AV126" s="193"/>
    </row>
    <row r="127" spans="2:48" x14ac:dyDescent="0.25">
      <c r="B127" s="211" t="s">
        <v>59</v>
      </c>
      <c r="C127" s="200">
        <f>SUM(C124:C125)</f>
        <v>664482</v>
      </c>
      <c r="D127" s="200">
        <f t="shared" ref="D127:J127" si="82">SUM(D124:D125)</f>
        <v>553668</v>
      </c>
      <c r="E127" s="200">
        <f t="shared" si="82"/>
        <v>688100</v>
      </c>
      <c r="F127" s="201">
        <f t="shared" si="82"/>
        <v>789476</v>
      </c>
      <c r="G127" s="200">
        <f t="shared" si="82"/>
        <v>702206</v>
      </c>
      <c r="H127" s="200">
        <f t="shared" si="82"/>
        <v>604605</v>
      </c>
      <c r="I127" s="200">
        <f t="shared" si="82"/>
        <v>718939</v>
      </c>
      <c r="J127" s="201">
        <f t="shared" si="82"/>
        <v>439747</v>
      </c>
      <c r="K127" s="200">
        <f t="shared" ref="K127" si="83">SUM(K124:K125)</f>
        <v>1167148</v>
      </c>
      <c r="L127" s="200">
        <f t="shared" ref="L127:U127" si="84">SUM(L124:L125)</f>
        <v>1596265</v>
      </c>
      <c r="M127" s="200">
        <f t="shared" si="84"/>
        <v>2089414</v>
      </c>
      <c r="N127" s="201">
        <f t="shared" si="84"/>
        <v>1462343</v>
      </c>
      <c r="O127" s="200">
        <f t="shared" si="84"/>
        <v>1243805</v>
      </c>
      <c r="P127" s="200">
        <f t="shared" si="84"/>
        <v>2105879</v>
      </c>
      <c r="Q127" s="200">
        <f t="shared" si="84"/>
        <v>2156478</v>
      </c>
      <c r="R127" s="201">
        <f>SUM(R124:R126)</f>
        <v>2712378</v>
      </c>
      <c r="S127" s="200">
        <f t="shared" si="84"/>
        <v>3633851</v>
      </c>
      <c r="T127" s="200">
        <f t="shared" si="84"/>
        <v>4076923</v>
      </c>
      <c r="U127" s="200">
        <f t="shared" si="84"/>
        <v>3756035</v>
      </c>
      <c r="V127" s="201">
        <f>SUM(V124:V126)</f>
        <v>1984987.929</v>
      </c>
      <c r="W127" s="200">
        <f t="shared" ref="W127" si="85">SUM(W124:W125)</f>
        <v>4294542</v>
      </c>
      <c r="X127" s="200">
        <f t="shared" ref="X127" si="86">SUM(X124:X125)</f>
        <v>3972659</v>
      </c>
      <c r="Y127" s="200">
        <f t="shared" ref="Y127" si="87">SUM(Y124:Y125)</f>
        <v>3312929</v>
      </c>
      <c r="Z127" s="201">
        <f>SUM(Z124:Z126)</f>
        <v>6614493.2070000004</v>
      </c>
      <c r="AA127" s="200"/>
      <c r="AB127" s="193"/>
      <c r="AC127" s="193"/>
      <c r="AD127" s="193"/>
      <c r="AE127" s="193"/>
      <c r="AF127" s="193"/>
      <c r="AG127" s="193"/>
      <c r="AH127" s="193"/>
      <c r="AI127" s="193"/>
      <c r="AJ127" s="193"/>
      <c r="AK127" s="193"/>
      <c r="AL127" s="193"/>
      <c r="AM127" s="193"/>
      <c r="AN127" s="193"/>
      <c r="AO127" s="193"/>
      <c r="AP127" s="193"/>
      <c r="AQ127" s="193"/>
      <c r="AR127" s="193"/>
      <c r="AS127" s="193"/>
      <c r="AT127" s="193"/>
      <c r="AU127" s="193"/>
      <c r="AV127" s="193"/>
    </row>
    <row r="128" spans="2:48" x14ac:dyDescent="0.25">
      <c r="C128" s="193"/>
      <c r="D128" s="193"/>
      <c r="E128" s="212"/>
      <c r="F128" s="213"/>
      <c r="G128" s="193"/>
      <c r="H128" s="193"/>
      <c r="I128" s="212"/>
      <c r="J128" s="213"/>
      <c r="K128" s="193"/>
      <c r="L128" s="193"/>
      <c r="M128" s="212"/>
      <c r="N128" s="213"/>
      <c r="O128" s="193"/>
      <c r="P128" s="193"/>
      <c r="Q128" s="212"/>
      <c r="R128" s="213"/>
      <c r="S128" s="193"/>
      <c r="T128" s="193"/>
      <c r="U128" s="212"/>
      <c r="V128" s="213"/>
      <c r="W128" s="193"/>
      <c r="X128" s="193"/>
      <c r="Y128" s="193"/>
      <c r="Z128" s="213"/>
      <c r="AA128" s="193"/>
      <c r="AB128" s="193"/>
      <c r="AC128" s="193"/>
      <c r="AD128" s="193"/>
      <c r="AE128" s="193"/>
      <c r="AF128" s="193"/>
      <c r="AG128" s="193"/>
      <c r="AH128" s="193"/>
      <c r="AI128" s="193"/>
      <c r="AJ128" s="193"/>
      <c r="AK128" s="193"/>
      <c r="AL128" s="193"/>
      <c r="AM128" s="193"/>
      <c r="AN128" s="193"/>
      <c r="AO128" s="193"/>
      <c r="AP128" s="193"/>
      <c r="AQ128" s="193"/>
      <c r="AR128" s="193"/>
      <c r="AS128" s="193"/>
      <c r="AT128" s="193"/>
      <c r="AU128" s="193"/>
      <c r="AV128" s="193"/>
    </row>
    <row r="129" spans="3:48" x14ac:dyDescent="0.25">
      <c r="C129" s="193"/>
      <c r="D129" s="193"/>
      <c r="E129" s="212"/>
      <c r="F129" s="213"/>
      <c r="G129" s="193"/>
      <c r="H129" s="193"/>
      <c r="I129" s="212"/>
      <c r="J129" s="213"/>
      <c r="K129" s="193"/>
      <c r="L129" s="193"/>
      <c r="M129" s="212"/>
      <c r="N129" s="213"/>
      <c r="O129" s="193"/>
      <c r="P129" s="193"/>
      <c r="Q129" s="212"/>
      <c r="R129" s="213"/>
      <c r="S129" s="193"/>
      <c r="T129" s="193"/>
      <c r="U129" s="212"/>
      <c r="V129" s="213"/>
      <c r="W129" s="193"/>
      <c r="X129" s="193"/>
      <c r="Y129" s="193"/>
      <c r="Z129" s="213"/>
      <c r="AA129" s="193"/>
      <c r="AB129" s="193"/>
      <c r="AC129" s="193"/>
      <c r="AD129" s="193"/>
      <c r="AE129" s="193"/>
      <c r="AF129" s="193"/>
      <c r="AG129" s="193"/>
      <c r="AH129" s="193"/>
      <c r="AI129" s="193"/>
      <c r="AJ129" s="193"/>
      <c r="AK129" s="193"/>
      <c r="AL129" s="193"/>
      <c r="AM129" s="193"/>
      <c r="AN129" s="193"/>
      <c r="AO129" s="193"/>
      <c r="AP129" s="193"/>
      <c r="AQ129" s="193"/>
      <c r="AR129" s="193"/>
      <c r="AS129" s="193"/>
      <c r="AT129" s="193"/>
      <c r="AU129" s="193"/>
      <c r="AV129" s="193"/>
    </row>
    <row r="130" spans="3:48" x14ac:dyDescent="0.25">
      <c r="C130" s="193"/>
      <c r="D130" s="193"/>
      <c r="E130" s="212"/>
      <c r="F130" s="213"/>
      <c r="G130" s="193"/>
      <c r="H130" s="193"/>
      <c r="I130" s="212"/>
      <c r="J130" s="213"/>
      <c r="K130" s="193"/>
      <c r="L130" s="193"/>
      <c r="M130" s="212"/>
      <c r="N130" s="213"/>
      <c r="O130" s="193"/>
      <c r="P130" s="193"/>
      <c r="Q130" s="212"/>
      <c r="R130" s="213"/>
      <c r="S130" s="193"/>
      <c r="T130" s="193"/>
      <c r="U130" s="212"/>
      <c r="V130" s="213"/>
      <c r="W130" s="193"/>
      <c r="X130" s="193"/>
      <c r="Y130" s="193"/>
      <c r="Z130" s="213"/>
      <c r="AA130" s="193"/>
      <c r="AB130" s="193"/>
      <c r="AC130" s="193"/>
      <c r="AD130" s="193"/>
      <c r="AE130" s="193"/>
      <c r="AF130" s="193"/>
      <c r="AG130" s="193"/>
      <c r="AH130" s="193"/>
      <c r="AI130" s="193"/>
      <c r="AJ130" s="193"/>
      <c r="AK130" s="193"/>
      <c r="AL130" s="193"/>
      <c r="AM130" s="193"/>
      <c r="AN130" s="193"/>
      <c r="AO130" s="193"/>
      <c r="AP130" s="193"/>
      <c r="AQ130" s="193"/>
      <c r="AR130" s="193"/>
      <c r="AS130" s="193"/>
      <c r="AT130" s="193"/>
      <c r="AU130" s="193"/>
      <c r="AV130" s="193"/>
    </row>
    <row r="131" spans="3:48" x14ac:dyDescent="0.25">
      <c r="C131" s="193"/>
      <c r="D131" s="193"/>
      <c r="E131" s="212"/>
      <c r="F131" s="213"/>
      <c r="G131" s="193"/>
      <c r="H131" s="193"/>
      <c r="I131" s="212"/>
      <c r="J131" s="213"/>
      <c r="K131" s="193"/>
      <c r="L131" s="193"/>
      <c r="M131" s="212"/>
      <c r="N131" s="213"/>
      <c r="O131" s="193"/>
      <c r="P131" s="193"/>
      <c r="Q131" s="212"/>
      <c r="R131" s="213"/>
      <c r="S131" s="193"/>
      <c r="T131" s="193"/>
      <c r="U131" s="212"/>
      <c r="V131" s="213"/>
      <c r="W131" s="193"/>
      <c r="X131" s="193"/>
      <c r="Y131" s="193"/>
      <c r="Z131" s="213"/>
      <c r="AA131" s="193"/>
      <c r="AB131" s="193"/>
      <c r="AC131" s="193"/>
      <c r="AD131" s="193"/>
      <c r="AE131" s="193"/>
      <c r="AF131" s="193"/>
      <c r="AG131" s="193"/>
      <c r="AH131" s="193"/>
      <c r="AI131" s="193"/>
      <c r="AJ131" s="193"/>
      <c r="AK131" s="193"/>
      <c r="AL131" s="193"/>
      <c r="AM131" s="193"/>
      <c r="AN131" s="193"/>
      <c r="AO131" s="193"/>
      <c r="AP131" s="193"/>
      <c r="AQ131" s="193"/>
      <c r="AR131" s="193"/>
      <c r="AS131" s="193"/>
      <c r="AT131" s="193"/>
      <c r="AU131" s="193"/>
      <c r="AV131" s="193"/>
    </row>
    <row r="132" spans="3:48" x14ac:dyDescent="0.25">
      <c r="C132" s="193"/>
      <c r="D132" s="193"/>
      <c r="E132" s="212"/>
      <c r="F132" s="213"/>
      <c r="G132" s="193"/>
      <c r="H132" s="193"/>
      <c r="I132" s="212"/>
      <c r="J132" s="213"/>
      <c r="K132" s="193"/>
      <c r="L132" s="193"/>
      <c r="M132" s="212"/>
      <c r="N132" s="213"/>
      <c r="O132" s="193"/>
      <c r="P132" s="193"/>
      <c r="Q132" s="212"/>
      <c r="R132" s="213"/>
      <c r="S132" s="193"/>
      <c r="T132" s="193"/>
      <c r="U132" s="212"/>
      <c r="V132" s="213"/>
      <c r="W132" s="193"/>
      <c r="X132" s="193"/>
      <c r="Y132" s="193"/>
      <c r="Z132" s="213"/>
      <c r="AA132" s="193"/>
      <c r="AB132" s="193"/>
      <c r="AC132" s="193"/>
      <c r="AD132" s="193"/>
      <c r="AE132" s="193"/>
      <c r="AF132" s="193"/>
      <c r="AG132" s="193"/>
      <c r="AH132" s="193"/>
      <c r="AI132" s="193"/>
      <c r="AJ132" s="193"/>
      <c r="AK132" s="193"/>
      <c r="AL132" s="193"/>
      <c r="AM132" s="193"/>
      <c r="AN132" s="193"/>
      <c r="AO132" s="193"/>
      <c r="AP132" s="193"/>
      <c r="AQ132" s="193"/>
      <c r="AR132" s="193"/>
      <c r="AS132" s="193"/>
      <c r="AT132" s="193"/>
      <c r="AU132" s="193"/>
      <c r="AV132" s="193"/>
    </row>
    <row r="133" spans="3:48" x14ac:dyDescent="0.25">
      <c r="C133" s="193"/>
      <c r="D133" s="193"/>
      <c r="E133" s="212"/>
      <c r="F133" s="213"/>
      <c r="G133" s="193"/>
      <c r="H133" s="193"/>
      <c r="I133" s="212"/>
      <c r="J133" s="213"/>
      <c r="K133" s="193"/>
      <c r="L133" s="193"/>
      <c r="M133" s="212"/>
      <c r="N133" s="213"/>
      <c r="O133" s="193"/>
      <c r="P133" s="193"/>
      <c r="Q133" s="212"/>
      <c r="R133" s="213"/>
      <c r="S133" s="193"/>
      <c r="T133" s="193"/>
      <c r="U133" s="212"/>
      <c r="V133" s="213"/>
      <c r="W133" s="193"/>
      <c r="X133" s="193"/>
      <c r="Y133" s="193"/>
      <c r="Z133" s="213"/>
      <c r="AA133" s="193"/>
      <c r="AB133" s="193"/>
      <c r="AC133" s="193"/>
      <c r="AD133" s="193"/>
      <c r="AE133" s="193"/>
      <c r="AF133" s="193"/>
      <c r="AG133" s="193"/>
      <c r="AH133" s="193"/>
      <c r="AI133" s="193"/>
      <c r="AJ133" s="193"/>
      <c r="AK133" s="193"/>
      <c r="AL133" s="193"/>
      <c r="AM133" s="193"/>
      <c r="AN133" s="193"/>
      <c r="AO133" s="193"/>
      <c r="AP133" s="193"/>
      <c r="AQ133" s="193"/>
      <c r="AR133" s="193"/>
      <c r="AS133" s="193"/>
      <c r="AT133" s="193"/>
      <c r="AU133" s="193"/>
      <c r="AV133" s="193"/>
    </row>
    <row r="134" spans="3:48" x14ac:dyDescent="0.25">
      <c r="C134" s="193"/>
      <c r="D134" s="193"/>
      <c r="E134" s="212"/>
      <c r="F134" s="213"/>
      <c r="G134" s="193"/>
      <c r="H134" s="193"/>
      <c r="I134" s="212"/>
      <c r="J134" s="213"/>
      <c r="K134" s="193"/>
      <c r="L134" s="193"/>
      <c r="M134" s="212"/>
      <c r="N134" s="213"/>
      <c r="O134" s="193"/>
      <c r="P134" s="193"/>
      <c r="Q134" s="212"/>
      <c r="R134" s="213"/>
      <c r="S134" s="193"/>
      <c r="T134" s="193"/>
      <c r="U134" s="212"/>
      <c r="V134" s="213"/>
      <c r="W134" s="193"/>
      <c r="X134" s="193"/>
      <c r="Y134" s="193"/>
      <c r="Z134" s="213"/>
      <c r="AA134" s="193"/>
      <c r="AB134" s="193"/>
      <c r="AC134" s="193"/>
      <c r="AD134" s="193"/>
      <c r="AE134" s="193"/>
      <c r="AF134" s="193"/>
      <c r="AG134" s="193"/>
      <c r="AH134" s="193"/>
      <c r="AI134" s="193"/>
      <c r="AJ134" s="193"/>
      <c r="AK134" s="193"/>
      <c r="AL134" s="193"/>
      <c r="AM134" s="193"/>
      <c r="AN134" s="193"/>
      <c r="AO134" s="193"/>
      <c r="AP134" s="193"/>
      <c r="AQ134" s="193"/>
      <c r="AR134" s="193"/>
      <c r="AS134" s="193"/>
      <c r="AT134" s="193"/>
      <c r="AU134" s="193"/>
      <c r="AV134" s="193"/>
    </row>
    <row r="135" spans="3:48" x14ac:dyDescent="0.25">
      <c r="C135" s="193"/>
      <c r="D135" s="193"/>
      <c r="E135" s="212"/>
      <c r="F135" s="213"/>
      <c r="G135" s="193"/>
      <c r="H135" s="193"/>
      <c r="I135" s="212"/>
      <c r="J135" s="213"/>
      <c r="K135" s="193"/>
      <c r="L135" s="193"/>
      <c r="M135" s="212"/>
      <c r="N135" s="213"/>
      <c r="O135" s="193"/>
      <c r="P135" s="193"/>
      <c r="Q135" s="212"/>
      <c r="R135" s="213"/>
      <c r="S135" s="193"/>
      <c r="T135" s="193"/>
      <c r="U135" s="212"/>
      <c r="V135" s="213"/>
      <c r="W135" s="193"/>
      <c r="X135" s="193"/>
      <c r="Y135" s="193"/>
      <c r="Z135" s="213"/>
      <c r="AA135" s="193"/>
      <c r="AB135" s="193"/>
      <c r="AC135" s="193"/>
      <c r="AD135" s="193"/>
      <c r="AE135" s="193"/>
      <c r="AF135" s="193"/>
      <c r="AG135" s="193"/>
      <c r="AH135" s="193"/>
      <c r="AI135" s="193"/>
      <c r="AJ135" s="193"/>
      <c r="AK135" s="193"/>
      <c r="AL135" s="193"/>
      <c r="AM135" s="193"/>
      <c r="AN135" s="193"/>
      <c r="AO135" s="193"/>
      <c r="AP135" s="193"/>
      <c r="AQ135" s="193"/>
      <c r="AR135" s="193"/>
      <c r="AS135" s="193"/>
      <c r="AT135" s="193"/>
      <c r="AU135" s="193"/>
      <c r="AV135" s="193"/>
    </row>
    <row r="136" spans="3:48" x14ac:dyDescent="0.25">
      <c r="C136" s="193"/>
      <c r="D136" s="193"/>
      <c r="E136" s="212"/>
      <c r="F136" s="213"/>
      <c r="G136" s="193"/>
      <c r="H136" s="193"/>
      <c r="I136" s="212"/>
      <c r="J136" s="213"/>
      <c r="K136" s="193"/>
      <c r="L136" s="193"/>
      <c r="M136" s="212"/>
      <c r="N136" s="213"/>
      <c r="O136" s="193"/>
      <c r="P136" s="193"/>
      <c r="Q136" s="212"/>
      <c r="R136" s="213"/>
      <c r="S136" s="193"/>
      <c r="T136" s="193"/>
      <c r="U136" s="212"/>
      <c r="V136" s="213"/>
      <c r="W136" s="193"/>
      <c r="X136" s="193"/>
      <c r="Y136" s="193"/>
      <c r="Z136" s="213"/>
      <c r="AA136" s="193"/>
      <c r="AB136" s="193"/>
      <c r="AC136" s="193"/>
      <c r="AD136" s="193"/>
      <c r="AE136" s="193"/>
      <c r="AF136" s="193"/>
      <c r="AG136" s="193"/>
      <c r="AH136" s="193"/>
      <c r="AI136" s="193"/>
      <c r="AJ136" s="193"/>
      <c r="AK136" s="193"/>
      <c r="AL136" s="193"/>
      <c r="AM136" s="193"/>
      <c r="AN136" s="193"/>
      <c r="AO136" s="193"/>
      <c r="AP136" s="193"/>
      <c r="AQ136" s="193"/>
      <c r="AR136" s="193"/>
      <c r="AS136" s="193"/>
      <c r="AT136" s="193"/>
      <c r="AU136" s="193"/>
      <c r="AV136" s="193"/>
    </row>
    <row r="137" spans="3:48" x14ac:dyDescent="0.25">
      <c r="C137" s="193"/>
      <c r="D137" s="193"/>
      <c r="E137" s="212"/>
      <c r="F137" s="213"/>
      <c r="G137" s="193"/>
      <c r="H137" s="193"/>
      <c r="I137" s="212"/>
      <c r="J137" s="213"/>
      <c r="K137" s="193"/>
      <c r="L137" s="193"/>
      <c r="M137" s="212"/>
      <c r="N137" s="213"/>
      <c r="O137" s="193"/>
      <c r="P137" s="193"/>
      <c r="Q137" s="212"/>
      <c r="R137" s="213"/>
      <c r="S137" s="193"/>
      <c r="T137" s="193"/>
      <c r="U137" s="212"/>
      <c r="V137" s="213"/>
      <c r="W137" s="193"/>
      <c r="X137" s="193"/>
      <c r="Y137" s="193"/>
      <c r="Z137" s="213"/>
      <c r="AA137" s="193"/>
      <c r="AB137" s="193"/>
      <c r="AC137" s="193"/>
      <c r="AD137" s="193"/>
      <c r="AE137" s="193"/>
      <c r="AF137" s="193"/>
      <c r="AG137" s="193"/>
      <c r="AH137" s="193"/>
      <c r="AI137" s="193"/>
      <c r="AJ137" s="193"/>
      <c r="AK137" s="193"/>
      <c r="AL137" s="193"/>
      <c r="AM137" s="193"/>
      <c r="AN137" s="193"/>
      <c r="AO137" s="193"/>
      <c r="AP137" s="193"/>
      <c r="AQ137" s="193"/>
      <c r="AR137" s="193"/>
      <c r="AS137" s="193"/>
      <c r="AT137" s="193"/>
      <c r="AU137" s="193"/>
      <c r="AV137" s="193"/>
    </row>
    <row r="138" spans="3:48" x14ac:dyDescent="0.25">
      <c r="C138" s="193"/>
      <c r="D138" s="193"/>
      <c r="E138" s="212"/>
      <c r="F138" s="213"/>
      <c r="G138" s="193"/>
      <c r="H138" s="193"/>
      <c r="I138" s="212"/>
      <c r="J138" s="213"/>
      <c r="K138" s="193"/>
      <c r="L138" s="193"/>
      <c r="M138" s="212"/>
      <c r="N138" s="213"/>
      <c r="O138" s="193"/>
      <c r="P138" s="193"/>
      <c r="Q138" s="212"/>
      <c r="R138" s="213"/>
      <c r="S138" s="193"/>
      <c r="T138" s="193"/>
      <c r="U138" s="212"/>
      <c r="V138" s="213"/>
      <c r="W138" s="193"/>
      <c r="X138" s="193"/>
      <c r="Y138" s="193"/>
      <c r="Z138" s="213"/>
      <c r="AA138" s="193"/>
      <c r="AB138" s="193"/>
      <c r="AC138" s="193"/>
      <c r="AD138" s="193"/>
      <c r="AE138" s="193"/>
      <c r="AF138" s="193"/>
      <c r="AG138" s="193"/>
      <c r="AH138" s="193"/>
      <c r="AI138" s="193"/>
      <c r="AJ138" s="193"/>
      <c r="AK138" s="193"/>
      <c r="AL138" s="193"/>
      <c r="AM138" s="193"/>
      <c r="AN138" s="193"/>
      <c r="AO138" s="193"/>
      <c r="AP138" s="193"/>
      <c r="AQ138" s="193"/>
      <c r="AR138" s="193"/>
      <c r="AS138" s="193"/>
      <c r="AT138" s="193"/>
      <c r="AU138" s="193"/>
      <c r="AV138" s="193"/>
    </row>
    <row r="139" spans="3:48" x14ac:dyDescent="0.25">
      <c r="C139" s="193"/>
      <c r="D139" s="193"/>
      <c r="E139" s="212"/>
      <c r="F139" s="213"/>
      <c r="G139" s="193"/>
      <c r="H139" s="193"/>
      <c r="I139" s="212"/>
      <c r="J139" s="213"/>
      <c r="K139" s="193"/>
      <c r="L139" s="193"/>
      <c r="M139" s="212"/>
      <c r="N139" s="213"/>
      <c r="O139" s="193"/>
      <c r="P139" s="193"/>
      <c r="Q139" s="212"/>
      <c r="R139" s="213"/>
      <c r="S139" s="193"/>
      <c r="T139" s="193"/>
      <c r="U139" s="212"/>
      <c r="V139" s="213"/>
      <c r="W139" s="193"/>
      <c r="X139" s="193"/>
      <c r="Y139" s="193"/>
      <c r="Z139" s="213"/>
      <c r="AA139" s="193"/>
      <c r="AB139" s="193"/>
      <c r="AC139" s="193"/>
      <c r="AD139" s="193"/>
      <c r="AE139" s="193"/>
      <c r="AF139" s="193"/>
      <c r="AG139" s="193"/>
      <c r="AH139" s="193"/>
      <c r="AI139" s="193"/>
      <c r="AJ139" s="193"/>
      <c r="AK139" s="193"/>
      <c r="AL139" s="193"/>
      <c r="AM139" s="193"/>
      <c r="AN139" s="193"/>
      <c r="AO139" s="193"/>
      <c r="AP139" s="193"/>
      <c r="AQ139" s="193"/>
      <c r="AR139" s="193"/>
      <c r="AS139" s="193"/>
      <c r="AT139" s="193"/>
      <c r="AU139" s="193"/>
      <c r="AV139" s="193"/>
    </row>
    <row r="140" spans="3:48" x14ac:dyDescent="0.25">
      <c r="C140" s="193"/>
      <c r="D140" s="193"/>
      <c r="E140" s="212"/>
      <c r="F140" s="213"/>
      <c r="G140" s="193"/>
      <c r="H140" s="193"/>
      <c r="I140" s="212"/>
      <c r="J140" s="213"/>
      <c r="K140" s="193"/>
      <c r="L140" s="193"/>
      <c r="M140" s="212"/>
      <c r="N140" s="213"/>
      <c r="O140" s="193"/>
      <c r="P140" s="193"/>
      <c r="Q140" s="212"/>
      <c r="R140" s="213"/>
      <c r="S140" s="193"/>
      <c r="T140" s="193"/>
      <c r="U140" s="212"/>
      <c r="V140" s="213"/>
      <c r="W140" s="193"/>
      <c r="X140" s="193"/>
      <c r="Y140" s="193"/>
      <c r="Z140" s="213"/>
      <c r="AA140" s="193"/>
      <c r="AB140" s="193"/>
      <c r="AC140" s="193"/>
      <c r="AD140" s="193"/>
      <c r="AE140" s="193"/>
      <c r="AF140" s="193"/>
      <c r="AG140" s="193"/>
      <c r="AH140" s="193"/>
      <c r="AI140" s="193"/>
      <c r="AJ140" s="193"/>
      <c r="AK140" s="193"/>
      <c r="AL140" s="193"/>
      <c r="AM140" s="193"/>
      <c r="AN140" s="193"/>
      <c r="AO140" s="193"/>
      <c r="AP140" s="193"/>
      <c r="AQ140" s="193"/>
      <c r="AR140" s="193"/>
      <c r="AS140" s="193"/>
      <c r="AT140" s="193"/>
      <c r="AU140" s="193"/>
      <c r="AV140" s="193"/>
    </row>
    <row r="141" spans="3:48" x14ac:dyDescent="0.25">
      <c r="C141" s="193"/>
      <c r="D141" s="193"/>
      <c r="E141" s="212"/>
      <c r="F141" s="213"/>
      <c r="G141" s="193"/>
      <c r="H141" s="193"/>
      <c r="I141" s="212"/>
      <c r="J141" s="213"/>
      <c r="K141" s="193"/>
      <c r="L141" s="193"/>
      <c r="M141" s="212"/>
      <c r="N141" s="213"/>
      <c r="O141" s="193"/>
      <c r="P141" s="193"/>
      <c r="Q141" s="212"/>
      <c r="R141" s="213"/>
      <c r="S141" s="193"/>
      <c r="T141" s="193"/>
      <c r="U141" s="212"/>
      <c r="V141" s="213"/>
      <c r="W141" s="193"/>
      <c r="X141" s="193"/>
      <c r="Y141" s="193"/>
      <c r="Z141" s="213"/>
      <c r="AA141" s="193"/>
      <c r="AB141" s="193"/>
      <c r="AC141" s="193"/>
      <c r="AD141" s="193"/>
      <c r="AE141" s="193"/>
      <c r="AF141" s="193"/>
      <c r="AG141" s="193"/>
      <c r="AH141" s="193"/>
      <c r="AI141" s="193"/>
      <c r="AJ141" s="193"/>
      <c r="AK141" s="193"/>
      <c r="AL141" s="193"/>
      <c r="AM141" s="193"/>
      <c r="AN141" s="193"/>
      <c r="AO141" s="193"/>
      <c r="AP141" s="193"/>
      <c r="AQ141" s="193"/>
      <c r="AR141" s="193"/>
      <c r="AS141" s="193"/>
      <c r="AT141" s="193"/>
      <c r="AU141" s="193"/>
      <c r="AV141" s="193"/>
    </row>
    <row r="142" spans="3:48" x14ac:dyDescent="0.25">
      <c r="C142" s="193"/>
      <c r="D142" s="193"/>
      <c r="E142" s="212"/>
      <c r="F142" s="213"/>
      <c r="G142" s="193"/>
      <c r="H142" s="193"/>
      <c r="I142" s="212"/>
      <c r="J142" s="213"/>
      <c r="K142" s="193"/>
      <c r="L142" s="193"/>
      <c r="M142" s="212"/>
      <c r="N142" s="213"/>
      <c r="O142" s="193"/>
      <c r="P142" s="193"/>
      <c r="Q142" s="212"/>
      <c r="R142" s="213"/>
      <c r="S142" s="193"/>
      <c r="T142" s="193"/>
      <c r="U142" s="212"/>
      <c r="V142" s="213"/>
      <c r="W142" s="193"/>
      <c r="X142" s="193"/>
      <c r="Y142" s="193"/>
      <c r="Z142" s="213"/>
      <c r="AA142" s="193"/>
      <c r="AB142" s="193"/>
      <c r="AC142" s="193"/>
      <c r="AD142" s="193"/>
      <c r="AE142" s="193"/>
      <c r="AF142" s="193"/>
      <c r="AG142" s="193"/>
      <c r="AH142" s="193"/>
      <c r="AI142" s="193"/>
      <c r="AJ142" s="193"/>
      <c r="AK142" s="193"/>
      <c r="AL142" s="193"/>
      <c r="AM142" s="193"/>
      <c r="AN142" s="193"/>
      <c r="AO142" s="193"/>
      <c r="AP142" s="193"/>
      <c r="AQ142" s="193"/>
      <c r="AR142" s="193"/>
      <c r="AS142" s="193"/>
      <c r="AT142" s="193"/>
      <c r="AU142" s="193"/>
      <c r="AV142" s="193"/>
    </row>
    <row r="143" spans="3:48" x14ac:dyDescent="0.25">
      <c r="C143" s="193"/>
      <c r="D143" s="193"/>
      <c r="E143" s="212"/>
      <c r="F143" s="213"/>
      <c r="G143" s="193"/>
      <c r="H143" s="193"/>
      <c r="I143" s="212"/>
      <c r="J143" s="213"/>
      <c r="K143" s="193"/>
      <c r="L143" s="193"/>
      <c r="M143" s="212"/>
      <c r="N143" s="213"/>
      <c r="O143" s="193"/>
      <c r="P143" s="193"/>
      <c r="Q143" s="212"/>
      <c r="R143" s="213"/>
      <c r="S143" s="193"/>
      <c r="T143" s="193"/>
      <c r="U143" s="212"/>
      <c r="V143" s="213"/>
      <c r="W143" s="193"/>
      <c r="X143" s="193"/>
      <c r="Y143" s="193"/>
      <c r="Z143" s="213"/>
      <c r="AA143" s="193"/>
      <c r="AB143" s="193"/>
      <c r="AC143" s="193"/>
      <c r="AD143" s="193"/>
      <c r="AE143" s="193"/>
      <c r="AF143" s="193"/>
      <c r="AG143" s="193"/>
      <c r="AH143" s="193"/>
      <c r="AI143" s="193"/>
      <c r="AJ143" s="193"/>
      <c r="AK143" s="193"/>
      <c r="AL143" s="193"/>
      <c r="AM143" s="193"/>
      <c r="AN143" s="193"/>
      <c r="AO143" s="193"/>
      <c r="AP143" s="193"/>
      <c r="AQ143" s="193"/>
      <c r="AR143" s="193"/>
      <c r="AS143" s="193"/>
      <c r="AT143" s="193"/>
      <c r="AU143" s="193"/>
      <c r="AV143" s="193"/>
    </row>
    <row r="144" spans="3:48" x14ac:dyDescent="0.25">
      <c r="C144" s="193"/>
      <c r="D144" s="193"/>
      <c r="E144" s="212"/>
      <c r="F144" s="213"/>
      <c r="G144" s="193"/>
      <c r="H144" s="193"/>
      <c r="I144" s="212"/>
      <c r="J144" s="213"/>
      <c r="K144" s="193"/>
      <c r="L144" s="193"/>
      <c r="M144" s="212"/>
      <c r="N144" s="213"/>
      <c r="O144" s="193"/>
      <c r="P144" s="193"/>
      <c r="Q144" s="212"/>
      <c r="R144" s="213"/>
      <c r="S144" s="193"/>
      <c r="T144" s="193"/>
      <c r="U144" s="212"/>
      <c r="V144" s="213"/>
      <c r="W144" s="193"/>
      <c r="X144" s="193"/>
      <c r="Y144" s="193"/>
      <c r="Z144" s="213"/>
      <c r="AA144" s="193"/>
      <c r="AB144" s="193"/>
      <c r="AC144" s="193"/>
      <c r="AD144" s="193"/>
      <c r="AE144" s="193"/>
      <c r="AF144" s="193"/>
      <c r="AG144" s="193"/>
      <c r="AH144" s="193"/>
      <c r="AI144" s="193"/>
      <c r="AJ144" s="193"/>
      <c r="AK144" s="193"/>
      <c r="AL144" s="193"/>
      <c r="AM144" s="193"/>
      <c r="AN144" s="193"/>
      <c r="AO144" s="193"/>
      <c r="AP144" s="193"/>
      <c r="AQ144" s="193"/>
      <c r="AR144" s="193"/>
      <c r="AS144" s="193"/>
      <c r="AT144" s="193"/>
      <c r="AU144" s="193"/>
      <c r="AV144" s="193"/>
    </row>
    <row r="145" spans="3:48" x14ac:dyDescent="0.25">
      <c r="C145" s="193"/>
      <c r="D145" s="193"/>
      <c r="E145" s="212"/>
      <c r="F145" s="213"/>
      <c r="G145" s="193"/>
      <c r="H145" s="193"/>
      <c r="I145" s="212"/>
      <c r="J145" s="213"/>
      <c r="K145" s="193"/>
      <c r="L145" s="193"/>
      <c r="M145" s="212"/>
      <c r="N145" s="213"/>
      <c r="O145" s="193"/>
      <c r="P145" s="193"/>
      <c r="Q145" s="212"/>
      <c r="R145" s="213"/>
      <c r="S145" s="193"/>
      <c r="T145" s="193"/>
      <c r="U145" s="212"/>
      <c r="V145" s="213"/>
      <c r="W145" s="193"/>
      <c r="X145" s="193"/>
      <c r="Y145" s="193"/>
      <c r="Z145" s="213"/>
      <c r="AA145" s="193"/>
      <c r="AB145" s="193"/>
      <c r="AC145" s="193"/>
      <c r="AD145" s="193"/>
      <c r="AE145" s="193"/>
      <c r="AF145" s="193"/>
      <c r="AG145" s="193"/>
      <c r="AH145" s="193"/>
      <c r="AI145" s="193"/>
      <c r="AJ145" s="193"/>
      <c r="AK145" s="193"/>
      <c r="AL145" s="193"/>
      <c r="AM145" s="193"/>
      <c r="AN145" s="193"/>
      <c r="AO145" s="193"/>
      <c r="AP145" s="193"/>
      <c r="AQ145" s="193"/>
      <c r="AR145" s="193"/>
      <c r="AS145" s="193"/>
      <c r="AT145" s="193"/>
      <c r="AU145" s="193"/>
      <c r="AV145" s="193"/>
    </row>
    <row r="146" spans="3:48" x14ac:dyDescent="0.25">
      <c r="C146" s="193"/>
      <c r="D146" s="193"/>
      <c r="E146" s="212"/>
      <c r="F146" s="213"/>
      <c r="G146" s="193"/>
      <c r="H146" s="193"/>
      <c r="I146" s="212"/>
      <c r="J146" s="213"/>
      <c r="K146" s="193"/>
      <c r="L146" s="193"/>
      <c r="M146" s="212"/>
      <c r="N146" s="213"/>
      <c r="O146" s="193"/>
      <c r="P146" s="193"/>
      <c r="Q146" s="212"/>
      <c r="R146" s="213"/>
      <c r="S146" s="193"/>
      <c r="T146" s="193"/>
      <c r="U146" s="212"/>
      <c r="V146" s="213"/>
      <c r="W146" s="193"/>
      <c r="X146" s="193"/>
      <c r="Y146" s="193"/>
      <c r="Z146" s="213"/>
      <c r="AA146" s="193"/>
      <c r="AB146" s="193"/>
      <c r="AC146" s="193"/>
      <c r="AD146" s="193"/>
      <c r="AE146" s="193"/>
      <c r="AF146" s="193"/>
      <c r="AG146" s="193"/>
      <c r="AH146" s="193"/>
      <c r="AI146" s="193"/>
      <c r="AJ146" s="193"/>
      <c r="AK146" s="193"/>
      <c r="AL146" s="193"/>
      <c r="AM146" s="193"/>
      <c r="AN146" s="193"/>
      <c r="AO146" s="193"/>
      <c r="AP146" s="193"/>
      <c r="AQ146" s="193"/>
      <c r="AR146" s="193"/>
      <c r="AS146" s="193"/>
      <c r="AT146" s="193"/>
      <c r="AU146" s="193"/>
      <c r="AV146" s="193"/>
    </row>
    <row r="147" spans="3:48" x14ac:dyDescent="0.25">
      <c r="C147" s="193"/>
      <c r="D147" s="193"/>
      <c r="E147" s="212"/>
      <c r="F147" s="213"/>
      <c r="G147" s="193"/>
      <c r="H147" s="193"/>
      <c r="I147" s="212"/>
      <c r="J147" s="213"/>
      <c r="K147" s="193"/>
      <c r="L147" s="193"/>
      <c r="M147" s="212"/>
      <c r="N147" s="213"/>
      <c r="O147" s="193"/>
      <c r="P147" s="193"/>
      <c r="Q147" s="212"/>
      <c r="R147" s="213"/>
      <c r="S147" s="193"/>
      <c r="T147" s="193"/>
      <c r="U147" s="212"/>
      <c r="V147" s="213"/>
      <c r="W147" s="193"/>
      <c r="X147" s="193"/>
      <c r="Y147" s="193"/>
      <c r="Z147" s="213"/>
      <c r="AA147" s="193"/>
      <c r="AB147" s="193"/>
      <c r="AC147" s="193"/>
      <c r="AD147" s="193"/>
      <c r="AE147" s="193"/>
      <c r="AF147" s="193"/>
      <c r="AG147" s="193"/>
      <c r="AH147" s="193"/>
      <c r="AI147" s="193"/>
      <c r="AJ147" s="193"/>
      <c r="AK147" s="193"/>
      <c r="AL147" s="193"/>
      <c r="AM147" s="193"/>
      <c r="AN147" s="193"/>
      <c r="AO147" s="193"/>
      <c r="AP147" s="193"/>
      <c r="AQ147" s="193"/>
      <c r="AR147" s="193"/>
      <c r="AS147" s="193"/>
      <c r="AT147" s="193"/>
      <c r="AU147" s="193"/>
      <c r="AV147" s="193"/>
    </row>
    <row r="148" spans="3:48" x14ac:dyDescent="0.25">
      <c r="C148" s="193"/>
      <c r="D148" s="193"/>
      <c r="E148" s="212"/>
      <c r="F148" s="213"/>
      <c r="G148" s="193"/>
      <c r="H148" s="193"/>
      <c r="I148" s="212"/>
      <c r="J148" s="213"/>
      <c r="K148" s="193"/>
      <c r="L148" s="193"/>
      <c r="M148" s="212"/>
      <c r="N148" s="213"/>
      <c r="O148" s="193"/>
      <c r="P148" s="193"/>
      <c r="Q148" s="212"/>
      <c r="R148" s="213"/>
      <c r="S148" s="193"/>
      <c r="T148" s="193"/>
      <c r="U148" s="212"/>
      <c r="V148" s="213"/>
      <c r="W148" s="193"/>
      <c r="X148" s="193"/>
      <c r="Y148" s="193"/>
      <c r="Z148" s="213"/>
      <c r="AA148" s="193"/>
      <c r="AB148" s="193"/>
      <c r="AC148" s="193"/>
      <c r="AD148" s="193"/>
      <c r="AE148" s="193"/>
      <c r="AF148" s="193"/>
      <c r="AG148" s="193"/>
      <c r="AH148" s="193"/>
      <c r="AI148" s="193"/>
      <c r="AJ148" s="193"/>
      <c r="AK148" s="193"/>
      <c r="AL148" s="193"/>
      <c r="AM148" s="193"/>
      <c r="AN148" s="193"/>
      <c r="AO148" s="193"/>
      <c r="AP148" s="193"/>
      <c r="AQ148" s="193"/>
      <c r="AR148" s="193"/>
      <c r="AS148" s="193"/>
      <c r="AT148" s="193"/>
      <c r="AU148" s="193"/>
      <c r="AV148" s="193"/>
    </row>
    <row r="149" spans="3:48" x14ac:dyDescent="0.25">
      <c r="C149" s="193"/>
      <c r="D149" s="193"/>
      <c r="E149" s="212"/>
      <c r="F149" s="213"/>
      <c r="G149" s="193"/>
      <c r="H149" s="193"/>
      <c r="I149" s="212"/>
      <c r="J149" s="213"/>
      <c r="K149" s="193"/>
      <c r="L149" s="193"/>
      <c r="M149" s="212"/>
      <c r="N149" s="213"/>
      <c r="O149" s="193"/>
      <c r="P149" s="193"/>
      <c r="Q149" s="212"/>
      <c r="R149" s="213"/>
      <c r="S149" s="193"/>
      <c r="T149" s="193"/>
      <c r="U149" s="212"/>
      <c r="V149" s="213"/>
      <c r="W149" s="193"/>
      <c r="X149" s="193"/>
      <c r="Y149" s="193"/>
      <c r="Z149" s="213"/>
      <c r="AA149" s="193"/>
      <c r="AB149" s="193"/>
      <c r="AC149" s="193"/>
      <c r="AD149" s="193"/>
      <c r="AE149" s="193"/>
      <c r="AF149" s="193"/>
      <c r="AG149" s="193"/>
      <c r="AH149" s="193"/>
      <c r="AI149" s="193"/>
      <c r="AJ149" s="193"/>
      <c r="AK149" s="193"/>
      <c r="AL149" s="193"/>
      <c r="AM149" s="193"/>
      <c r="AN149" s="193"/>
      <c r="AO149" s="193"/>
      <c r="AP149" s="193"/>
      <c r="AQ149" s="193"/>
      <c r="AR149" s="193"/>
      <c r="AS149" s="193"/>
      <c r="AT149" s="193"/>
      <c r="AU149" s="193"/>
      <c r="AV149" s="193"/>
    </row>
    <row r="150" spans="3:48" x14ac:dyDescent="0.25">
      <c r="C150" s="193"/>
      <c r="D150" s="193"/>
      <c r="E150" s="212"/>
      <c r="F150" s="213"/>
      <c r="G150" s="193"/>
      <c r="H150" s="193"/>
      <c r="I150" s="212"/>
      <c r="J150" s="213"/>
      <c r="K150" s="193"/>
      <c r="L150" s="193"/>
      <c r="M150" s="212"/>
      <c r="N150" s="213"/>
      <c r="O150" s="193"/>
      <c r="P150" s="193"/>
      <c r="Q150" s="212"/>
      <c r="R150" s="213"/>
      <c r="S150" s="193"/>
      <c r="T150" s="193"/>
      <c r="U150" s="212"/>
      <c r="V150" s="213"/>
      <c r="W150" s="193"/>
      <c r="X150" s="193"/>
      <c r="Y150" s="193"/>
      <c r="Z150" s="213"/>
      <c r="AA150" s="193"/>
      <c r="AB150" s="193"/>
      <c r="AC150" s="193"/>
      <c r="AD150" s="193"/>
      <c r="AE150" s="193"/>
      <c r="AF150" s="193"/>
      <c r="AG150" s="193"/>
      <c r="AH150" s="193"/>
      <c r="AI150" s="193"/>
      <c r="AJ150" s="193"/>
      <c r="AK150" s="193"/>
      <c r="AL150" s="193"/>
      <c r="AM150" s="193"/>
      <c r="AN150" s="193"/>
      <c r="AO150" s="193"/>
      <c r="AP150" s="193"/>
      <c r="AQ150" s="193"/>
      <c r="AR150" s="193"/>
      <c r="AS150" s="193"/>
      <c r="AT150" s="193"/>
      <c r="AU150" s="193"/>
      <c r="AV150" s="193"/>
    </row>
    <row r="151" spans="3:48" x14ac:dyDescent="0.25">
      <c r="C151" s="193"/>
      <c r="D151" s="193"/>
      <c r="E151" s="212"/>
      <c r="F151" s="213"/>
      <c r="G151" s="193"/>
      <c r="H151" s="193"/>
      <c r="I151" s="212"/>
      <c r="J151" s="213"/>
      <c r="K151" s="193"/>
      <c r="L151" s="193"/>
      <c r="M151" s="212"/>
      <c r="N151" s="213"/>
      <c r="O151" s="193"/>
      <c r="P151" s="193"/>
      <c r="Q151" s="212"/>
      <c r="R151" s="213"/>
      <c r="S151" s="193"/>
      <c r="T151" s="193"/>
      <c r="U151" s="212"/>
      <c r="V151" s="213"/>
      <c r="W151" s="193"/>
      <c r="X151" s="193"/>
      <c r="Y151" s="193"/>
      <c r="Z151" s="213"/>
      <c r="AA151" s="193"/>
      <c r="AB151" s="193"/>
      <c r="AC151" s="193"/>
      <c r="AD151" s="193"/>
      <c r="AE151" s="193"/>
      <c r="AF151" s="193"/>
      <c r="AG151" s="193"/>
      <c r="AH151" s="193"/>
      <c r="AI151" s="193"/>
      <c r="AJ151" s="193"/>
      <c r="AK151" s="193"/>
      <c r="AL151" s="193"/>
      <c r="AM151" s="193"/>
      <c r="AN151" s="193"/>
      <c r="AO151" s="193"/>
      <c r="AP151" s="193"/>
      <c r="AQ151" s="193"/>
      <c r="AR151" s="193"/>
      <c r="AS151" s="193"/>
      <c r="AT151" s="193"/>
      <c r="AU151" s="193"/>
      <c r="AV151" s="193"/>
    </row>
    <row r="152" spans="3:48" x14ac:dyDescent="0.25">
      <c r="C152" s="193"/>
      <c r="D152" s="193"/>
      <c r="E152" s="212"/>
      <c r="F152" s="213"/>
      <c r="G152" s="193"/>
      <c r="H152" s="193"/>
      <c r="I152" s="212"/>
      <c r="J152" s="213"/>
      <c r="K152" s="193"/>
      <c r="L152" s="193"/>
      <c r="M152" s="212"/>
      <c r="N152" s="213"/>
      <c r="O152" s="193"/>
      <c r="P152" s="193"/>
      <c r="Q152" s="212"/>
      <c r="R152" s="213"/>
      <c r="S152" s="193"/>
      <c r="T152" s="193"/>
      <c r="U152" s="212"/>
      <c r="V152" s="213"/>
      <c r="W152" s="193"/>
      <c r="X152" s="193"/>
      <c r="Y152" s="193"/>
      <c r="Z152" s="213"/>
      <c r="AA152" s="193"/>
      <c r="AB152" s="193"/>
      <c r="AC152" s="193"/>
      <c r="AD152" s="193"/>
      <c r="AE152" s="193"/>
      <c r="AF152" s="193"/>
      <c r="AG152" s="193"/>
      <c r="AH152" s="193"/>
      <c r="AI152" s="193"/>
      <c r="AJ152" s="193"/>
      <c r="AK152" s="193"/>
      <c r="AL152" s="193"/>
      <c r="AM152" s="193"/>
      <c r="AN152" s="193"/>
      <c r="AO152" s="193"/>
      <c r="AP152" s="193"/>
      <c r="AQ152" s="193"/>
      <c r="AR152" s="193"/>
      <c r="AS152" s="193"/>
      <c r="AT152" s="193"/>
      <c r="AU152" s="193"/>
      <c r="AV152" s="193"/>
    </row>
    <row r="153" spans="3:48" x14ac:dyDescent="0.25">
      <c r="C153" s="193"/>
      <c r="D153" s="193"/>
      <c r="E153" s="212"/>
      <c r="F153" s="213"/>
      <c r="G153" s="193"/>
      <c r="H153" s="193"/>
      <c r="I153" s="212"/>
      <c r="J153" s="213"/>
      <c r="K153" s="193"/>
      <c r="L153" s="193"/>
      <c r="M153" s="212"/>
      <c r="N153" s="213"/>
      <c r="O153" s="193"/>
      <c r="P153" s="193"/>
      <c r="Q153" s="212"/>
      <c r="R153" s="213"/>
      <c r="S153" s="193"/>
      <c r="T153" s="193"/>
      <c r="U153" s="212"/>
      <c r="V153" s="213"/>
      <c r="W153" s="193"/>
      <c r="X153" s="193"/>
      <c r="Y153" s="193"/>
      <c r="Z153" s="213"/>
      <c r="AA153" s="193"/>
      <c r="AB153" s="193"/>
      <c r="AC153" s="193"/>
      <c r="AD153" s="193"/>
      <c r="AE153" s="193"/>
      <c r="AF153" s="193"/>
      <c r="AG153" s="193"/>
      <c r="AH153" s="193"/>
      <c r="AI153" s="193"/>
      <c r="AJ153" s="193"/>
      <c r="AK153" s="193"/>
      <c r="AL153" s="193"/>
      <c r="AM153" s="193"/>
      <c r="AN153" s="193"/>
      <c r="AO153" s="193"/>
      <c r="AP153" s="193"/>
      <c r="AQ153" s="193"/>
      <c r="AR153" s="193"/>
      <c r="AS153" s="193"/>
      <c r="AT153" s="193"/>
      <c r="AU153" s="193"/>
      <c r="AV153" s="193"/>
    </row>
    <row r="154" spans="3:48" x14ac:dyDescent="0.25">
      <c r="C154" s="193"/>
      <c r="D154" s="193"/>
      <c r="E154" s="212"/>
      <c r="F154" s="213"/>
      <c r="G154" s="193"/>
      <c r="H154" s="193"/>
      <c r="I154" s="212"/>
      <c r="J154" s="213"/>
      <c r="K154" s="193"/>
      <c r="L154" s="193"/>
      <c r="M154" s="212"/>
      <c r="N154" s="213"/>
      <c r="O154" s="193"/>
      <c r="P154" s="193"/>
      <c r="Q154" s="212"/>
      <c r="R154" s="213"/>
      <c r="S154" s="193"/>
      <c r="T154" s="193"/>
      <c r="U154" s="212"/>
      <c r="V154" s="213"/>
      <c r="W154" s="193"/>
      <c r="X154" s="193"/>
      <c r="Y154" s="193"/>
      <c r="Z154" s="213"/>
      <c r="AA154" s="193"/>
      <c r="AB154" s="193"/>
      <c r="AC154" s="193"/>
      <c r="AD154" s="193"/>
      <c r="AE154" s="193"/>
      <c r="AF154" s="193"/>
      <c r="AG154" s="193"/>
      <c r="AH154" s="193"/>
      <c r="AI154" s="193"/>
      <c r="AJ154" s="193"/>
      <c r="AK154" s="193"/>
      <c r="AL154" s="193"/>
      <c r="AM154" s="193"/>
      <c r="AN154" s="193"/>
      <c r="AO154" s="193"/>
      <c r="AP154" s="193"/>
      <c r="AQ154" s="193"/>
      <c r="AR154" s="193"/>
      <c r="AS154" s="193"/>
      <c r="AT154" s="193"/>
      <c r="AU154" s="193"/>
      <c r="AV154" s="193"/>
    </row>
    <row r="155" spans="3:48" x14ac:dyDescent="0.25">
      <c r="C155" s="193"/>
      <c r="D155" s="193"/>
      <c r="E155" s="212"/>
      <c r="F155" s="213"/>
      <c r="G155" s="193"/>
      <c r="H155" s="193"/>
      <c r="I155" s="212"/>
      <c r="J155" s="213"/>
      <c r="K155" s="193"/>
      <c r="L155" s="193"/>
      <c r="M155" s="212"/>
      <c r="N155" s="213"/>
      <c r="O155" s="193"/>
      <c r="P155" s="193"/>
      <c r="Q155" s="212"/>
      <c r="R155" s="213"/>
      <c r="S155" s="193"/>
      <c r="T155" s="193"/>
      <c r="U155" s="212"/>
      <c r="V155" s="213"/>
      <c r="W155" s="193"/>
      <c r="X155" s="193"/>
      <c r="Y155" s="193"/>
      <c r="Z155" s="213"/>
      <c r="AA155" s="193"/>
      <c r="AB155" s="193"/>
      <c r="AC155" s="193"/>
      <c r="AD155" s="193"/>
      <c r="AE155" s="193"/>
      <c r="AF155" s="193"/>
      <c r="AG155" s="193"/>
      <c r="AH155" s="193"/>
      <c r="AI155" s="193"/>
      <c r="AJ155" s="193"/>
      <c r="AK155" s="193"/>
      <c r="AL155" s="193"/>
      <c r="AM155" s="193"/>
      <c r="AN155" s="193"/>
      <c r="AO155" s="193"/>
      <c r="AP155" s="193"/>
      <c r="AQ155" s="193"/>
      <c r="AR155" s="193"/>
      <c r="AS155" s="193"/>
      <c r="AT155" s="193"/>
      <c r="AU155" s="193"/>
      <c r="AV155" s="193"/>
    </row>
    <row r="156" spans="3:48" x14ac:dyDescent="0.25">
      <c r="C156" s="193"/>
      <c r="D156" s="193"/>
      <c r="E156" s="212"/>
      <c r="F156" s="213"/>
      <c r="G156" s="193"/>
      <c r="H156" s="193"/>
      <c r="I156" s="212"/>
      <c r="J156" s="213"/>
      <c r="K156" s="193"/>
      <c r="L156" s="193"/>
      <c r="M156" s="212"/>
      <c r="N156" s="213"/>
      <c r="O156" s="193"/>
      <c r="P156" s="193"/>
      <c r="Q156" s="212"/>
      <c r="R156" s="213"/>
      <c r="S156" s="193"/>
      <c r="T156" s="193"/>
      <c r="U156" s="212"/>
      <c r="V156" s="213"/>
      <c r="W156" s="193"/>
      <c r="X156" s="193"/>
      <c r="Y156" s="193"/>
      <c r="Z156" s="213"/>
      <c r="AA156" s="193"/>
      <c r="AB156" s="193"/>
      <c r="AC156" s="193"/>
      <c r="AD156" s="193"/>
      <c r="AE156" s="193"/>
      <c r="AF156" s="193"/>
      <c r="AG156" s="193"/>
      <c r="AH156" s="193"/>
      <c r="AI156" s="193"/>
      <c r="AJ156" s="193"/>
      <c r="AK156" s="193"/>
      <c r="AL156" s="193"/>
      <c r="AM156" s="193"/>
      <c r="AN156" s="193"/>
      <c r="AO156" s="193"/>
      <c r="AP156" s="193"/>
      <c r="AQ156" s="193"/>
      <c r="AR156" s="193"/>
      <c r="AS156" s="193"/>
      <c r="AT156" s="193"/>
      <c r="AU156" s="193"/>
      <c r="AV156" s="193"/>
    </row>
    <row r="157" spans="3:48" x14ac:dyDescent="0.25">
      <c r="C157" s="193"/>
      <c r="D157" s="193"/>
      <c r="E157" s="212"/>
      <c r="F157" s="213"/>
      <c r="G157" s="193"/>
      <c r="H157" s="193"/>
      <c r="I157" s="212"/>
      <c r="J157" s="213"/>
      <c r="K157" s="193"/>
      <c r="L157" s="193"/>
      <c r="M157" s="212"/>
      <c r="N157" s="213"/>
      <c r="O157" s="193"/>
      <c r="P157" s="193"/>
      <c r="Q157" s="212"/>
      <c r="R157" s="213"/>
      <c r="S157" s="193"/>
      <c r="T157" s="193"/>
      <c r="U157" s="212"/>
      <c r="V157" s="213"/>
      <c r="W157" s="193"/>
      <c r="X157" s="193"/>
      <c r="Y157" s="193"/>
      <c r="Z157" s="213"/>
      <c r="AA157" s="193"/>
      <c r="AB157" s="193"/>
      <c r="AC157" s="193"/>
      <c r="AD157" s="193"/>
      <c r="AE157" s="193"/>
      <c r="AF157" s="193"/>
      <c r="AG157" s="193"/>
      <c r="AH157" s="193"/>
      <c r="AI157" s="193"/>
      <c r="AJ157" s="193"/>
      <c r="AK157" s="193"/>
      <c r="AL157" s="193"/>
      <c r="AM157" s="193"/>
      <c r="AN157" s="193"/>
      <c r="AO157" s="193"/>
      <c r="AP157" s="193"/>
      <c r="AQ157" s="193"/>
      <c r="AR157" s="193"/>
      <c r="AS157" s="193"/>
      <c r="AT157" s="193"/>
      <c r="AU157" s="193"/>
      <c r="AV157" s="193"/>
    </row>
    <row r="158" spans="3:48" x14ac:dyDescent="0.25">
      <c r="C158" s="193"/>
      <c r="D158" s="193"/>
      <c r="E158" s="212"/>
      <c r="F158" s="213"/>
      <c r="G158" s="193"/>
      <c r="H158" s="193"/>
      <c r="I158" s="212"/>
      <c r="J158" s="213"/>
      <c r="K158" s="193"/>
      <c r="L158" s="193"/>
      <c r="M158" s="212"/>
      <c r="N158" s="213"/>
      <c r="O158" s="193"/>
      <c r="P158" s="193"/>
      <c r="Q158" s="212"/>
      <c r="R158" s="213"/>
      <c r="S158" s="193"/>
      <c r="T158" s="193"/>
      <c r="U158" s="212"/>
      <c r="V158" s="213"/>
      <c r="W158" s="193"/>
      <c r="X158" s="193"/>
      <c r="Y158" s="193"/>
      <c r="Z158" s="213"/>
      <c r="AA158" s="193"/>
      <c r="AB158" s="193"/>
      <c r="AC158" s="193"/>
      <c r="AD158" s="193"/>
      <c r="AE158" s="193"/>
      <c r="AF158" s="193"/>
      <c r="AG158" s="193"/>
      <c r="AH158" s="193"/>
      <c r="AI158" s="193"/>
      <c r="AJ158" s="193"/>
      <c r="AK158" s="193"/>
      <c r="AL158" s="193"/>
      <c r="AM158" s="193"/>
      <c r="AN158" s="193"/>
      <c r="AO158" s="193"/>
      <c r="AP158" s="193"/>
      <c r="AQ158" s="193"/>
      <c r="AR158" s="193"/>
      <c r="AS158" s="193"/>
      <c r="AT158" s="193"/>
      <c r="AU158" s="193"/>
      <c r="AV158" s="193"/>
    </row>
    <row r="159" spans="3:48" x14ac:dyDescent="0.25">
      <c r="C159" s="193"/>
      <c r="D159" s="193"/>
      <c r="E159" s="212"/>
      <c r="F159" s="213"/>
      <c r="G159" s="193"/>
      <c r="H159" s="193"/>
      <c r="I159" s="212"/>
      <c r="J159" s="213"/>
      <c r="K159" s="193"/>
      <c r="L159" s="193"/>
      <c r="M159" s="212"/>
      <c r="N159" s="213"/>
      <c r="O159" s="193"/>
      <c r="P159" s="193"/>
      <c r="Q159" s="212"/>
      <c r="R159" s="213"/>
      <c r="S159" s="193"/>
      <c r="T159" s="193"/>
      <c r="U159" s="212"/>
      <c r="V159" s="213"/>
      <c r="W159" s="193"/>
      <c r="X159" s="193"/>
      <c r="Y159" s="193"/>
      <c r="Z159" s="213"/>
      <c r="AA159" s="193"/>
      <c r="AB159" s="193"/>
      <c r="AC159" s="193"/>
      <c r="AD159" s="193"/>
      <c r="AE159" s="193"/>
      <c r="AF159" s="193"/>
      <c r="AG159" s="193"/>
      <c r="AH159" s="193"/>
      <c r="AI159" s="193"/>
      <c r="AJ159" s="193"/>
      <c r="AK159" s="193"/>
      <c r="AL159" s="193"/>
      <c r="AM159" s="193"/>
      <c r="AN159" s="193"/>
      <c r="AO159" s="193"/>
      <c r="AP159" s="193"/>
      <c r="AQ159" s="193"/>
      <c r="AR159" s="193"/>
      <c r="AS159" s="193"/>
      <c r="AT159" s="193"/>
      <c r="AU159" s="193"/>
      <c r="AV159" s="193"/>
    </row>
    <row r="160" spans="3:48" x14ac:dyDescent="0.25">
      <c r="C160" s="193"/>
      <c r="D160" s="193"/>
      <c r="E160" s="212"/>
      <c r="F160" s="213"/>
      <c r="G160" s="193"/>
      <c r="H160" s="193"/>
      <c r="I160" s="212"/>
      <c r="J160" s="213"/>
      <c r="K160" s="193"/>
      <c r="L160" s="193"/>
      <c r="M160" s="212"/>
      <c r="N160" s="213"/>
      <c r="O160" s="193"/>
      <c r="P160" s="193"/>
      <c r="Q160" s="212"/>
      <c r="R160" s="213"/>
      <c r="S160" s="193"/>
      <c r="T160" s="193"/>
      <c r="U160" s="212"/>
      <c r="V160" s="213"/>
      <c r="W160" s="193"/>
      <c r="X160" s="193"/>
      <c r="Y160" s="193"/>
      <c r="Z160" s="213"/>
      <c r="AA160" s="193"/>
      <c r="AB160" s="193"/>
      <c r="AC160" s="193"/>
      <c r="AD160" s="193"/>
      <c r="AE160" s="193"/>
      <c r="AF160" s="193"/>
      <c r="AG160" s="193"/>
      <c r="AH160" s="193"/>
      <c r="AI160" s="193"/>
      <c r="AJ160" s="193"/>
      <c r="AK160" s="193"/>
      <c r="AL160" s="193"/>
      <c r="AM160" s="193"/>
      <c r="AN160" s="193"/>
      <c r="AO160" s="193"/>
      <c r="AP160" s="193"/>
      <c r="AQ160" s="193"/>
      <c r="AR160" s="193"/>
      <c r="AS160" s="193"/>
      <c r="AT160" s="193"/>
      <c r="AU160" s="193"/>
      <c r="AV160" s="193"/>
    </row>
    <row r="161" spans="3:48" x14ac:dyDescent="0.25">
      <c r="C161" s="193"/>
      <c r="D161" s="193"/>
      <c r="E161" s="212"/>
      <c r="F161" s="213"/>
      <c r="G161" s="193"/>
      <c r="H161" s="193"/>
      <c r="I161" s="212"/>
      <c r="J161" s="213"/>
      <c r="K161" s="193"/>
      <c r="L161" s="193"/>
      <c r="M161" s="212"/>
      <c r="N161" s="213"/>
      <c r="O161" s="193"/>
      <c r="P161" s="193"/>
      <c r="Q161" s="212"/>
      <c r="R161" s="213"/>
      <c r="S161" s="193"/>
      <c r="T161" s="193"/>
      <c r="U161" s="212"/>
      <c r="V161" s="213"/>
      <c r="W161" s="193"/>
      <c r="X161" s="193"/>
      <c r="Y161" s="193"/>
      <c r="Z161" s="213"/>
      <c r="AA161" s="193"/>
      <c r="AB161" s="193"/>
      <c r="AC161" s="193"/>
      <c r="AD161" s="193"/>
      <c r="AE161" s="193"/>
      <c r="AF161" s="193"/>
      <c r="AG161" s="193"/>
      <c r="AH161" s="193"/>
      <c r="AI161" s="193"/>
      <c r="AJ161" s="193"/>
      <c r="AK161" s="193"/>
      <c r="AL161" s="193"/>
      <c r="AM161" s="193"/>
      <c r="AN161" s="193"/>
      <c r="AO161" s="193"/>
      <c r="AP161" s="193"/>
      <c r="AQ161" s="193"/>
      <c r="AR161" s="193"/>
      <c r="AS161" s="193"/>
      <c r="AT161" s="193"/>
      <c r="AU161" s="193"/>
      <c r="AV161" s="193"/>
    </row>
    <row r="162" spans="3:48" x14ac:dyDescent="0.25">
      <c r="C162" s="193"/>
      <c r="D162" s="193"/>
      <c r="E162" s="212"/>
      <c r="F162" s="213"/>
      <c r="G162" s="193"/>
      <c r="H162" s="193"/>
      <c r="I162" s="212"/>
      <c r="J162" s="213"/>
      <c r="K162" s="193"/>
      <c r="L162" s="193"/>
      <c r="M162" s="212"/>
      <c r="N162" s="213"/>
      <c r="O162" s="193"/>
      <c r="P162" s="193"/>
      <c r="Q162" s="212"/>
      <c r="R162" s="213"/>
      <c r="S162" s="193"/>
      <c r="T162" s="193"/>
      <c r="U162" s="212"/>
      <c r="V162" s="213"/>
      <c r="W162" s="193"/>
      <c r="X162" s="193"/>
      <c r="Y162" s="193"/>
      <c r="Z162" s="213"/>
      <c r="AA162" s="193"/>
      <c r="AB162" s="193"/>
      <c r="AC162" s="193"/>
      <c r="AD162" s="193"/>
      <c r="AE162" s="193"/>
      <c r="AF162" s="193"/>
      <c r="AG162" s="193"/>
      <c r="AH162" s="193"/>
      <c r="AI162" s="193"/>
      <c r="AJ162" s="193"/>
      <c r="AK162" s="193"/>
      <c r="AL162" s="193"/>
      <c r="AM162" s="193"/>
      <c r="AN162" s="193"/>
      <c r="AO162" s="193"/>
      <c r="AP162" s="193"/>
      <c r="AQ162" s="193"/>
      <c r="AR162" s="193"/>
      <c r="AS162" s="193"/>
      <c r="AT162" s="193"/>
      <c r="AU162" s="193"/>
      <c r="AV162" s="193"/>
    </row>
    <row r="163" spans="3:48" x14ac:dyDescent="0.25">
      <c r="C163" s="193"/>
      <c r="D163" s="193"/>
      <c r="E163" s="212"/>
      <c r="F163" s="213"/>
      <c r="G163" s="193"/>
      <c r="H163" s="193"/>
      <c r="I163" s="212"/>
      <c r="J163" s="213"/>
      <c r="K163" s="193"/>
      <c r="L163" s="193"/>
      <c r="M163" s="212"/>
      <c r="N163" s="213"/>
      <c r="O163" s="193"/>
      <c r="P163" s="193"/>
      <c r="Q163" s="212"/>
      <c r="R163" s="213"/>
      <c r="S163" s="193"/>
      <c r="T163" s="193"/>
      <c r="U163" s="212"/>
      <c r="V163" s="213"/>
      <c r="W163" s="193"/>
      <c r="X163" s="193"/>
      <c r="Y163" s="193"/>
      <c r="Z163" s="213"/>
      <c r="AA163" s="193"/>
      <c r="AB163" s="193"/>
      <c r="AC163" s="193"/>
      <c r="AD163" s="193"/>
      <c r="AE163" s="193"/>
      <c r="AF163" s="193"/>
      <c r="AG163" s="193"/>
      <c r="AH163" s="193"/>
      <c r="AI163" s="193"/>
      <c r="AJ163" s="193"/>
      <c r="AK163" s="193"/>
      <c r="AL163" s="193"/>
      <c r="AM163" s="193"/>
      <c r="AN163" s="193"/>
      <c r="AO163" s="193"/>
      <c r="AP163" s="193"/>
      <c r="AQ163" s="193"/>
      <c r="AR163" s="193"/>
      <c r="AS163" s="193"/>
      <c r="AT163" s="193"/>
      <c r="AU163" s="193"/>
      <c r="AV163" s="193"/>
    </row>
    <row r="164" spans="3:48" x14ac:dyDescent="0.25">
      <c r="C164" s="193"/>
      <c r="D164" s="193"/>
      <c r="E164" s="212"/>
      <c r="F164" s="213"/>
      <c r="G164" s="193"/>
      <c r="H164" s="193"/>
      <c r="I164" s="212"/>
      <c r="J164" s="213"/>
      <c r="K164" s="193"/>
      <c r="L164" s="193"/>
      <c r="M164" s="212"/>
      <c r="N164" s="213"/>
      <c r="O164" s="193"/>
      <c r="P164" s="193"/>
      <c r="Q164" s="212"/>
      <c r="R164" s="213"/>
      <c r="S164" s="193"/>
      <c r="T164" s="193"/>
      <c r="U164" s="212"/>
      <c r="V164" s="213"/>
      <c r="W164" s="193"/>
      <c r="X164" s="193"/>
      <c r="Y164" s="193"/>
      <c r="Z164" s="213"/>
      <c r="AA164" s="193"/>
      <c r="AB164" s="193"/>
      <c r="AC164" s="193"/>
      <c r="AD164" s="193"/>
      <c r="AE164" s="193"/>
      <c r="AF164" s="193"/>
      <c r="AG164" s="193"/>
      <c r="AH164" s="193"/>
      <c r="AI164" s="193"/>
      <c r="AJ164" s="193"/>
      <c r="AK164" s="193"/>
      <c r="AL164" s="193"/>
      <c r="AM164" s="193"/>
      <c r="AN164" s="193"/>
      <c r="AO164" s="193"/>
      <c r="AP164" s="193"/>
      <c r="AQ164" s="193"/>
      <c r="AR164" s="193"/>
      <c r="AS164" s="193"/>
      <c r="AT164" s="193"/>
      <c r="AU164" s="193"/>
      <c r="AV164" s="193"/>
    </row>
    <row r="165" spans="3:48" x14ac:dyDescent="0.25">
      <c r="C165" s="193"/>
      <c r="D165" s="193"/>
      <c r="E165" s="212"/>
      <c r="F165" s="213"/>
      <c r="G165" s="193"/>
      <c r="H165" s="193"/>
      <c r="I165" s="212"/>
      <c r="J165" s="213"/>
      <c r="K165" s="193"/>
      <c r="L165" s="193"/>
      <c r="M165" s="212"/>
      <c r="N165" s="213"/>
      <c r="O165" s="193"/>
      <c r="P165" s="193"/>
      <c r="Q165" s="212"/>
      <c r="R165" s="213"/>
      <c r="S165" s="193"/>
      <c r="T165" s="193"/>
      <c r="U165" s="212"/>
      <c r="V165" s="213"/>
      <c r="W165" s="193"/>
      <c r="X165" s="193"/>
      <c r="Y165" s="193"/>
      <c r="Z165" s="213"/>
      <c r="AA165" s="193"/>
      <c r="AB165" s="193"/>
      <c r="AC165" s="193"/>
      <c r="AD165" s="193"/>
      <c r="AE165" s="193"/>
      <c r="AF165" s="193"/>
      <c r="AG165" s="193"/>
      <c r="AH165" s="193"/>
      <c r="AI165" s="193"/>
      <c r="AJ165" s="193"/>
      <c r="AK165" s="193"/>
      <c r="AL165" s="193"/>
      <c r="AM165" s="193"/>
      <c r="AN165" s="193"/>
      <c r="AO165" s="193"/>
      <c r="AP165" s="193"/>
      <c r="AQ165" s="193"/>
      <c r="AR165" s="193"/>
      <c r="AS165" s="193"/>
      <c r="AT165" s="193"/>
      <c r="AU165" s="193"/>
      <c r="AV165" s="193"/>
    </row>
    <row r="166" spans="3:48" x14ac:dyDescent="0.25">
      <c r="C166" s="193"/>
      <c r="D166" s="193"/>
      <c r="E166" s="212"/>
      <c r="F166" s="213"/>
      <c r="G166" s="193"/>
      <c r="H166" s="193"/>
      <c r="I166" s="212"/>
      <c r="J166" s="213"/>
      <c r="K166" s="193"/>
      <c r="L166" s="193"/>
      <c r="M166" s="212"/>
      <c r="N166" s="213"/>
      <c r="O166" s="193"/>
      <c r="P166" s="193"/>
      <c r="Q166" s="212"/>
      <c r="R166" s="213"/>
      <c r="S166" s="193"/>
      <c r="T166" s="193"/>
      <c r="U166" s="212"/>
      <c r="V166" s="213"/>
      <c r="W166" s="193"/>
      <c r="X166" s="193"/>
      <c r="Y166" s="193"/>
      <c r="Z166" s="213"/>
      <c r="AA166" s="193"/>
      <c r="AB166" s="193"/>
      <c r="AC166" s="193"/>
      <c r="AD166" s="193"/>
      <c r="AE166" s="193"/>
      <c r="AF166" s="193"/>
      <c r="AG166" s="193"/>
      <c r="AH166" s="193"/>
      <c r="AI166" s="193"/>
      <c r="AJ166" s="193"/>
      <c r="AK166" s="193"/>
      <c r="AL166" s="193"/>
      <c r="AM166" s="193"/>
      <c r="AN166" s="193"/>
      <c r="AO166" s="193"/>
      <c r="AP166" s="193"/>
      <c r="AQ166" s="193"/>
      <c r="AR166" s="193"/>
      <c r="AS166" s="193"/>
      <c r="AT166" s="193"/>
      <c r="AU166" s="193"/>
      <c r="AV166" s="193"/>
    </row>
    <row r="167" spans="3:48" x14ac:dyDescent="0.25">
      <c r="C167" s="193"/>
      <c r="D167" s="193"/>
      <c r="E167" s="212"/>
      <c r="F167" s="213"/>
      <c r="G167" s="193"/>
      <c r="H167" s="193"/>
      <c r="I167" s="212"/>
      <c r="J167" s="213"/>
      <c r="K167" s="193"/>
      <c r="L167" s="193"/>
      <c r="M167" s="212"/>
      <c r="N167" s="213"/>
      <c r="O167" s="193"/>
      <c r="P167" s="193"/>
      <c r="Q167" s="212"/>
      <c r="R167" s="213"/>
      <c r="S167" s="193"/>
      <c r="T167" s="193"/>
      <c r="U167" s="212"/>
      <c r="V167" s="213"/>
      <c r="W167" s="193"/>
      <c r="X167" s="193"/>
      <c r="Y167" s="193"/>
      <c r="Z167" s="213"/>
      <c r="AA167" s="193"/>
      <c r="AB167" s="193"/>
      <c r="AC167" s="193"/>
      <c r="AD167" s="193"/>
      <c r="AE167" s="193"/>
      <c r="AF167" s="193"/>
      <c r="AG167" s="193"/>
      <c r="AH167" s="193"/>
      <c r="AI167" s="193"/>
      <c r="AJ167" s="193"/>
      <c r="AK167" s="193"/>
      <c r="AL167" s="193"/>
      <c r="AM167" s="193"/>
      <c r="AN167" s="193"/>
      <c r="AO167" s="193"/>
      <c r="AP167" s="193"/>
      <c r="AQ167" s="193"/>
      <c r="AR167" s="193"/>
      <c r="AS167" s="193"/>
      <c r="AT167" s="193"/>
      <c r="AU167" s="193"/>
      <c r="AV167" s="193"/>
    </row>
    <row r="168" spans="3:48" x14ac:dyDescent="0.25">
      <c r="C168" s="193"/>
      <c r="D168" s="193"/>
      <c r="E168" s="212"/>
      <c r="F168" s="213"/>
      <c r="G168" s="193"/>
      <c r="H168" s="193"/>
      <c r="I168" s="212"/>
      <c r="J168" s="213"/>
      <c r="K168" s="193"/>
      <c r="L168" s="193"/>
      <c r="M168" s="212"/>
      <c r="N168" s="213"/>
      <c r="O168" s="193"/>
      <c r="P168" s="193"/>
      <c r="Q168" s="212"/>
      <c r="R168" s="213"/>
      <c r="S168" s="193"/>
      <c r="T168" s="193"/>
      <c r="U168" s="212"/>
      <c r="V168" s="213"/>
      <c r="W168" s="193"/>
      <c r="X168" s="193"/>
      <c r="Y168" s="193"/>
      <c r="Z168" s="213"/>
      <c r="AA168" s="193"/>
      <c r="AB168" s="193"/>
      <c r="AC168" s="193"/>
      <c r="AD168" s="193"/>
      <c r="AE168" s="193"/>
      <c r="AF168" s="193"/>
      <c r="AG168" s="193"/>
      <c r="AH168" s="193"/>
      <c r="AI168" s="193"/>
      <c r="AJ168" s="193"/>
      <c r="AK168" s="193"/>
      <c r="AL168" s="193"/>
      <c r="AM168" s="193"/>
      <c r="AN168" s="193"/>
      <c r="AO168" s="193"/>
      <c r="AP168" s="193"/>
      <c r="AQ168" s="193"/>
      <c r="AR168" s="193"/>
      <c r="AS168" s="193"/>
      <c r="AT168" s="193"/>
      <c r="AU168" s="193"/>
      <c r="AV168" s="193"/>
    </row>
    <row r="169" spans="3:48" x14ac:dyDescent="0.25">
      <c r="C169" s="193"/>
      <c r="D169" s="193"/>
      <c r="E169" s="212"/>
      <c r="F169" s="213"/>
      <c r="G169" s="193"/>
      <c r="H169" s="193"/>
      <c r="I169" s="212"/>
      <c r="J169" s="213"/>
      <c r="K169" s="193"/>
      <c r="L169" s="193"/>
      <c r="M169" s="212"/>
      <c r="N169" s="213"/>
      <c r="O169" s="193"/>
      <c r="P169" s="193"/>
      <c r="Q169" s="212"/>
      <c r="R169" s="213"/>
      <c r="S169" s="193"/>
      <c r="T169" s="193"/>
      <c r="U169" s="212"/>
      <c r="V169" s="213"/>
      <c r="W169" s="193"/>
      <c r="X169" s="193"/>
      <c r="Y169" s="193"/>
      <c r="Z169" s="213"/>
      <c r="AA169" s="193"/>
      <c r="AB169" s="193"/>
      <c r="AC169" s="193"/>
      <c r="AD169" s="193"/>
      <c r="AE169" s="193"/>
      <c r="AF169" s="193"/>
      <c r="AG169" s="193"/>
      <c r="AH169" s="193"/>
      <c r="AI169" s="193"/>
      <c r="AJ169" s="193"/>
      <c r="AK169" s="193"/>
      <c r="AL169" s="193"/>
      <c r="AM169" s="193"/>
      <c r="AN169" s="193"/>
      <c r="AO169" s="193"/>
      <c r="AP169" s="193"/>
      <c r="AQ169" s="193"/>
      <c r="AR169" s="193"/>
      <c r="AS169" s="193"/>
      <c r="AT169" s="193"/>
      <c r="AU169" s="193"/>
      <c r="AV169" s="193"/>
    </row>
    <row r="170" spans="3:48" x14ac:dyDescent="0.25">
      <c r="C170" s="193"/>
      <c r="D170" s="193"/>
      <c r="E170" s="212"/>
      <c r="F170" s="213"/>
      <c r="G170" s="193"/>
      <c r="H170" s="193"/>
      <c r="I170" s="212"/>
      <c r="J170" s="213"/>
      <c r="K170" s="193"/>
      <c r="L170" s="193"/>
      <c r="M170" s="212"/>
      <c r="N170" s="213"/>
      <c r="O170" s="193"/>
      <c r="P170" s="193"/>
      <c r="Q170" s="212"/>
      <c r="R170" s="213"/>
      <c r="S170" s="193"/>
      <c r="T170" s="193"/>
      <c r="U170" s="212"/>
      <c r="V170" s="213"/>
      <c r="W170" s="193"/>
      <c r="X170" s="193"/>
      <c r="Y170" s="193"/>
      <c r="Z170" s="213"/>
      <c r="AA170" s="193"/>
      <c r="AB170" s="193"/>
      <c r="AC170" s="193"/>
      <c r="AD170" s="193"/>
      <c r="AE170" s="193"/>
      <c r="AF170" s="193"/>
      <c r="AG170" s="193"/>
      <c r="AH170" s="193"/>
      <c r="AI170" s="193"/>
      <c r="AJ170" s="193"/>
      <c r="AK170" s="193"/>
      <c r="AL170" s="193"/>
      <c r="AM170" s="193"/>
      <c r="AN170" s="193"/>
      <c r="AO170" s="193"/>
      <c r="AP170" s="193"/>
      <c r="AQ170" s="193"/>
      <c r="AR170" s="193"/>
      <c r="AS170" s="193"/>
      <c r="AT170" s="193"/>
      <c r="AU170" s="193"/>
      <c r="AV170" s="193"/>
    </row>
    <row r="171" spans="3:48" x14ac:dyDescent="0.25">
      <c r="C171" s="193"/>
      <c r="D171" s="193"/>
      <c r="E171" s="212"/>
      <c r="F171" s="213"/>
      <c r="G171" s="193"/>
      <c r="H171" s="193"/>
      <c r="I171" s="212"/>
      <c r="J171" s="213"/>
      <c r="K171" s="193"/>
      <c r="L171" s="193"/>
      <c r="M171" s="212"/>
      <c r="N171" s="213"/>
      <c r="O171" s="193"/>
      <c r="P171" s="193"/>
      <c r="Q171" s="212"/>
      <c r="R171" s="213"/>
      <c r="S171" s="193"/>
      <c r="T171" s="193"/>
      <c r="U171" s="212"/>
      <c r="V171" s="213"/>
      <c r="W171" s="193"/>
      <c r="X171" s="193"/>
      <c r="Y171" s="193"/>
      <c r="Z171" s="213"/>
      <c r="AA171" s="193"/>
      <c r="AB171" s="193"/>
      <c r="AC171" s="193"/>
      <c r="AD171" s="193"/>
      <c r="AE171" s="193"/>
      <c r="AF171" s="193"/>
      <c r="AG171" s="193"/>
      <c r="AH171" s="193"/>
      <c r="AI171" s="193"/>
      <c r="AJ171" s="193"/>
      <c r="AK171" s="193"/>
      <c r="AL171" s="193"/>
      <c r="AM171" s="193"/>
      <c r="AN171" s="193"/>
      <c r="AO171" s="193"/>
      <c r="AP171" s="193"/>
      <c r="AQ171" s="193"/>
      <c r="AR171" s="193"/>
      <c r="AS171" s="193"/>
      <c r="AT171" s="193"/>
      <c r="AU171" s="193"/>
      <c r="AV171" s="193"/>
    </row>
    <row r="172" spans="3:48" x14ac:dyDescent="0.25">
      <c r="C172" s="193"/>
      <c r="D172" s="193"/>
      <c r="E172" s="212"/>
      <c r="F172" s="213"/>
      <c r="G172" s="193"/>
      <c r="H172" s="193"/>
      <c r="I172" s="212"/>
      <c r="J172" s="213"/>
      <c r="K172" s="193"/>
      <c r="L172" s="193"/>
      <c r="M172" s="212"/>
      <c r="N172" s="213"/>
      <c r="O172" s="193"/>
      <c r="P172" s="193"/>
      <c r="Q172" s="212"/>
      <c r="R172" s="213"/>
      <c r="S172" s="193"/>
      <c r="T172" s="193"/>
      <c r="U172" s="212"/>
      <c r="V172" s="213"/>
      <c r="W172" s="193"/>
      <c r="X172" s="193"/>
      <c r="Y172" s="193"/>
      <c r="Z172" s="213"/>
      <c r="AA172" s="193"/>
      <c r="AB172" s="193"/>
      <c r="AC172" s="193"/>
      <c r="AD172" s="193"/>
      <c r="AE172" s="193"/>
      <c r="AF172" s="193"/>
      <c r="AG172" s="193"/>
      <c r="AH172" s="193"/>
      <c r="AI172" s="193"/>
      <c r="AJ172" s="193"/>
      <c r="AK172" s="193"/>
      <c r="AL172" s="193"/>
      <c r="AM172" s="193"/>
      <c r="AN172" s="193"/>
      <c r="AO172" s="193"/>
      <c r="AP172" s="193"/>
      <c r="AQ172" s="193"/>
      <c r="AR172" s="193"/>
      <c r="AS172" s="193"/>
      <c r="AT172" s="193"/>
      <c r="AU172" s="193"/>
      <c r="AV172" s="193"/>
    </row>
    <row r="173" spans="3:48" x14ac:dyDescent="0.25">
      <c r="C173" s="193"/>
      <c r="D173" s="193"/>
      <c r="E173" s="212"/>
      <c r="F173" s="213"/>
      <c r="G173" s="193"/>
      <c r="H173" s="193"/>
      <c r="I173" s="212"/>
      <c r="J173" s="213"/>
      <c r="K173" s="193"/>
      <c r="L173" s="193"/>
      <c r="M173" s="212"/>
      <c r="N173" s="213"/>
      <c r="O173" s="193"/>
      <c r="P173" s="193"/>
      <c r="Q173" s="212"/>
      <c r="R173" s="213"/>
      <c r="S173" s="193"/>
      <c r="T173" s="193"/>
      <c r="U173" s="212"/>
      <c r="V173" s="213"/>
      <c r="W173" s="193"/>
      <c r="X173" s="193"/>
      <c r="Y173" s="193"/>
      <c r="Z173" s="213"/>
      <c r="AA173" s="193"/>
      <c r="AB173" s="193"/>
      <c r="AC173" s="193"/>
      <c r="AD173" s="193"/>
      <c r="AE173" s="193"/>
      <c r="AF173" s="193"/>
      <c r="AG173" s="193"/>
      <c r="AH173" s="193"/>
      <c r="AI173" s="193"/>
      <c r="AJ173" s="193"/>
      <c r="AK173" s="193"/>
      <c r="AL173" s="193"/>
      <c r="AM173" s="193"/>
      <c r="AN173" s="193"/>
      <c r="AO173" s="193"/>
      <c r="AP173" s="193"/>
      <c r="AQ173" s="193"/>
      <c r="AR173" s="193"/>
      <c r="AS173" s="193"/>
      <c r="AT173" s="193"/>
      <c r="AU173" s="193"/>
      <c r="AV173" s="193"/>
    </row>
    <row r="174" spans="3:48" x14ac:dyDescent="0.25">
      <c r="C174" s="193"/>
      <c r="D174" s="193"/>
      <c r="E174" s="212"/>
      <c r="F174" s="213"/>
      <c r="G174" s="193"/>
      <c r="H174" s="193"/>
      <c r="I174" s="212"/>
      <c r="J174" s="213"/>
      <c r="K174" s="193"/>
      <c r="L174" s="193"/>
      <c r="M174" s="212"/>
      <c r="N174" s="213"/>
      <c r="O174" s="193"/>
      <c r="P174" s="193"/>
      <c r="Q174" s="212"/>
      <c r="R174" s="213"/>
      <c r="S174" s="193"/>
      <c r="T174" s="193"/>
      <c r="U174" s="212"/>
      <c r="V174" s="213"/>
      <c r="W174" s="193"/>
      <c r="X174" s="193"/>
      <c r="Y174" s="193"/>
      <c r="Z174" s="213"/>
      <c r="AA174" s="193"/>
      <c r="AB174" s="193"/>
      <c r="AC174" s="193"/>
      <c r="AD174" s="193"/>
      <c r="AE174" s="193"/>
      <c r="AF174" s="193"/>
      <c r="AG174" s="193"/>
      <c r="AH174" s="193"/>
      <c r="AI174" s="193"/>
      <c r="AJ174" s="193"/>
      <c r="AK174" s="193"/>
      <c r="AL174" s="193"/>
      <c r="AM174" s="193"/>
      <c r="AN174" s="193"/>
      <c r="AO174" s="193"/>
      <c r="AP174" s="193"/>
      <c r="AQ174" s="193"/>
      <c r="AR174" s="193"/>
      <c r="AS174" s="193"/>
      <c r="AT174" s="193"/>
      <c r="AU174" s="193"/>
      <c r="AV174" s="193"/>
    </row>
    <row r="175" spans="3:48" x14ac:dyDescent="0.25">
      <c r="C175" s="193"/>
      <c r="D175" s="193"/>
      <c r="E175" s="212"/>
      <c r="F175" s="213"/>
      <c r="G175" s="193"/>
      <c r="H175" s="193"/>
      <c r="I175" s="212"/>
      <c r="J175" s="213"/>
      <c r="K175" s="193"/>
      <c r="L175" s="193"/>
      <c r="M175" s="212"/>
      <c r="N175" s="213"/>
      <c r="O175" s="193"/>
      <c r="P175" s="193"/>
      <c r="Q175" s="212"/>
      <c r="R175" s="213"/>
      <c r="S175" s="193"/>
      <c r="T175" s="193"/>
      <c r="U175" s="212"/>
      <c r="V175" s="213"/>
      <c r="W175" s="193"/>
      <c r="X175" s="193"/>
      <c r="Y175" s="193"/>
      <c r="Z175" s="213"/>
      <c r="AA175" s="193"/>
      <c r="AB175" s="193"/>
      <c r="AC175" s="193"/>
      <c r="AD175" s="193"/>
      <c r="AE175" s="193"/>
      <c r="AF175" s="193"/>
      <c r="AG175" s="193"/>
      <c r="AH175" s="193"/>
      <c r="AI175" s="193"/>
      <c r="AJ175" s="193"/>
      <c r="AK175" s="193"/>
      <c r="AL175" s="193"/>
      <c r="AM175" s="193"/>
      <c r="AN175" s="193"/>
      <c r="AO175" s="193"/>
      <c r="AP175" s="193"/>
      <c r="AQ175" s="193"/>
      <c r="AR175" s="193"/>
      <c r="AS175" s="193"/>
      <c r="AT175" s="193"/>
      <c r="AU175" s="193"/>
      <c r="AV175" s="193"/>
    </row>
    <row r="176" spans="3:48" x14ac:dyDescent="0.25">
      <c r="C176" s="193"/>
      <c r="D176" s="193"/>
      <c r="E176" s="212"/>
      <c r="F176" s="213"/>
      <c r="G176" s="193"/>
      <c r="H176" s="193"/>
      <c r="I176" s="212"/>
      <c r="J176" s="213"/>
      <c r="K176" s="193"/>
      <c r="L176" s="193"/>
      <c r="M176" s="212"/>
      <c r="N176" s="213"/>
      <c r="O176" s="193"/>
      <c r="P176" s="193"/>
      <c r="Q176" s="212"/>
      <c r="R176" s="213"/>
      <c r="S176" s="193"/>
      <c r="T176" s="193"/>
      <c r="U176" s="212"/>
      <c r="V176" s="213"/>
      <c r="W176" s="193"/>
      <c r="X176" s="193"/>
      <c r="Y176" s="193"/>
      <c r="Z176" s="213"/>
      <c r="AA176" s="193"/>
      <c r="AB176" s="193"/>
      <c r="AC176" s="193"/>
      <c r="AD176" s="193"/>
      <c r="AE176" s="193"/>
      <c r="AF176" s="193"/>
      <c r="AG176" s="193"/>
      <c r="AH176" s="193"/>
      <c r="AI176" s="193"/>
      <c r="AJ176" s="193"/>
      <c r="AK176" s="193"/>
      <c r="AL176" s="193"/>
      <c r="AM176" s="193"/>
      <c r="AN176" s="193"/>
      <c r="AO176" s="193"/>
      <c r="AP176" s="193"/>
      <c r="AQ176" s="193"/>
      <c r="AR176" s="193"/>
      <c r="AS176" s="193"/>
      <c r="AT176" s="193"/>
      <c r="AU176" s="193"/>
      <c r="AV176" s="193"/>
    </row>
    <row r="177" spans="3:48" x14ac:dyDescent="0.25">
      <c r="C177" s="193"/>
      <c r="D177" s="193"/>
      <c r="E177" s="212"/>
      <c r="F177" s="213"/>
      <c r="G177" s="193"/>
      <c r="H177" s="193"/>
      <c r="I177" s="212"/>
      <c r="J177" s="213"/>
      <c r="K177" s="193"/>
      <c r="L177" s="193"/>
      <c r="M177" s="212"/>
      <c r="N177" s="213"/>
      <c r="O177" s="193"/>
      <c r="P177" s="193"/>
      <c r="Q177" s="212"/>
      <c r="R177" s="213"/>
      <c r="S177" s="193"/>
      <c r="T177" s="193"/>
      <c r="U177" s="212"/>
      <c r="V177" s="213"/>
      <c r="W177" s="193"/>
      <c r="X177" s="193"/>
      <c r="Y177" s="193"/>
      <c r="Z177" s="213"/>
      <c r="AA177" s="193"/>
      <c r="AB177" s="193"/>
      <c r="AC177" s="193"/>
      <c r="AD177" s="193"/>
      <c r="AE177" s="193"/>
      <c r="AF177" s="193"/>
      <c r="AG177" s="193"/>
      <c r="AH177" s="193"/>
      <c r="AI177" s="193"/>
      <c r="AJ177" s="193"/>
      <c r="AK177" s="193"/>
      <c r="AL177" s="193"/>
      <c r="AM177" s="193"/>
      <c r="AN177" s="193"/>
      <c r="AO177" s="193"/>
      <c r="AP177" s="193"/>
      <c r="AQ177" s="193"/>
      <c r="AR177" s="193"/>
      <c r="AS177" s="193"/>
      <c r="AT177" s="193"/>
      <c r="AU177" s="193"/>
      <c r="AV177" s="193"/>
    </row>
    <row r="178" spans="3:48" x14ac:dyDescent="0.25">
      <c r="C178" s="193"/>
      <c r="D178" s="193"/>
      <c r="E178" s="212"/>
      <c r="F178" s="213"/>
      <c r="G178" s="193"/>
      <c r="H178" s="193"/>
      <c r="I178" s="212"/>
      <c r="J178" s="213"/>
      <c r="K178" s="193"/>
      <c r="L178" s="193"/>
      <c r="M178" s="212"/>
      <c r="N178" s="213"/>
      <c r="O178" s="193"/>
      <c r="P178" s="193"/>
      <c r="Q178" s="212"/>
      <c r="R178" s="213"/>
      <c r="S178" s="193"/>
      <c r="T178" s="193"/>
      <c r="U178" s="212"/>
      <c r="V178" s="213"/>
      <c r="W178" s="193"/>
      <c r="X178" s="193"/>
      <c r="Y178" s="193"/>
      <c r="Z178" s="213"/>
      <c r="AA178" s="193"/>
      <c r="AB178" s="193"/>
      <c r="AC178" s="193"/>
      <c r="AD178" s="193"/>
      <c r="AE178" s="193"/>
      <c r="AF178" s="193"/>
      <c r="AG178" s="193"/>
      <c r="AH178" s="193"/>
      <c r="AI178" s="193"/>
      <c r="AJ178" s="193"/>
      <c r="AK178" s="193"/>
      <c r="AL178" s="193"/>
      <c r="AM178" s="193"/>
      <c r="AN178" s="193"/>
      <c r="AO178" s="193"/>
      <c r="AP178" s="193"/>
      <c r="AQ178" s="193"/>
      <c r="AR178" s="193"/>
      <c r="AS178" s="193"/>
      <c r="AT178" s="193"/>
      <c r="AU178" s="193"/>
      <c r="AV178" s="193"/>
    </row>
    <row r="179" spans="3:48" x14ac:dyDescent="0.25">
      <c r="C179" s="193"/>
      <c r="D179" s="193"/>
      <c r="E179" s="212"/>
      <c r="F179" s="213"/>
      <c r="G179" s="193"/>
      <c r="H179" s="193"/>
      <c r="I179" s="212"/>
      <c r="J179" s="213"/>
      <c r="K179" s="193"/>
      <c r="L179" s="193"/>
      <c r="M179" s="212"/>
      <c r="N179" s="213"/>
      <c r="O179" s="193"/>
      <c r="P179" s="193"/>
      <c r="Q179" s="212"/>
      <c r="R179" s="213"/>
      <c r="S179" s="193"/>
      <c r="T179" s="193"/>
      <c r="U179" s="212"/>
      <c r="V179" s="213"/>
      <c r="W179" s="193"/>
      <c r="X179" s="193"/>
      <c r="Y179" s="193"/>
      <c r="Z179" s="213"/>
      <c r="AA179" s="193"/>
      <c r="AB179" s="193"/>
      <c r="AC179" s="193"/>
      <c r="AD179" s="193"/>
      <c r="AE179" s="193"/>
      <c r="AF179" s="193"/>
      <c r="AG179" s="193"/>
      <c r="AH179" s="193"/>
      <c r="AI179" s="193"/>
      <c r="AJ179" s="193"/>
      <c r="AK179" s="193"/>
      <c r="AL179" s="193"/>
      <c r="AM179" s="193"/>
      <c r="AN179" s="193"/>
      <c r="AO179" s="193"/>
      <c r="AP179" s="193"/>
      <c r="AQ179" s="193"/>
      <c r="AR179" s="193"/>
      <c r="AS179" s="193"/>
      <c r="AT179" s="193"/>
      <c r="AU179" s="193"/>
      <c r="AV179" s="193"/>
    </row>
    <row r="180" spans="3:48" x14ac:dyDescent="0.25">
      <c r="C180" s="193"/>
      <c r="D180" s="193"/>
      <c r="E180" s="212"/>
      <c r="F180" s="213"/>
      <c r="G180" s="193"/>
      <c r="H180" s="193"/>
      <c r="I180" s="212"/>
      <c r="J180" s="213"/>
      <c r="K180" s="193"/>
      <c r="L180" s="193"/>
      <c r="M180" s="212"/>
      <c r="N180" s="213"/>
      <c r="O180" s="193"/>
      <c r="P180" s="193"/>
      <c r="Q180" s="212"/>
      <c r="R180" s="213"/>
      <c r="S180" s="193"/>
      <c r="T180" s="193"/>
      <c r="U180" s="212"/>
      <c r="V180" s="213"/>
      <c r="W180" s="193"/>
      <c r="X180" s="193"/>
      <c r="Y180" s="193"/>
      <c r="Z180" s="213"/>
      <c r="AA180" s="193"/>
      <c r="AB180" s="193"/>
      <c r="AC180" s="193"/>
      <c r="AD180" s="193"/>
      <c r="AE180" s="193"/>
      <c r="AF180" s="193"/>
      <c r="AG180" s="193"/>
      <c r="AH180" s="193"/>
      <c r="AI180" s="193"/>
      <c r="AJ180" s="193"/>
      <c r="AK180" s="193"/>
      <c r="AL180" s="193"/>
      <c r="AM180" s="193"/>
      <c r="AN180" s="193"/>
      <c r="AO180" s="193"/>
      <c r="AP180" s="193"/>
      <c r="AQ180" s="193"/>
      <c r="AR180" s="193"/>
      <c r="AS180" s="193"/>
      <c r="AT180" s="193"/>
      <c r="AU180" s="193"/>
      <c r="AV180" s="193"/>
    </row>
    <row r="181" spans="3:48" x14ac:dyDescent="0.25">
      <c r="C181" s="193"/>
      <c r="D181" s="193"/>
      <c r="E181" s="212"/>
      <c r="F181" s="213"/>
      <c r="G181" s="193"/>
      <c r="H181" s="193"/>
      <c r="I181" s="212"/>
      <c r="J181" s="213"/>
      <c r="K181" s="193"/>
      <c r="L181" s="193"/>
      <c r="M181" s="212"/>
      <c r="N181" s="213"/>
      <c r="O181" s="193"/>
      <c r="P181" s="193"/>
      <c r="Q181" s="212"/>
      <c r="R181" s="213"/>
      <c r="S181" s="193"/>
      <c r="T181" s="193"/>
      <c r="U181" s="212"/>
      <c r="V181" s="213"/>
      <c r="W181" s="193"/>
      <c r="X181" s="193"/>
      <c r="Y181" s="193"/>
      <c r="Z181" s="213"/>
      <c r="AA181" s="193"/>
      <c r="AB181" s="193"/>
      <c r="AC181" s="193"/>
      <c r="AD181" s="193"/>
      <c r="AE181" s="193"/>
      <c r="AF181" s="193"/>
      <c r="AG181" s="193"/>
      <c r="AH181" s="193"/>
      <c r="AI181" s="193"/>
      <c r="AJ181" s="193"/>
      <c r="AK181" s="193"/>
      <c r="AL181" s="193"/>
      <c r="AM181" s="193"/>
      <c r="AN181" s="193"/>
      <c r="AO181" s="193"/>
      <c r="AP181" s="193"/>
      <c r="AQ181" s="193"/>
      <c r="AR181" s="193"/>
      <c r="AS181" s="193"/>
      <c r="AT181" s="193"/>
      <c r="AU181" s="193"/>
      <c r="AV181" s="193"/>
    </row>
    <row r="182" spans="3:48" x14ac:dyDescent="0.25">
      <c r="C182" s="193"/>
      <c r="D182" s="193"/>
      <c r="E182" s="212"/>
      <c r="F182" s="213"/>
      <c r="G182" s="193"/>
      <c r="H182" s="193"/>
      <c r="I182" s="212"/>
      <c r="J182" s="213"/>
      <c r="K182" s="193"/>
      <c r="L182" s="193"/>
      <c r="M182" s="212"/>
      <c r="N182" s="213"/>
      <c r="O182" s="193"/>
      <c r="P182" s="193"/>
      <c r="Q182" s="212"/>
      <c r="R182" s="213"/>
      <c r="S182" s="193"/>
      <c r="T182" s="193"/>
      <c r="U182" s="212"/>
      <c r="V182" s="213"/>
      <c r="W182" s="193"/>
      <c r="X182" s="193"/>
      <c r="Y182" s="193"/>
      <c r="Z182" s="213"/>
      <c r="AA182" s="193"/>
      <c r="AB182" s="193"/>
      <c r="AC182" s="193"/>
      <c r="AD182" s="193"/>
      <c r="AE182" s="193"/>
      <c r="AF182" s="193"/>
      <c r="AG182" s="193"/>
      <c r="AH182" s="193"/>
      <c r="AI182" s="193"/>
      <c r="AJ182" s="193"/>
      <c r="AK182" s="193"/>
      <c r="AL182" s="193"/>
      <c r="AM182" s="193"/>
      <c r="AN182" s="193"/>
      <c r="AO182" s="193"/>
      <c r="AP182" s="193"/>
      <c r="AQ182" s="193"/>
      <c r="AR182" s="193"/>
      <c r="AS182" s="193"/>
      <c r="AT182" s="193"/>
      <c r="AU182" s="193"/>
      <c r="AV182" s="193"/>
    </row>
    <row r="183" spans="3:48" x14ac:dyDescent="0.25">
      <c r="C183" s="193"/>
      <c r="D183" s="193"/>
      <c r="E183" s="212"/>
      <c r="F183" s="213"/>
      <c r="G183" s="193"/>
      <c r="H183" s="193"/>
      <c r="I183" s="212"/>
      <c r="J183" s="213"/>
      <c r="K183" s="193"/>
      <c r="L183" s="193"/>
      <c r="M183" s="212"/>
      <c r="N183" s="213"/>
      <c r="O183" s="193"/>
      <c r="P183" s="193"/>
      <c r="Q183" s="212"/>
      <c r="R183" s="213"/>
      <c r="S183" s="193"/>
      <c r="T183" s="193"/>
      <c r="U183" s="212"/>
      <c r="V183" s="213"/>
      <c r="W183" s="193"/>
      <c r="X183" s="193"/>
      <c r="Y183" s="193"/>
      <c r="Z183" s="213"/>
      <c r="AA183" s="193"/>
      <c r="AB183" s="193"/>
      <c r="AC183" s="193"/>
      <c r="AD183" s="193"/>
      <c r="AE183" s="193"/>
      <c r="AF183" s="193"/>
      <c r="AG183" s="193"/>
      <c r="AH183" s="193"/>
      <c r="AI183" s="193"/>
      <c r="AJ183" s="193"/>
      <c r="AK183" s="193"/>
      <c r="AL183" s="193"/>
      <c r="AM183" s="193"/>
      <c r="AN183" s="193"/>
      <c r="AO183" s="193"/>
      <c r="AP183" s="193"/>
      <c r="AQ183" s="193"/>
      <c r="AR183" s="193"/>
      <c r="AS183" s="193"/>
      <c r="AT183" s="193"/>
      <c r="AU183" s="193"/>
      <c r="AV183" s="193"/>
    </row>
    <row r="184" spans="3:48" x14ac:dyDescent="0.25">
      <c r="C184" s="193"/>
      <c r="D184" s="193"/>
      <c r="E184" s="212"/>
      <c r="F184" s="213"/>
      <c r="G184" s="193"/>
      <c r="H184" s="193"/>
      <c r="I184" s="212"/>
      <c r="J184" s="213"/>
      <c r="K184" s="193"/>
      <c r="L184" s="193"/>
      <c r="M184" s="212"/>
      <c r="N184" s="213"/>
      <c r="O184" s="193"/>
      <c r="P184" s="193"/>
      <c r="Q184" s="212"/>
      <c r="R184" s="213"/>
      <c r="S184" s="193"/>
      <c r="T184" s="193"/>
      <c r="U184" s="212"/>
      <c r="V184" s="213"/>
      <c r="W184" s="193"/>
      <c r="X184" s="193"/>
      <c r="Y184" s="193"/>
      <c r="Z184" s="213"/>
      <c r="AA184" s="193"/>
      <c r="AB184" s="193"/>
      <c r="AC184" s="193"/>
      <c r="AD184" s="193"/>
      <c r="AE184" s="193"/>
      <c r="AF184" s="193"/>
      <c r="AG184" s="193"/>
      <c r="AH184" s="193"/>
      <c r="AI184" s="193"/>
      <c r="AJ184" s="193"/>
      <c r="AK184" s="193"/>
      <c r="AL184" s="193"/>
      <c r="AM184" s="193"/>
      <c r="AN184" s="193"/>
      <c r="AO184" s="193"/>
      <c r="AP184" s="193"/>
      <c r="AQ184" s="193"/>
      <c r="AR184" s="193"/>
      <c r="AS184" s="193"/>
      <c r="AT184" s="193"/>
      <c r="AU184" s="193"/>
      <c r="AV184" s="193"/>
    </row>
    <row r="185" spans="3:48" x14ac:dyDescent="0.25">
      <c r="C185" s="193"/>
      <c r="D185" s="193"/>
      <c r="E185" s="212"/>
      <c r="F185" s="213"/>
      <c r="G185" s="193"/>
      <c r="H185" s="193"/>
      <c r="I185" s="212"/>
      <c r="J185" s="213"/>
      <c r="K185" s="193"/>
      <c r="L185" s="193"/>
      <c r="M185" s="212"/>
      <c r="N185" s="213"/>
      <c r="O185" s="193"/>
      <c r="P185" s="193"/>
      <c r="Q185" s="212"/>
      <c r="R185" s="213"/>
      <c r="S185" s="193"/>
      <c r="T185" s="193"/>
      <c r="U185" s="212"/>
      <c r="V185" s="213"/>
      <c r="W185" s="193"/>
      <c r="X185" s="193"/>
      <c r="Y185" s="193"/>
      <c r="Z185" s="213"/>
      <c r="AA185" s="193"/>
      <c r="AB185" s="193"/>
      <c r="AC185" s="193"/>
      <c r="AD185" s="193"/>
      <c r="AE185" s="193"/>
      <c r="AF185" s="193"/>
      <c r="AG185" s="193"/>
      <c r="AH185" s="193"/>
      <c r="AI185" s="193"/>
      <c r="AJ185" s="193"/>
      <c r="AK185" s="193"/>
      <c r="AL185" s="193"/>
      <c r="AM185" s="193"/>
      <c r="AN185" s="193"/>
      <c r="AO185" s="193"/>
      <c r="AP185" s="193"/>
      <c r="AQ185" s="193"/>
      <c r="AR185" s="193"/>
      <c r="AS185" s="193"/>
      <c r="AT185" s="193"/>
      <c r="AU185" s="193"/>
      <c r="AV185" s="193"/>
    </row>
    <row r="186" spans="3:48" x14ac:dyDescent="0.25">
      <c r="C186" s="193"/>
      <c r="D186" s="193"/>
      <c r="E186" s="212"/>
      <c r="F186" s="213"/>
      <c r="G186" s="193"/>
      <c r="H186" s="193"/>
      <c r="I186" s="212"/>
      <c r="J186" s="213"/>
      <c r="K186" s="193"/>
      <c r="L186" s="193"/>
      <c r="M186" s="212"/>
      <c r="N186" s="213"/>
      <c r="O186" s="193"/>
      <c r="P186" s="193"/>
      <c r="Q186" s="212"/>
      <c r="R186" s="213"/>
      <c r="S186" s="193"/>
      <c r="T186" s="193"/>
      <c r="U186" s="212"/>
      <c r="V186" s="213"/>
      <c r="W186" s="193"/>
      <c r="X186" s="193"/>
      <c r="Y186" s="193"/>
      <c r="Z186" s="213"/>
      <c r="AA186" s="193"/>
      <c r="AB186" s="193"/>
      <c r="AC186" s="193"/>
      <c r="AD186" s="193"/>
      <c r="AE186" s="193"/>
      <c r="AF186" s="193"/>
      <c r="AG186" s="193"/>
      <c r="AH186" s="193"/>
      <c r="AI186" s="193"/>
      <c r="AJ186" s="193"/>
      <c r="AK186" s="193"/>
      <c r="AL186" s="193"/>
      <c r="AM186" s="193"/>
      <c r="AN186" s="193"/>
      <c r="AO186" s="193"/>
      <c r="AP186" s="193"/>
      <c r="AQ186" s="193"/>
      <c r="AR186" s="193"/>
      <c r="AS186" s="193"/>
      <c r="AT186" s="193"/>
      <c r="AU186" s="193"/>
      <c r="AV186" s="193"/>
    </row>
    <row r="187" spans="3:48" x14ac:dyDescent="0.25">
      <c r="C187" s="193"/>
      <c r="D187" s="193"/>
      <c r="E187" s="212"/>
      <c r="F187" s="213"/>
      <c r="G187" s="193"/>
      <c r="H187" s="193"/>
      <c r="I187" s="212"/>
      <c r="J187" s="213"/>
      <c r="K187" s="193"/>
      <c r="L187" s="193"/>
      <c r="M187" s="212"/>
      <c r="N187" s="213"/>
      <c r="O187" s="193"/>
      <c r="P187" s="193"/>
      <c r="Q187" s="212"/>
      <c r="R187" s="213"/>
      <c r="S187" s="193"/>
      <c r="T187" s="193"/>
      <c r="U187" s="212"/>
      <c r="V187" s="213"/>
      <c r="W187" s="193"/>
      <c r="X187" s="193"/>
      <c r="Y187" s="193"/>
      <c r="Z187" s="213"/>
      <c r="AA187" s="193"/>
      <c r="AB187" s="193"/>
      <c r="AC187" s="193"/>
      <c r="AD187" s="193"/>
      <c r="AE187" s="193"/>
      <c r="AF187" s="193"/>
      <c r="AG187" s="193"/>
      <c r="AH187" s="193"/>
      <c r="AI187" s="193"/>
      <c r="AJ187" s="193"/>
      <c r="AK187" s="193"/>
      <c r="AL187" s="193"/>
      <c r="AM187" s="193"/>
      <c r="AN187" s="193"/>
      <c r="AO187" s="193"/>
      <c r="AP187" s="193"/>
      <c r="AQ187" s="193"/>
      <c r="AR187" s="193"/>
      <c r="AS187" s="193"/>
      <c r="AT187" s="193"/>
      <c r="AU187" s="193"/>
      <c r="AV187" s="193"/>
    </row>
    <row r="188" spans="3:48" x14ac:dyDescent="0.25">
      <c r="C188" s="193"/>
      <c r="D188" s="193"/>
      <c r="E188" s="212"/>
      <c r="F188" s="213"/>
      <c r="G188" s="193"/>
      <c r="H188" s="193"/>
      <c r="I188" s="212"/>
      <c r="J188" s="213"/>
      <c r="K188" s="193"/>
      <c r="L188" s="193"/>
      <c r="M188" s="212"/>
      <c r="N188" s="213"/>
      <c r="O188" s="193"/>
      <c r="P188" s="193"/>
      <c r="Q188" s="212"/>
      <c r="R188" s="213"/>
      <c r="S188" s="193"/>
      <c r="T188" s="193"/>
      <c r="U188" s="212"/>
      <c r="V188" s="213"/>
      <c r="W188" s="193"/>
      <c r="X188" s="193"/>
      <c r="Y188" s="193"/>
      <c r="Z188" s="213"/>
      <c r="AA188" s="193"/>
      <c r="AB188" s="193"/>
      <c r="AC188" s="193"/>
      <c r="AD188" s="193"/>
      <c r="AE188" s="193"/>
      <c r="AF188" s="193"/>
      <c r="AG188" s="193"/>
      <c r="AH188" s="193"/>
      <c r="AI188" s="193"/>
      <c r="AJ188" s="193"/>
      <c r="AK188" s="193"/>
      <c r="AL188" s="193"/>
      <c r="AM188" s="193"/>
      <c r="AN188" s="193"/>
      <c r="AO188" s="193"/>
      <c r="AP188" s="193"/>
      <c r="AQ188" s="193"/>
      <c r="AR188" s="193"/>
      <c r="AS188" s="193"/>
      <c r="AT188" s="193"/>
      <c r="AU188" s="193"/>
      <c r="AV188" s="193"/>
    </row>
    <row r="189" spans="3:48" x14ac:dyDescent="0.25">
      <c r="C189" s="193"/>
      <c r="D189" s="193"/>
      <c r="E189" s="212"/>
      <c r="F189" s="213"/>
      <c r="G189" s="193"/>
      <c r="H189" s="193"/>
      <c r="I189" s="212"/>
      <c r="J189" s="213"/>
      <c r="K189" s="193"/>
      <c r="L189" s="193"/>
      <c r="M189" s="212"/>
      <c r="N189" s="213"/>
      <c r="O189" s="193"/>
      <c r="P189" s="193"/>
      <c r="Q189" s="212"/>
      <c r="R189" s="213"/>
      <c r="S189" s="193"/>
      <c r="T189" s="193"/>
      <c r="U189" s="212"/>
      <c r="V189" s="213"/>
      <c r="W189" s="193"/>
      <c r="X189" s="193"/>
      <c r="Y189" s="193"/>
      <c r="Z189" s="213"/>
      <c r="AA189" s="193"/>
      <c r="AB189" s="193"/>
      <c r="AC189" s="193"/>
      <c r="AD189" s="193"/>
      <c r="AE189" s="193"/>
      <c r="AF189" s="193"/>
      <c r="AG189" s="193"/>
      <c r="AH189" s="193"/>
      <c r="AI189" s="193"/>
      <c r="AJ189" s="193"/>
      <c r="AK189" s="193"/>
      <c r="AL189" s="193"/>
      <c r="AM189" s="193"/>
      <c r="AN189" s="193"/>
      <c r="AO189" s="193"/>
      <c r="AP189" s="193"/>
      <c r="AQ189" s="193"/>
      <c r="AR189" s="193"/>
      <c r="AS189" s="193"/>
      <c r="AT189" s="193"/>
      <c r="AU189" s="193"/>
      <c r="AV189" s="193"/>
    </row>
    <row r="190" spans="3:48" x14ac:dyDescent="0.25">
      <c r="C190" s="193"/>
      <c r="D190" s="193"/>
      <c r="E190" s="212"/>
      <c r="F190" s="213"/>
      <c r="G190" s="193"/>
      <c r="H190" s="193"/>
      <c r="I190" s="212"/>
      <c r="J190" s="213"/>
      <c r="K190" s="193"/>
      <c r="L190" s="193"/>
      <c r="M190" s="212"/>
      <c r="N190" s="213"/>
      <c r="O190" s="193"/>
      <c r="P190" s="193"/>
      <c r="Q190" s="212"/>
      <c r="R190" s="213"/>
      <c r="S190" s="193"/>
      <c r="T190" s="193"/>
      <c r="U190" s="212"/>
      <c r="V190" s="213"/>
      <c r="W190" s="193"/>
      <c r="X190" s="193"/>
      <c r="Y190" s="193"/>
      <c r="Z190" s="213"/>
      <c r="AA190" s="193"/>
      <c r="AB190" s="193"/>
      <c r="AC190" s="193"/>
      <c r="AD190" s="193"/>
      <c r="AE190" s="193"/>
      <c r="AF190" s="193"/>
      <c r="AG190" s="193"/>
      <c r="AH190" s="193"/>
      <c r="AI190" s="193"/>
      <c r="AJ190" s="193"/>
      <c r="AK190" s="193"/>
      <c r="AL190" s="193"/>
      <c r="AM190" s="193"/>
      <c r="AN190" s="193"/>
      <c r="AO190" s="193"/>
      <c r="AP190" s="193"/>
      <c r="AQ190" s="193"/>
      <c r="AR190" s="193"/>
      <c r="AS190" s="193"/>
      <c r="AT190" s="193"/>
      <c r="AU190" s="193"/>
      <c r="AV190" s="193"/>
    </row>
    <row r="191" spans="3:48" x14ac:dyDescent="0.25">
      <c r="C191" s="193"/>
      <c r="D191" s="193"/>
      <c r="E191" s="212"/>
      <c r="F191" s="213"/>
      <c r="G191" s="193"/>
      <c r="H191" s="193"/>
      <c r="I191" s="212"/>
      <c r="J191" s="213"/>
      <c r="K191" s="193"/>
      <c r="L191" s="193"/>
      <c r="M191" s="212"/>
      <c r="N191" s="213"/>
      <c r="O191" s="193"/>
      <c r="P191" s="193"/>
      <c r="Q191" s="212"/>
      <c r="R191" s="213"/>
      <c r="S191" s="193"/>
      <c r="T191" s="193"/>
      <c r="U191" s="212"/>
      <c r="V191" s="213"/>
      <c r="W191" s="193"/>
      <c r="X191" s="193"/>
      <c r="Y191" s="193"/>
      <c r="Z191" s="213"/>
      <c r="AA191" s="193"/>
      <c r="AB191" s="193"/>
      <c r="AC191" s="193"/>
      <c r="AD191" s="193"/>
      <c r="AE191" s="193"/>
      <c r="AF191" s="193"/>
      <c r="AG191" s="193"/>
      <c r="AH191" s="193"/>
      <c r="AI191" s="193"/>
      <c r="AJ191" s="193"/>
      <c r="AK191" s="193"/>
      <c r="AL191" s="193"/>
      <c r="AM191" s="193"/>
      <c r="AN191" s="193"/>
      <c r="AO191" s="193"/>
      <c r="AP191" s="193"/>
      <c r="AQ191" s="193"/>
      <c r="AR191" s="193"/>
      <c r="AS191" s="193"/>
      <c r="AT191" s="193"/>
      <c r="AU191" s="193"/>
      <c r="AV191" s="193"/>
    </row>
    <row r="192" spans="3:48" x14ac:dyDescent="0.25">
      <c r="C192" s="193"/>
      <c r="D192" s="193"/>
      <c r="E192" s="212"/>
      <c r="F192" s="213"/>
      <c r="G192" s="193"/>
      <c r="H192" s="193"/>
      <c r="I192" s="212"/>
      <c r="J192" s="213"/>
      <c r="K192" s="193"/>
      <c r="L192" s="193"/>
      <c r="M192" s="212"/>
      <c r="N192" s="213"/>
      <c r="O192" s="193"/>
      <c r="P192" s="193"/>
      <c r="Q192" s="212"/>
      <c r="R192" s="213"/>
      <c r="S192" s="193"/>
      <c r="T192" s="193"/>
      <c r="U192" s="212"/>
      <c r="V192" s="213"/>
      <c r="W192" s="193"/>
      <c r="X192" s="193"/>
      <c r="Y192" s="193"/>
      <c r="Z192" s="213"/>
      <c r="AA192" s="193"/>
      <c r="AB192" s="193"/>
      <c r="AC192" s="193"/>
      <c r="AD192" s="193"/>
      <c r="AE192" s="193"/>
      <c r="AF192" s="193"/>
      <c r="AG192" s="193"/>
      <c r="AH192" s="193"/>
      <c r="AI192" s="193"/>
      <c r="AJ192" s="193"/>
      <c r="AK192" s="193"/>
      <c r="AL192" s="193"/>
      <c r="AM192" s="193"/>
      <c r="AN192" s="193"/>
      <c r="AO192" s="193"/>
      <c r="AP192" s="193"/>
      <c r="AQ192" s="193"/>
      <c r="AR192" s="193"/>
      <c r="AS192" s="193"/>
      <c r="AT192" s="193"/>
      <c r="AU192" s="193"/>
      <c r="AV192" s="193"/>
    </row>
    <row r="193" spans="3:48" x14ac:dyDescent="0.25">
      <c r="C193" s="193"/>
      <c r="D193" s="193"/>
      <c r="E193" s="212"/>
      <c r="F193" s="213"/>
      <c r="G193" s="193"/>
      <c r="H193" s="193"/>
      <c r="I193" s="212"/>
      <c r="J193" s="213"/>
      <c r="K193" s="193"/>
      <c r="L193" s="193"/>
      <c r="M193" s="212"/>
      <c r="N193" s="213"/>
      <c r="O193" s="193"/>
      <c r="P193" s="193"/>
      <c r="Q193" s="212"/>
      <c r="R193" s="213"/>
      <c r="S193" s="193"/>
      <c r="T193" s="193"/>
      <c r="U193" s="212"/>
      <c r="V193" s="213"/>
      <c r="W193" s="193"/>
      <c r="X193" s="193"/>
      <c r="Y193" s="193"/>
      <c r="Z193" s="213"/>
      <c r="AA193" s="193"/>
      <c r="AB193" s="193"/>
      <c r="AC193" s="193"/>
      <c r="AD193" s="193"/>
      <c r="AE193" s="193"/>
      <c r="AF193" s="193"/>
      <c r="AG193" s="193"/>
      <c r="AH193" s="193"/>
      <c r="AI193" s="193"/>
      <c r="AJ193" s="193"/>
      <c r="AK193" s="193"/>
      <c r="AL193" s="193"/>
      <c r="AM193" s="193"/>
      <c r="AN193" s="193"/>
      <c r="AO193" s="193"/>
      <c r="AP193" s="193"/>
      <c r="AQ193" s="193"/>
      <c r="AR193" s="193"/>
      <c r="AS193" s="193"/>
      <c r="AT193" s="193"/>
      <c r="AU193" s="193"/>
      <c r="AV193" s="193"/>
    </row>
    <row r="194" spans="3:48" x14ac:dyDescent="0.25">
      <c r="C194" s="193"/>
      <c r="D194" s="193"/>
      <c r="E194" s="212"/>
      <c r="F194" s="213"/>
      <c r="G194" s="193"/>
      <c r="H194" s="193"/>
      <c r="I194" s="212"/>
      <c r="J194" s="213"/>
      <c r="K194" s="193"/>
      <c r="L194" s="193"/>
      <c r="M194" s="212"/>
      <c r="N194" s="213"/>
      <c r="O194" s="193"/>
      <c r="P194" s="193"/>
      <c r="Q194" s="212"/>
      <c r="R194" s="213"/>
      <c r="S194" s="193"/>
      <c r="T194" s="193"/>
      <c r="U194" s="212"/>
      <c r="V194" s="213"/>
      <c r="W194" s="193"/>
      <c r="X194" s="193"/>
      <c r="Y194" s="193"/>
      <c r="Z194" s="213"/>
      <c r="AA194" s="193"/>
      <c r="AB194" s="193"/>
      <c r="AC194" s="193"/>
      <c r="AD194" s="193"/>
      <c r="AE194" s="193"/>
      <c r="AF194" s="193"/>
      <c r="AG194" s="193"/>
      <c r="AH194" s="193"/>
      <c r="AI194" s="193"/>
      <c r="AJ194" s="193"/>
      <c r="AK194" s="193"/>
      <c r="AL194" s="193"/>
      <c r="AM194" s="193"/>
      <c r="AN194" s="193"/>
      <c r="AO194" s="193"/>
      <c r="AP194" s="193"/>
      <c r="AQ194" s="193"/>
      <c r="AR194" s="193"/>
      <c r="AS194" s="193"/>
      <c r="AT194" s="193"/>
      <c r="AU194" s="193"/>
      <c r="AV194" s="193"/>
    </row>
    <row r="195" spans="3:48" x14ac:dyDescent="0.25">
      <c r="C195" s="193"/>
      <c r="D195" s="193"/>
      <c r="E195" s="212"/>
      <c r="F195" s="213"/>
      <c r="G195" s="193"/>
      <c r="H195" s="193"/>
      <c r="I195" s="212"/>
      <c r="J195" s="213"/>
      <c r="K195" s="193"/>
      <c r="L195" s="193"/>
      <c r="M195" s="212"/>
      <c r="N195" s="213"/>
      <c r="O195" s="193"/>
      <c r="P195" s="193"/>
      <c r="Q195" s="212"/>
      <c r="R195" s="213"/>
      <c r="S195" s="193"/>
      <c r="T195" s="193"/>
      <c r="U195" s="212"/>
      <c r="V195" s="213"/>
      <c r="W195" s="193"/>
      <c r="X195" s="193"/>
      <c r="Y195" s="193"/>
      <c r="Z195" s="213"/>
      <c r="AA195" s="193"/>
      <c r="AB195" s="193"/>
      <c r="AC195" s="193"/>
      <c r="AD195" s="193"/>
      <c r="AE195" s="193"/>
      <c r="AF195" s="193"/>
      <c r="AG195" s="193"/>
      <c r="AH195" s="193"/>
      <c r="AI195" s="193"/>
      <c r="AJ195" s="193"/>
      <c r="AK195" s="193"/>
      <c r="AL195" s="193"/>
      <c r="AM195" s="193"/>
      <c r="AN195" s="193"/>
      <c r="AO195" s="193"/>
      <c r="AP195" s="193"/>
      <c r="AQ195" s="193"/>
      <c r="AR195" s="193"/>
      <c r="AS195" s="193"/>
      <c r="AT195" s="193"/>
      <c r="AU195" s="193"/>
      <c r="AV195" s="193"/>
    </row>
    <row r="196" spans="3:48" x14ac:dyDescent="0.25">
      <c r="C196" s="193"/>
      <c r="D196" s="193"/>
      <c r="E196" s="212"/>
      <c r="F196" s="213"/>
      <c r="G196" s="193"/>
      <c r="H196" s="193"/>
      <c r="I196" s="212"/>
      <c r="J196" s="213"/>
      <c r="K196" s="193"/>
      <c r="L196" s="193"/>
      <c r="M196" s="212"/>
      <c r="N196" s="213"/>
      <c r="O196" s="193"/>
      <c r="P196" s="193"/>
      <c r="Q196" s="212"/>
      <c r="R196" s="213"/>
      <c r="S196" s="193"/>
      <c r="T196" s="193"/>
      <c r="U196" s="212"/>
      <c r="V196" s="213"/>
      <c r="W196" s="193"/>
      <c r="X196" s="193"/>
      <c r="Y196" s="193"/>
      <c r="Z196" s="213"/>
      <c r="AA196" s="193"/>
      <c r="AB196" s="193"/>
      <c r="AC196" s="193"/>
      <c r="AD196" s="193"/>
      <c r="AE196" s="193"/>
      <c r="AF196" s="193"/>
      <c r="AG196" s="193"/>
      <c r="AH196" s="193"/>
      <c r="AI196" s="193"/>
      <c r="AJ196" s="193"/>
      <c r="AK196" s="193"/>
      <c r="AL196" s="193"/>
      <c r="AM196" s="193"/>
      <c r="AN196" s="193"/>
      <c r="AO196" s="193"/>
      <c r="AP196" s="193"/>
      <c r="AQ196" s="193"/>
      <c r="AR196" s="193"/>
      <c r="AS196" s="193"/>
      <c r="AT196" s="193"/>
      <c r="AU196" s="193"/>
      <c r="AV196" s="193"/>
    </row>
    <row r="197" spans="3:48" x14ac:dyDescent="0.25">
      <c r="C197" s="193"/>
      <c r="D197" s="193"/>
      <c r="E197" s="212"/>
      <c r="F197" s="213"/>
      <c r="G197" s="193"/>
      <c r="H197" s="193"/>
      <c r="I197" s="212"/>
      <c r="J197" s="213"/>
      <c r="K197" s="193"/>
      <c r="L197" s="193"/>
      <c r="M197" s="212"/>
      <c r="N197" s="213"/>
      <c r="O197" s="193"/>
      <c r="P197" s="193"/>
      <c r="Q197" s="212"/>
      <c r="R197" s="213"/>
      <c r="S197" s="193"/>
      <c r="T197" s="193"/>
      <c r="U197" s="212"/>
      <c r="V197" s="213"/>
      <c r="W197" s="193"/>
      <c r="X197" s="193"/>
      <c r="Y197" s="193"/>
      <c r="Z197" s="213"/>
      <c r="AA197" s="193"/>
      <c r="AB197" s="193"/>
      <c r="AC197" s="193"/>
      <c r="AD197" s="193"/>
      <c r="AE197" s="193"/>
      <c r="AF197" s="193"/>
      <c r="AG197" s="193"/>
      <c r="AH197" s="193"/>
      <c r="AI197" s="193"/>
      <c r="AJ197" s="193"/>
      <c r="AK197" s="193"/>
      <c r="AL197" s="193"/>
      <c r="AM197" s="193"/>
      <c r="AN197" s="193"/>
      <c r="AO197" s="193"/>
      <c r="AP197" s="193"/>
      <c r="AQ197" s="193"/>
      <c r="AR197" s="193"/>
      <c r="AS197" s="193"/>
      <c r="AT197" s="193"/>
      <c r="AU197" s="193"/>
      <c r="AV197" s="193"/>
    </row>
    <row r="198" spans="3:48" x14ac:dyDescent="0.25">
      <c r="C198" s="193"/>
      <c r="D198" s="193"/>
      <c r="E198" s="212"/>
      <c r="F198" s="213"/>
      <c r="G198" s="193"/>
      <c r="H198" s="193"/>
      <c r="I198" s="212"/>
      <c r="J198" s="213"/>
      <c r="K198" s="193"/>
      <c r="L198" s="193"/>
      <c r="M198" s="212"/>
      <c r="N198" s="213"/>
      <c r="O198" s="193"/>
      <c r="P198" s="193"/>
      <c r="Q198" s="212"/>
      <c r="R198" s="213"/>
      <c r="S198" s="193"/>
      <c r="T198" s="193"/>
      <c r="U198" s="212"/>
      <c r="V198" s="213"/>
      <c r="W198" s="193"/>
      <c r="X198" s="193"/>
      <c r="Y198" s="193"/>
      <c r="Z198" s="213"/>
      <c r="AA198" s="193"/>
      <c r="AB198" s="193"/>
      <c r="AC198" s="193"/>
      <c r="AD198" s="193"/>
      <c r="AE198" s="193"/>
      <c r="AF198" s="193"/>
      <c r="AG198" s="193"/>
      <c r="AH198" s="193"/>
      <c r="AI198" s="193"/>
      <c r="AJ198" s="193"/>
      <c r="AK198" s="193"/>
      <c r="AL198" s="193"/>
      <c r="AM198" s="193"/>
      <c r="AN198" s="193"/>
      <c r="AO198" s="193"/>
      <c r="AP198" s="193"/>
      <c r="AQ198" s="193"/>
      <c r="AR198" s="193"/>
      <c r="AS198" s="193"/>
      <c r="AT198" s="193"/>
      <c r="AU198" s="193"/>
      <c r="AV198" s="193"/>
    </row>
    <row r="199" spans="3:48" x14ac:dyDescent="0.25">
      <c r="C199" s="193"/>
      <c r="D199" s="193"/>
      <c r="E199" s="212"/>
      <c r="F199" s="213"/>
      <c r="G199" s="193"/>
      <c r="H199" s="193"/>
      <c r="I199" s="212"/>
      <c r="J199" s="213"/>
      <c r="K199" s="193"/>
      <c r="L199" s="193"/>
      <c r="M199" s="212"/>
      <c r="N199" s="213"/>
      <c r="O199" s="193"/>
      <c r="P199" s="193"/>
      <c r="Q199" s="212"/>
      <c r="R199" s="213"/>
      <c r="S199" s="193"/>
      <c r="T199" s="193"/>
      <c r="U199" s="212"/>
      <c r="V199" s="213"/>
      <c r="W199" s="193"/>
      <c r="X199" s="193"/>
      <c r="Y199" s="193"/>
      <c r="Z199" s="213"/>
      <c r="AA199" s="193"/>
      <c r="AB199" s="193"/>
      <c r="AC199" s="193"/>
      <c r="AD199" s="193"/>
      <c r="AE199" s="193"/>
      <c r="AF199" s="193"/>
      <c r="AG199" s="193"/>
      <c r="AH199" s="193"/>
      <c r="AI199" s="193"/>
      <c r="AJ199" s="193"/>
      <c r="AK199" s="193"/>
      <c r="AL199" s="193"/>
      <c r="AM199" s="193"/>
      <c r="AN199" s="193"/>
      <c r="AO199" s="193"/>
      <c r="AP199" s="193"/>
      <c r="AQ199" s="193"/>
      <c r="AR199" s="193"/>
      <c r="AS199" s="193"/>
      <c r="AT199" s="193"/>
      <c r="AU199" s="193"/>
      <c r="AV199" s="193"/>
    </row>
  </sheetData>
  <mergeCells count="6">
    <mergeCell ref="B1:X1"/>
    <mergeCell ref="K2:M2"/>
    <mergeCell ref="O2:Q2"/>
    <mergeCell ref="S2:U2"/>
    <mergeCell ref="C2:F2"/>
    <mergeCell ref="G2:J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7BD2BE-B9CE-4CD9-B321-2868E514F7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Valuation</vt:lpstr>
      <vt:lpstr>Quarterly Financial Projections</vt:lpstr>
      <vt:lpstr>Assumptions</vt:lpstr>
      <vt:lpstr>Comps</vt:lpstr>
      <vt:lpstr>Quarterly Historical Financials</vt:lpstr>
      <vt:lpstr>Raw Historical 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Nashiru Abdul Kabiru</dc:creator>
  <cp:lastModifiedBy>Abdul-Kabiru Nashiru</cp:lastModifiedBy>
  <dcterms:created xsi:type="dcterms:W3CDTF">2025-12-02T08:58:19Z</dcterms:created>
  <dcterms:modified xsi:type="dcterms:W3CDTF">2026-07-01T11:00:19Z</dcterms:modified>
</cp:coreProperties>
</file>